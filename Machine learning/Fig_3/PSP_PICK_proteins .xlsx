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ccaec20e10084c/1 - KEVIN/1 - ONGOING PUBLICATION/EN PREPARATION/4- Espourteille et al-2023/Machine_learning_results/Fig_3/"/>
    </mc:Choice>
  </mc:AlternateContent>
  <xr:revisionPtr revIDLastSave="21" documentId="13_ncr:40009_{CDB94F08-C7C3-BA40-97C6-258C48645744}" xr6:coauthVersionLast="47" xr6:coauthVersionMax="47" xr10:uidLastSave="{26D1D092-B8EA-479A-AFE1-AC94C0B3D6FB}"/>
  <bookViews>
    <workbookView xWindow="1830" yWindow="495" windowWidth="21600" windowHeight="14040" xr2:uid="{00000000-000D-0000-FFFF-FFFF00000000}"/>
  </bookViews>
  <sheets>
    <sheet name="PSP_PICK_proteins " sheetId="1" r:id="rId1"/>
    <sheet name="Norm" sheetId="3" r:id="rId2"/>
    <sheet name="Mito" sheetId="2" r:id="rId3"/>
  </sheets>
  <definedNames>
    <definedName name="_xlnm._FilterDatabase" localSheetId="1" hidden="1">Norm!$A$1:$T$1829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E2" i="3" a="1"/>
  <c r="E2" i="3" s="1"/>
  <c r="F2" i="3" a="1"/>
  <c r="F2" i="3" s="1"/>
  <c r="G2" i="3" a="1"/>
  <c r="G2" i="3" s="1"/>
  <c r="H2" i="3" a="1"/>
  <c r="H2" i="3" s="1"/>
  <c r="I2" i="3" a="1"/>
  <c r="I2" i="3" s="1"/>
  <c r="J2" i="3" a="1"/>
  <c r="J2" i="3" s="1"/>
  <c r="K2" i="3" a="1"/>
  <c r="K2" i="3" s="1"/>
  <c r="L2" i="3" a="1"/>
  <c r="L2" i="3" s="1"/>
  <c r="M2" i="3" a="1"/>
  <c r="M2" i="3" s="1"/>
  <c r="N2" i="3" a="1"/>
  <c r="N2" i="3" s="1"/>
  <c r="O2" i="3" a="1"/>
  <c r="O2" i="3" s="1"/>
  <c r="P2" i="3" a="1"/>
  <c r="P2" i="3" s="1"/>
  <c r="Q2" i="3" a="1"/>
  <c r="Q2" i="3" s="1"/>
  <c r="R2" i="3" a="1"/>
  <c r="R2" i="3" s="1"/>
  <c r="S2" i="3" a="1"/>
  <c r="S2" i="3" s="1"/>
  <c r="T2" i="3" a="1"/>
  <c r="T2" i="3" s="1"/>
  <c r="C2" i="3" a="1"/>
  <c r="C2" i="3" s="1"/>
  <c r="B2" i="3" a="1"/>
  <c r="B2" i="3" s="1"/>
  <c r="T3" i="2" a="1"/>
  <c r="T3" i="2" s="1"/>
  <c r="T4" i="2" a="1"/>
  <c r="T4" i="2" s="1"/>
  <c r="T5" i="2" a="1"/>
  <c r="T5" i="2" s="1"/>
  <c r="T6" i="2" a="1"/>
  <c r="T6" i="2" s="1"/>
  <c r="T7" i="2" a="1"/>
  <c r="T7" i="2" s="1"/>
  <c r="T8" i="2" a="1"/>
  <c r="T8" i="2" s="1"/>
  <c r="T9" i="2" a="1"/>
  <c r="T9" i="2" s="1"/>
  <c r="T10" i="2" a="1"/>
  <c r="T10" i="2" s="1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 s="1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 s="1"/>
  <c r="T28" i="2" a="1"/>
  <c r="T28" i="2" s="1"/>
  <c r="T29" i="2" a="1"/>
  <c r="T29" i="2" s="1"/>
  <c r="T30" i="2" a="1"/>
  <c r="T30" i="2" s="1"/>
  <c r="T31" i="2" a="1"/>
  <c r="T31" i="2" s="1"/>
  <c r="T32" i="2" a="1"/>
  <c r="T32" i="2" s="1"/>
  <c r="T33" i="2" a="1"/>
  <c r="T33" i="2" s="1"/>
  <c r="T34" i="2" a="1"/>
  <c r="T34" i="2" s="1"/>
  <c r="T35" i="2" a="1"/>
  <c r="T35" i="2" s="1"/>
  <c r="T36" i="2" a="1"/>
  <c r="T36" i="2" s="1"/>
  <c r="T37" i="2" a="1"/>
  <c r="T37" i="2" s="1"/>
  <c r="T38" i="2" a="1"/>
  <c r="T38" i="2" s="1"/>
  <c r="T39" i="2" a="1"/>
  <c r="T39" i="2" s="1"/>
  <c r="T40" i="2" a="1"/>
  <c r="T40" i="2" s="1"/>
  <c r="T41" i="2" a="1"/>
  <c r="T41" i="2" s="1"/>
  <c r="T42" i="2" a="1"/>
  <c r="T42" i="2" s="1"/>
  <c r="T43" i="2" a="1"/>
  <c r="T43" i="2" s="1"/>
  <c r="T44" i="2" a="1"/>
  <c r="T44" i="2" s="1"/>
  <c r="T45" i="2" a="1"/>
  <c r="T45" i="2" s="1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T56" i="2" a="1"/>
  <c r="T56" i="2" s="1"/>
  <c r="T57" i="2" a="1"/>
  <c r="T57" i="2" s="1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 s="1"/>
  <c r="T68" i="2" a="1"/>
  <c r="T68" i="2" s="1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4" i="2" s="1"/>
  <c r="T85" i="2" a="1"/>
  <c r="T85" i="2" s="1"/>
  <c r="T86" i="2" a="1"/>
  <c r="T86" i="2" s="1"/>
  <c r="T87" i="2" a="1"/>
  <c r="T87" i="2" s="1"/>
  <c r="T88" i="2" a="1"/>
  <c r="T88" i="2" s="1"/>
  <c r="T89" i="2" a="1"/>
  <c r="T89" i="2" s="1"/>
  <c r="T90" i="2" a="1"/>
  <c r="T90" i="2" s="1"/>
  <c r="T91" i="2" a="1"/>
  <c r="T91" i="2" s="1"/>
  <c r="T92" i="2" a="1"/>
  <c r="T92" i="2" s="1"/>
  <c r="T93" i="2" a="1"/>
  <c r="T93" i="2" s="1"/>
  <c r="T94" i="2" a="1"/>
  <c r="T94" i="2" s="1"/>
  <c r="T95" i="2" a="1"/>
  <c r="T95" i="2" s="1"/>
  <c r="T96" i="2" a="1"/>
  <c r="T96" i="2" s="1"/>
  <c r="T97" i="2" a="1"/>
  <c r="T97" i="2" s="1"/>
  <c r="T98" i="2" a="1"/>
  <c r="T98" i="2" s="1"/>
  <c r="T99" i="2" a="1"/>
  <c r="T99" i="2" s="1"/>
  <c r="T100" i="2" a="1"/>
  <c r="T100" i="2" s="1"/>
  <c r="T101" i="2" a="1"/>
  <c r="T101" i="2" s="1"/>
  <c r="T102" i="2" a="1"/>
  <c r="T102" i="2" s="1"/>
  <c r="T103" i="2" a="1"/>
  <c r="T103" i="2" s="1"/>
  <c r="T104" i="2" a="1"/>
  <c r="T104" i="2" s="1"/>
  <c r="T105" i="2" a="1"/>
  <c r="T105" i="2" s="1"/>
  <c r="T106" i="2" a="1"/>
  <c r="T106" i="2" s="1"/>
  <c r="T107" i="2" a="1"/>
  <c r="T107" i="2" s="1"/>
  <c r="T108" i="2" a="1"/>
  <c r="T108" i="2" s="1"/>
  <c r="T109" i="2" a="1"/>
  <c r="T109" i="2" s="1"/>
  <c r="T110" i="2" a="1"/>
  <c r="T110" i="2" s="1"/>
  <c r="T111" i="2" a="1"/>
  <c r="T111" i="2" s="1"/>
  <c r="T112" i="2" a="1"/>
  <c r="T112" i="2" s="1"/>
  <c r="T113" i="2" a="1"/>
  <c r="T113" i="2" s="1"/>
  <c r="T114" i="2" a="1"/>
  <c r="T114" i="2" s="1"/>
  <c r="T115" i="2" a="1"/>
  <c r="T115" i="2" s="1"/>
  <c r="T116" i="2" a="1"/>
  <c r="T116" i="2" s="1"/>
  <c r="T117" i="2" a="1"/>
  <c r="T117" i="2" s="1"/>
  <c r="T118" i="2" a="1"/>
  <c r="T118" i="2" s="1"/>
  <c r="T119" i="2" a="1"/>
  <c r="T119" i="2" s="1"/>
  <c r="T120" i="2" a="1"/>
  <c r="T120" i="2" s="1"/>
  <c r="T121" i="2" a="1"/>
  <c r="T121" i="2" s="1"/>
  <c r="T122" i="2" a="1"/>
  <c r="T122" i="2" s="1"/>
  <c r="T123" i="2" a="1"/>
  <c r="T123" i="2" s="1"/>
  <c r="T124" i="2" a="1"/>
  <c r="T124" i="2" s="1"/>
  <c r="T125" i="2" a="1"/>
  <c r="T125" i="2" s="1"/>
  <c r="T126" i="2" a="1"/>
  <c r="T126" i="2" s="1"/>
  <c r="T127" i="2" a="1"/>
  <c r="T127" i="2" s="1"/>
  <c r="T128" i="2" a="1"/>
  <c r="T128" i="2" s="1"/>
  <c r="T129" i="2" a="1"/>
  <c r="T129" i="2" s="1"/>
  <c r="T130" i="2" a="1"/>
  <c r="T130" i="2" s="1"/>
  <c r="T131" i="2" a="1"/>
  <c r="T131" i="2" s="1"/>
  <c r="T132" i="2" a="1"/>
  <c r="T132" i="2" s="1"/>
  <c r="T133" i="2" a="1"/>
  <c r="T133" i="2" s="1"/>
  <c r="T134" i="2" a="1"/>
  <c r="T134" i="2" s="1"/>
  <c r="T135" i="2" a="1"/>
  <c r="T135" i="2" s="1"/>
  <c r="T136" i="2" a="1"/>
  <c r="T136" i="2" s="1"/>
  <c r="T137" i="2" a="1"/>
  <c r="T137" i="2" s="1"/>
  <c r="T138" i="2" a="1"/>
  <c r="T138" i="2" s="1"/>
  <c r="T139" i="2" a="1"/>
  <c r="T139" i="2" s="1"/>
  <c r="T140" i="2" a="1"/>
  <c r="T140" i="2" s="1"/>
  <c r="T141" i="2" a="1"/>
  <c r="T141" i="2" s="1"/>
  <c r="T142" i="2" a="1"/>
  <c r="T142" i="2" s="1"/>
  <c r="T143" i="2" a="1"/>
  <c r="T143" i="2" s="1"/>
  <c r="T144" i="2" a="1"/>
  <c r="T144" i="2" s="1"/>
  <c r="T145" i="2" a="1"/>
  <c r="T145" i="2" s="1"/>
  <c r="T146" i="2" a="1"/>
  <c r="T146" i="2" s="1"/>
  <c r="T147" i="2" a="1"/>
  <c r="T147" i="2" s="1"/>
  <c r="T148" i="2" a="1"/>
  <c r="T148" i="2" s="1"/>
  <c r="T149" i="2" a="1"/>
  <c r="T149" i="2" s="1"/>
  <c r="T150" i="2" a="1"/>
  <c r="T150" i="2" s="1"/>
  <c r="T151" i="2" a="1"/>
  <c r="T151" i="2" s="1"/>
  <c r="T152" i="2" a="1"/>
  <c r="T152" i="2" s="1"/>
  <c r="T153" i="2" a="1"/>
  <c r="T153" i="2" s="1"/>
  <c r="T154" i="2" a="1"/>
  <c r="T154" i="2" s="1"/>
  <c r="T155" i="2" a="1"/>
  <c r="T155" i="2" s="1"/>
  <c r="T156" i="2" a="1"/>
  <c r="T156" i="2" s="1"/>
  <c r="T157" i="2" a="1"/>
  <c r="T157" i="2" s="1"/>
  <c r="T158" i="2" a="1"/>
  <c r="T158" i="2" s="1"/>
  <c r="T159" i="2" a="1"/>
  <c r="T159" i="2" s="1"/>
  <c r="T160" i="2" a="1"/>
  <c r="T160" i="2" s="1"/>
  <c r="T161" i="2" a="1"/>
  <c r="T161" i="2" s="1"/>
  <c r="T162" i="2" a="1"/>
  <c r="T162" i="2" s="1"/>
  <c r="T163" i="2" a="1"/>
  <c r="T163" i="2" s="1"/>
  <c r="T164" i="2" a="1"/>
  <c r="T164" i="2" s="1"/>
  <c r="T165" i="2" a="1"/>
  <c r="T165" i="2" s="1"/>
  <c r="T166" i="2" a="1"/>
  <c r="T166" i="2" s="1"/>
  <c r="T167" i="2" a="1"/>
  <c r="T167" i="2" s="1"/>
  <c r="T168" i="2" a="1"/>
  <c r="T168" i="2" s="1"/>
  <c r="T169" i="2" a="1"/>
  <c r="T169" i="2" s="1"/>
  <c r="T170" i="2" a="1"/>
  <c r="T170" i="2" s="1"/>
  <c r="T171" i="2" a="1"/>
  <c r="T171" i="2" s="1"/>
  <c r="T172" i="2" a="1"/>
  <c r="T172" i="2" s="1"/>
  <c r="T173" i="2" a="1"/>
  <c r="T173" i="2" s="1"/>
  <c r="T174" i="2" a="1"/>
  <c r="T174" i="2" s="1"/>
  <c r="T175" i="2" a="1"/>
  <c r="T175" i="2" s="1"/>
  <c r="T176" i="2" a="1"/>
  <c r="T176" i="2" s="1"/>
  <c r="T177" i="2" a="1"/>
  <c r="T177" i="2" s="1"/>
  <c r="T178" i="2" a="1"/>
  <c r="T178" i="2" s="1"/>
  <c r="T179" i="2" a="1"/>
  <c r="T179" i="2" s="1"/>
  <c r="T180" i="2" a="1"/>
  <c r="T180" i="2" s="1"/>
  <c r="T181" i="2" a="1"/>
  <c r="T181" i="2" s="1"/>
  <c r="T182" i="2" a="1"/>
  <c r="T182" i="2" s="1"/>
  <c r="T183" i="2" a="1"/>
  <c r="T183" i="2" s="1"/>
  <c r="T184" i="2" a="1"/>
  <c r="T184" i="2" s="1"/>
  <c r="T185" i="2" a="1"/>
  <c r="T185" i="2" s="1"/>
  <c r="T186" i="2" a="1"/>
  <c r="T186" i="2" s="1"/>
  <c r="T187" i="2" a="1"/>
  <c r="T187" i="2" s="1"/>
  <c r="T188" i="2" a="1"/>
  <c r="T188" i="2" s="1"/>
  <c r="T189" i="2" a="1"/>
  <c r="T189" i="2" s="1"/>
  <c r="T190" i="2" a="1"/>
  <c r="T190" i="2" s="1"/>
  <c r="T191" i="2" a="1"/>
  <c r="T191" i="2" s="1"/>
  <c r="T192" i="2" a="1"/>
  <c r="T192" i="2" s="1"/>
  <c r="T193" i="2" a="1"/>
  <c r="T193" i="2" s="1"/>
  <c r="T194" i="2" a="1"/>
  <c r="T194" i="2" s="1"/>
  <c r="T195" i="2" a="1"/>
  <c r="T195" i="2" s="1"/>
  <c r="T196" i="2" a="1"/>
  <c r="T196" i="2" s="1"/>
  <c r="T197" i="2" a="1"/>
  <c r="T197" i="2" s="1"/>
  <c r="T198" i="2" a="1"/>
  <c r="T198" i="2" s="1"/>
  <c r="T199" i="2" a="1"/>
  <c r="T199" i="2" s="1"/>
  <c r="T200" i="2" a="1"/>
  <c r="T200" i="2" s="1"/>
  <c r="T201" i="2" a="1"/>
  <c r="T201" i="2" s="1"/>
  <c r="T202" i="2" a="1"/>
  <c r="T202" i="2" s="1"/>
  <c r="T203" i="2" a="1"/>
  <c r="T203" i="2" s="1"/>
  <c r="T204" i="2" a="1"/>
  <c r="T204" i="2" s="1"/>
  <c r="T205" i="2" a="1"/>
  <c r="T205" i="2" s="1"/>
  <c r="T206" i="2" a="1"/>
  <c r="T206" i="2" s="1"/>
  <c r="T207" i="2" a="1"/>
  <c r="T207" i="2" s="1"/>
  <c r="T208" i="2" a="1"/>
  <c r="T208" i="2" s="1"/>
  <c r="T209" i="2" a="1"/>
  <c r="T209" i="2" s="1"/>
  <c r="T210" i="2" a="1"/>
  <c r="T210" i="2" s="1"/>
  <c r="T211" i="2" a="1"/>
  <c r="T211" i="2" s="1"/>
  <c r="T212" i="2" a="1"/>
  <c r="T212" i="2" s="1"/>
  <c r="T213" i="2" a="1"/>
  <c r="T213" i="2" s="1"/>
  <c r="T214" i="2" a="1"/>
  <c r="T214" i="2" s="1"/>
  <c r="T215" i="2" a="1"/>
  <c r="T215" i="2" s="1"/>
  <c r="T216" i="2" a="1"/>
  <c r="T216" i="2" s="1"/>
  <c r="T217" i="2" a="1"/>
  <c r="T217" i="2" s="1"/>
  <c r="T218" i="2" a="1"/>
  <c r="T218" i="2" s="1"/>
  <c r="T219" i="2" a="1"/>
  <c r="T219" i="2" s="1"/>
  <c r="T220" i="2" a="1"/>
  <c r="T220" i="2" s="1"/>
  <c r="T221" i="2" a="1"/>
  <c r="T221" i="2" s="1"/>
  <c r="T222" i="2" a="1"/>
  <c r="T222" i="2" s="1"/>
  <c r="T223" i="2" a="1"/>
  <c r="T223" i="2" s="1"/>
  <c r="T224" i="2" a="1"/>
  <c r="T224" i="2" s="1"/>
  <c r="T225" i="2" a="1"/>
  <c r="T225" i="2" s="1"/>
  <c r="T226" i="2" a="1"/>
  <c r="T226" i="2" s="1"/>
  <c r="T227" i="2" a="1"/>
  <c r="T227" i="2" s="1"/>
  <c r="T228" i="2" a="1"/>
  <c r="T228" i="2" s="1"/>
  <c r="T229" i="2" a="1"/>
  <c r="T229" i="2" s="1"/>
  <c r="T230" i="2" a="1"/>
  <c r="T230" i="2" s="1"/>
  <c r="T231" i="2" a="1"/>
  <c r="T231" i="2" s="1"/>
  <c r="T232" i="2" a="1"/>
  <c r="T232" i="2" s="1"/>
  <c r="T233" i="2" a="1"/>
  <c r="T233" i="2" s="1"/>
  <c r="T234" i="2" a="1"/>
  <c r="T234" i="2" s="1"/>
  <c r="T235" i="2" a="1"/>
  <c r="T235" i="2" s="1"/>
  <c r="T236" i="2" a="1"/>
  <c r="T236" i="2" s="1"/>
  <c r="T237" i="2" a="1"/>
  <c r="T237" i="2" s="1"/>
  <c r="T238" i="2" a="1"/>
  <c r="T238" i="2" s="1"/>
  <c r="T239" i="2" a="1"/>
  <c r="T239" i="2" s="1"/>
  <c r="T240" i="2" a="1"/>
  <c r="T240" i="2" s="1"/>
  <c r="T241" i="2" a="1"/>
  <c r="T241" i="2" s="1"/>
  <c r="T242" i="2" a="1"/>
  <c r="T242" i="2" s="1"/>
  <c r="T243" i="2" a="1"/>
  <c r="T243" i="2" s="1"/>
  <c r="T244" i="2" a="1"/>
  <c r="T244" i="2" s="1"/>
  <c r="T245" i="2" a="1"/>
  <c r="T245" i="2" s="1"/>
  <c r="T246" i="2" a="1"/>
  <c r="T246" i="2" s="1"/>
  <c r="T247" i="2" a="1"/>
  <c r="T247" i="2" s="1"/>
  <c r="T248" i="2" a="1"/>
  <c r="T248" i="2" s="1"/>
  <c r="T249" i="2" a="1"/>
  <c r="T249" i="2" s="1"/>
  <c r="T250" i="2" a="1"/>
  <c r="T250" i="2" s="1"/>
  <c r="T251" i="2" a="1"/>
  <c r="T251" i="2" s="1"/>
  <c r="T252" i="2" a="1"/>
  <c r="T252" i="2" s="1"/>
  <c r="T253" i="2" a="1"/>
  <c r="T253" i="2" s="1"/>
  <c r="T254" i="2" a="1"/>
  <c r="T254" i="2" s="1"/>
  <c r="T255" i="2" a="1"/>
  <c r="T255" i="2" s="1"/>
  <c r="T256" i="2" a="1"/>
  <c r="T256" i="2" s="1"/>
  <c r="T257" i="2" a="1"/>
  <c r="T257" i="2" s="1"/>
  <c r="T258" i="2" a="1"/>
  <c r="T258" i="2" s="1"/>
  <c r="T259" i="2" a="1"/>
  <c r="T259" i="2" s="1"/>
  <c r="T260" i="2" a="1"/>
  <c r="T260" i="2" s="1"/>
  <c r="T261" i="2" a="1"/>
  <c r="T261" i="2" s="1"/>
  <c r="T262" i="2" a="1"/>
  <c r="T262" i="2" s="1"/>
  <c r="T263" i="2" a="1"/>
  <c r="T263" i="2" s="1"/>
  <c r="T264" i="2" a="1"/>
  <c r="T264" i="2" s="1"/>
  <c r="T265" i="2" a="1"/>
  <c r="T265" i="2" s="1"/>
  <c r="T266" i="2" a="1"/>
  <c r="T266" i="2" s="1"/>
  <c r="T267" i="2" a="1"/>
  <c r="T267" i="2" s="1"/>
  <c r="T268" i="2" a="1"/>
  <c r="T268" i="2" s="1"/>
  <c r="T269" i="2" a="1"/>
  <c r="T269" i="2" s="1"/>
  <c r="T270" i="2" a="1"/>
  <c r="T270" i="2" s="1"/>
  <c r="T271" i="2" a="1"/>
  <c r="T271" i="2" s="1"/>
  <c r="T272" i="2" a="1"/>
  <c r="T272" i="2" s="1"/>
  <c r="T273" i="2" a="1"/>
  <c r="T273" i="2" s="1"/>
  <c r="T274" i="2" a="1"/>
  <c r="T274" i="2" s="1"/>
  <c r="T275" i="2" a="1"/>
  <c r="T275" i="2" s="1"/>
  <c r="T276" i="2" a="1"/>
  <c r="T276" i="2" s="1"/>
  <c r="T277" i="2" a="1"/>
  <c r="T277" i="2" s="1"/>
  <c r="T278" i="2" a="1"/>
  <c r="T278" i="2" s="1"/>
  <c r="T279" i="2" a="1"/>
  <c r="T279" i="2" s="1"/>
  <c r="T280" i="2" a="1"/>
  <c r="T280" i="2" s="1"/>
  <c r="T281" i="2" a="1"/>
  <c r="T281" i="2" s="1"/>
  <c r="T282" i="2" a="1"/>
  <c r="T282" i="2" s="1"/>
  <c r="T283" i="2" a="1"/>
  <c r="T283" i="2" s="1"/>
  <c r="T284" i="2" a="1"/>
  <c r="T284" i="2" s="1"/>
  <c r="T285" i="2" a="1"/>
  <c r="T285" i="2" s="1"/>
  <c r="T286" i="2" a="1"/>
  <c r="T286" i="2" s="1"/>
  <c r="T287" i="2" a="1"/>
  <c r="T287" i="2" s="1"/>
  <c r="T288" i="2" a="1"/>
  <c r="T288" i="2" s="1"/>
  <c r="T289" i="2" a="1"/>
  <c r="T289" i="2" s="1"/>
  <c r="T290" i="2" a="1"/>
  <c r="T290" i="2" s="1"/>
  <c r="T291" i="2" a="1"/>
  <c r="T291" i="2" s="1"/>
  <c r="T292" i="2" a="1"/>
  <c r="T292" i="2" s="1"/>
  <c r="T293" i="2" a="1"/>
  <c r="T293" i="2" s="1"/>
  <c r="T294" i="2" a="1"/>
  <c r="T294" i="2" s="1"/>
  <c r="T295" i="2" a="1"/>
  <c r="T295" i="2" s="1"/>
  <c r="T296" i="2" a="1"/>
  <c r="T296" i="2" s="1"/>
  <c r="T297" i="2" a="1"/>
  <c r="T297" i="2" s="1"/>
  <c r="T298" i="2" a="1"/>
  <c r="T298" i="2" s="1"/>
  <c r="T299" i="2" a="1"/>
  <c r="T299" i="2" s="1"/>
  <c r="T300" i="2" a="1"/>
  <c r="T300" i="2" s="1"/>
  <c r="T301" i="2" a="1"/>
  <c r="T301" i="2" s="1"/>
  <c r="T302" i="2" a="1"/>
  <c r="T302" i="2" s="1"/>
  <c r="T303" i="2" a="1"/>
  <c r="T303" i="2" s="1"/>
  <c r="T304" i="2" a="1"/>
  <c r="T304" i="2" s="1"/>
  <c r="T305" i="2" a="1"/>
  <c r="T305" i="2" s="1"/>
  <c r="T306" i="2" a="1"/>
  <c r="T306" i="2" s="1"/>
  <c r="T307" i="2" a="1"/>
  <c r="T307" i="2" s="1"/>
  <c r="T308" i="2" a="1"/>
  <c r="T308" i="2" s="1"/>
  <c r="T309" i="2" a="1"/>
  <c r="T309" i="2" s="1"/>
  <c r="T310" i="2" a="1"/>
  <c r="T310" i="2" s="1"/>
  <c r="T311" i="2" a="1"/>
  <c r="T311" i="2" s="1"/>
  <c r="T312" i="2" a="1"/>
  <c r="T312" i="2" s="1"/>
  <c r="T313" i="2" a="1"/>
  <c r="T313" i="2" s="1"/>
  <c r="T314" i="2" a="1"/>
  <c r="T314" i="2" s="1"/>
  <c r="T315" i="2" a="1"/>
  <c r="T315" i="2" s="1"/>
  <c r="T316" i="2" a="1"/>
  <c r="T316" i="2" s="1"/>
  <c r="T317" i="2" a="1"/>
  <c r="T317" i="2" s="1"/>
  <c r="T318" i="2" a="1"/>
  <c r="T318" i="2" s="1"/>
  <c r="T319" i="2" a="1"/>
  <c r="T319" i="2" s="1"/>
  <c r="T320" i="2" a="1"/>
  <c r="T320" i="2" s="1"/>
  <c r="T321" i="2" a="1"/>
  <c r="T321" i="2" s="1"/>
  <c r="T322" i="2" a="1"/>
  <c r="T322" i="2" s="1"/>
  <c r="T323" i="2" a="1"/>
  <c r="T323" i="2" s="1"/>
  <c r="T324" i="2" a="1"/>
  <c r="T324" i="2" s="1"/>
  <c r="T325" i="2" a="1"/>
  <c r="T325" i="2" s="1"/>
  <c r="T326" i="2" a="1"/>
  <c r="T326" i="2" s="1"/>
  <c r="T327" i="2" a="1"/>
  <c r="T327" i="2" s="1"/>
  <c r="T328" i="2" a="1"/>
  <c r="T328" i="2" s="1"/>
  <c r="T329" i="2" a="1"/>
  <c r="T329" i="2" s="1"/>
  <c r="T330" i="2" a="1"/>
  <c r="T330" i="2" s="1"/>
  <c r="T331" i="2" a="1"/>
  <c r="T331" i="2" s="1"/>
  <c r="T332" i="2" a="1"/>
  <c r="T332" i="2" s="1"/>
  <c r="T333" i="2" a="1"/>
  <c r="T333" i="2" s="1"/>
  <c r="T334" i="2" a="1"/>
  <c r="T334" i="2" s="1"/>
  <c r="T335" i="2" a="1"/>
  <c r="T335" i="2" s="1"/>
  <c r="T336" i="2" a="1"/>
  <c r="T336" i="2" s="1"/>
  <c r="T337" i="2" a="1"/>
  <c r="T337" i="2" s="1"/>
  <c r="T338" i="2" a="1"/>
  <c r="T338" i="2" s="1"/>
  <c r="T339" i="2" a="1"/>
  <c r="T339" i="2" s="1"/>
  <c r="T340" i="2" a="1"/>
  <c r="T340" i="2" s="1"/>
  <c r="T341" i="2" a="1"/>
  <c r="T341" i="2" s="1"/>
  <c r="T342" i="2" a="1"/>
  <c r="T342" i="2" s="1"/>
  <c r="T343" i="2" a="1"/>
  <c r="T343" i="2" s="1"/>
  <c r="T344" i="2" a="1"/>
  <c r="T344" i="2" s="1"/>
  <c r="T345" i="2" a="1"/>
  <c r="T345" i="2" s="1"/>
  <c r="T346" i="2" a="1"/>
  <c r="T346" i="2" s="1"/>
  <c r="T347" i="2" a="1"/>
  <c r="T347" i="2" s="1"/>
  <c r="T348" i="2" a="1"/>
  <c r="T348" i="2" s="1"/>
  <c r="T349" i="2" a="1"/>
  <c r="T349" i="2" s="1"/>
  <c r="T350" i="2" a="1"/>
  <c r="T350" i="2" s="1"/>
  <c r="T351" i="2" a="1"/>
  <c r="T351" i="2" s="1"/>
  <c r="T352" i="2" a="1"/>
  <c r="T352" i="2" s="1"/>
  <c r="T353" i="2" a="1"/>
  <c r="T353" i="2" s="1"/>
  <c r="T354" i="2" a="1"/>
  <c r="T354" i="2" s="1"/>
  <c r="T355" i="2" a="1"/>
  <c r="T355" i="2" s="1"/>
  <c r="T356" i="2" a="1"/>
  <c r="T356" i="2" s="1"/>
  <c r="T357" i="2" a="1"/>
  <c r="T357" i="2" s="1"/>
  <c r="T358" i="2" a="1"/>
  <c r="T358" i="2" s="1"/>
  <c r="T359" i="2" a="1"/>
  <c r="T359" i="2" s="1"/>
  <c r="T360" i="2" a="1"/>
  <c r="T360" i="2" s="1"/>
  <c r="T361" i="2" a="1"/>
  <c r="T361" i="2" s="1"/>
  <c r="T362" i="2" a="1"/>
  <c r="T362" i="2" s="1"/>
  <c r="T363" i="2" a="1"/>
  <c r="T363" i="2" s="1"/>
  <c r="T364" i="2" a="1"/>
  <c r="T364" i="2" s="1"/>
  <c r="T365" i="2" a="1"/>
  <c r="T365" i="2" s="1"/>
  <c r="T366" i="2" a="1"/>
  <c r="T366" i="2" s="1"/>
  <c r="T367" i="2" a="1"/>
  <c r="T367" i="2" s="1"/>
  <c r="T368" i="2" a="1"/>
  <c r="T368" i="2" s="1"/>
  <c r="T369" i="2" a="1"/>
  <c r="T369" i="2" s="1"/>
  <c r="T370" i="2" a="1"/>
  <c r="T370" i="2" s="1"/>
  <c r="T371" i="2" a="1"/>
  <c r="T371" i="2" s="1"/>
  <c r="T372" i="2" a="1"/>
  <c r="T372" i="2" s="1"/>
  <c r="T373" i="2" a="1"/>
  <c r="T373" i="2" s="1"/>
  <c r="T374" i="2" a="1"/>
  <c r="T374" i="2" s="1"/>
  <c r="T375" i="2" a="1"/>
  <c r="T375" i="2" s="1"/>
  <c r="T376" i="2" a="1"/>
  <c r="T376" i="2" s="1"/>
  <c r="T377" i="2" a="1"/>
  <c r="T377" i="2" s="1"/>
  <c r="T378" i="2" a="1"/>
  <c r="T378" i="2" s="1"/>
  <c r="T379" i="2" a="1"/>
  <c r="T379" i="2" s="1"/>
  <c r="T380" i="2" a="1"/>
  <c r="T380" i="2" s="1"/>
  <c r="T381" i="2" a="1"/>
  <c r="T381" i="2" s="1"/>
  <c r="T382" i="2" a="1"/>
  <c r="T382" i="2" s="1"/>
  <c r="T383" i="2" a="1"/>
  <c r="T383" i="2" s="1"/>
  <c r="T384" i="2" a="1"/>
  <c r="T384" i="2" s="1"/>
  <c r="T385" i="2" a="1"/>
  <c r="T385" i="2" s="1"/>
  <c r="T386" i="2" a="1"/>
  <c r="T386" i="2" s="1"/>
  <c r="T387" i="2" a="1"/>
  <c r="T387" i="2" s="1"/>
  <c r="T388" i="2" a="1"/>
  <c r="T388" i="2" s="1"/>
  <c r="T389" i="2" a="1"/>
  <c r="T389" i="2" s="1"/>
  <c r="T390" i="2" a="1"/>
  <c r="T390" i="2" s="1"/>
  <c r="T391" i="2" a="1"/>
  <c r="T391" i="2" s="1"/>
  <c r="T392" i="2" a="1"/>
  <c r="T392" i="2" s="1"/>
  <c r="T393" i="2" a="1"/>
  <c r="T393" i="2" s="1"/>
  <c r="T394" i="2" a="1"/>
  <c r="T394" i="2" s="1"/>
  <c r="T395" i="2" a="1"/>
  <c r="T395" i="2" s="1"/>
  <c r="T396" i="2" a="1"/>
  <c r="T396" i="2" s="1"/>
  <c r="T397" i="2" a="1"/>
  <c r="T397" i="2" s="1"/>
  <c r="T398" i="2" a="1"/>
  <c r="T398" i="2" s="1"/>
  <c r="T399" i="2" a="1"/>
  <c r="T399" i="2" s="1"/>
  <c r="T400" i="2" a="1"/>
  <c r="T400" i="2" s="1"/>
  <c r="T401" i="2" a="1"/>
  <c r="T401" i="2" s="1"/>
  <c r="T402" i="2" a="1"/>
  <c r="T402" i="2" s="1"/>
  <c r="T403" i="2" a="1"/>
  <c r="T403" i="2" s="1"/>
  <c r="T404" i="2" a="1"/>
  <c r="T404" i="2" s="1"/>
  <c r="T405" i="2" a="1"/>
  <c r="T405" i="2" s="1"/>
  <c r="T406" i="2" a="1"/>
  <c r="T406" i="2" s="1"/>
  <c r="T407" i="2" a="1"/>
  <c r="T407" i="2" s="1"/>
  <c r="T408" i="2" a="1"/>
  <c r="T408" i="2" s="1"/>
  <c r="T409" i="2" a="1"/>
  <c r="T409" i="2" s="1"/>
  <c r="T410" i="2" a="1"/>
  <c r="T410" i="2" s="1"/>
  <c r="T411" i="2" a="1"/>
  <c r="T411" i="2" s="1"/>
  <c r="T412" i="2" a="1"/>
  <c r="T412" i="2" s="1"/>
  <c r="T413" i="2" a="1"/>
  <c r="T413" i="2" s="1"/>
  <c r="T414" i="2" a="1"/>
  <c r="T414" i="2" s="1"/>
  <c r="T415" i="2" a="1"/>
  <c r="T415" i="2" s="1"/>
  <c r="T416" i="2" a="1"/>
  <c r="T416" i="2" s="1"/>
  <c r="T417" i="2" a="1"/>
  <c r="T417" i="2" s="1"/>
  <c r="T418" i="2" a="1"/>
  <c r="T418" i="2" s="1"/>
  <c r="T419" i="2" a="1"/>
  <c r="T419" i="2" s="1"/>
  <c r="T420" i="2" a="1"/>
  <c r="T420" i="2" s="1"/>
  <c r="T421" i="2" a="1"/>
  <c r="T421" i="2" s="1"/>
  <c r="T422" i="2" a="1"/>
  <c r="T422" i="2" s="1"/>
  <c r="T423" i="2" a="1"/>
  <c r="T423" i="2" s="1"/>
  <c r="T424" i="2" a="1"/>
  <c r="T424" i="2" s="1"/>
  <c r="T425" i="2" a="1"/>
  <c r="T425" i="2" s="1"/>
  <c r="T426" i="2" a="1"/>
  <c r="T426" i="2" s="1"/>
  <c r="T427" i="2" a="1"/>
  <c r="T427" i="2" s="1"/>
  <c r="T428" i="2" a="1"/>
  <c r="T428" i="2" s="1"/>
  <c r="T429" i="2" a="1"/>
  <c r="T429" i="2" s="1"/>
  <c r="T430" i="2" a="1"/>
  <c r="T430" i="2" s="1"/>
  <c r="T431" i="2" a="1"/>
  <c r="T431" i="2" s="1"/>
  <c r="T432" i="2" a="1"/>
  <c r="T432" i="2" s="1"/>
  <c r="T433" i="2" a="1"/>
  <c r="T433" i="2" s="1"/>
  <c r="T434" i="2" a="1"/>
  <c r="T434" i="2" s="1"/>
  <c r="T435" i="2" a="1"/>
  <c r="T435" i="2" s="1"/>
  <c r="T436" i="2" a="1"/>
  <c r="T436" i="2" s="1"/>
  <c r="T437" i="2" a="1"/>
  <c r="T437" i="2" s="1"/>
  <c r="T438" i="2" a="1"/>
  <c r="T438" i="2" s="1"/>
  <c r="T439" i="2" a="1"/>
  <c r="T439" i="2" s="1"/>
  <c r="T440" i="2" a="1"/>
  <c r="T440" i="2" s="1"/>
  <c r="T441" i="2" a="1"/>
  <c r="T441" i="2" s="1"/>
  <c r="T442" i="2" a="1"/>
  <c r="T442" i="2" s="1"/>
  <c r="T443" i="2" a="1"/>
  <c r="T443" i="2" s="1"/>
  <c r="T444" i="2" a="1"/>
  <c r="T444" i="2" s="1"/>
  <c r="T445" i="2" a="1"/>
  <c r="T445" i="2" s="1"/>
  <c r="T446" i="2" a="1"/>
  <c r="T446" i="2" s="1"/>
  <c r="T447" i="2" a="1"/>
  <c r="T447" i="2" s="1"/>
  <c r="T448" i="2" a="1"/>
  <c r="T448" i="2" s="1"/>
  <c r="T449" i="2" a="1"/>
  <c r="T449" i="2" s="1"/>
  <c r="T450" i="2" a="1"/>
  <c r="T450" i="2" s="1"/>
  <c r="T451" i="2" a="1"/>
  <c r="T451" i="2" s="1"/>
  <c r="T452" i="2" a="1"/>
  <c r="T452" i="2" s="1"/>
  <c r="T453" i="2" a="1"/>
  <c r="T453" i="2" s="1"/>
  <c r="T454" i="2" a="1"/>
  <c r="T454" i="2" s="1"/>
  <c r="T455" i="2" a="1"/>
  <c r="T455" i="2" s="1"/>
  <c r="T456" i="2" a="1"/>
  <c r="T456" i="2" s="1"/>
  <c r="T457" i="2" a="1"/>
  <c r="T457" i="2" s="1"/>
  <c r="T458" i="2" a="1"/>
  <c r="T458" i="2" s="1"/>
  <c r="T459" i="2" a="1"/>
  <c r="T459" i="2" s="1"/>
  <c r="T460" i="2" a="1"/>
  <c r="T460" i="2" s="1"/>
  <c r="T461" i="2" a="1"/>
  <c r="T461" i="2" s="1"/>
  <c r="T462" i="2" a="1"/>
  <c r="T462" i="2" s="1"/>
  <c r="T463" i="2" a="1"/>
  <c r="T463" i="2" s="1"/>
  <c r="T464" i="2" a="1"/>
  <c r="T464" i="2" s="1"/>
  <c r="T465" i="2" a="1"/>
  <c r="T465" i="2" s="1"/>
  <c r="T466" i="2" a="1"/>
  <c r="T466" i="2" s="1"/>
  <c r="T467" i="2" a="1"/>
  <c r="T467" i="2" s="1"/>
  <c r="T468" i="2" a="1"/>
  <c r="T468" i="2" s="1"/>
  <c r="T469" i="2" a="1"/>
  <c r="T469" i="2" s="1"/>
  <c r="T470" i="2" a="1"/>
  <c r="T470" i="2" s="1"/>
  <c r="T471" i="2" a="1"/>
  <c r="T471" i="2" s="1"/>
  <c r="T472" i="2" a="1"/>
  <c r="T472" i="2" s="1"/>
  <c r="T473" i="2" a="1"/>
  <c r="T473" i="2" s="1"/>
  <c r="T474" i="2" a="1"/>
  <c r="T474" i="2" s="1"/>
  <c r="T475" i="2" a="1"/>
  <c r="T475" i="2" s="1"/>
  <c r="T476" i="2" a="1"/>
  <c r="T476" i="2" s="1"/>
  <c r="T477" i="2" a="1"/>
  <c r="T477" i="2" s="1"/>
  <c r="T478" i="2" a="1"/>
  <c r="T478" i="2" s="1"/>
  <c r="T479" i="2" a="1"/>
  <c r="T479" i="2" s="1"/>
  <c r="T480" i="2" a="1"/>
  <c r="T480" i="2" s="1"/>
  <c r="T481" i="2" a="1"/>
  <c r="T481" i="2" s="1"/>
  <c r="T482" i="2" a="1"/>
  <c r="T482" i="2" s="1"/>
  <c r="T483" i="2" a="1"/>
  <c r="T483" i="2" s="1"/>
  <c r="T484" i="2" a="1"/>
  <c r="T484" i="2" s="1"/>
  <c r="T485" i="2" a="1"/>
  <c r="T485" i="2" s="1"/>
  <c r="T486" i="2" a="1"/>
  <c r="T486" i="2" s="1"/>
  <c r="T487" i="2" a="1"/>
  <c r="T487" i="2" s="1"/>
  <c r="T488" i="2" a="1"/>
  <c r="T488" i="2" s="1"/>
  <c r="T489" i="2" a="1"/>
  <c r="T489" i="2" s="1"/>
  <c r="T490" i="2" a="1"/>
  <c r="T490" i="2" s="1"/>
  <c r="T491" i="2" a="1"/>
  <c r="T491" i="2" s="1"/>
  <c r="T492" i="2" a="1"/>
  <c r="T492" i="2" s="1"/>
  <c r="T493" i="2" a="1"/>
  <c r="T493" i="2" s="1"/>
  <c r="T494" i="2" a="1"/>
  <c r="T494" i="2" s="1"/>
  <c r="T495" i="2" a="1"/>
  <c r="T495" i="2" s="1"/>
  <c r="T496" i="2" a="1"/>
  <c r="T496" i="2" s="1"/>
  <c r="T497" i="2" a="1"/>
  <c r="T497" i="2" s="1"/>
  <c r="T498" i="2" a="1"/>
  <c r="T498" i="2" s="1"/>
  <c r="T499" i="2" a="1"/>
  <c r="T499" i="2" s="1"/>
  <c r="T500" i="2" a="1"/>
  <c r="T500" i="2" s="1"/>
  <c r="T501" i="2" a="1"/>
  <c r="T501" i="2" s="1"/>
  <c r="T502" i="2" a="1"/>
  <c r="T502" i="2" s="1"/>
  <c r="T503" i="2" a="1"/>
  <c r="T503" i="2" s="1"/>
  <c r="T504" i="2" a="1"/>
  <c r="T504" i="2" s="1"/>
  <c r="T505" i="2" a="1"/>
  <c r="T505" i="2" s="1"/>
  <c r="T506" i="2" a="1"/>
  <c r="T506" i="2" s="1"/>
  <c r="T507" i="2" a="1"/>
  <c r="T507" i="2" s="1"/>
  <c r="T508" i="2" a="1"/>
  <c r="T508" i="2" s="1"/>
  <c r="T509" i="2" a="1"/>
  <c r="T509" i="2" s="1"/>
  <c r="T510" i="2" a="1"/>
  <c r="T510" i="2" s="1"/>
  <c r="T511" i="2" a="1"/>
  <c r="T511" i="2" s="1"/>
  <c r="T512" i="2" a="1"/>
  <c r="T512" i="2" s="1"/>
  <c r="T513" i="2" a="1"/>
  <c r="T513" i="2" s="1"/>
  <c r="T514" i="2" a="1"/>
  <c r="T514" i="2" s="1"/>
  <c r="T515" i="2" a="1"/>
  <c r="T515" i="2" s="1"/>
  <c r="T516" i="2" a="1"/>
  <c r="T516" i="2" s="1"/>
  <c r="T517" i="2" a="1"/>
  <c r="T517" i="2" s="1"/>
  <c r="T518" i="2" a="1"/>
  <c r="T518" i="2" s="1"/>
  <c r="T519" i="2" a="1"/>
  <c r="T519" i="2" s="1"/>
  <c r="T520" i="2" a="1"/>
  <c r="T520" i="2" s="1"/>
  <c r="T521" i="2" a="1"/>
  <c r="T521" i="2" s="1"/>
  <c r="T522" i="2" a="1"/>
  <c r="T522" i="2" s="1"/>
  <c r="T523" i="2" a="1"/>
  <c r="T523" i="2" s="1"/>
  <c r="T524" i="2" a="1"/>
  <c r="T524" i="2" s="1"/>
  <c r="T525" i="2" a="1"/>
  <c r="T525" i="2" s="1"/>
  <c r="T526" i="2" a="1"/>
  <c r="T526" i="2" s="1"/>
  <c r="T527" i="2" a="1"/>
  <c r="T527" i="2" s="1"/>
  <c r="T528" i="2" a="1"/>
  <c r="T528" i="2" s="1"/>
  <c r="T529" i="2" a="1"/>
  <c r="T529" i="2" s="1"/>
  <c r="S3" i="2" a="1"/>
  <c r="S3" i="2" s="1"/>
  <c r="S4" i="2" a="1"/>
  <c r="S4" i="2" s="1"/>
  <c r="S5" i="2" a="1"/>
  <c r="S5" i="2" s="1"/>
  <c r="S6" i="2" a="1"/>
  <c r="S6" i="2" s="1"/>
  <c r="S7" i="2" a="1"/>
  <c r="S7" i="2" s="1"/>
  <c r="S8" i="2" a="1"/>
  <c r="S8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24" i="2" a="1"/>
  <c r="S24" i="2" s="1"/>
  <c r="S25" i="2" a="1"/>
  <c r="S25" i="2" s="1"/>
  <c r="S26" i="2" a="1"/>
  <c r="S26" i="2" s="1"/>
  <c r="S27" i="2" a="1"/>
  <c r="S27" i="2" s="1"/>
  <c r="S28" i="2" a="1"/>
  <c r="S28" i="2" s="1"/>
  <c r="S29" i="2" a="1"/>
  <c r="S29" i="2" s="1"/>
  <c r="S30" i="2" a="1"/>
  <c r="S30" i="2" s="1"/>
  <c r="S31" i="2" a="1"/>
  <c r="S31" i="2" s="1"/>
  <c r="S32" i="2" a="1"/>
  <c r="S32" i="2" s="1"/>
  <c r="S33" i="2" a="1"/>
  <c r="S33" i="2" s="1"/>
  <c r="S34" i="2" a="1"/>
  <c r="S34" i="2" s="1"/>
  <c r="S35" i="2" a="1"/>
  <c r="S35" i="2" s="1"/>
  <c r="S36" i="2" a="1"/>
  <c r="S36" i="2" s="1"/>
  <c r="S37" i="2" a="1"/>
  <c r="S37" i="2" s="1"/>
  <c r="S38" i="2" a="1"/>
  <c r="S38" i="2" s="1"/>
  <c r="S39" i="2" a="1"/>
  <c r="S39" i="2" s="1"/>
  <c r="S40" i="2" a="1"/>
  <c r="S40" i="2" s="1"/>
  <c r="S41" i="2" a="1"/>
  <c r="S41" i="2" s="1"/>
  <c r="S42" i="2" a="1"/>
  <c r="S42" i="2" s="1"/>
  <c r="S43" i="2" a="1"/>
  <c r="S43" i="2" s="1"/>
  <c r="S44" i="2" a="1"/>
  <c r="S44" i="2" s="1"/>
  <c r="S45" i="2" a="1"/>
  <c r="S45" i="2" s="1"/>
  <c r="S46" i="2" a="1"/>
  <c r="S46" i="2" s="1"/>
  <c r="S47" i="2" a="1"/>
  <c r="S47" i="2" s="1"/>
  <c r="S48" i="2" a="1"/>
  <c r="S48" i="2" s="1"/>
  <c r="S49" i="2" a="1"/>
  <c r="S49" i="2" s="1"/>
  <c r="S50" i="2" a="1"/>
  <c r="S50" i="2" s="1"/>
  <c r="S51" i="2" a="1"/>
  <c r="S51" i="2" s="1"/>
  <c r="S52" i="2" a="1"/>
  <c r="S52" i="2" s="1"/>
  <c r="S53" i="2" a="1"/>
  <c r="S53" i="2" s="1"/>
  <c r="S54" i="2" a="1"/>
  <c r="S54" i="2" s="1"/>
  <c r="S55" i="2" a="1"/>
  <c r="S55" i="2" s="1"/>
  <c r="S56" i="2" a="1"/>
  <c r="S56" i="2" s="1"/>
  <c r="S57" i="2" a="1"/>
  <c r="S57" i="2" s="1"/>
  <c r="S58" i="2" a="1"/>
  <c r="S58" i="2" s="1"/>
  <c r="S59" i="2" a="1"/>
  <c r="S59" i="2" s="1"/>
  <c r="S60" i="2" a="1"/>
  <c r="S60" i="2" s="1"/>
  <c r="S61" i="2" a="1"/>
  <c r="S61" i="2" s="1"/>
  <c r="S62" i="2" a="1"/>
  <c r="S62" i="2" s="1"/>
  <c r="S63" i="2" a="1"/>
  <c r="S63" i="2" s="1"/>
  <c r="S64" i="2" a="1"/>
  <c r="S64" i="2" s="1"/>
  <c r="S65" i="2" a="1"/>
  <c r="S65" i="2" s="1"/>
  <c r="S66" i="2" a="1"/>
  <c r="S66" i="2" s="1"/>
  <c r="S67" i="2" a="1"/>
  <c r="S67" i="2" s="1"/>
  <c r="S68" i="2" a="1"/>
  <c r="S68" i="2" s="1"/>
  <c r="S69" i="2" a="1"/>
  <c r="S69" i="2" s="1"/>
  <c r="S70" i="2" a="1"/>
  <c r="S70" i="2" s="1"/>
  <c r="S71" i="2" a="1"/>
  <c r="S71" i="2" s="1"/>
  <c r="S72" i="2" a="1"/>
  <c r="S72" i="2" s="1"/>
  <c r="S73" i="2" a="1"/>
  <c r="S73" i="2" s="1"/>
  <c r="S74" i="2" a="1"/>
  <c r="S74" i="2" s="1"/>
  <c r="S75" i="2" a="1"/>
  <c r="S75" i="2" s="1"/>
  <c r="S76" i="2" a="1"/>
  <c r="S76" i="2" s="1"/>
  <c r="S77" i="2" a="1"/>
  <c r="S77" i="2" s="1"/>
  <c r="S78" i="2" a="1"/>
  <c r="S78" i="2" s="1"/>
  <c r="S79" i="2" a="1"/>
  <c r="S79" i="2" s="1"/>
  <c r="S80" i="2" a="1"/>
  <c r="S80" i="2" s="1"/>
  <c r="S81" i="2" a="1"/>
  <c r="S81" i="2" s="1"/>
  <c r="S82" i="2" a="1"/>
  <c r="S82" i="2" s="1"/>
  <c r="S83" i="2" a="1"/>
  <c r="S83" i="2" s="1"/>
  <c r="S84" i="2" a="1"/>
  <c r="S84" i="2" s="1"/>
  <c r="S85" i="2" a="1"/>
  <c r="S85" i="2" s="1"/>
  <c r="S86" i="2" a="1"/>
  <c r="S86" i="2" s="1"/>
  <c r="S87" i="2" a="1"/>
  <c r="S87" i="2" s="1"/>
  <c r="S88" i="2" a="1"/>
  <c r="S88" i="2" s="1"/>
  <c r="S89" i="2" a="1"/>
  <c r="S89" i="2" s="1"/>
  <c r="S90" i="2" a="1"/>
  <c r="S90" i="2" s="1"/>
  <c r="S91" i="2" a="1"/>
  <c r="S91" i="2" s="1"/>
  <c r="S92" i="2" a="1"/>
  <c r="S92" i="2" s="1"/>
  <c r="S93" i="2" a="1"/>
  <c r="S93" i="2" s="1"/>
  <c r="S94" i="2" a="1"/>
  <c r="S94" i="2" s="1"/>
  <c r="S95" i="2" a="1"/>
  <c r="S95" i="2" s="1"/>
  <c r="S96" i="2" a="1"/>
  <c r="S96" i="2" s="1"/>
  <c r="S97" i="2" a="1"/>
  <c r="S97" i="2" s="1"/>
  <c r="S98" i="2" a="1"/>
  <c r="S98" i="2" s="1"/>
  <c r="S99" i="2" a="1"/>
  <c r="S99" i="2" s="1"/>
  <c r="S100" i="2" a="1"/>
  <c r="S100" i="2" s="1"/>
  <c r="S101" i="2" a="1"/>
  <c r="S101" i="2" s="1"/>
  <c r="S102" i="2" a="1"/>
  <c r="S102" i="2" s="1"/>
  <c r="S103" i="2" a="1"/>
  <c r="S103" i="2" s="1"/>
  <c r="S104" i="2" a="1"/>
  <c r="S104" i="2" s="1"/>
  <c r="S105" i="2" a="1"/>
  <c r="S105" i="2" s="1"/>
  <c r="S106" i="2" a="1"/>
  <c r="S106" i="2" s="1"/>
  <c r="S107" i="2" a="1"/>
  <c r="S107" i="2" s="1"/>
  <c r="S108" i="2" a="1"/>
  <c r="S108" i="2" s="1"/>
  <c r="S109" i="2" a="1"/>
  <c r="S109" i="2" s="1"/>
  <c r="S110" i="2" a="1"/>
  <c r="S110" i="2" s="1"/>
  <c r="S111" i="2" a="1"/>
  <c r="S111" i="2" s="1"/>
  <c r="S112" i="2" a="1"/>
  <c r="S112" i="2" s="1"/>
  <c r="S113" i="2" a="1"/>
  <c r="S113" i="2" s="1"/>
  <c r="S114" i="2" a="1"/>
  <c r="S114" i="2" s="1"/>
  <c r="S115" i="2" a="1"/>
  <c r="S115" i="2" s="1"/>
  <c r="S116" i="2" a="1"/>
  <c r="S116" i="2" s="1"/>
  <c r="S117" i="2" a="1"/>
  <c r="S117" i="2" s="1"/>
  <c r="S118" i="2" a="1"/>
  <c r="S118" i="2" s="1"/>
  <c r="S119" i="2" a="1"/>
  <c r="S119" i="2" s="1"/>
  <c r="S120" i="2" a="1"/>
  <c r="S120" i="2" s="1"/>
  <c r="S121" i="2" a="1"/>
  <c r="S121" i="2" s="1"/>
  <c r="S122" i="2" a="1"/>
  <c r="S122" i="2" s="1"/>
  <c r="S123" i="2" a="1"/>
  <c r="S123" i="2" s="1"/>
  <c r="S124" i="2" a="1"/>
  <c r="S124" i="2" s="1"/>
  <c r="S125" i="2" a="1"/>
  <c r="S125" i="2" s="1"/>
  <c r="S126" i="2" a="1"/>
  <c r="S126" i="2" s="1"/>
  <c r="S127" i="2" a="1"/>
  <c r="S127" i="2" s="1"/>
  <c r="S128" i="2" a="1"/>
  <c r="S128" i="2" s="1"/>
  <c r="S129" i="2" a="1"/>
  <c r="S129" i="2" s="1"/>
  <c r="S130" i="2" a="1"/>
  <c r="S130" i="2" s="1"/>
  <c r="S131" i="2" a="1"/>
  <c r="S131" i="2" s="1"/>
  <c r="S132" i="2" a="1"/>
  <c r="S132" i="2" s="1"/>
  <c r="S133" i="2" a="1"/>
  <c r="S133" i="2" s="1"/>
  <c r="S134" i="2" a="1"/>
  <c r="S134" i="2" s="1"/>
  <c r="S135" i="2" a="1"/>
  <c r="S135" i="2" s="1"/>
  <c r="S136" i="2" a="1"/>
  <c r="S136" i="2" s="1"/>
  <c r="S137" i="2" a="1"/>
  <c r="S137" i="2" s="1"/>
  <c r="S138" i="2" a="1"/>
  <c r="S138" i="2" s="1"/>
  <c r="S139" i="2" a="1"/>
  <c r="S139" i="2" s="1"/>
  <c r="S140" i="2" a="1"/>
  <c r="S140" i="2" s="1"/>
  <c r="S141" i="2" a="1"/>
  <c r="S141" i="2" s="1"/>
  <c r="S142" i="2" a="1"/>
  <c r="S142" i="2" s="1"/>
  <c r="S143" i="2" a="1"/>
  <c r="S143" i="2" s="1"/>
  <c r="S144" i="2" a="1"/>
  <c r="S144" i="2" s="1"/>
  <c r="S145" i="2" a="1"/>
  <c r="S145" i="2" s="1"/>
  <c r="S146" i="2" a="1"/>
  <c r="S146" i="2" s="1"/>
  <c r="S147" i="2" a="1"/>
  <c r="S147" i="2" s="1"/>
  <c r="S148" i="2" a="1"/>
  <c r="S148" i="2" s="1"/>
  <c r="S149" i="2" a="1"/>
  <c r="S149" i="2" s="1"/>
  <c r="S150" i="2" a="1"/>
  <c r="S150" i="2" s="1"/>
  <c r="S151" i="2" a="1"/>
  <c r="S151" i="2" s="1"/>
  <c r="S152" i="2" a="1"/>
  <c r="S152" i="2" s="1"/>
  <c r="S153" i="2" a="1"/>
  <c r="S153" i="2" s="1"/>
  <c r="S154" i="2" a="1"/>
  <c r="S154" i="2" s="1"/>
  <c r="S155" i="2" a="1"/>
  <c r="S155" i="2" s="1"/>
  <c r="S156" i="2" a="1"/>
  <c r="S156" i="2" s="1"/>
  <c r="S157" i="2" a="1"/>
  <c r="S157" i="2" s="1"/>
  <c r="S158" i="2" a="1"/>
  <c r="S158" i="2" s="1"/>
  <c r="S159" i="2" a="1"/>
  <c r="S159" i="2" s="1"/>
  <c r="S160" i="2" a="1"/>
  <c r="S160" i="2" s="1"/>
  <c r="S161" i="2" a="1"/>
  <c r="S161" i="2" s="1"/>
  <c r="S162" i="2" a="1"/>
  <c r="S162" i="2" s="1"/>
  <c r="S163" i="2" a="1"/>
  <c r="S163" i="2" s="1"/>
  <c r="S164" i="2" a="1"/>
  <c r="S164" i="2" s="1"/>
  <c r="S165" i="2" a="1"/>
  <c r="S165" i="2" s="1"/>
  <c r="S166" i="2" a="1"/>
  <c r="S166" i="2" s="1"/>
  <c r="S167" i="2" a="1"/>
  <c r="S167" i="2" s="1"/>
  <c r="S168" i="2" a="1"/>
  <c r="S168" i="2" s="1"/>
  <c r="S169" i="2" a="1"/>
  <c r="S169" i="2" s="1"/>
  <c r="S170" i="2" a="1"/>
  <c r="S170" i="2" s="1"/>
  <c r="S171" i="2" a="1"/>
  <c r="S171" i="2" s="1"/>
  <c r="S172" i="2" a="1"/>
  <c r="S172" i="2" s="1"/>
  <c r="S173" i="2" a="1"/>
  <c r="S173" i="2" s="1"/>
  <c r="S174" i="2" a="1"/>
  <c r="S174" i="2" s="1"/>
  <c r="S175" i="2" a="1"/>
  <c r="S175" i="2" s="1"/>
  <c r="S176" i="2" a="1"/>
  <c r="S176" i="2" s="1"/>
  <c r="S177" i="2" a="1"/>
  <c r="S177" i="2" s="1"/>
  <c r="S178" i="2" a="1"/>
  <c r="S178" i="2" s="1"/>
  <c r="S179" i="2" a="1"/>
  <c r="S179" i="2" s="1"/>
  <c r="S180" i="2" a="1"/>
  <c r="S180" i="2" s="1"/>
  <c r="S181" i="2" a="1"/>
  <c r="S181" i="2" s="1"/>
  <c r="S182" i="2" a="1"/>
  <c r="S182" i="2" s="1"/>
  <c r="S183" i="2" a="1"/>
  <c r="S183" i="2" s="1"/>
  <c r="S184" i="2" a="1"/>
  <c r="S184" i="2" s="1"/>
  <c r="S185" i="2" a="1"/>
  <c r="S185" i="2" s="1"/>
  <c r="S186" i="2" a="1"/>
  <c r="S186" i="2" s="1"/>
  <c r="S187" i="2" a="1"/>
  <c r="S187" i="2" s="1"/>
  <c r="S188" i="2" a="1"/>
  <c r="S188" i="2" s="1"/>
  <c r="S189" i="2" a="1"/>
  <c r="S189" i="2" s="1"/>
  <c r="S190" i="2" a="1"/>
  <c r="S190" i="2" s="1"/>
  <c r="S191" i="2" a="1"/>
  <c r="S191" i="2" s="1"/>
  <c r="S192" i="2" a="1"/>
  <c r="S192" i="2" s="1"/>
  <c r="S193" i="2" a="1"/>
  <c r="S193" i="2" s="1"/>
  <c r="S194" i="2" a="1"/>
  <c r="S194" i="2" s="1"/>
  <c r="S195" i="2" a="1"/>
  <c r="S195" i="2" s="1"/>
  <c r="S196" i="2" a="1"/>
  <c r="S196" i="2" s="1"/>
  <c r="S197" i="2" a="1"/>
  <c r="S197" i="2" s="1"/>
  <c r="S198" i="2" a="1"/>
  <c r="S198" i="2" s="1"/>
  <c r="S199" i="2" a="1"/>
  <c r="S199" i="2" s="1"/>
  <c r="S200" i="2" a="1"/>
  <c r="S200" i="2" s="1"/>
  <c r="S201" i="2" a="1"/>
  <c r="S201" i="2" s="1"/>
  <c r="S202" i="2" a="1"/>
  <c r="S202" i="2" s="1"/>
  <c r="S203" i="2" a="1"/>
  <c r="S203" i="2" s="1"/>
  <c r="S204" i="2" a="1"/>
  <c r="S204" i="2" s="1"/>
  <c r="S205" i="2" a="1"/>
  <c r="S205" i="2" s="1"/>
  <c r="S206" i="2" a="1"/>
  <c r="S206" i="2" s="1"/>
  <c r="S207" i="2" a="1"/>
  <c r="S207" i="2" s="1"/>
  <c r="S208" i="2" a="1"/>
  <c r="S208" i="2" s="1"/>
  <c r="S209" i="2" a="1"/>
  <c r="S209" i="2" s="1"/>
  <c r="S210" i="2" a="1"/>
  <c r="S210" i="2" s="1"/>
  <c r="S211" i="2" a="1"/>
  <c r="S211" i="2" s="1"/>
  <c r="S212" i="2" a="1"/>
  <c r="S212" i="2" s="1"/>
  <c r="S213" i="2" a="1"/>
  <c r="S213" i="2" s="1"/>
  <c r="S214" i="2" a="1"/>
  <c r="S214" i="2" s="1"/>
  <c r="S215" i="2" a="1"/>
  <c r="S215" i="2" s="1"/>
  <c r="S216" i="2" a="1"/>
  <c r="S216" i="2" s="1"/>
  <c r="S217" i="2" a="1"/>
  <c r="S217" i="2" s="1"/>
  <c r="S218" i="2" a="1"/>
  <c r="S218" i="2" s="1"/>
  <c r="S219" i="2" a="1"/>
  <c r="S219" i="2" s="1"/>
  <c r="S220" i="2" a="1"/>
  <c r="S220" i="2" s="1"/>
  <c r="S221" i="2" a="1"/>
  <c r="S221" i="2" s="1"/>
  <c r="S222" i="2" a="1"/>
  <c r="S222" i="2" s="1"/>
  <c r="S223" i="2" a="1"/>
  <c r="S223" i="2" s="1"/>
  <c r="S224" i="2" a="1"/>
  <c r="S224" i="2" s="1"/>
  <c r="S225" i="2" a="1"/>
  <c r="S225" i="2" s="1"/>
  <c r="S226" i="2" a="1"/>
  <c r="S226" i="2" s="1"/>
  <c r="S227" i="2" a="1"/>
  <c r="S227" i="2" s="1"/>
  <c r="S228" i="2" a="1"/>
  <c r="S228" i="2" s="1"/>
  <c r="S229" i="2" a="1"/>
  <c r="S229" i="2" s="1"/>
  <c r="S230" i="2" a="1"/>
  <c r="S230" i="2" s="1"/>
  <c r="S231" i="2" a="1"/>
  <c r="S231" i="2" s="1"/>
  <c r="S232" i="2" a="1"/>
  <c r="S232" i="2" s="1"/>
  <c r="S233" i="2" a="1"/>
  <c r="S233" i="2" s="1"/>
  <c r="S234" i="2" a="1"/>
  <c r="S234" i="2" s="1"/>
  <c r="S235" i="2" a="1"/>
  <c r="S235" i="2" s="1"/>
  <c r="S236" i="2" a="1"/>
  <c r="S236" i="2" s="1"/>
  <c r="S237" i="2" a="1"/>
  <c r="S237" i="2" s="1"/>
  <c r="S238" i="2" a="1"/>
  <c r="S238" i="2" s="1"/>
  <c r="S239" i="2" a="1"/>
  <c r="S239" i="2" s="1"/>
  <c r="S240" i="2" a="1"/>
  <c r="S240" i="2" s="1"/>
  <c r="S241" i="2" a="1"/>
  <c r="S241" i="2" s="1"/>
  <c r="S242" i="2" a="1"/>
  <c r="S242" i="2" s="1"/>
  <c r="S243" i="2" a="1"/>
  <c r="S243" i="2" s="1"/>
  <c r="S244" i="2" a="1"/>
  <c r="S244" i="2" s="1"/>
  <c r="S245" i="2" a="1"/>
  <c r="S245" i="2" s="1"/>
  <c r="S246" i="2" a="1"/>
  <c r="S246" i="2" s="1"/>
  <c r="S247" i="2" a="1"/>
  <c r="S247" i="2" s="1"/>
  <c r="S248" i="2" a="1"/>
  <c r="S248" i="2" s="1"/>
  <c r="S249" i="2" a="1"/>
  <c r="S249" i="2" s="1"/>
  <c r="S250" i="2" a="1"/>
  <c r="S250" i="2" s="1"/>
  <c r="S251" i="2" a="1"/>
  <c r="S251" i="2" s="1"/>
  <c r="S252" i="2" a="1"/>
  <c r="S252" i="2" s="1"/>
  <c r="S253" i="2" a="1"/>
  <c r="S253" i="2" s="1"/>
  <c r="S254" i="2" a="1"/>
  <c r="S254" i="2" s="1"/>
  <c r="S255" i="2" a="1"/>
  <c r="S255" i="2" s="1"/>
  <c r="S256" i="2" a="1"/>
  <c r="S256" i="2" s="1"/>
  <c r="S257" i="2" a="1"/>
  <c r="S257" i="2" s="1"/>
  <c r="S258" i="2" a="1"/>
  <c r="S258" i="2" s="1"/>
  <c r="S259" i="2" a="1"/>
  <c r="S259" i="2" s="1"/>
  <c r="S260" i="2" a="1"/>
  <c r="S260" i="2" s="1"/>
  <c r="S261" i="2" a="1"/>
  <c r="S261" i="2" s="1"/>
  <c r="S262" i="2" a="1"/>
  <c r="S262" i="2" s="1"/>
  <c r="S263" i="2" a="1"/>
  <c r="S263" i="2" s="1"/>
  <c r="S264" i="2" a="1"/>
  <c r="S264" i="2" s="1"/>
  <c r="S265" i="2" a="1"/>
  <c r="S265" i="2" s="1"/>
  <c r="S266" i="2" a="1"/>
  <c r="S266" i="2" s="1"/>
  <c r="S267" i="2" a="1"/>
  <c r="S267" i="2" s="1"/>
  <c r="S268" i="2" a="1"/>
  <c r="S268" i="2" s="1"/>
  <c r="S269" i="2" a="1"/>
  <c r="S269" i="2" s="1"/>
  <c r="S270" i="2" a="1"/>
  <c r="S270" i="2" s="1"/>
  <c r="S271" i="2" a="1"/>
  <c r="S271" i="2" s="1"/>
  <c r="S272" i="2" a="1"/>
  <c r="S272" i="2" s="1"/>
  <c r="S273" i="2" a="1"/>
  <c r="S273" i="2" s="1"/>
  <c r="S274" i="2" a="1"/>
  <c r="S274" i="2" s="1"/>
  <c r="S275" i="2" a="1"/>
  <c r="S275" i="2" s="1"/>
  <c r="S276" i="2" a="1"/>
  <c r="S276" i="2" s="1"/>
  <c r="S277" i="2" a="1"/>
  <c r="S277" i="2" s="1"/>
  <c r="S278" i="2" a="1"/>
  <c r="S278" i="2" s="1"/>
  <c r="S279" i="2" a="1"/>
  <c r="S279" i="2" s="1"/>
  <c r="S280" i="2" a="1"/>
  <c r="S280" i="2" s="1"/>
  <c r="S281" i="2" a="1"/>
  <c r="S281" i="2" s="1"/>
  <c r="S282" i="2" a="1"/>
  <c r="S282" i="2" s="1"/>
  <c r="S283" i="2" a="1"/>
  <c r="S283" i="2" s="1"/>
  <c r="S284" i="2" a="1"/>
  <c r="S284" i="2" s="1"/>
  <c r="S285" i="2" a="1"/>
  <c r="S285" i="2" s="1"/>
  <c r="S286" i="2" a="1"/>
  <c r="S286" i="2" s="1"/>
  <c r="S287" i="2" a="1"/>
  <c r="S287" i="2" s="1"/>
  <c r="S288" i="2" a="1"/>
  <c r="S288" i="2" s="1"/>
  <c r="S289" i="2" a="1"/>
  <c r="S289" i="2" s="1"/>
  <c r="S290" i="2" a="1"/>
  <c r="S290" i="2" s="1"/>
  <c r="S291" i="2" a="1"/>
  <c r="S291" i="2" s="1"/>
  <c r="S292" i="2" a="1"/>
  <c r="S292" i="2" s="1"/>
  <c r="S293" i="2" a="1"/>
  <c r="S293" i="2" s="1"/>
  <c r="S294" i="2" a="1"/>
  <c r="S294" i="2" s="1"/>
  <c r="S295" i="2" a="1"/>
  <c r="S295" i="2" s="1"/>
  <c r="S296" i="2" a="1"/>
  <c r="S296" i="2" s="1"/>
  <c r="S297" i="2" a="1"/>
  <c r="S297" i="2" s="1"/>
  <c r="S298" i="2" a="1"/>
  <c r="S298" i="2" s="1"/>
  <c r="S299" i="2" a="1"/>
  <c r="S299" i="2" s="1"/>
  <c r="S300" i="2" a="1"/>
  <c r="S300" i="2" s="1"/>
  <c r="S301" i="2" a="1"/>
  <c r="S301" i="2" s="1"/>
  <c r="S302" i="2" a="1"/>
  <c r="S302" i="2" s="1"/>
  <c r="S303" i="2" a="1"/>
  <c r="S303" i="2" s="1"/>
  <c r="S304" i="2" a="1"/>
  <c r="S304" i="2" s="1"/>
  <c r="S305" i="2" a="1"/>
  <c r="S305" i="2" s="1"/>
  <c r="S306" i="2" a="1"/>
  <c r="S306" i="2" s="1"/>
  <c r="S307" i="2" a="1"/>
  <c r="S307" i="2" s="1"/>
  <c r="S308" i="2" a="1"/>
  <c r="S308" i="2" s="1"/>
  <c r="S309" i="2" a="1"/>
  <c r="S309" i="2" s="1"/>
  <c r="S310" i="2" a="1"/>
  <c r="S310" i="2" s="1"/>
  <c r="S311" i="2" a="1"/>
  <c r="S311" i="2" s="1"/>
  <c r="S312" i="2" a="1"/>
  <c r="S312" i="2" s="1"/>
  <c r="S313" i="2" a="1"/>
  <c r="S313" i="2" s="1"/>
  <c r="S314" i="2" a="1"/>
  <c r="S314" i="2" s="1"/>
  <c r="S315" i="2" a="1"/>
  <c r="S315" i="2" s="1"/>
  <c r="S316" i="2" a="1"/>
  <c r="S316" i="2" s="1"/>
  <c r="S317" i="2" a="1"/>
  <c r="S317" i="2" s="1"/>
  <c r="S318" i="2" a="1"/>
  <c r="S318" i="2" s="1"/>
  <c r="S319" i="2" a="1"/>
  <c r="S319" i="2" s="1"/>
  <c r="S320" i="2" a="1"/>
  <c r="S320" i="2" s="1"/>
  <c r="S321" i="2" a="1"/>
  <c r="S321" i="2" s="1"/>
  <c r="S322" i="2" a="1"/>
  <c r="S322" i="2" s="1"/>
  <c r="S323" i="2" a="1"/>
  <c r="S323" i="2" s="1"/>
  <c r="S324" i="2" a="1"/>
  <c r="S324" i="2" s="1"/>
  <c r="S325" i="2" a="1"/>
  <c r="S325" i="2" s="1"/>
  <c r="S326" i="2" a="1"/>
  <c r="S326" i="2" s="1"/>
  <c r="S327" i="2" a="1"/>
  <c r="S327" i="2" s="1"/>
  <c r="S328" i="2" a="1"/>
  <c r="S328" i="2" s="1"/>
  <c r="S329" i="2" a="1"/>
  <c r="S329" i="2" s="1"/>
  <c r="S330" i="2" a="1"/>
  <c r="S330" i="2" s="1"/>
  <c r="S331" i="2" a="1"/>
  <c r="S331" i="2" s="1"/>
  <c r="S332" i="2" a="1"/>
  <c r="S332" i="2" s="1"/>
  <c r="S333" i="2" a="1"/>
  <c r="S333" i="2" s="1"/>
  <c r="S334" i="2" a="1"/>
  <c r="S334" i="2" s="1"/>
  <c r="S335" i="2" a="1"/>
  <c r="S335" i="2" s="1"/>
  <c r="S336" i="2" a="1"/>
  <c r="S336" i="2" s="1"/>
  <c r="S337" i="2" a="1"/>
  <c r="S337" i="2" s="1"/>
  <c r="S338" i="2" a="1"/>
  <c r="S338" i="2" s="1"/>
  <c r="S339" i="2" a="1"/>
  <c r="S339" i="2" s="1"/>
  <c r="S340" i="2" a="1"/>
  <c r="S340" i="2" s="1"/>
  <c r="S341" i="2" a="1"/>
  <c r="S341" i="2" s="1"/>
  <c r="S342" i="2" a="1"/>
  <c r="S342" i="2" s="1"/>
  <c r="S343" i="2" a="1"/>
  <c r="S343" i="2" s="1"/>
  <c r="S344" i="2" a="1"/>
  <c r="S344" i="2" s="1"/>
  <c r="S345" i="2" a="1"/>
  <c r="S345" i="2" s="1"/>
  <c r="S346" i="2" a="1"/>
  <c r="S346" i="2" s="1"/>
  <c r="S347" i="2" a="1"/>
  <c r="S347" i="2" s="1"/>
  <c r="S348" i="2" a="1"/>
  <c r="S348" i="2" s="1"/>
  <c r="S349" i="2" a="1"/>
  <c r="S349" i="2" s="1"/>
  <c r="S350" i="2" a="1"/>
  <c r="S350" i="2" s="1"/>
  <c r="S351" i="2" a="1"/>
  <c r="S351" i="2" s="1"/>
  <c r="S352" i="2" a="1"/>
  <c r="S352" i="2" s="1"/>
  <c r="S353" i="2" a="1"/>
  <c r="S353" i="2" s="1"/>
  <c r="S354" i="2" a="1"/>
  <c r="S354" i="2" s="1"/>
  <c r="S355" i="2" a="1"/>
  <c r="S355" i="2" s="1"/>
  <c r="S356" i="2" a="1"/>
  <c r="S356" i="2" s="1"/>
  <c r="S357" i="2" a="1"/>
  <c r="S357" i="2" s="1"/>
  <c r="S358" i="2" a="1"/>
  <c r="S358" i="2" s="1"/>
  <c r="S359" i="2" a="1"/>
  <c r="S359" i="2" s="1"/>
  <c r="S360" i="2" a="1"/>
  <c r="S360" i="2" s="1"/>
  <c r="S361" i="2" a="1"/>
  <c r="S361" i="2" s="1"/>
  <c r="S362" i="2" a="1"/>
  <c r="S362" i="2" s="1"/>
  <c r="S363" i="2" a="1"/>
  <c r="S363" i="2" s="1"/>
  <c r="S364" i="2" a="1"/>
  <c r="S364" i="2" s="1"/>
  <c r="S365" i="2" a="1"/>
  <c r="S365" i="2" s="1"/>
  <c r="S366" i="2" a="1"/>
  <c r="S366" i="2" s="1"/>
  <c r="S367" i="2" a="1"/>
  <c r="S367" i="2" s="1"/>
  <c r="S368" i="2" a="1"/>
  <c r="S368" i="2" s="1"/>
  <c r="S369" i="2" a="1"/>
  <c r="S369" i="2" s="1"/>
  <c r="S370" i="2" a="1"/>
  <c r="S370" i="2" s="1"/>
  <c r="S371" i="2" a="1"/>
  <c r="S371" i="2" s="1"/>
  <c r="S372" i="2" a="1"/>
  <c r="S372" i="2" s="1"/>
  <c r="S373" i="2" a="1"/>
  <c r="S373" i="2" s="1"/>
  <c r="S374" i="2" a="1"/>
  <c r="S374" i="2" s="1"/>
  <c r="S375" i="2" a="1"/>
  <c r="S375" i="2" s="1"/>
  <c r="S376" i="2" a="1"/>
  <c r="S376" i="2" s="1"/>
  <c r="S377" i="2" a="1"/>
  <c r="S377" i="2" s="1"/>
  <c r="S378" i="2" a="1"/>
  <c r="S378" i="2" s="1"/>
  <c r="S379" i="2" a="1"/>
  <c r="S379" i="2" s="1"/>
  <c r="S380" i="2" a="1"/>
  <c r="S380" i="2" s="1"/>
  <c r="S381" i="2" a="1"/>
  <c r="S381" i="2" s="1"/>
  <c r="S382" i="2" a="1"/>
  <c r="S382" i="2" s="1"/>
  <c r="S383" i="2" a="1"/>
  <c r="S383" i="2" s="1"/>
  <c r="S384" i="2" a="1"/>
  <c r="S384" i="2" s="1"/>
  <c r="S385" i="2" a="1"/>
  <c r="S385" i="2" s="1"/>
  <c r="S386" i="2" a="1"/>
  <c r="S386" i="2" s="1"/>
  <c r="S387" i="2" a="1"/>
  <c r="S387" i="2" s="1"/>
  <c r="S388" i="2" a="1"/>
  <c r="S388" i="2" s="1"/>
  <c r="S389" i="2" a="1"/>
  <c r="S389" i="2" s="1"/>
  <c r="S390" i="2" a="1"/>
  <c r="S390" i="2" s="1"/>
  <c r="S391" i="2" a="1"/>
  <c r="S391" i="2" s="1"/>
  <c r="S392" i="2" a="1"/>
  <c r="S392" i="2" s="1"/>
  <c r="S393" i="2" a="1"/>
  <c r="S393" i="2" s="1"/>
  <c r="S394" i="2" a="1"/>
  <c r="S394" i="2" s="1"/>
  <c r="S395" i="2" a="1"/>
  <c r="S395" i="2" s="1"/>
  <c r="S396" i="2" a="1"/>
  <c r="S396" i="2" s="1"/>
  <c r="S397" i="2" a="1"/>
  <c r="S397" i="2" s="1"/>
  <c r="S398" i="2" a="1"/>
  <c r="S398" i="2" s="1"/>
  <c r="S399" i="2" a="1"/>
  <c r="S399" i="2" s="1"/>
  <c r="S400" i="2" a="1"/>
  <c r="S400" i="2" s="1"/>
  <c r="S401" i="2" a="1"/>
  <c r="S401" i="2" s="1"/>
  <c r="S402" i="2" a="1"/>
  <c r="S402" i="2" s="1"/>
  <c r="S403" i="2" a="1"/>
  <c r="S403" i="2" s="1"/>
  <c r="S404" i="2" a="1"/>
  <c r="S404" i="2" s="1"/>
  <c r="S405" i="2" a="1"/>
  <c r="S405" i="2" s="1"/>
  <c r="S406" i="2" a="1"/>
  <c r="S406" i="2" s="1"/>
  <c r="S407" i="2" a="1"/>
  <c r="S407" i="2" s="1"/>
  <c r="S408" i="2" a="1"/>
  <c r="S408" i="2" s="1"/>
  <c r="S409" i="2" a="1"/>
  <c r="S409" i="2" s="1"/>
  <c r="S410" i="2" a="1"/>
  <c r="S410" i="2" s="1"/>
  <c r="S411" i="2" a="1"/>
  <c r="S411" i="2" s="1"/>
  <c r="S412" i="2" a="1"/>
  <c r="S412" i="2" s="1"/>
  <c r="S413" i="2" a="1"/>
  <c r="S413" i="2" s="1"/>
  <c r="S414" i="2" a="1"/>
  <c r="S414" i="2" s="1"/>
  <c r="S415" i="2" a="1"/>
  <c r="S415" i="2" s="1"/>
  <c r="S416" i="2" a="1"/>
  <c r="S416" i="2" s="1"/>
  <c r="S417" i="2" a="1"/>
  <c r="S417" i="2" s="1"/>
  <c r="S418" i="2" a="1"/>
  <c r="S418" i="2" s="1"/>
  <c r="S419" i="2" a="1"/>
  <c r="S419" i="2" s="1"/>
  <c r="S420" i="2" a="1"/>
  <c r="S420" i="2" s="1"/>
  <c r="S421" i="2" a="1"/>
  <c r="S421" i="2" s="1"/>
  <c r="S422" i="2" a="1"/>
  <c r="S422" i="2" s="1"/>
  <c r="S423" i="2" a="1"/>
  <c r="S423" i="2" s="1"/>
  <c r="S424" i="2" a="1"/>
  <c r="S424" i="2" s="1"/>
  <c r="S425" i="2" a="1"/>
  <c r="S425" i="2" s="1"/>
  <c r="S426" i="2" a="1"/>
  <c r="S426" i="2" s="1"/>
  <c r="S427" i="2" a="1"/>
  <c r="S427" i="2" s="1"/>
  <c r="S428" i="2" a="1"/>
  <c r="S428" i="2" s="1"/>
  <c r="S429" i="2" a="1"/>
  <c r="S429" i="2" s="1"/>
  <c r="S430" i="2" a="1"/>
  <c r="S430" i="2" s="1"/>
  <c r="S431" i="2" a="1"/>
  <c r="S431" i="2" s="1"/>
  <c r="S432" i="2" a="1"/>
  <c r="S432" i="2" s="1"/>
  <c r="S433" i="2" a="1"/>
  <c r="S433" i="2" s="1"/>
  <c r="S434" i="2" a="1"/>
  <c r="S434" i="2" s="1"/>
  <c r="S435" i="2" a="1"/>
  <c r="S435" i="2" s="1"/>
  <c r="S436" i="2" a="1"/>
  <c r="S436" i="2" s="1"/>
  <c r="S437" i="2" a="1"/>
  <c r="S437" i="2" s="1"/>
  <c r="S438" i="2" a="1"/>
  <c r="S438" i="2" s="1"/>
  <c r="S439" i="2" a="1"/>
  <c r="S439" i="2" s="1"/>
  <c r="S440" i="2" a="1"/>
  <c r="S440" i="2" s="1"/>
  <c r="S441" i="2" a="1"/>
  <c r="S441" i="2" s="1"/>
  <c r="S442" i="2" a="1"/>
  <c r="S442" i="2" s="1"/>
  <c r="S443" i="2" a="1"/>
  <c r="S443" i="2" s="1"/>
  <c r="S444" i="2" a="1"/>
  <c r="S444" i="2" s="1"/>
  <c r="S445" i="2" a="1"/>
  <c r="S445" i="2" s="1"/>
  <c r="S446" i="2" a="1"/>
  <c r="S446" i="2" s="1"/>
  <c r="S447" i="2" a="1"/>
  <c r="S447" i="2" s="1"/>
  <c r="S448" i="2" a="1"/>
  <c r="S448" i="2" s="1"/>
  <c r="S449" i="2" a="1"/>
  <c r="S449" i="2" s="1"/>
  <c r="S450" i="2" a="1"/>
  <c r="S450" i="2" s="1"/>
  <c r="S451" i="2" a="1"/>
  <c r="S451" i="2" s="1"/>
  <c r="S452" i="2" a="1"/>
  <c r="S452" i="2" s="1"/>
  <c r="S453" i="2" a="1"/>
  <c r="S453" i="2" s="1"/>
  <c r="S454" i="2" a="1"/>
  <c r="S454" i="2" s="1"/>
  <c r="S455" i="2" a="1"/>
  <c r="S455" i="2" s="1"/>
  <c r="S456" i="2" a="1"/>
  <c r="S456" i="2" s="1"/>
  <c r="S457" i="2" a="1"/>
  <c r="S457" i="2" s="1"/>
  <c r="S458" i="2" a="1"/>
  <c r="S458" i="2" s="1"/>
  <c r="S459" i="2" a="1"/>
  <c r="S459" i="2" s="1"/>
  <c r="S460" i="2" a="1"/>
  <c r="S460" i="2" s="1"/>
  <c r="S461" i="2" a="1"/>
  <c r="S461" i="2" s="1"/>
  <c r="S462" i="2" a="1"/>
  <c r="S462" i="2" s="1"/>
  <c r="S463" i="2" a="1"/>
  <c r="S463" i="2" s="1"/>
  <c r="S464" i="2" a="1"/>
  <c r="S464" i="2" s="1"/>
  <c r="S465" i="2" a="1"/>
  <c r="S465" i="2" s="1"/>
  <c r="S466" i="2" a="1"/>
  <c r="S466" i="2" s="1"/>
  <c r="S467" i="2" a="1"/>
  <c r="S467" i="2" s="1"/>
  <c r="S468" i="2" a="1"/>
  <c r="S468" i="2" s="1"/>
  <c r="S469" i="2" a="1"/>
  <c r="S469" i="2" s="1"/>
  <c r="S470" i="2" a="1"/>
  <c r="S470" i="2" s="1"/>
  <c r="S471" i="2" a="1"/>
  <c r="S471" i="2" s="1"/>
  <c r="S472" i="2" a="1"/>
  <c r="S472" i="2" s="1"/>
  <c r="S473" i="2" a="1"/>
  <c r="S473" i="2" s="1"/>
  <c r="S474" i="2" a="1"/>
  <c r="S474" i="2" s="1"/>
  <c r="S475" i="2" a="1"/>
  <c r="S475" i="2" s="1"/>
  <c r="S476" i="2" a="1"/>
  <c r="S476" i="2" s="1"/>
  <c r="S477" i="2" a="1"/>
  <c r="S477" i="2" s="1"/>
  <c r="S478" i="2" a="1"/>
  <c r="S478" i="2" s="1"/>
  <c r="S479" i="2" a="1"/>
  <c r="S479" i="2" s="1"/>
  <c r="S480" i="2" a="1"/>
  <c r="S480" i="2" s="1"/>
  <c r="S481" i="2" a="1"/>
  <c r="S481" i="2" s="1"/>
  <c r="S482" i="2" a="1"/>
  <c r="S482" i="2" s="1"/>
  <c r="S483" i="2" a="1"/>
  <c r="S483" i="2" s="1"/>
  <c r="S484" i="2" a="1"/>
  <c r="S484" i="2" s="1"/>
  <c r="S485" i="2" a="1"/>
  <c r="S485" i="2" s="1"/>
  <c r="S486" i="2" a="1"/>
  <c r="S486" i="2" s="1"/>
  <c r="S487" i="2" a="1"/>
  <c r="S487" i="2" s="1"/>
  <c r="S488" i="2" a="1"/>
  <c r="S488" i="2" s="1"/>
  <c r="S489" i="2" a="1"/>
  <c r="S489" i="2" s="1"/>
  <c r="S490" i="2" a="1"/>
  <c r="S490" i="2" s="1"/>
  <c r="S491" i="2" a="1"/>
  <c r="S491" i="2" s="1"/>
  <c r="S492" i="2" a="1"/>
  <c r="S492" i="2" s="1"/>
  <c r="S493" i="2" a="1"/>
  <c r="S493" i="2" s="1"/>
  <c r="S494" i="2" a="1"/>
  <c r="S494" i="2" s="1"/>
  <c r="S495" i="2" a="1"/>
  <c r="S495" i="2" s="1"/>
  <c r="S496" i="2" a="1"/>
  <c r="S496" i="2" s="1"/>
  <c r="S497" i="2" a="1"/>
  <c r="S497" i="2" s="1"/>
  <c r="S498" i="2" a="1"/>
  <c r="S498" i="2" s="1"/>
  <c r="S499" i="2" a="1"/>
  <c r="S499" i="2" s="1"/>
  <c r="S500" i="2" a="1"/>
  <c r="S500" i="2" s="1"/>
  <c r="S501" i="2" a="1"/>
  <c r="S501" i="2" s="1"/>
  <c r="S502" i="2" a="1"/>
  <c r="S502" i="2" s="1"/>
  <c r="S503" i="2" a="1"/>
  <c r="S503" i="2" s="1"/>
  <c r="S504" i="2" a="1"/>
  <c r="S504" i="2" s="1"/>
  <c r="S505" i="2" a="1"/>
  <c r="S505" i="2" s="1"/>
  <c r="S506" i="2" a="1"/>
  <c r="S506" i="2" s="1"/>
  <c r="S507" i="2" a="1"/>
  <c r="S507" i="2" s="1"/>
  <c r="S508" i="2" a="1"/>
  <c r="S508" i="2" s="1"/>
  <c r="S509" i="2" a="1"/>
  <c r="S509" i="2" s="1"/>
  <c r="S510" i="2" a="1"/>
  <c r="S510" i="2" s="1"/>
  <c r="S511" i="2" a="1"/>
  <c r="S511" i="2" s="1"/>
  <c r="S512" i="2" a="1"/>
  <c r="S512" i="2" s="1"/>
  <c r="S513" i="2" a="1"/>
  <c r="S513" i="2" s="1"/>
  <c r="S514" i="2" a="1"/>
  <c r="S514" i="2" s="1"/>
  <c r="S515" i="2" a="1"/>
  <c r="S515" i="2" s="1"/>
  <c r="S516" i="2" a="1"/>
  <c r="S516" i="2" s="1"/>
  <c r="S517" i="2" a="1"/>
  <c r="S517" i="2" s="1"/>
  <c r="S518" i="2" a="1"/>
  <c r="S518" i="2" s="1"/>
  <c r="S519" i="2" a="1"/>
  <c r="S519" i="2" s="1"/>
  <c r="S520" i="2" a="1"/>
  <c r="S520" i="2" s="1"/>
  <c r="S521" i="2" a="1"/>
  <c r="S521" i="2" s="1"/>
  <c r="S522" i="2" a="1"/>
  <c r="S522" i="2" s="1"/>
  <c r="S523" i="2" a="1"/>
  <c r="S523" i="2" s="1"/>
  <c r="S524" i="2" a="1"/>
  <c r="S524" i="2" s="1"/>
  <c r="S525" i="2" a="1"/>
  <c r="S525" i="2" s="1"/>
  <c r="S526" i="2" a="1"/>
  <c r="S526" i="2" s="1"/>
  <c r="S527" i="2" a="1"/>
  <c r="S527" i="2" s="1"/>
  <c r="S528" i="2" a="1"/>
  <c r="S528" i="2" s="1"/>
  <c r="S529" i="2" a="1"/>
  <c r="S529" i="2" s="1"/>
  <c r="R3" i="2" a="1"/>
  <c r="R3" i="2" s="1"/>
  <c r="R4" i="2" a="1"/>
  <c r="R4" i="2" s="1"/>
  <c r="R5" i="2" a="1"/>
  <c r="R5" i="2" s="1"/>
  <c r="R6" i="2" a="1"/>
  <c r="R6" i="2" s="1"/>
  <c r="R7" i="2" a="1"/>
  <c r="R7" i="2" s="1"/>
  <c r="R8" i="2" a="1"/>
  <c r="R8" i="2" s="1"/>
  <c r="R9" i="2" a="1"/>
  <c r="R9" i="2" s="1"/>
  <c r="R10" i="2" a="1"/>
  <c r="R10" i="2" s="1"/>
  <c r="R11" i="2" a="1"/>
  <c r="R11" i="2" s="1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R17" i="2" a="1"/>
  <c r="R17" i="2" s="1"/>
  <c r="R18" i="2" a="1"/>
  <c r="R18" i="2" s="1"/>
  <c r="R19" i="2" a="1"/>
  <c r="R19" i="2" s="1"/>
  <c r="R20" i="2" a="1"/>
  <c r="R20" i="2" s="1"/>
  <c r="R21" i="2" a="1"/>
  <c r="R21" i="2" s="1"/>
  <c r="R22" i="2" a="1"/>
  <c r="R22" i="2" s="1"/>
  <c r="R23" i="2" a="1"/>
  <c r="R23" i="2" s="1"/>
  <c r="R24" i="2" a="1"/>
  <c r="R24" i="2" s="1"/>
  <c r="R25" i="2" a="1"/>
  <c r="R25" i="2" s="1"/>
  <c r="R26" i="2" a="1"/>
  <c r="R26" i="2" s="1"/>
  <c r="R27" i="2" a="1"/>
  <c r="R27" i="2" s="1"/>
  <c r="R28" i="2" a="1"/>
  <c r="R28" i="2" s="1"/>
  <c r="R29" i="2" a="1"/>
  <c r="R29" i="2" s="1"/>
  <c r="R30" i="2" a="1"/>
  <c r="R30" i="2" s="1"/>
  <c r="R31" i="2" a="1"/>
  <c r="R31" i="2" s="1"/>
  <c r="R32" i="2" a="1"/>
  <c r="R32" i="2" s="1"/>
  <c r="R33" i="2" a="1"/>
  <c r="R33" i="2" s="1"/>
  <c r="R34" i="2" a="1"/>
  <c r="R34" i="2" s="1"/>
  <c r="R35" i="2" a="1"/>
  <c r="R35" i="2" s="1"/>
  <c r="R36" i="2" a="1"/>
  <c r="R36" i="2" s="1"/>
  <c r="R37" i="2" a="1"/>
  <c r="R37" i="2" s="1"/>
  <c r="R38" i="2" a="1"/>
  <c r="R38" i="2" s="1"/>
  <c r="R39" i="2" a="1"/>
  <c r="R39" i="2" s="1"/>
  <c r="R40" i="2" a="1"/>
  <c r="R40" i="2" s="1"/>
  <c r="R41" i="2" a="1"/>
  <c r="R41" i="2" s="1"/>
  <c r="R42" i="2" a="1"/>
  <c r="R42" i="2" s="1"/>
  <c r="R43" i="2" a="1"/>
  <c r="R43" i="2" s="1"/>
  <c r="R44" i="2" a="1"/>
  <c r="R44" i="2" s="1"/>
  <c r="R45" i="2" a="1"/>
  <c r="R45" i="2" s="1"/>
  <c r="R46" i="2" a="1"/>
  <c r="R46" i="2" s="1"/>
  <c r="R47" i="2" a="1"/>
  <c r="R47" i="2" s="1"/>
  <c r="R48" i="2" a="1"/>
  <c r="R48" i="2" s="1"/>
  <c r="R49" i="2" a="1"/>
  <c r="R49" i="2" s="1"/>
  <c r="R50" i="2" a="1"/>
  <c r="R50" i="2" s="1"/>
  <c r="R51" i="2" a="1"/>
  <c r="R51" i="2" s="1"/>
  <c r="R52" i="2" a="1"/>
  <c r="R52" i="2" s="1"/>
  <c r="R53" i="2" a="1"/>
  <c r="R53" i="2" s="1"/>
  <c r="R54" i="2" a="1"/>
  <c r="R54" i="2" s="1"/>
  <c r="R55" i="2" a="1"/>
  <c r="R55" i="2" s="1"/>
  <c r="R56" i="2" a="1"/>
  <c r="R56" i="2" s="1"/>
  <c r="R57" i="2" a="1"/>
  <c r="R57" i="2" s="1"/>
  <c r="R58" i="2" a="1"/>
  <c r="R58" i="2" s="1"/>
  <c r="R59" i="2" a="1"/>
  <c r="R59" i="2" s="1"/>
  <c r="R60" i="2" a="1"/>
  <c r="R60" i="2" s="1"/>
  <c r="R61" i="2" a="1"/>
  <c r="R61" i="2" s="1"/>
  <c r="R62" i="2" a="1"/>
  <c r="R62" i="2" s="1"/>
  <c r="R63" i="2" a="1"/>
  <c r="R63" i="2" s="1"/>
  <c r="R64" i="2" a="1"/>
  <c r="R64" i="2" s="1"/>
  <c r="R65" i="2" a="1"/>
  <c r="R65" i="2" s="1"/>
  <c r="R66" i="2" a="1"/>
  <c r="R66" i="2" s="1"/>
  <c r="R67" i="2" a="1"/>
  <c r="R67" i="2" s="1"/>
  <c r="R68" i="2" a="1"/>
  <c r="R68" i="2" s="1"/>
  <c r="R69" i="2" a="1"/>
  <c r="R69" i="2" s="1"/>
  <c r="R70" i="2" a="1"/>
  <c r="R70" i="2" s="1"/>
  <c r="R71" i="2" a="1"/>
  <c r="R71" i="2" s="1"/>
  <c r="R72" i="2" a="1"/>
  <c r="R72" i="2" s="1"/>
  <c r="R73" i="2" a="1"/>
  <c r="R73" i="2" s="1"/>
  <c r="R74" i="2" a="1"/>
  <c r="R74" i="2" s="1"/>
  <c r="R75" i="2" a="1"/>
  <c r="R75" i="2" s="1"/>
  <c r="R76" i="2" a="1"/>
  <c r="R76" i="2" s="1"/>
  <c r="R77" i="2" a="1"/>
  <c r="R77" i="2" s="1"/>
  <c r="R78" i="2" a="1"/>
  <c r="R78" i="2" s="1"/>
  <c r="R79" i="2" a="1"/>
  <c r="R79" i="2" s="1"/>
  <c r="R80" i="2" a="1"/>
  <c r="R80" i="2" s="1"/>
  <c r="R81" i="2" a="1"/>
  <c r="R81" i="2" s="1"/>
  <c r="R82" i="2" a="1"/>
  <c r="R82" i="2" s="1"/>
  <c r="R83" i="2" a="1"/>
  <c r="R83" i="2" s="1"/>
  <c r="R84" i="2" a="1"/>
  <c r="R84" i="2" s="1"/>
  <c r="R85" i="2" a="1"/>
  <c r="R85" i="2" s="1"/>
  <c r="R86" i="2" a="1"/>
  <c r="R86" i="2" s="1"/>
  <c r="R87" i="2" a="1"/>
  <c r="R87" i="2" s="1"/>
  <c r="R88" i="2" a="1"/>
  <c r="R88" i="2" s="1"/>
  <c r="R89" i="2" a="1"/>
  <c r="R89" i="2" s="1"/>
  <c r="R90" i="2" a="1"/>
  <c r="R90" i="2" s="1"/>
  <c r="R91" i="2" a="1"/>
  <c r="R91" i="2" s="1"/>
  <c r="R92" i="2" a="1"/>
  <c r="R92" i="2" s="1"/>
  <c r="R93" i="2" a="1"/>
  <c r="R93" i="2" s="1"/>
  <c r="R94" i="2" a="1"/>
  <c r="R94" i="2" s="1"/>
  <c r="R95" i="2" a="1"/>
  <c r="R95" i="2" s="1"/>
  <c r="R96" i="2" a="1"/>
  <c r="R96" i="2" s="1"/>
  <c r="R97" i="2" a="1"/>
  <c r="R97" i="2" s="1"/>
  <c r="R98" i="2" a="1"/>
  <c r="R98" i="2" s="1"/>
  <c r="R99" i="2" a="1"/>
  <c r="R99" i="2" s="1"/>
  <c r="R100" i="2" a="1"/>
  <c r="R100" i="2" s="1"/>
  <c r="R101" i="2" a="1"/>
  <c r="R101" i="2" s="1"/>
  <c r="R102" i="2" a="1"/>
  <c r="R102" i="2" s="1"/>
  <c r="R103" i="2" a="1"/>
  <c r="R103" i="2" s="1"/>
  <c r="R104" i="2" a="1"/>
  <c r="R104" i="2" s="1"/>
  <c r="R105" i="2" a="1"/>
  <c r="R105" i="2" s="1"/>
  <c r="R106" i="2" a="1"/>
  <c r="R106" i="2" s="1"/>
  <c r="R107" i="2" a="1"/>
  <c r="R107" i="2" s="1"/>
  <c r="R108" i="2" a="1"/>
  <c r="R108" i="2" s="1"/>
  <c r="R109" i="2" a="1"/>
  <c r="R109" i="2" s="1"/>
  <c r="R110" i="2" a="1"/>
  <c r="R110" i="2" s="1"/>
  <c r="R111" i="2" a="1"/>
  <c r="R111" i="2" s="1"/>
  <c r="R112" i="2" a="1"/>
  <c r="R112" i="2" s="1"/>
  <c r="R113" i="2" a="1"/>
  <c r="R113" i="2" s="1"/>
  <c r="R114" i="2" a="1"/>
  <c r="R114" i="2" s="1"/>
  <c r="R115" i="2" a="1"/>
  <c r="R115" i="2" s="1"/>
  <c r="R116" i="2" a="1"/>
  <c r="R116" i="2" s="1"/>
  <c r="R117" i="2" a="1"/>
  <c r="R117" i="2" s="1"/>
  <c r="R118" i="2" a="1"/>
  <c r="R118" i="2" s="1"/>
  <c r="R119" i="2" a="1"/>
  <c r="R119" i="2" s="1"/>
  <c r="R120" i="2" a="1"/>
  <c r="R120" i="2" s="1"/>
  <c r="R121" i="2" a="1"/>
  <c r="R121" i="2" s="1"/>
  <c r="R122" i="2" a="1"/>
  <c r="R122" i="2" s="1"/>
  <c r="R123" i="2" a="1"/>
  <c r="R123" i="2" s="1"/>
  <c r="R124" i="2" a="1"/>
  <c r="R124" i="2" s="1"/>
  <c r="R125" i="2" a="1"/>
  <c r="R125" i="2" s="1"/>
  <c r="R126" i="2" a="1"/>
  <c r="R126" i="2" s="1"/>
  <c r="R127" i="2" a="1"/>
  <c r="R127" i="2" s="1"/>
  <c r="R128" i="2" a="1"/>
  <c r="R128" i="2" s="1"/>
  <c r="R129" i="2" a="1"/>
  <c r="R129" i="2" s="1"/>
  <c r="R130" i="2" a="1"/>
  <c r="R130" i="2" s="1"/>
  <c r="R131" i="2" a="1"/>
  <c r="R131" i="2" s="1"/>
  <c r="R132" i="2" a="1"/>
  <c r="R132" i="2" s="1"/>
  <c r="R133" i="2" a="1"/>
  <c r="R133" i="2" s="1"/>
  <c r="R134" i="2" a="1"/>
  <c r="R134" i="2" s="1"/>
  <c r="R135" i="2" a="1"/>
  <c r="R135" i="2" s="1"/>
  <c r="R136" i="2" a="1"/>
  <c r="R136" i="2" s="1"/>
  <c r="R137" i="2" a="1"/>
  <c r="R137" i="2" s="1"/>
  <c r="R138" i="2" a="1"/>
  <c r="R138" i="2" s="1"/>
  <c r="R139" i="2" a="1"/>
  <c r="R139" i="2" s="1"/>
  <c r="R140" i="2" a="1"/>
  <c r="R140" i="2" s="1"/>
  <c r="R141" i="2" a="1"/>
  <c r="R141" i="2" s="1"/>
  <c r="R142" i="2" a="1"/>
  <c r="R142" i="2" s="1"/>
  <c r="R143" i="2" a="1"/>
  <c r="R143" i="2" s="1"/>
  <c r="R144" i="2" a="1"/>
  <c r="R144" i="2" s="1"/>
  <c r="R145" i="2" a="1"/>
  <c r="R145" i="2" s="1"/>
  <c r="R146" i="2" a="1"/>
  <c r="R146" i="2" s="1"/>
  <c r="R147" i="2" a="1"/>
  <c r="R147" i="2" s="1"/>
  <c r="R148" i="2" a="1"/>
  <c r="R148" i="2" s="1"/>
  <c r="R149" i="2" a="1"/>
  <c r="R149" i="2" s="1"/>
  <c r="R150" i="2" a="1"/>
  <c r="R150" i="2" s="1"/>
  <c r="R151" i="2" a="1"/>
  <c r="R151" i="2" s="1"/>
  <c r="R152" i="2" a="1"/>
  <c r="R152" i="2" s="1"/>
  <c r="R153" i="2" a="1"/>
  <c r="R153" i="2" s="1"/>
  <c r="R154" i="2" a="1"/>
  <c r="R154" i="2" s="1"/>
  <c r="R155" i="2" a="1"/>
  <c r="R155" i="2" s="1"/>
  <c r="R156" i="2" a="1"/>
  <c r="R156" i="2" s="1"/>
  <c r="R157" i="2" a="1"/>
  <c r="R157" i="2" s="1"/>
  <c r="R158" i="2" a="1"/>
  <c r="R158" i="2" s="1"/>
  <c r="R159" i="2" a="1"/>
  <c r="R159" i="2" s="1"/>
  <c r="R160" i="2" a="1"/>
  <c r="R160" i="2" s="1"/>
  <c r="R161" i="2" a="1"/>
  <c r="R161" i="2" s="1"/>
  <c r="R162" i="2" a="1"/>
  <c r="R162" i="2" s="1"/>
  <c r="R163" i="2" a="1"/>
  <c r="R163" i="2" s="1"/>
  <c r="R164" i="2" a="1"/>
  <c r="R164" i="2" s="1"/>
  <c r="R165" i="2" a="1"/>
  <c r="R165" i="2" s="1"/>
  <c r="R166" i="2" a="1"/>
  <c r="R166" i="2" s="1"/>
  <c r="R167" i="2" a="1"/>
  <c r="R167" i="2" s="1"/>
  <c r="R168" i="2" a="1"/>
  <c r="R168" i="2" s="1"/>
  <c r="R169" i="2" a="1"/>
  <c r="R169" i="2" s="1"/>
  <c r="R170" i="2" a="1"/>
  <c r="R170" i="2" s="1"/>
  <c r="R171" i="2" a="1"/>
  <c r="R171" i="2" s="1"/>
  <c r="R172" i="2" a="1"/>
  <c r="R172" i="2" s="1"/>
  <c r="R173" i="2" a="1"/>
  <c r="R173" i="2" s="1"/>
  <c r="R174" i="2" a="1"/>
  <c r="R174" i="2" s="1"/>
  <c r="R175" i="2" a="1"/>
  <c r="R175" i="2" s="1"/>
  <c r="R176" i="2" a="1"/>
  <c r="R176" i="2" s="1"/>
  <c r="R177" i="2" a="1"/>
  <c r="R177" i="2" s="1"/>
  <c r="R178" i="2" a="1"/>
  <c r="R178" i="2" s="1"/>
  <c r="R179" i="2" a="1"/>
  <c r="R179" i="2" s="1"/>
  <c r="R180" i="2" a="1"/>
  <c r="R180" i="2" s="1"/>
  <c r="R181" i="2" a="1"/>
  <c r="R181" i="2" s="1"/>
  <c r="R182" i="2" a="1"/>
  <c r="R182" i="2" s="1"/>
  <c r="R183" i="2" a="1"/>
  <c r="R183" i="2" s="1"/>
  <c r="R184" i="2" a="1"/>
  <c r="R184" i="2" s="1"/>
  <c r="R185" i="2" a="1"/>
  <c r="R185" i="2" s="1"/>
  <c r="R186" i="2" a="1"/>
  <c r="R186" i="2" s="1"/>
  <c r="R187" i="2" a="1"/>
  <c r="R187" i="2" s="1"/>
  <c r="R188" i="2" a="1"/>
  <c r="R188" i="2" s="1"/>
  <c r="R189" i="2" a="1"/>
  <c r="R189" i="2" s="1"/>
  <c r="R190" i="2" a="1"/>
  <c r="R190" i="2" s="1"/>
  <c r="R191" i="2" a="1"/>
  <c r="R191" i="2" s="1"/>
  <c r="R192" i="2" a="1"/>
  <c r="R192" i="2" s="1"/>
  <c r="R193" i="2" a="1"/>
  <c r="R193" i="2" s="1"/>
  <c r="R194" i="2" a="1"/>
  <c r="R194" i="2" s="1"/>
  <c r="R195" i="2" a="1"/>
  <c r="R195" i="2" s="1"/>
  <c r="R196" i="2" a="1"/>
  <c r="R196" i="2" s="1"/>
  <c r="R197" i="2" a="1"/>
  <c r="R197" i="2" s="1"/>
  <c r="R198" i="2" a="1"/>
  <c r="R198" i="2" s="1"/>
  <c r="R199" i="2" a="1"/>
  <c r="R199" i="2" s="1"/>
  <c r="R200" i="2" a="1"/>
  <c r="R200" i="2" s="1"/>
  <c r="R201" i="2" a="1"/>
  <c r="R201" i="2" s="1"/>
  <c r="R202" i="2" a="1"/>
  <c r="R202" i="2" s="1"/>
  <c r="R203" i="2" a="1"/>
  <c r="R203" i="2" s="1"/>
  <c r="R204" i="2" a="1"/>
  <c r="R204" i="2" s="1"/>
  <c r="R205" i="2" a="1"/>
  <c r="R205" i="2" s="1"/>
  <c r="R206" i="2" a="1"/>
  <c r="R206" i="2" s="1"/>
  <c r="R207" i="2" a="1"/>
  <c r="R207" i="2" s="1"/>
  <c r="R208" i="2" a="1"/>
  <c r="R208" i="2" s="1"/>
  <c r="R209" i="2" a="1"/>
  <c r="R209" i="2" s="1"/>
  <c r="R210" i="2" a="1"/>
  <c r="R210" i="2" s="1"/>
  <c r="R211" i="2" a="1"/>
  <c r="R211" i="2" s="1"/>
  <c r="R212" i="2" a="1"/>
  <c r="R212" i="2" s="1"/>
  <c r="R213" i="2" a="1"/>
  <c r="R213" i="2" s="1"/>
  <c r="R214" i="2" a="1"/>
  <c r="R214" i="2" s="1"/>
  <c r="R215" i="2" a="1"/>
  <c r="R215" i="2" s="1"/>
  <c r="R216" i="2" a="1"/>
  <c r="R216" i="2" s="1"/>
  <c r="R217" i="2" a="1"/>
  <c r="R217" i="2" s="1"/>
  <c r="R218" i="2" a="1"/>
  <c r="R218" i="2" s="1"/>
  <c r="R219" i="2" a="1"/>
  <c r="R219" i="2" s="1"/>
  <c r="R220" i="2" a="1"/>
  <c r="R220" i="2" s="1"/>
  <c r="R221" i="2" a="1"/>
  <c r="R221" i="2" s="1"/>
  <c r="R222" i="2" a="1"/>
  <c r="R222" i="2" s="1"/>
  <c r="R223" i="2" a="1"/>
  <c r="R223" i="2" s="1"/>
  <c r="R224" i="2" a="1"/>
  <c r="R224" i="2" s="1"/>
  <c r="R225" i="2" a="1"/>
  <c r="R225" i="2" s="1"/>
  <c r="R226" i="2" a="1"/>
  <c r="R226" i="2" s="1"/>
  <c r="R227" i="2" a="1"/>
  <c r="R227" i="2" s="1"/>
  <c r="R228" i="2" a="1"/>
  <c r="R228" i="2" s="1"/>
  <c r="R229" i="2" a="1"/>
  <c r="R229" i="2" s="1"/>
  <c r="R230" i="2" a="1"/>
  <c r="R230" i="2" s="1"/>
  <c r="R231" i="2" a="1"/>
  <c r="R231" i="2" s="1"/>
  <c r="R232" i="2" a="1"/>
  <c r="R232" i="2" s="1"/>
  <c r="R233" i="2" a="1"/>
  <c r="R233" i="2" s="1"/>
  <c r="R234" i="2" a="1"/>
  <c r="R234" i="2" s="1"/>
  <c r="R235" i="2" a="1"/>
  <c r="R235" i="2" s="1"/>
  <c r="R236" i="2" a="1"/>
  <c r="R236" i="2" s="1"/>
  <c r="R237" i="2" a="1"/>
  <c r="R237" i="2" s="1"/>
  <c r="R238" i="2" a="1"/>
  <c r="R238" i="2" s="1"/>
  <c r="R239" i="2" a="1"/>
  <c r="R239" i="2" s="1"/>
  <c r="R240" i="2" a="1"/>
  <c r="R240" i="2" s="1"/>
  <c r="R241" i="2" a="1"/>
  <c r="R241" i="2" s="1"/>
  <c r="R242" i="2" a="1"/>
  <c r="R242" i="2" s="1"/>
  <c r="R243" i="2" a="1"/>
  <c r="R243" i="2" s="1"/>
  <c r="R244" i="2" a="1"/>
  <c r="R244" i="2" s="1"/>
  <c r="R245" i="2" a="1"/>
  <c r="R245" i="2" s="1"/>
  <c r="R246" i="2" a="1"/>
  <c r="R246" i="2" s="1"/>
  <c r="R247" i="2" a="1"/>
  <c r="R247" i="2" s="1"/>
  <c r="R248" i="2" a="1"/>
  <c r="R248" i="2" s="1"/>
  <c r="R249" i="2" a="1"/>
  <c r="R249" i="2" s="1"/>
  <c r="R250" i="2" a="1"/>
  <c r="R250" i="2" s="1"/>
  <c r="R251" i="2" a="1"/>
  <c r="R251" i="2" s="1"/>
  <c r="R252" i="2" a="1"/>
  <c r="R252" i="2" s="1"/>
  <c r="R253" i="2" a="1"/>
  <c r="R253" i="2" s="1"/>
  <c r="R254" i="2" a="1"/>
  <c r="R254" i="2" s="1"/>
  <c r="R255" i="2" a="1"/>
  <c r="R255" i="2" s="1"/>
  <c r="R256" i="2" a="1"/>
  <c r="R256" i="2" s="1"/>
  <c r="R257" i="2" a="1"/>
  <c r="R257" i="2" s="1"/>
  <c r="R258" i="2" a="1"/>
  <c r="R258" i="2" s="1"/>
  <c r="R259" i="2" a="1"/>
  <c r="R259" i="2" s="1"/>
  <c r="R260" i="2" a="1"/>
  <c r="R260" i="2" s="1"/>
  <c r="R261" i="2" a="1"/>
  <c r="R261" i="2" s="1"/>
  <c r="R262" i="2" a="1"/>
  <c r="R262" i="2" s="1"/>
  <c r="R263" i="2" a="1"/>
  <c r="R263" i="2" s="1"/>
  <c r="R264" i="2" a="1"/>
  <c r="R264" i="2" s="1"/>
  <c r="R265" i="2" a="1"/>
  <c r="R265" i="2" s="1"/>
  <c r="R266" i="2" a="1"/>
  <c r="R266" i="2" s="1"/>
  <c r="R267" i="2" a="1"/>
  <c r="R267" i="2" s="1"/>
  <c r="R268" i="2" a="1"/>
  <c r="R268" i="2" s="1"/>
  <c r="R269" i="2" a="1"/>
  <c r="R269" i="2" s="1"/>
  <c r="R270" i="2" a="1"/>
  <c r="R270" i="2" s="1"/>
  <c r="R271" i="2" a="1"/>
  <c r="R271" i="2" s="1"/>
  <c r="R272" i="2" a="1"/>
  <c r="R272" i="2" s="1"/>
  <c r="R273" i="2" a="1"/>
  <c r="R273" i="2" s="1"/>
  <c r="R274" i="2" a="1"/>
  <c r="R274" i="2" s="1"/>
  <c r="R275" i="2" a="1"/>
  <c r="R275" i="2" s="1"/>
  <c r="R276" i="2" a="1"/>
  <c r="R276" i="2" s="1"/>
  <c r="R277" i="2" a="1"/>
  <c r="R277" i="2" s="1"/>
  <c r="R278" i="2" a="1"/>
  <c r="R278" i="2" s="1"/>
  <c r="R279" i="2" a="1"/>
  <c r="R279" i="2" s="1"/>
  <c r="R280" i="2" a="1"/>
  <c r="R280" i="2" s="1"/>
  <c r="R281" i="2" a="1"/>
  <c r="R281" i="2" s="1"/>
  <c r="R282" i="2" a="1"/>
  <c r="R282" i="2" s="1"/>
  <c r="R283" i="2" a="1"/>
  <c r="R283" i="2" s="1"/>
  <c r="R284" i="2" a="1"/>
  <c r="R284" i="2" s="1"/>
  <c r="R285" i="2" a="1"/>
  <c r="R285" i="2" s="1"/>
  <c r="R286" i="2" a="1"/>
  <c r="R286" i="2" s="1"/>
  <c r="R287" i="2" a="1"/>
  <c r="R287" i="2" s="1"/>
  <c r="R288" i="2" a="1"/>
  <c r="R288" i="2" s="1"/>
  <c r="R289" i="2" a="1"/>
  <c r="R289" i="2" s="1"/>
  <c r="R290" i="2" a="1"/>
  <c r="R290" i="2" s="1"/>
  <c r="R291" i="2" a="1"/>
  <c r="R291" i="2" s="1"/>
  <c r="R292" i="2" a="1"/>
  <c r="R292" i="2" s="1"/>
  <c r="R293" i="2" a="1"/>
  <c r="R293" i="2" s="1"/>
  <c r="R294" i="2" a="1"/>
  <c r="R294" i="2" s="1"/>
  <c r="R295" i="2" a="1"/>
  <c r="R295" i="2" s="1"/>
  <c r="R296" i="2" a="1"/>
  <c r="R296" i="2" s="1"/>
  <c r="R297" i="2" a="1"/>
  <c r="R297" i="2" s="1"/>
  <c r="R298" i="2" a="1"/>
  <c r="R298" i="2" s="1"/>
  <c r="R299" i="2" a="1"/>
  <c r="R299" i="2" s="1"/>
  <c r="R300" i="2" a="1"/>
  <c r="R300" i="2" s="1"/>
  <c r="R301" i="2" a="1"/>
  <c r="R301" i="2" s="1"/>
  <c r="R302" i="2" a="1"/>
  <c r="R302" i="2" s="1"/>
  <c r="R303" i="2" a="1"/>
  <c r="R303" i="2" s="1"/>
  <c r="R304" i="2" a="1"/>
  <c r="R304" i="2" s="1"/>
  <c r="R305" i="2" a="1"/>
  <c r="R305" i="2" s="1"/>
  <c r="R306" i="2" a="1"/>
  <c r="R306" i="2" s="1"/>
  <c r="R307" i="2" a="1"/>
  <c r="R307" i="2" s="1"/>
  <c r="R308" i="2" a="1"/>
  <c r="R308" i="2" s="1"/>
  <c r="R309" i="2" a="1"/>
  <c r="R309" i="2" s="1"/>
  <c r="R310" i="2" a="1"/>
  <c r="R310" i="2" s="1"/>
  <c r="R311" i="2" a="1"/>
  <c r="R311" i="2" s="1"/>
  <c r="R312" i="2" a="1"/>
  <c r="R312" i="2" s="1"/>
  <c r="R313" i="2" a="1"/>
  <c r="R313" i="2" s="1"/>
  <c r="R314" i="2" a="1"/>
  <c r="R314" i="2" s="1"/>
  <c r="R315" i="2" a="1"/>
  <c r="R315" i="2" s="1"/>
  <c r="R316" i="2" a="1"/>
  <c r="R316" i="2" s="1"/>
  <c r="R317" i="2" a="1"/>
  <c r="R317" i="2" s="1"/>
  <c r="R318" i="2" a="1"/>
  <c r="R318" i="2" s="1"/>
  <c r="R319" i="2" a="1"/>
  <c r="R319" i="2" s="1"/>
  <c r="R320" i="2" a="1"/>
  <c r="R320" i="2" s="1"/>
  <c r="R321" i="2" a="1"/>
  <c r="R321" i="2" s="1"/>
  <c r="R322" i="2" a="1"/>
  <c r="R322" i="2" s="1"/>
  <c r="R323" i="2" a="1"/>
  <c r="R323" i="2" s="1"/>
  <c r="R324" i="2" a="1"/>
  <c r="R324" i="2" s="1"/>
  <c r="R325" i="2" a="1"/>
  <c r="R325" i="2" s="1"/>
  <c r="R326" i="2" a="1"/>
  <c r="R326" i="2" s="1"/>
  <c r="R327" i="2" a="1"/>
  <c r="R327" i="2" s="1"/>
  <c r="R328" i="2" a="1"/>
  <c r="R328" i="2" s="1"/>
  <c r="R329" i="2" a="1"/>
  <c r="R329" i="2" s="1"/>
  <c r="R330" i="2" a="1"/>
  <c r="R330" i="2" s="1"/>
  <c r="R331" i="2" a="1"/>
  <c r="R331" i="2" s="1"/>
  <c r="R332" i="2" a="1"/>
  <c r="R332" i="2" s="1"/>
  <c r="R333" i="2" a="1"/>
  <c r="R333" i="2" s="1"/>
  <c r="R334" i="2" a="1"/>
  <c r="R334" i="2" s="1"/>
  <c r="R335" i="2" a="1"/>
  <c r="R335" i="2" s="1"/>
  <c r="R336" i="2" a="1"/>
  <c r="R336" i="2" s="1"/>
  <c r="R337" i="2" a="1"/>
  <c r="R337" i="2" s="1"/>
  <c r="R338" i="2" a="1"/>
  <c r="R338" i="2" s="1"/>
  <c r="R339" i="2" a="1"/>
  <c r="R339" i="2" s="1"/>
  <c r="R340" i="2" a="1"/>
  <c r="R340" i="2" s="1"/>
  <c r="R341" i="2" a="1"/>
  <c r="R341" i="2" s="1"/>
  <c r="R342" i="2" a="1"/>
  <c r="R342" i="2" s="1"/>
  <c r="R343" i="2" a="1"/>
  <c r="R343" i="2" s="1"/>
  <c r="R344" i="2" a="1"/>
  <c r="R344" i="2" s="1"/>
  <c r="R345" i="2" a="1"/>
  <c r="R345" i="2" s="1"/>
  <c r="R346" i="2" a="1"/>
  <c r="R346" i="2" s="1"/>
  <c r="R347" i="2" a="1"/>
  <c r="R347" i="2" s="1"/>
  <c r="R348" i="2" a="1"/>
  <c r="R348" i="2" s="1"/>
  <c r="R349" i="2" a="1"/>
  <c r="R349" i="2" s="1"/>
  <c r="R350" i="2" a="1"/>
  <c r="R350" i="2" s="1"/>
  <c r="R351" i="2" a="1"/>
  <c r="R351" i="2" s="1"/>
  <c r="R352" i="2" a="1"/>
  <c r="R352" i="2" s="1"/>
  <c r="R353" i="2" a="1"/>
  <c r="R353" i="2" s="1"/>
  <c r="R354" i="2" a="1"/>
  <c r="R354" i="2" s="1"/>
  <c r="R355" i="2" a="1"/>
  <c r="R355" i="2" s="1"/>
  <c r="R356" i="2" a="1"/>
  <c r="R356" i="2" s="1"/>
  <c r="R357" i="2" a="1"/>
  <c r="R357" i="2" s="1"/>
  <c r="R358" i="2" a="1"/>
  <c r="R358" i="2" s="1"/>
  <c r="R359" i="2" a="1"/>
  <c r="R359" i="2" s="1"/>
  <c r="R360" i="2" a="1"/>
  <c r="R360" i="2" s="1"/>
  <c r="R361" i="2" a="1"/>
  <c r="R361" i="2" s="1"/>
  <c r="R362" i="2" a="1"/>
  <c r="R362" i="2" s="1"/>
  <c r="R363" i="2" a="1"/>
  <c r="R363" i="2" s="1"/>
  <c r="R364" i="2" a="1"/>
  <c r="R364" i="2" s="1"/>
  <c r="R365" i="2" a="1"/>
  <c r="R365" i="2" s="1"/>
  <c r="R366" i="2" a="1"/>
  <c r="R366" i="2" s="1"/>
  <c r="R367" i="2" a="1"/>
  <c r="R367" i="2" s="1"/>
  <c r="R368" i="2" a="1"/>
  <c r="R368" i="2" s="1"/>
  <c r="R369" i="2" a="1"/>
  <c r="R369" i="2" s="1"/>
  <c r="R370" i="2" a="1"/>
  <c r="R370" i="2" s="1"/>
  <c r="R371" i="2" a="1"/>
  <c r="R371" i="2" s="1"/>
  <c r="R372" i="2" a="1"/>
  <c r="R372" i="2" s="1"/>
  <c r="R373" i="2" a="1"/>
  <c r="R373" i="2" s="1"/>
  <c r="R374" i="2" a="1"/>
  <c r="R374" i="2" s="1"/>
  <c r="R375" i="2" a="1"/>
  <c r="R375" i="2" s="1"/>
  <c r="R376" i="2" a="1"/>
  <c r="R376" i="2" s="1"/>
  <c r="R377" i="2" a="1"/>
  <c r="R377" i="2" s="1"/>
  <c r="R378" i="2" a="1"/>
  <c r="R378" i="2" s="1"/>
  <c r="R379" i="2" a="1"/>
  <c r="R379" i="2" s="1"/>
  <c r="R380" i="2" a="1"/>
  <c r="R380" i="2" s="1"/>
  <c r="R381" i="2" a="1"/>
  <c r="R381" i="2" s="1"/>
  <c r="R382" i="2" a="1"/>
  <c r="R382" i="2" s="1"/>
  <c r="R383" i="2" a="1"/>
  <c r="R383" i="2" s="1"/>
  <c r="R384" i="2" a="1"/>
  <c r="R384" i="2" s="1"/>
  <c r="R385" i="2" a="1"/>
  <c r="R385" i="2" s="1"/>
  <c r="R386" i="2" a="1"/>
  <c r="R386" i="2" s="1"/>
  <c r="R387" i="2" a="1"/>
  <c r="R387" i="2" s="1"/>
  <c r="R388" i="2" a="1"/>
  <c r="R388" i="2" s="1"/>
  <c r="R389" i="2" a="1"/>
  <c r="R389" i="2" s="1"/>
  <c r="R390" i="2" a="1"/>
  <c r="R390" i="2" s="1"/>
  <c r="R391" i="2" a="1"/>
  <c r="R391" i="2" s="1"/>
  <c r="R392" i="2" a="1"/>
  <c r="R392" i="2" s="1"/>
  <c r="R393" i="2" a="1"/>
  <c r="R393" i="2" s="1"/>
  <c r="R394" i="2" a="1"/>
  <c r="R394" i="2" s="1"/>
  <c r="R395" i="2" a="1"/>
  <c r="R395" i="2" s="1"/>
  <c r="R396" i="2" a="1"/>
  <c r="R396" i="2" s="1"/>
  <c r="R397" i="2" a="1"/>
  <c r="R397" i="2" s="1"/>
  <c r="R398" i="2" a="1"/>
  <c r="R398" i="2" s="1"/>
  <c r="R399" i="2" a="1"/>
  <c r="R399" i="2" s="1"/>
  <c r="R400" i="2" a="1"/>
  <c r="R400" i="2" s="1"/>
  <c r="R401" i="2" a="1"/>
  <c r="R401" i="2" s="1"/>
  <c r="R402" i="2" a="1"/>
  <c r="R402" i="2" s="1"/>
  <c r="R403" i="2" a="1"/>
  <c r="R403" i="2" s="1"/>
  <c r="R404" i="2" a="1"/>
  <c r="R404" i="2" s="1"/>
  <c r="R405" i="2" a="1"/>
  <c r="R405" i="2" s="1"/>
  <c r="R406" i="2" a="1"/>
  <c r="R406" i="2" s="1"/>
  <c r="R407" i="2" a="1"/>
  <c r="R407" i="2" s="1"/>
  <c r="R408" i="2" a="1"/>
  <c r="R408" i="2" s="1"/>
  <c r="R409" i="2" a="1"/>
  <c r="R409" i="2" s="1"/>
  <c r="R410" i="2" a="1"/>
  <c r="R410" i="2" s="1"/>
  <c r="R411" i="2" a="1"/>
  <c r="R411" i="2" s="1"/>
  <c r="R412" i="2" a="1"/>
  <c r="R412" i="2" s="1"/>
  <c r="R413" i="2" a="1"/>
  <c r="R413" i="2" s="1"/>
  <c r="R414" i="2" a="1"/>
  <c r="R414" i="2" s="1"/>
  <c r="R415" i="2" a="1"/>
  <c r="R415" i="2" s="1"/>
  <c r="R416" i="2" a="1"/>
  <c r="R416" i="2" s="1"/>
  <c r="R417" i="2" a="1"/>
  <c r="R417" i="2" s="1"/>
  <c r="R418" i="2" a="1"/>
  <c r="R418" i="2" s="1"/>
  <c r="R419" i="2" a="1"/>
  <c r="R419" i="2" s="1"/>
  <c r="R420" i="2" a="1"/>
  <c r="R420" i="2" s="1"/>
  <c r="R421" i="2" a="1"/>
  <c r="R421" i="2" s="1"/>
  <c r="R422" i="2" a="1"/>
  <c r="R422" i="2" s="1"/>
  <c r="R423" i="2" a="1"/>
  <c r="R423" i="2" s="1"/>
  <c r="R424" i="2" a="1"/>
  <c r="R424" i="2" s="1"/>
  <c r="R425" i="2" a="1"/>
  <c r="R425" i="2" s="1"/>
  <c r="R426" i="2" a="1"/>
  <c r="R426" i="2" s="1"/>
  <c r="R427" i="2" a="1"/>
  <c r="R427" i="2" s="1"/>
  <c r="R428" i="2" a="1"/>
  <c r="R428" i="2" s="1"/>
  <c r="R429" i="2" a="1"/>
  <c r="R429" i="2" s="1"/>
  <c r="R430" i="2" a="1"/>
  <c r="R430" i="2" s="1"/>
  <c r="R431" i="2" a="1"/>
  <c r="R431" i="2" s="1"/>
  <c r="R432" i="2" a="1"/>
  <c r="R432" i="2" s="1"/>
  <c r="R433" i="2" a="1"/>
  <c r="R433" i="2" s="1"/>
  <c r="R434" i="2" a="1"/>
  <c r="R434" i="2" s="1"/>
  <c r="R435" i="2" a="1"/>
  <c r="R435" i="2" s="1"/>
  <c r="R436" i="2" a="1"/>
  <c r="R436" i="2" s="1"/>
  <c r="R437" i="2" a="1"/>
  <c r="R437" i="2" s="1"/>
  <c r="R438" i="2" a="1"/>
  <c r="R438" i="2" s="1"/>
  <c r="R439" i="2" a="1"/>
  <c r="R439" i="2" s="1"/>
  <c r="R440" i="2" a="1"/>
  <c r="R440" i="2" s="1"/>
  <c r="R441" i="2" a="1"/>
  <c r="R441" i="2" s="1"/>
  <c r="R442" i="2" a="1"/>
  <c r="R442" i="2" s="1"/>
  <c r="R443" i="2" a="1"/>
  <c r="R443" i="2" s="1"/>
  <c r="R444" i="2" a="1"/>
  <c r="R444" i="2" s="1"/>
  <c r="R445" i="2" a="1"/>
  <c r="R445" i="2" s="1"/>
  <c r="R446" i="2" a="1"/>
  <c r="R446" i="2" s="1"/>
  <c r="R447" i="2" a="1"/>
  <c r="R447" i="2" s="1"/>
  <c r="R448" i="2" a="1"/>
  <c r="R448" i="2" s="1"/>
  <c r="R449" i="2" a="1"/>
  <c r="R449" i="2" s="1"/>
  <c r="R450" i="2" a="1"/>
  <c r="R450" i="2" s="1"/>
  <c r="R451" i="2" a="1"/>
  <c r="R451" i="2" s="1"/>
  <c r="R452" i="2" a="1"/>
  <c r="R452" i="2" s="1"/>
  <c r="R453" i="2" a="1"/>
  <c r="R453" i="2" s="1"/>
  <c r="R454" i="2" a="1"/>
  <c r="R454" i="2" s="1"/>
  <c r="R455" i="2" a="1"/>
  <c r="R455" i="2" s="1"/>
  <c r="R456" i="2" a="1"/>
  <c r="R456" i="2" s="1"/>
  <c r="R457" i="2" a="1"/>
  <c r="R457" i="2" s="1"/>
  <c r="R458" i="2" a="1"/>
  <c r="R458" i="2" s="1"/>
  <c r="R459" i="2" a="1"/>
  <c r="R459" i="2" s="1"/>
  <c r="R460" i="2" a="1"/>
  <c r="R460" i="2" s="1"/>
  <c r="R461" i="2" a="1"/>
  <c r="R461" i="2" s="1"/>
  <c r="R462" i="2" a="1"/>
  <c r="R462" i="2" s="1"/>
  <c r="R463" i="2" a="1"/>
  <c r="R463" i="2" s="1"/>
  <c r="R464" i="2" a="1"/>
  <c r="R464" i="2" s="1"/>
  <c r="R465" i="2" a="1"/>
  <c r="R465" i="2" s="1"/>
  <c r="R466" i="2" a="1"/>
  <c r="R466" i="2" s="1"/>
  <c r="R467" i="2" a="1"/>
  <c r="R467" i="2" s="1"/>
  <c r="R468" i="2" a="1"/>
  <c r="R468" i="2" s="1"/>
  <c r="R469" i="2" a="1"/>
  <c r="R469" i="2" s="1"/>
  <c r="R470" i="2" a="1"/>
  <c r="R470" i="2" s="1"/>
  <c r="R471" i="2" a="1"/>
  <c r="R471" i="2" s="1"/>
  <c r="R472" i="2" a="1"/>
  <c r="R472" i="2" s="1"/>
  <c r="R473" i="2" a="1"/>
  <c r="R473" i="2" s="1"/>
  <c r="R474" i="2" a="1"/>
  <c r="R474" i="2" s="1"/>
  <c r="R475" i="2" a="1"/>
  <c r="R475" i="2" s="1"/>
  <c r="R476" i="2" a="1"/>
  <c r="R476" i="2" s="1"/>
  <c r="R477" i="2" a="1"/>
  <c r="R477" i="2" s="1"/>
  <c r="R478" i="2" a="1"/>
  <c r="R478" i="2" s="1"/>
  <c r="R479" i="2" a="1"/>
  <c r="R479" i="2" s="1"/>
  <c r="R480" i="2" a="1"/>
  <c r="R480" i="2" s="1"/>
  <c r="R481" i="2" a="1"/>
  <c r="R481" i="2" s="1"/>
  <c r="R482" i="2" a="1"/>
  <c r="R482" i="2" s="1"/>
  <c r="R483" i="2" a="1"/>
  <c r="R483" i="2" s="1"/>
  <c r="R484" i="2" a="1"/>
  <c r="R484" i="2" s="1"/>
  <c r="R485" i="2" a="1"/>
  <c r="R485" i="2" s="1"/>
  <c r="R486" i="2" a="1"/>
  <c r="R486" i="2" s="1"/>
  <c r="R487" i="2" a="1"/>
  <c r="R487" i="2" s="1"/>
  <c r="R488" i="2" a="1"/>
  <c r="R488" i="2" s="1"/>
  <c r="R489" i="2" a="1"/>
  <c r="R489" i="2" s="1"/>
  <c r="R490" i="2" a="1"/>
  <c r="R490" i="2" s="1"/>
  <c r="R491" i="2" a="1"/>
  <c r="R491" i="2" s="1"/>
  <c r="R492" i="2" a="1"/>
  <c r="R492" i="2" s="1"/>
  <c r="R493" i="2" a="1"/>
  <c r="R493" i="2" s="1"/>
  <c r="R494" i="2" a="1"/>
  <c r="R494" i="2" s="1"/>
  <c r="R495" i="2" a="1"/>
  <c r="R495" i="2" s="1"/>
  <c r="R496" i="2" a="1"/>
  <c r="R496" i="2" s="1"/>
  <c r="R497" i="2" a="1"/>
  <c r="R497" i="2" s="1"/>
  <c r="R498" i="2" a="1"/>
  <c r="R498" i="2" s="1"/>
  <c r="R499" i="2" a="1"/>
  <c r="R499" i="2" s="1"/>
  <c r="R500" i="2" a="1"/>
  <c r="R500" i="2" s="1"/>
  <c r="R501" i="2" a="1"/>
  <c r="R501" i="2" s="1"/>
  <c r="R502" i="2" a="1"/>
  <c r="R502" i="2" s="1"/>
  <c r="R503" i="2" a="1"/>
  <c r="R503" i="2" s="1"/>
  <c r="R504" i="2" a="1"/>
  <c r="R504" i="2" s="1"/>
  <c r="R505" i="2" a="1"/>
  <c r="R505" i="2" s="1"/>
  <c r="R506" i="2" a="1"/>
  <c r="R506" i="2" s="1"/>
  <c r="R507" i="2" a="1"/>
  <c r="R507" i="2" s="1"/>
  <c r="R508" i="2" a="1"/>
  <c r="R508" i="2" s="1"/>
  <c r="R509" i="2" a="1"/>
  <c r="R509" i="2" s="1"/>
  <c r="R510" i="2" a="1"/>
  <c r="R510" i="2" s="1"/>
  <c r="R511" i="2" a="1"/>
  <c r="R511" i="2" s="1"/>
  <c r="R512" i="2" a="1"/>
  <c r="R512" i="2" s="1"/>
  <c r="R513" i="2" a="1"/>
  <c r="R513" i="2" s="1"/>
  <c r="R514" i="2" a="1"/>
  <c r="R514" i="2" s="1"/>
  <c r="R515" i="2" a="1"/>
  <c r="R515" i="2" s="1"/>
  <c r="R516" i="2" a="1"/>
  <c r="R516" i="2" s="1"/>
  <c r="R517" i="2" a="1"/>
  <c r="R517" i="2" s="1"/>
  <c r="R518" i="2" a="1"/>
  <c r="R518" i="2" s="1"/>
  <c r="R519" i="2" a="1"/>
  <c r="R519" i="2" s="1"/>
  <c r="R520" i="2" a="1"/>
  <c r="R520" i="2" s="1"/>
  <c r="R521" i="2" a="1"/>
  <c r="R521" i="2" s="1"/>
  <c r="R522" i="2" a="1"/>
  <c r="R522" i="2" s="1"/>
  <c r="R523" i="2" a="1"/>
  <c r="R523" i="2" s="1"/>
  <c r="R524" i="2" a="1"/>
  <c r="R524" i="2" s="1"/>
  <c r="R525" i="2" a="1"/>
  <c r="R525" i="2" s="1"/>
  <c r="R526" i="2" a="1"/>
  <c r="R526" i="2" s="1"/>
  <c r="R527" i="2" a="1"/>
  <c r="R527" i="2" s="1"/>
  <c r="R528" i="2" a="1"/>
  <c r="R528" i="2" s="1"/>
  <c r="R529" i="2" a="1"/>
  <c r="R529" i="2" s="1"/>
  <c r="Q3" i="2" a="1"/>
  <c r="Q3" i="2" s="1"/>
  <c r="Q4" i="2" a="1"/>
  <c r="Q4" i="2" s="1"/>
  <c r="Q5" i="2" a="1"/>
  <c r="Q5" i="2" s="1"/>
  <c r="Q6" i="2" a="1"/>
  <c r="Q6" i="2" s="1"/>
  <c r="Q7" i="2" a="1"/>
  <c r="Q7" i="2" s="1"/>
  <c r="Q8" i="2" a="1"/>
  <c r="Q8" i="2" s="1"/>
  <c r="Q9" i="2" a="1"/>
  <c r="Q9" i="2" s="1"/>
  <c r="Q10" i="2" a="1"/>
  <c r="Q10" i="2" s="1"/>
  <c r="Q11" i="2" a="1"/>
  <c r="Q11" i="2" s="1"/>
  <c r="Q12" i="2" a="1"/>
  <c r="Q12" i="2" s="1"/>
  <c r="Q13" i="2" a="1"/>
  <c r="Q13" i="2" s="1"/>
  <c r="Q14" i="2" a="1"/>
  <c r="Q14" i="2" s="1"/>
  <c r="Q15" i="2" a="1"/>
  <c r="Q15" i="2" s="1"/>
  <c r="Q16" i="2" a="1"/>
  <c r="Q16" i="2" s="1"/>
  <c r="Q17" i="2" a="1"/>
  <c r="Q17" i="2" s="1"/>
  <c r="Q18" i="2" a="1"/>
  <c r="Q18" i="2" s="1"/>
  <c r="Q19" i="2" a="1"/>
  <c r="Q19" i="2" s="1"/>
  <c r="Q20" i="2" a="1"/>
  <c r="Q20" i="2" s="1"/>
  <c r="Q21" i="2" a="1"/>
  <c r="Q21" i="2" s="1"/>
  <c r="Q22" i="2" a="1"/>
  <c r="Q22" i="2" s="1"/>
  <c r="Q23" i="2" a="1"/>
  <c r="Q23" i="2" s="1"/>
  <c r="Q24" i="2" a="1"/>
  <c r="Q24" i="2" s="1"/>
  <c r="Q25" i="2" a="1"/>
  <c r="Q25" i="2" s="1"/>
  <c r="Q26" i="2" a="1"/>
  <c r="Q26" i="2" s="1"/>
  <c r="Q27" i="2" a="1"/>
  <c r="Q27" i="2" s="1"/>
  <c r="Q28" i="2" a="1"/>
  <c r="Q28" i="2" s="1"/>
  <c r="Q29" i="2" a="1"/>
  <c r="Q29" i="2" s="1"/>
  <c r="Q30" i="2" a="1"/>
  <c r="Q30" i="2" s="1"/>
  <c r="Q31" i="2" a="1"/>
  <c r="Q31" i="2" s="1"/>
  <c r="Q32" i="2" a="1"/>
  <c r="Q32" i="2" s="1"/>
  <c r="Q33" i="2" a="1"/>
  <c r="Q33" i="2" s="1"/>
  <c r="Q34" i="2" a="1"/>
  <c r="Q34" i="2" s="1"/>
  <c r="Q35" i="2" a="1"/>
  <c r="Q35" i="2" s="1"/>
  <c r="Q36" i="2" a="1"/>
  <c r="Q36" i="2" s="1"/>
  <c r="Q37" i="2" a="1"/>
  <c r="Q37" i="2" s="1"/>
  <c r="Q38" i="2" a="1"/>
  <c r="Q38" i="2" s="1"/>
  <c r="Q39" i="2" a="1"/>
  <c r="Q39" i="2" s="1"/>
  <c r="Q40" i="2" a="1"/>
  <c r="Q40" i="2" s="1"/>
  <c r="Q41" i="2" a="1"/>
  <c r="Q41" i="2" s="1"/>
  <c r="Q42" i="2" a="1"/>
  <c r="Q42" i="2" s="1"/>
  <c r="Q43" i="2" a="1"/>
  <c r="Q43" i="2" s="1"/>
  <c r="Q44" i="2" a="1"/>
  <c r="Q44" i="2" s="1"/>
  <c r="Q45" i="2" a="1"/>
  <c r="Q45" i="2" s="1"/>
  <c r="Q46" i="2" a="1"/>
  <c r="Q46" i="2" s="1"/>
  <c r="Q47" i="2" a="1"/>
  <c r="Q47" i="2" s="1"/>
  <c r="Q48" i="2" a="1"/>
  <c r="Q48" i="2" s="1"/>
  <c r="Q49" i="2" a="1"/>
  <c r="Q49" i="2" s="1"/>
  <c r="Q50" i="2" a="1"/>
  <c r="Q50" i="2" s="1"/>
  <c r="Q51" i="2" a="1"/>
  <c r="Q51" i="2" s="1"/>
  <c r="Q52" i="2" a="1"/>
  <c r="Q52" i="2" s="1"/>
  <c r="Q53" i="2" a="1"/>
  <c r="Q53" i="2" s="1"/>
  <c r="Q54" i="2" a="1"/>
  <c r="Q54" i="2" s="1"/>
  <c r="Q55" i="2" a="1"/>
  <c r="Q55" i="2" s="1"/>
  <c r="Q56" i="2" a="1"/>
  <c r="Q56" i="2" s="1"/>
  <c r="Q57" i="2" a="1"/>
  <c r="Q57" i="2" s="1"/>
  <c r="Q58" i="2" a="1"/>
  <c r="Q58" i="2" s="1"/>
  <c r="Q59" i="2" a="1"/>
  <c r="Q59" i="2" s="1"/>
  <c r="Q60" i="2" a="1"/>
  <c r="Q60" i="2" s="1"/>
  <c r="Q61" i="2" a="1"/>
  <c r="Q61" i="2" s="1"/>
  <c r="Q62" i="2" a="1"/>
  <c r="Q62" i="2" s="1"/>
  <c r="Q63" i="2" a="1"/>
  <c r="Q63" i="2" s="1"/>
  <c r="Q64" i="2" a="1"/>
  <c r="Q64" i="2" s="1"/>
  <c r="Q65" i="2" a="1"/>
  <c r="Q65" i="2" s="1"/>
  <c r="Q66" i="2" a="1"/>
  <c r="Q66" i="2" s="1"/>
  <c r="Q67" i="2" a="1"/>
  <c r="Q67" i="2" s="1"/>
  <c r="Q68" i="2" a="1"/>
  <c r="Q68" i="2" s="1"/>
  <c r="Q69" i="2" a="1"/>
  <c r="Q69" i="2" s="1"/>
  <c r="Q70" i="2" a="1"/>
  <c r="Q70" i="2" s="1"/>
  <c r="Q71" i="2" a="1"/>
  <c r="Q71" i="2" s="1"/>
  <c r="Q72" i="2" a="1"/>
  <c r="Q72" i="2" s="1"/>
  <c r="Q73" i="2" a="1"/>
  <c r="Q73" i="2" s="1"/>
  <c r="Q74" i="2" a="1"/>
  <c r="Q74" i="2" s="1"/>
  <c r="Q75" i="2" a="1"/>
  <c r="Q75" i="2" s="1"/>
  <c r="Q76" i="2" a="1"/>
  <c r="Q76" i="2" s="1"/>
  <c r="Q77" i="2" a="1"/>
  <c r="Q77" i="2" s="1"/>
  <c r="Q78" i="2" a="1"/>
  <c r="Q78" i="2" s="1"/>
  <c r="Q79" i="2" a="1"/>
  <c r="Q79" i="2" s="1"/>
  <c r="Q80" i="2" a="1"/>
  <c r="Q80" i="2" s="1"/>
  <c r="Q81" i="2" a="1"/>
  <c r="Q81" i="2" s="1"/>
  <c r="Q82" i="2" a="1"/>
  <c r="Q82" i="2" s="1"/>
  <c r="Q83" i="2" a="1"/>
  <c r="Q83" i="2" s="1"/>
  <c r="Q84" i="2" a="1"/>
  <c r="Q84" i="2" s="1"/>
  <c r="Q85" i="2" a="1"/>
  <c r="Q85" i="2" s="1"/>
  <c r="Q86" i="2" a="1"/>
  <c r="Q86" i="2" s="1"/>
  <c r="Q87" i="2" a="1"/>
  <c r="Q87" i="2" s="1"/>
  <c r="Q88" i="2" a="1"/>
  <c r="Q88" i="2" s="1"/>
  <c r="Q89" i="2" a="1"/>
  <c r="Q89" i="2" s="1"/>
  <c r="Q90" i="2" a="1"/>
  <c r="Q90" i="2" s="1"/>
  <c r="Q91" i="2" a="1"/>
  <c r="Q91" i="2" s="1"/>
  <c r="Q92" i="2" a="1"/>
  <c r="Q92" i="2" s="1"/>
  <c r="Q93" i="2" a="1"/>
  <c r="Q93" i="2" s="1"/>
  <c r="Q94" i="2" a="1"/>
  <c r="Q94" i="2" s="1"/>
  <c r="Q95" i="2" a="1"/>
  <c r="Q95" i="2" s="1"/>
  <c r="Q96" i="2" a="1"/>
  <c r="Q96" i="2" s="1"/>
  <c r="Q97" i="2" a="1"/>
  <c r="Q97" i="2" s="1"/>
  <c r="Q98" i="2" a="1"/>
  <c r="Q98" i="2" s="1"/>
  <c r="Q99" i="2" a="1"/>
  <c r="Q99" i="2" s="1"/>
  <c r="Q100" i="2" a="1"/>
  <c r="Q100" i="2" s="1"/>
  <c r="Q101" i="2" a="1"/>
  <c r="Q101" i="2" s="1"/>
  <c r="Q102" i="2" a="1"/>
  <c r="Q102" i="2" s="1"/>
  <c r="Q103" i="2" a="1"/>
  <c r="Q103" i="2" s="1"/>
  <c r="Q104" i="2" a="1"/>
  <c r="Q104" i="2" s="1"/>
  <c r="Q105" i="2" a="1"/>
  <c r="Q105" i="2" s="1"/>
  <c r="Q106" i="2" a="1"/>
  <c r="Q106" i="2" s="1"/>
  <c r="Q107" i="2" a="1"/>
  <c r="Q107" i="2" s="1"/>
  <c r="Q108" i="2" a="1"/>
  <c r="Q108" i="2" s="1"/>
  <c r="Q109" i="2" a="1"/>
  <c r="Q109" i="2" s="1"/>
  <c r="Q110" i="2" a="1"/>
  <c r="Q110" i="2" s="1"/>
  <c r="Q111" i="2" a="1"/>
  <c r="Q111" i="2" s="1"/>
  <c r="Q112" i="2" a="1"/>
  <c r="Q112" i="2" s="1"/>
  <c r="Q113" i="2" a="1"/>
  <c r="Q113" i="2" s="1"/>
  <c r="Q114" i="2" a="1"/>
  <c r="Q114" i="2" s="1"/>
  <c r="Q115" i="2" a="1"/>
  <c r="Q115" i="2" s="1"/>
  <c r="Q116" i="2" a="1"/>
  <c r="Q116" i="2" s="1"/>
  <c r="Q117" i="2" a="1"/>
  <c r="Q117" i="2" s="1"/>
  <c r="Q118" i="2" a="1"/>
  <c r="Q118" i="2" s="1"/>
  <c r="Q119" i="2" a="1"/>
  <c r="Q119" i="2" s="1"/>
  <c r="Q120" i="2" a="1"/>
  <c r="Q120" i="2" s="1"/>
  <c r="Q121" i="2" a="1"/>
  <c r="Q121" i="2" s="1"/>
  <c r="Q122" i="2" a="1"/>
  <c r="Q122" i="2" s="1"/>
  <c r="Q123" i="2" a="1"/>
  <c r="Q123" i="2" s="1"/>
  <c r="Q124" i="2" a="1"/>
  <c r="Q124" i="2" s="1"/>
  <c r="Q125" i="2" a="1"/>
  <c r="Q125" i="2" s="1"/>
  <c r="Q126" i="2" a="1"/>
  <c r="Q126" i="2" s="1"/>
  <c r="Q127" i="2" a="1"/>
  <c r="Q127" i="2" s="1"/>
  <c r="Q128" i="2" a="1"/>
  <c r="Q128" i="2" s="1"/>
  <c r="Q129" i="2" a="1"/>
  <c r="Q129" i="2" s="1"/>
  <c r="Q130" i="2" a="1"/>
  <c r="Q130" i="2" s="1"/>
  <c r="Q131" i="2" a="1"/>
  <c r="Q131" i="2" s="1"/>
  <c r="Q132" i="2" a="1"/>
  <c r="Q132" i="2" s="1"/>
  <c r="Q133" i="2" a="1"/>
  <c r="Q133" i="2" s="1"/>
  <c r="Q134" i="2" a="1"/>
  <c r="Q134" i="2" s="1"/>
  <c r="Q135" i="2" a="1"/>
  <c r="Q135" i="2" s="1"/>
  <c r="Q136" i="2" a="1"/>
  <c r="Q136" i="2" s="1"/>
  <c r="Q137" i="2" a="1"/>
  <c r="Q137" i="2" s="1"/>
  <c r="Q138" i="2" a="1"/>
  <c r="Q138" i="2" s="1"/>
  <c r="Q139" i="2" a="1"/>
  <c r="Q139" i="2" s="1"/>
  <c r="Q140" i="2" a="1"/>
  <c r="Q140" i="2" s="1"/>
  <c r="Q141" i="2" a="1"/>
  <c r="Q141" i="2" s="1"/>
  <c r="Q142" i="2" a="1"/>
  <c r="Q142" i="2" s="1"/>
  <c r="Q143" i="2" a="1"/>
  <c r="Q143" i="2" s="1"/>
  <c r="Q144" i="2" a="1"/>
  <c r="Q144" i="2" s="1"/>
  <c r="Q145" i="2" a="1"/>
  <c r="Q145" i="2" s="1"/>
  <c r="Q146" i="2" a="1"/>
  <c r="Q146" i="2" s="1"/>
  <c r="Q147" i="2" a="1"/>
  <c r="Q147" i="2" s="1"/>
  <c r="Q148" i="2" a="1"/>
  <c r="Q148" i="2" s="1"/>
  <c r="Q149" i="2" a="1"/>
  <c r="Q149" i="2" s="1"/>
  <c r="Q150" i="2" a="1"/>
  <c r="Q150" i="2" s="1"/>
  <c r="Q151" i="2" a="1"/>
  <c r="Q151" i="2" s="1"/>
  <c r="Q152" i="2" a="1"/>
  <c r="Q152" i="2" s="1"/>
  <c r="Q153" i="2" a="1"/>
  <c r="Q153" i="2" s="1"/>
  <c r="Q154" i="2" a="1"/>
  <c r="Q154" i="2" s="1"/>
  <c r="Q155" i="2" a="1"/>
  <c r="Q155" i="2" s="1"/>
  <c r="Q156" i="2" a="1"/>
  <c r="Q156" i="2" s="1"/>
  <c r="Q157" i="2" a="1"/>
  <c r="Q157" i="2" s="1"/>
  <c r="Q158" i="2" a="1"/>
  <c r="Q158" i="2" s="1"/>
  <c r="Q159" i="2" a="1"/>
  <c r="Q159" i="2" s="1"/>
  <c r="Q160" i="2" a="1"/>
  <c r="Q160" i="2" s="1"/>
  <c r="Q161" i="2" a="1"/>
  <c r="Q161" i="2" s="1"/>
  <c r="Q162" i="2" a="1"/>
  <c r="Q162" i="2" s="1"/>
  <c r="Q163" i="2" a="1"/>
  <c r="Q163" i="2" s="1"/>
  <c r="Q164" i="2" a="1"/>
  <c r="Q164" i="2" s="1"/>
  <c r="Q165" i="2" a="1"/>
  <c r="Q165" i="2" s="1"/>
  <c r="Q166" i="2" a="1"/>
  <c r="Q166" i="2" s="1"/>
  <c r="Q167" i="2" a="1"/>
  <c r="Q167" i="2" s="1"/>
  <c r="Q168" i="2" a="1"/>
  <c r="Q168" i="2" s="1"/>
  <c r="Q169" i="2" a="1"/>
  <c r="Q169" i="2" s="1"/>
  <c r="Q170" i="2" a="1"/>
  <c r="Q170" i="2" s="1"/>
  <c r="Q171" i="2" a="1"/>
  <c r="Q171" i="2" s="1"/>
  <c r="Q172" i="2" a="1"/>
  <c r="Q172" i="2" s="1"/>
  <c r="Q173" i="2" a="1"/>
  <c r="Q173" i="2" s="1"/>
  <c r="Q174" i="2" a="1"/>
  <c r="Q174" i="2" s="1"/>
  <c r="Q175" i="2" a="1"/>
  <c r="Q175" i="2" s="1"/>
  <c r="Q176" i="2" a="1"/>
  <c r="Q176" i="2" s="1"/>
  <c r="Q177" i="2" a="1"/>
  <c r="Q177" i="2" s="1"/>
  <c r="Q178" i="2" a="1"/>
  <c r="Q178" i="2" s="1"/>
  <c r="Q179" i="2" a="1"/>
  <c r="Q179" i="2" s="1"/>
  <c r="Q180" i="2" a="1"/>
  <c r="Q180" i="2" s="1"/>
  <c r="Q181" i="2" a="1"/>
  <c r="Q181" i="2" s="1"/>
  <c r="Q182" i="2" a="1"/>
  <c r="Q182" i="2" s="1"/>
  <c r="Q183" i="2" a="1"/>
  <c r="Q183" i="2" s="1"/>
  <c r="Q184" i="2" a="1"/>
  <c r="Q184" i="2" s="1"/>
  <c r="Q185" i="2" a="1"/>
  <c r="Q185" i="2" s="1"/>
  <c r="Q186" i="2" a="1"/>
  <c r="Q186" i="2" s="1"/>
  <c r="Q187" i="2" a="1"/>
  <c r="Q187" i="2" s="1"/>
  <c r="Q188" i="2" a="1"/>
  <c r="Q188" i="2" s="1"/>
  <c r="Q189" i="2" a="1"/>
  <c r="Q189" i="2" s="1"/>
  <c r="Q190" i="2" a="1"/>
  <c r="Q190" i="2" s="1"/>
  <c r="Q191" i="2" a="1"/>
  <c r="Q191" i="2" s="1"/>
  <c r="Q192" i="2" a="1"/>
  <c r="Q192" i="2" s="1"/>
  <c r="Q193" i="2" a="1"/>
  <c r="Q193" i="2" s="1"/>
  <c r="Q194" i="2" a="1"/>
  <c r="Q194" i="2" s="1"/>
  <c r="Q195" i="2" a="1"/>
  <c r="Q195" i="2" s="1"/>
  <c r="Q196" i="2" a="1"/>
  <c r="Q196" i="2" s="1"/>
  <c r="Q197" i="2" a="1"/>
  <c r="Q197" i="2" s="1"/>
  <c r="Q198" i="2" a="1"/>
  <c r="Q198" i="2" s="1"/>
  <c r="Q199" i="2" a="1"/>
  <c r="Q199" i="2" s="1"/>
  <c r="Q200" i="2" a="1"/>
  <c r="Q200" i="2" s="1"/>
  <c r="Q201" i="2" a="1"/>
  <c r="Q201" i="2" s="1"/>
  <c r="Q202" i="2" a="1"/>
  <c r="Q202" i="2" s="1"/>
  <c r="Q203" i="2" a="1"/>
  <c r="Q203" i="2" s="1"/>
  <c r="Q204" i="2" a="1"/>
  <c r="Q204" i="2" s="1"/>
  <c r="Q205" i="2" a="1"/>
  <c r="Q205" i="2" s="1"/>
  <c r="Q206" i="2" a="1"/>
  <c r="Q206" i="2" s="1"/>
  <c r="Q207" i="2" a="1"/>
  <c r="Q207" i="2" s="1"/>
  <c r="Q208" i="2" a="1"/>
  <c r="Q208" i="2" s="1"/>
  <c r="Q209" i="2" a="1"/>
  <c r="Q209" i="2" s="1"/>
  <c r="Q210" i="2" a="1"/>
  <c r="Q210" i="2" s="1"/>
  <c r="Q211" i="2" a="1"/>
  <c r="Q211" i="2" s="1"/>
  <c r="Q212" i="2" a="1"/>
  <c r="Q212" i="2" s="1"/>
  <c r="Q213" i="2" a="1"/>
  <c r="Q213" i="2" s="1"/>
  <c r="Q214" i="2" a="1"/>
  <c r="Q214" i="2" s="1"/>
  <c r="Q215" i="2" a="1"/>
  <c r="Q215" i="2" s="1"/>
  <c r="Q216" i="2" a="1"/>
  <c r="Q216" i="2" s="1"/>
  <c r="Q217" i="2" a="1"/>
  <c r="Q217" i="2" s="1"/>
  <c r="Q218" i="2" a="1"/>
  <c r="Q218" i="2" s="1"/>
  <c r="Q219" i="2" a="1"/>
  <c r="Q219" i="2" s="1"/>
  <c r="Q220" i="2" a="1"/>
  <c r="Q220" i="2" s="1"/>
  <c r="Q221" i="2" a="1"/>
  <c r="Q221" i="2" s="1"/>
  <c r="Q222" i="2" a="1"/>
  <c r="Q222" i="2" s="1"/>
  <c r="Q223" i="2" a="1"/>
  <c r="Q223" i="2" s="1"/>
  <c r="Q224" i="2" a="1"/>
  <c r="Q224" i="2" s="1"/>
  <c r="Q225" i="2" a="1"/>
  <c r="Q225" i="2" s="1"/>
  <c r="Q226" i="2" a="1"/>
  <c r="Q226" i="2" s="1"/>
  <c r="Q227" i="2" a="1"/>
  <c r="Q227" i="2" s="1"/>
  <c r="Q228" i="2" a="1"/>
  <c r="Q228" i="2" s="1"/>
  <c r="Q229" i="2" a="1"/>
  <c r="Q229" i="2" s="1"/>
  <c r="Q230" i="2" a="1"/>
  <c r="Q230" i="2" s="1"/>
  <c r="Q231" i="2" a="1"/>
  <c r="Q231" i="2" s="1"/>
  <c r="Q232" i="2" a="1"/>
  <c r="Q232" i="2" s="1"/>
  <c r="Q233" i="2" a="1"/>
  <c r="Q233" i="2" s="1"/>
  <c r="Q234" i="2" a="1"/>
  <c r="Q234" i="2" s="1"/>
  <c r="Q235" i="2" a="1"/>
  <c r="Q235" i="2" s="1"/>
  <c r="Q236" i="2" a="1"/>
  <c r="Q236" i="2" s="1"/>
  <c r="Q237" i="2" a="1"/>
  <c r="Q237" i="2" s="1"/>
  <c r="Q238" i="2" a="1"/>
  <c r="Q238" i="2" s="1"/>
  <c r="Q239" i="2" a="1"/>
  <c r="Q239" i="2" s="1"/>
  <c r="Q240" i="2" a="1"/>
  <c r="Q240" i="2" s="1"/>
  <c r="Q241" i="2" a="1"/>
  <c r="Q241" i="2" s="1"/>
  <c r="Q242" i="2" a="1"/>
  <c r="Q242" i="2" s="1"/>
  <c r="Q243" i="2" a="1"/>
  <c r="Q243" i="2" s="1"/>
  <c r="Q244" i="2" a="1"/>
  <c r="Q244" i="2" s="1"/>
  <c r="Q245" i="2" a="1"/>
  <c r="Q245" i="2" s="1"/>
  <c r="Q246" i="2" a="1"/>
  <c r="Q246" i="2" s="1"/>
  <c r="Q247" i="2" a="1"/>
  <c r="Q247" i="2" s="1"/>
  <c r="Q248" i="2" a="1"/>
  <c r="Q248" i="2" s="1"/>
  <c r="Q249" i="2" a="1"/>
  <c r="Q249" i="2" s="1"/>
  <c r="Q250" i="2" a="1"/>
  <c r="Q250" i="2" s="1"/>
  <c r="Q251" i="2" a="1"/>
  <c r="Q251" i="2" s="1"/>
  <c r="Q252" i="2" a="1"/>
  <c r="Q252" i="2" s="1"/>
  <c r="Q253" i="2" a="1"/>
  <c r="Q253" i="2" s="1"/>
  <c r="Q254" i="2" a="1"/>
  <c r="Q254" i="2" s="1"/>
  <c r="Q255" i="2" a="1"/>
  <c r="Q255" i="2" s="1"/>
  <c r="Q256" i="2" a="1"/>
  <c r="Q256" i="2" s="1"/>
  <c r="Q257" i="2" a="1"/>
  <c r="Q257" i="2" s="1"/>
  <c r="Q258" i="2" a="1"/>
  <c r="Q258" i="2" s="1"/>
  <c r="Q259" i="2" a="1"/>
  <c r="Q259" i="2" s="1"/>
  <c r="Q260" i="2" a="1"/>
  <c r="Q260" i="2" s="1"/>
  <c r="Q261" i="2" a="1"/>
  <c r="Q261" i="2" s="1"/>
  <c r="Q262" i="2" a="1"/>
  <c r="Q262" i="2" s="1"/>
  <c r="Q263" i="2" a="1"/>
  <c r="Q263" i="2" s="1"/>
  <c r="Q264" i="2" a="1"/>
  <c r="Q264" i="2" s="1"/>
  <c r="Q265" i="2" a="1"/>
  <c r="Q265" i="2" s="1"/>
  <c r="Q266" i="2" a="1"/>
  <c r="Q266" i="2" s="1"/>
  <c r="Q267" i="2" a="1"/>
  <c r="Q267" i="2" s="1"/>
  <c r="Q268" i="2" a="1"/>
  <c r="Q268" i="2" s="1"/>
  <c r="Q269" i="2" a="1"/>
  <c r="Q269" i="2" s="1"/>
  <c r="Q270" i="2" a="1"/>
  <c r="Q270" i="2" s="1"/>
  <c r="Q271" i="2" a="1"/>
  <c r="Q271" i="2" s="1"/>
  <c r="Q272" i="2" a="1"/>
  <c r="Q272" i="2" s="1"/>
  <c r="Q273" i="2" a="1"/>
  <c r="Q273" i="2" s="1"/>
  <c r="Q274" i="2" a="1"/>
  <c r="Q274" i="2" s="1"/>
  <c r="Q275" i="2" a="1"/>
  <c r="Q275" i="2" s="1"/>
  <c r="Q276" i="2" a="1"/>
  <c r="Q276" i="2" s="1"/>
  <c r="Q277" i="2" a="1"/>
  <c r="Q277" i="2" s="1"/>
  <c r="Q278" i="2" a="1"/>
  <c r="Q278" i="2" s="1"/>
  <c r="Q279" i="2" a="1"/>
  <c r="Q279" i="2" s="1"/>
  <c r="Q280" i="2" a="1"/>
  <c r="Q280" i="2" s="1"/>
  <c r="Q281" i="2" a="1"/>
  <c r="Q281" i="2" s="1"/>
  <c r="Q282" i="2" a="1"/>
  <c r="Q282" i="2" s="1"/>
  <c r="Q283" i="2" a="1"/>
  <c r="Q283" i="2" s="1"/>
  <c r="Q284" i="2" a="1"/>
  <c r="Q284" i="2" s="1"/>
  <c r="Q285" i="2" a="1"/>
  <c r="Q285" i="2" s="1"/>
  <c r="Q286" i="2" a="1"/>
  <c r="Q286" i="2" s="1"/>
  <c r="Q287" i="2" a="1"/>
  <c r="Q287" i="2" s="1"/>
  <c r="Q288" i="2" a="1"/>
  <c r="Q288" i="2" s="1"/>
  <c r="Q289" i="2" a="1"/>
  <c r="Q289" i="2" s="1"/>
  <c r="Q290" i="2" a="1"/>
  <c r="Q290" i="2" s="1"/>
  <c r="Q291" i="2" a="1"/>
  <c r="Q291" i="2" s="1"/>
  <c r="Q292" i="2" a="1"/>
  <c r="Q292" i="2" s="1"/>
  <c r="Q293" i="2" a="1"/>
  <c r="Q293" i="2" s="1"/>
  <c r="Q294" i="2" a="1"/>
  <c r="Q294" i="2" s="1"/>
  <c r="Q295" i="2" a="1"/>
  <c r="Q295" i="2" s="1"/>
  <c r="Q296" i="2" a="1"/>
  <c r="Q296" i="2" s="1"/>
  <c r="Q297" i="2" a="1"/>
  <c r="Q297" i="2" s="1"/>
  <c r="Q298" i="2" a="1"/>
  <c r="Q298" i="2" s="1"/>
  <c r="Q299" i="2" a="1"/>
  <c r="Q299" i="2" s="1"/>
  <c r="Q300" i="2" a="1"/>
  <c r="Q300" i="2" s="1"/>
  <c r="Q301" i="2" a="1"/>
  <c r="Q301" i="2" s="1"/>
  <c r="Q302" i="2" a="1"/>
  <c r="Q302" i="2" s="1"/>
  <c r="Q303" i="2" a="1"/>
  <c r="Q303" i="2" s="1"/>
  <c r="Q304" i="2" a="1"/>
  <c r="Q304" i="2" s="1"/>
  <c r="Q305" i="2" a="1"/>
  <c r="Q305" i="2" s="1"/>
  <c r="Q306" i="2" a="1"/>
  <c r="Q306" i="2" s="1"/>
  <c r="Q307" i="2" a="1"/>
  <c r="Q307" i="2" s="1"/>
  <c r="Q308" i="2" a="1"/>
  <c r="Q308" i="2" s="1"/>
  <c r="Q309" i="2" a="1"/>
  <c r="Q309" i="2" s="1"/>
  <c r="Q310" i="2" a="1"/>
  <c r="Q310" i="2" s="1"/>
  <c r="Q311" i="2" a="1"/>
  <c r="Q311" i="2" s="1"/>
  <c r="Q312" i="2" a="1"/>
  <c r="Q312" i="2" s="1"/>
  <c r="Q313" i="2" a="1"/>
  <c r="Q313" i="2" s="1"/>
  <c r="Q314" i="2" a="1"/>
  <c r="Q314" i="2" s="1"/>
  <c r="Q315" i="2" a="1"/>
  <c r="Q315" i="2" s="1"/>
  <c r="Q316" i="2" a="1"/>
  <c r="Q316" i="2" s="1"/>
  <c r="Q317" i="2" a="1"/>
  <c r="Q317" i="2" s="1"/>
  <c r="Q318" i="2" a="1"/>
  <c r="Q318" i="2" s="1"/>
  <c r="Q319" i="2" a="1"/>
  <c r="Q319" i="2" s="1"/>
  <c r="Q320" i="2" a="1"/>
  <c r="Q320" i="2" s="1"/>
  <c r="Q321" i="2" a="1"/>
  <c r="Q321" i="2" s="1"/>
  <c r="Q322" i="2" a="1"/>
  <c r="Q322" i="2" s="1"/>
  <c r="Q323" i="2" a="1"/>
  <c r="Q323" i="2" s="1"/>
  <c r="Q324" i="2" a="1"/>
  <c r="Q324" i="2" s="1"/>
  <c r="Q325" i="2" a="1"/>
  <c r="Q325" i="2" s="1"/>
  <c r="Q326" i="2" a="1"/>
  <c r="Q326" i="2" s="1"/>
  <c r="Q327" i="2" a="1"/>
  <c r="Q327" i="2" s="1"/>
  <c r="Q328" i="2" a="1"/>
  <c r="Q328" i="2" s="1"/>
  <c r="Q329" i="2" a="1"/>
  <c r="Q329" i="2" s="1"/>
  <c r="Q330" i="2" a="1"/>
  <c r="Q330" i="2" s="1"/>
  <c r="Q331" i="2" a="1"/>
  <c r="Q331" i="2" s="1"/>
  <c r="Q332" i="2" a="1"/>
  <c r="Q332" i="2" s="1"/>
  <c r="Q333" i="2" a="1"/>
  <c r="Q333" i="2" s="1"/>
  <c r="Q334" i="2" a="1"/>
  <c r="Q334" i="2" s="1"/>
  <c r="Q335" i="2" a="1"/>
  <c r="Q335" i="2" s="1"/>
  <c r="Q336" i="2" a="1"/>
  <c r="Q336" i="2" s="1"/>
  <c r="Q337" i="2" a="1"/>
  <c r="Q337" i="2" s="1"/>
  <c r="Q338" i="2" a="1"/>
  <c r="Q338" i="2" s="1"/>
  <c r="Q339" i="2" a="1"/>
  <c r="Q339" i="2" s="1"/>
  <c r="Q340" i="2" a="1"/>
  <c r="Q340" i="2" s="1"/>
  <c r="Q341" i="2" a="1"/>
  <c r="Q341" i="2" s="1"/>
  <c r="Q342" i="2" a="1"/>
  <c r="Q342" i="2" s="1"/>
  <c r="Q343" i="2" a="1"/>
  <c r="Q343" i="2" s="1"/>
  <c r="Q344" i="2" a="1"/>
  <c r="Q344" i="2" s="1"/>
  <c r="Q345" i="2" a="1"/>
  <c r="Q345" i="2" s="1"/>
  <c r="Q346" i="2" a="1"/>
  <c r="Q346" i="2" s="1"/>
  <c r="Q347" i="2" a="1"/>
  <c r="Q347" i="2" s="1"/>
  <c r="Q348" i="2" a="1"/>
  <c r="Q348" i="2" s="1"/>
  <c r="Q349" i="2" a="1"/>
  <c r="Q349" i="2" s="1"/>
  <c r="Q350" i="2" a="1"/>
  <c r="Q350" i="2" s="1"/>
  <c r="Q351" i="2" a="1"/>
  <c r="Q351" i="2" s="1"/>
  <c r="Q352" i="2" a="1"/>
  <c r="Q352" i="2" s="1"/>
  <c r="Q353" i="2" a="1"/>
  <c r="Q353" i="2" s="1"/>
  <c r="Q354" i="2" a="1"/>
  <c r="Q354" i="2" s="1"/>
  <c r="Q355" i="2" a="1"/>
  <c r="Q355" i="2" s="1"/>
  <c r="Q356" i="2" a="1"/>
  <c r="Q356" i="2" s="1"/>
  <c r="Q357" i="2" a="1"/>
  <c r="Q357" i="2" s="1"/>
  <c r="Q358" i="2" a="1"/>
  <c r="Q358" i="2" s="1"/>
  <c r="Q359" i="2" a="1"/>
  <c r="Q359" i="2" s="1"/>
  <c r="Q360" i="2" a="1"/>
  <c r="Q360" i="2" s="1"/>
  <c r="Q361" i="2" a="1"/>
  <c r="Q361" i="2" s="1"/>
  <c r="Q362" i="2" a="1"/>
  <c r="Q362" i="2" s="1"/>
  <c r="Q363" i="2" a="1"/>
  <c r="Q363" i="2" s="1"/>
  <c r="Q364" i="2" a="1"/>
  <c r="Q364" i="2" s="1"/>
  <c r="Q365" i="2" a="1"/>
  <c r="Q365" i="2" s="1"/>
  <c r="Q366" i="2" a="1"/>
  <c r="Q366" i="2" s="1"/>
  <c r="Q367" i="2" a="1"/>
  <c r="Q367" i="2" s="1"/>
  <c r="Q368" i="2" a="1"/>
  <c r="Q368" i="2" s="1"/>
  <c r="Q369" i="2" a="1"/>
  <c r="Q369" i="2" s="1"/>
  <c r="Q370" i="2" a="1"/>
  <c r="Q370" i="2" s="1"/>
  <c r="Q371" i="2" a="1"/>
  <c r="Q371" i="2" s="1"/>
  <c r="Q372" i="2" a="1"/>
  <c r="Q372" i="2" s="1"/>
  <c r="Q373" i="2" a="1"/>
  <c r="Q373" i="2" s="1"/>
  <c r="Q374" i="2" a="1"/>
  <c r="Q374" i="2" s="1"/>
  <c r="Q375" i="2" a="1"/>
  <c r="Q375" i="2" s="1"/>
  <c r="Q376" i="2" a="1"/>
  <c r="Q376" i="2" s="1"/>
  <c r="Q377" i="2" a="1"/>
  <c r="Q377" i="2" s="1"/>
  <c r="Q378" i="2" a="1"/>
  <c r="Q378" i="2" s="1"/>
  <c r="Q379" i="2" a="1"/>
  <c r="Q379" i="2" s="1"/>
  <c r="Q380" i="2" a="1"/>
  <c r="Q380" i="2" s="1"/>
  <c r="Q381" i="2" a="1"/>
  <c r="Q381" i="2" s="1"/>
  <c r="Q382" i="2" a="1"/>
  <c r="Q382" i="2" s="1"/>
  <c r="Q383" i="2" a="1"/>
  <c r="Q383" i="2" s="1"/>
  <c r="Q384" i="2" a="1"/>
  <c r="Q384" i="2" s="1"/>
  <c r="Q385" i="2" a="1"/>
  <c r="Q385" i="2" s="1"/>
  <c r="Q386" i="2" a="1"/>
  <c r="Q386" i="2" s="1"/>
  <c r="Q387" i="2" a="1"/>
  <c r="Q387" i="2" s="1"/>
  <c r="Q388" i="2" a="1"/>
  <c r="Q388" i="2" s="1"/>
  <c r="Q389" i="2" a="1"/>
  <c r="Q389" i="2" s="1"/>
  <c r="Q390" i="2" a="1"/>
  <c r="Q390" i="2" s="1"/>
  <c r="Q391" i="2" a="1"/>
  <c r="Q391" i="2" s="1"/>
  <c r="Q392" i="2" a="1"/>
  <c r="Q392" i="2" s="1"/>
  <c r="Q393" i="2" a="1"/>
  <c r="Q393" i="2" s="1"/>
  <c r="Q394" i="2" a="1"/>
  <c r="Q394" i="2" s="1"/>
  <c r="Q395" i="2" a="1"/>
  <c r="Q395" i="2" s="1"/>
  <c r="Q396" i="2" a="1"/>
  <c r="Q396" i="2" s="1"/>
  <c r="Q397" i="2" a="1"/>
  <c r="Q397" i="2" s="1"/>
  <c r="Q398" i="2" a="1"/>
  <c r="Q398" i="2" s="1"/>
  <c r="Q399" i="2" a="1"/>
  <c r="Q399" i="2" s="1"/>
  <c r="Q400" i="2" a="1"/>
  <c r="Q400" i="2" s="1"/>
  <c r="Q401" i="2" a="1"/>
  <c r="Q401" i="2" s="1"/>
  <c r="Q402" i="2" a="1"/>
  <c r="Q402" i="2" s="1"/>
  <c r="Q403" i="2" a="1"/>
  <c r="Q403" i="2" s="1"/>
  <c r="Q404" i="2" a="1"/>
  <c r="Q404" i="2" s="1"/>
  <c r="Q405" i="2" a="1"/>
  <c r="Q405" i="2" s="1"/>
  <c r="Q406" i="2" a="1"/>
  <c r="Q406" i="2" s="1"/>
  <c r="Q407" i="2" a="1"/>
  <c r="Q407" i="2" s="1"/>
  <c r="Q408" i="2" a="1"/>
  <c r="Q408" i="2" s="1"/>
  <c r="Q409" i="2" a="1"/>
  <c r="Q409" i="2" s="1"/>
  <c r="Q410" i="2" a="1"/>
  <c r="Q410" i="2" s="1"/>
  <c r="Q411" i="2" a="1"/>
  <c r="Q411" i="2" s="1"/>
  <c r="Q412" i="2" a="1"/>
  <c r="Q412" i="2" s="1"/>
  <c r="Q413" i="2" a="1"/>
  <c r="Q413" i="2" s="1"/>
  <c r="Q414" i="2" a="1"/>
  <c r="Q414" i="2" s="1"/>
  <c r="Q415" i="2" a="1"/>
  <c r="Q415" i="2" s="1"/>
  <c r="Q416" i="2" a="1"/>
  <c r="Q416" i="2" s="1"/>
  <c r="Q417" i="2" a="1"/>
  <c r="Q417" i="2" s="1"/>
  <c r="Q418" i="2" a="1"/>
  <c r="Q418" i="2" s="1"/>
  <c r="Q419" i="2" a="1"/>
  <c r="Q419" i="2" s="1"/>
  <c r="Q420" i="2" a="1"/>
  <c r="Q420" i="2" s="1"/>
  <c r="Q421" i="2" a="1"/>
  <c r="Q421" i="2" s="1"/>
  <c r="Q422" i="2" a="1"/>
  <c r="Q422" i="2" s="1"/>
  <c r="Q423" i="2" a="1"/>
  <c r="Q423" i="2" s="1"/>
  <c r="Q424" i="2" a="1"/>
  <c r="Q424" i="2" s="1"/>
  <c r="Q425" i="2" a="1"/>
  <c r="Q425" i="2" s="1"/>
  <c r="Q426" i="2" a="1"/>
  <c r="Q426" i="2" s="1"/>
  <c r="Q427" i="2" a="1"/>
  <c r="Q427" i="2" s="1"/>
  <c r="Q428" i="2" a="1"/>
  <c r="Q428" i="2" s="1"/>
  <c r="Q429" i="2" a="1"/>
  <c r="Q429" i="2" s="1"/>
  <c r="Q430" i="2" a="1"/>
  <c r="Q430" i="2" s="1"/>
  <c r="Q431" i="2" a="1"/>
  <c r="Q431" i="2" s="1"/>
  <c r="Q432" i="2" a="1"/>
  <c r="Q432" i="2" s="1"/>
  <c r="Q433" i="2" a="1"/>
  <c r="Q433" i="2" s="1"/>
  <c r="Q434" i="2" a="1"/>
  <c r="Q434" i="2" s="1"/>
  <c r="Q435" i="2" a="1"/>
  <c r="Q435" i="2" s="1"/>
  <c r="Q436" i="2" a="1"/>
  <c r="Q436" i="2" s="1"/>
  <c r="Q437" i="2" a="1"/>
  <c r="Q437" i="2" s="1"/>
  <c r="Q438" i="2" a="1"/>
  <c r="Q438" i="2" s="1"/>
  <c r="Q439" i="2" a="1"/>
  <c r="Q439" i="2" s="1"/>
  <c r="Q440" i="2" a="1"/>
  <c r="Q440" i="2" s="1"/>
  <c r="Q441" i="2" a="1"/>
  <c r="Q441" i="2" s="1"/>
  <c r="Q442" i="2" a="1"/>
  <c r="Q442" i="2" s="1"/>
  <c r="Q443" i="2" a="1"/>
  <c r="Q443" i="2" s="1"/>
  <c r="Q444" i="2" a="1"/>
  <c r="Q444" i="2" s="1"/>
  <c r="Q445" i="2" a="1"/>
  <c r="Q445" i="2" s="1"/>
  <c r="Q446" i="2" a="1"/>
  <c r="Q446" i="2" s="1"/>
  <c r="Q447" i="2" a="1"/>
  <c r="Q447" i="2" s="1"/>
  <c r="Q448" i="2" a="1"/>
  <c r="Q448" i="2" s="1"/>
  <c r="Q449" i="2" a="1"/>
  <c r="Q449" i="2" s="1"/>
  <c r="Q450" i="2" a="1"/>
  <c r="Q450" i="2" s="1"/>
  <c r="Q451" i="2" a="1"/>
  <c r="Q451" i="2" s="1"/>
  <c r="Q452" i="2" a="1"/>
  <c r="Q452" i="2" s="1"/>
  <c r="Q453" i="2" a="1"/>
  <c r="Q453" i="2" s="1"/>
  <c r="Q454" i="2" a="1"/>
  <c r="Q454" i="2" s="1"/>
  <c r="Q455" i="2" a="1"/>
  <c r="Q455" i="2" s="1"/>
  <c r="Q456" i="2" a="1"/>
  <c r="Q456" i="2" s="1"/>
  <c r="Q457" i="2" a="1"/>
  <c r="Q457" i="2" s="1"/>
  <c r="Q458" i="2" a="1"/>
  <c r="Q458" i="2" s="1"/>
  <c r="Q459" i="2" a="1"/>
  <c r="Q459" i="2" s="1"/>
  <c r="Q460" i="2" a="1"/>
  <c r="Q460" i="2" s="1"/>
  <c r="Q461" i="2" a="1"/>
  <c r="Q461" i="2" s="1"/>
  <c r="Q462" i="2" a="1"/>
  <c r="Q462" i="2" s="1"/>
  <c r="Q463" i="2" a="1"/>
  <c r="Q463" i="2" s="1"/>
  <c r="Q464" i="2" a="1"/>
  <c r="Q464" i="2" s="1"/>
  <c r="Q465" i="2" a="1"/>
  <c r="Q465" i="2" s="1"/>
  <c r="Q466" i="2" a="1"/>
  <c r="Q466" i="2" s="1"/>
  <c r="Q467" i="2" a="1"/>
  <c r="Q467" i="2" s="1"/>
  <c r="Q468" i="2" a="1"/>
  <c r="Q468" i="2" s="1"/>
  <c r="Q469" i="2" a="1"/>
  <c r="Q469" i="2" s="1"/>
  <c r="Q470" i="2" a="1"/>
  <c r="Q470" i="2" s="1"/>
  <c r="Q471" i="2" a="1"/>
  <c r="Q471" i="2" s="1"/>
  <c r="Q472" i="2" a="1"/>
  <c r="Q472" i="2" s="1"/>
  <c r="Q473" i="2" a="1"/>
  <c r="Q473" i="2" s="1"/>
  <c r="Q474" i="2" a="1"/>
  <c r="Q474" i="2" s="1"/>
  <c r="Q475" i="2" a="1"/>
  <c r="Q475" i="2" s="1"/>
  <c r="Q476" i="2" a="1"/>
  <c r="Q476" i="2" s="1"/>
  <c r="Q477" i="2" a="1"/>
  <c r="Q477" i="2" s="1"/>
  <c r="Q478" i="2" a="1"/>
  <c r="Q478" i="2" s="1"/>
  <c r="Q479" i="2" a="1"/>
  <c r="Q479" i="2" s="1"/>
  <c r="Q480" i="2" a="1"/>
  <c r="Q480" i="2" s="1"/>
  <c r="Q481" i="2" a="1"/>
  <c r="Q481" i="2" s="1"/>
  <c r="Q482" i="2" a="1"/>
  <c r="Q482" i="2" s="1"/>
  <c r="Q483" i="2" a="1"/>
  <c r="Q483" i="2" s="1"/>
  <c r="Q484" i="2" a="1"/>
  <c r="Q484" i="2" s="1"/>
  <c r="Q485" i="2" a="1"/>
  <c r="Q485" i="2" s="1"/>
  <c r="Q486" i="2" a="1"/>
  <c r="Q486" i="2" s="1"/>
  <c r="Q487" i="2" a="1"/>
  <c r="Q487" i="2" s="1"/>
  <c r="Q488" i="2" a="1"/>
  <c r="Q488" i="2" s="1"/>
  <c r="Q489" i="2" a="1"/>
  <c r="Q489" i="2" s="1"/>
  <c r="Q490" i="2" a="1"/>
  <c r="Q490" i="2" s="1"/>
  <c r="Q491" i="2" a="1"/>
  <c r="Q491" i="2" s="1"/>
  <c r="Q492" i="2" a="1"/>
  <c r="Q492" i="2" s="1"/>
  <c r="Q493" i="2" a="1"/>
  <c r="Q493" i="2" s="1"/>
  <c r="Q494" i="2" a="1"/>
  <c r="Q494" i="2" s="1"/>
  <c r="Q495" i="2" a="1"/>
  <c r="Q495" i="2" s="1"/>
  <c r="Q496" i="2" a="1"/>
  <c r="Q496" i="2" s="1"/>
  <c r="Q497" i="2" a="1"/>
  <c r="Q497" i="2" s="1"/>
  <c r="Q498" i="2" a="1"/>
  <c r="Q498" i="2" s="1"/>
  <c r="Q499" i="2" a="1"/>
  <c r="Q499" i="2" s="1"/>
  <c r="Q500" i="2" a="1"/>
  <c r="Q500" i="2" s="1"/>
  <c r="Q501" i="2" a="1"/>
  <c r="Q501" i="2" s="1"/>
  <c r="Q502" i="2" a="1"/>
  <c r="Q502" i="2" s="1"/>
  <c r="Q503" i="2" a="1"/>
  <c r="Q503" i="2" s="1"/>
  <c r="Q504" i="2" a="1"/>
  <c r="Q504" i="2" s="1"/>
  <c r="Q505" i="2" a="1"/>
  <c r="Q505" i="2" s="1"/>
  <c r="Q506" i="2" a="1"/>
  <c r="Q506" i="2" s="1"/>
  <c r="Q507" i="2" a="1"/>
  <c r="Q507" i="2" s="1"/>
  <c r="Q508" i="2" a="1"/>
  <c r="Q508" i="2" s="1"/>
  <c r="Q509" i="2" a="1"/>
  <c r="Q509" i="2" s="1"/>
  <c r="Q510" i="2" a="1"/>
  <c r="Q510" i="2" s="1"/>
  <c r="Q511" i="2" a="1"/>
  <c r="Q511" i="2" s="1"/>
  <c r="Q512" i="2" a="1"/>
  <c r="Q512" i="2" s="1"/>
  <c r="Q513" i="2" a="1"/>
  <c r="Q513" i="2" s="1"/>
  <c r="Q514" i="2" a="1"/>
  <c r="Q514" i="2" s="1"/>
  <c r="Q515" i="2" a="1"/>
  <c r="Q515" i="2" s="1"/>
  <c r="Q516" i="2" a="1"/>
  <c r="Q516" i="2" s="1"/>
  <c r="Q517" i="2" a="1"/>
  <c r="Q517" i="2" s="1"/>
  <c r="Q518" i="2" a="1"/>
  <c r="Q518" i="2" s="1"/>
  <c r="Q519" i="2" a="1"/>
  <c r="Q519" i="2" s="1"/>
  <c r="Q520" i="2" a="1"/>
  <c r="Q520" i="2" s="1"/>
  <c r="Q521" i="2" a="1"/>
  <c r="Q521" i="2" s="1"/>
  <c r="Q522" i="2" a="1"/>
  <c r="Q522" i="2" s="1"/>
  <c r="Q523" i="2" a="1"/>
  <c r="Q523" i="2" s="1"/>
  <c r="Q524" i="2" a="1"/>
  <c r="Q524" i="2" s="1"/>
  <c r="Q525" i="2" a="1"/>
  <c r="Q525" i="2" s="1"/>
  <c r="Q526" i="2" a="1"/>
  <c r="Q526" i="2" s="1"/>
  <c r="Q527" i="2" a="1"/>
  <c r="Q527" i="2" s="1"/>
  <c r="Q528" i="2" a="1"/>
  <c r="Q528" i="2" s="1"/>
  <c r="Q529" i="2" a="1"/>
  <c r="Q529" i="2" s="1"/>
  <c r="P3" i="2" a="1"/>
  <c r="P3" i="2" s="1"/>
  <c r="P4" i="2" a="1"/>
  <c r="P4" i="2" s="1"/>
  <c r="P5" i="2" a="1"/>
  <c r="P5" i="2" s="1"/>
  <c r="P6" i="2" a="1"/>
  <c r="P6" i="2" s="1"/>
  <c r="P7" i="2" a="1"/>
  <c r="P7" i="2" s="1"/>
  <c r="P8" i="2" a="1"/>
  <c r="P8" i="2" s="1"/>
  <c r="P9" i="2" a="1"/>
  <c r="P9" i="2" s="1"/>
  <c r="P10" i="2" a="1"/>
  <c r="P10" i="2" s="1"/>
  <c r="P11" i="2" a="1"/>
  <c r="P11" i="2" s="1"/>
  <c r="P12" i="2" a="1"/>
  <c r="P12" i="2" s="1"/>
  <c r="P13" i="2" a="1"/>
  <c r="P13" i="2" s="1"/>
  <c r="P14" i="2" a="1"/>
  <c r="P14" i="2" s="1"/>
  <c r="P15" i="2" a="1"/>
  <c r="P15" i="2" s="1"/>
  <c r="P16" i="2" a="1"/>
  <c r="P16" i="2" s="1"/>
  <c r="P17" i="2" a="1"/>
  <c r="P17" i="2" s="1"/>
  <c r="P18" i="2" a="1"/>
  <c r="P18" i="2" s="1"/>
  <c r="P19" i="2" a="1"/>
  <c r="P19" i="2" s="1"/>
  <c r="P20" i="2" a="1"/>
  <c r="P20" i="2" s="1"/>
  <c r="P21" i="2" a="1"/>
  <c r="P21" i="2" s="1"/>
  <c r="P22" i="2" a="1"/>
  <c r="P22" i="2" s="1"/>
  <c r="P23" i="2" a="1"/>
  <c r="P23" i="2" s="1"/>
  <c r="P24" i="2" a="1"/>
  <c r="P24" i="2" s="1"/>
  <c r="P25" i="2" a="1"/>
  <c r="P25" i="2" s="1"/>
  <c r="P26" i="2" a="1"/>
  <c r="P26" i="2" s="1"/>
  <c r="P27" i="2" a="1"/>
  <c r="P27" i="2" s="1"/>
  <c r="P28" i="2" a="1"/>
  <c r="P28" i="2" s="1"/>
  <c r="P29" i="2" a="1"/>
  <c r="P29" i="2" s="1"/>
  <c r="P30" i="2" a="1"/>
  <c r="P30" i="2" s="1"/>
  <c r="P31" i="2" a="1"/>
  <c r="P31" i="2" s="1"/>
  <c r="P32" i="2" a="1"/>
  <c r="P32" i="2" s="1"/>
  <c r="P33" i="2" a="1"/>
  <c r="P33" i="2" s="1"/>
  <c r="P34" i="2" a="1"/>
  <c r="P34" i="2" s="1"/>
  <c r="P35" i="2" a="1"/>
  <c r="P35" i="2" s="1"/>
  <c r="P36" i="2" a="1"/>
  <c r="P36" i="2" s="1"/>
  <c r="P37" i="2" a="1"/>
  <c r="P37" i="2" s="1"/>
  <c r="P38" i="2" a="1"/>
  <c r="P38" i="2" s="1"/>
  <c r="P39" i="2" a="1"/>
  <c r="P39" i="2" s="1"/>
  <c r="P40" i="2" a="1"/>
  <c r="P40" i="2" s="1"/>
  <c r="P41" i="2" a="1"/>
  <c r="P41" i="2" s="1"/>
  <c r="P42" i="2" a="1"/>
  <c r="P42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 s="1"/>
  <c r="P50" i="2" a="1"/>
  <c r="P50" i="2" s="1"/>
  <c r="P51" i="2" a="1"/>
  <c r="P51" i="2" s="1"/>
  <c r="P52" i="2" a="1"/>
  <c r="P52" i="2" s="1"/>
  <c r="P53" i="2" a="1"/>
  <c r="P53" i="2" s="1"/>
  <c r="P54" i="2" a="1"/>
  <c r="P54" i="2" s="1"/>
  <c r="P55" i="2" a="1"/>
  <c r="P55" i="2" s="1"/>
  <c r="P56" i="2" a="1"/>
  <c r="P56" i="2" s="1"/>
  <c r="P57" i="2" a="1"/>
  <c r="P57" i="2" s="1"/>
  <c r="P58" i="2" a="1"/>
  <c r="P58" i="2" s="1"/>
  <c r="P59" i="2" a="1"/>
  <c r="P59" i="2" s="1"/>
  <c r="P60" i="2" a="1"/>
  <c r="P60" i="2" s="1"/>
  <c r="P61" i="2" a="1"/>
  <c r="P61" i="2" s="1"/>
  <c r="P62" i="2" a="1"/>
  <c r="P62" i="2" s="1"/>
  <c r="P63" i="2" a="1"/>
  <c r="P63" i="2" s="1"/>
  <c r="P64" i="2" a="1"/>
  <c r="P64" i="2" s="1"/>
  <c r="P65" i="2" a="1"/>
  <c r="P65" i="2" s="1"/>
  <c r="P66" i="2" a="1"/>
  <c r="P66" i="2" s="1"/>
  <c r="P67" i="2" a="1"/>
  <c r="P67" i="2" s="1"/>
  <c r="P68" i="2" a="1"/>
  <c r="P68" i="2" s="1"/>
  <c r="P69" i="2" a="1"/>
  <c r="P69" i="2" s="1"/>
  <c r="P70" i="2" a="1"/>
  <c r="P70" i="2" s="1"/>
  <c r="P71" i="2" a="1"/>
  <c r="P71" i="2" s="1"/>
  <c r="P72" i="2" a="1"/>
  <c r="P72" i="2" s="1"/>
  <c r="P73" i="2" a="1"/>
  <c r="P73" i="2" s="1"/>
  <c r="P74" i="2" a="1"/>
  <c r="P74" i="2" s="1"/>
  <c r="P75" i="2" a="1"/>
  <c r="P75" i="2" s="1"/>
  <c r="P76" i="2" a="1"/>
  <c r="P76" i="2" s="1"/>
  <c r="P77" i="2" a="1"/>
  <c r="P77" i="2" s="1"/>
  <c r="P78" i="2" a="1"/>
  <c r="P78" i="2" s="1"/>
  <c r="P79" i="2" a="1"/>
  <c r="P79" i="2" s="1"/>
  <c r="P80" i="2" a="1"/>
  <c r="P80" i="2" s="1"/>
  <c r="P81" i="2" a="1"/>
  <c r="P81" i="2" s="1"/>
  <c r="P82" i="2" a="1"/>
  <c r="P82" i="2" s="1"/>
  <c r="P83" i="2" a="1"/>
  <c r="P83" i="2" s="1"/>
  <c r="P84" i="2" a="1"/>
  <c r="P84" i="2" s="1"/>
  <c r="P85" i="2" a="1"/>
  <c r="P85" i="2" s="1"/>
  <c r="P86" i="2" a="1"/>
  <c r="P86" i="2" s="1"/>
  <c r="P87" i="2" a="1"/>
  <c r="P87" i="2" s="1"/>
  <c r="P88" i="2" a="1"/>
  <c r="P88" i="2" s="1"/>
  <c r="P89" i="2" a="1"/>
  <c r="P89" i="2" s="1"/>
  <c r="P90" i="2" a="1"/>
  <c r="P90" i="2" s="1"/>
  <c r="P91" i="2" a="1"/>
  <c r="P91" i="2" s="1"/>
  <c r="P92" i="2" a="1"/>
  <c r="P92" i="2" s="1"/>
  <c r="P93" i="2" a="1"/>
  <c r="P93" i="2" s="1"/>
  <c r="P94" i="2" a="1"/>
  <c r="P94" i="2" s="1"/>
  <c r="P95" i="2" a="1"/>
  <c r="P95" i="2" s="1"/>
  <c r="P96" i="2" a="1"/>
  <c r="P96" i="2" s="1"/>
  <c r="P97" i="2" a="1"/>
  <c r="P97" i="2" s="1"/>
  <c r="P98" i="2" a="1"/>
  <c r="P98" i="2" s="1"/>
  <c r="P99" i="2" a="1"/>
  <c r="P99" i="2" s="1"/>
  <c r="P100" i="2" a="1"/>
  <c r="P100" i="2" s="1"/>
  <c r="P101" i="2" a="1"/>
  <c r="P101" i="2" s="1"/>
  <c r="P102" i="2" a="1"/>
  <c r="P102" i="2" s="1"/>
  <c r="P103" i="2" a="1"/>
  <c r="P103" i="2" s="1"/>
  <c r="P104" i="2" a="1"/>
  <c r="P104" i="2" s="1"/>
  <c r="P105" i="2" a="1"/>
  <c r="P105" i="2" s="1"/>
  <c r="P106" i="2" a="1"/>
  <c r="P106" i="2" s="1"/>
  <c r="P107" i="2" a="1"/>
  <c r="P107" i="2" s="1"/>
  <c r="P108" i="2" a="1"/>
  <c r="P108" i="2" s="1"/>
  <c r="P109" i="2" a="1"/>
  <c r="P109" i="2" s="1"/>
  <c r="P110" i="2" a="1"/>
  <c r="P110" i="2" s="1"/>
  <c r="P111" i="2" a="1"/>
  <c r="P111" i="2" s="1"/>
  <c r="P112" i="2" a="1"/>
  <c r="P112" i="2" s="1"/>
  <c r="P113" i="2" a="1"/>
  <c r="P113" i="2" s="1"/>
  <c r="P114" i="2" a="1"/>
  <c r="P114" i="2" s="1"/>
  <c r="P115" i="2" a="1"/>
  <c r="P115" i="2" s="1"/>
  <c r="P116" i="2" a="1"/>
  <c r="P116" i="2" s="1"/>
  <c r="P117" i="2" a="1"/>
  <c r="P117" i="2" s="1"/>
  <c r="P118" i="2" a="1"/>
  <c r="P118" i="2" s="1"/>
  <c r="P119" i="2" a="1"/>
  <c r="P119" i="2" s="1"/>
  <c r="P120" i="2" a="1"/>
  <c r="P120" i="2" s="1"/>
  <c r="P121" i="2" a="1"/>
  <c r="P121" i="2" s="1"/>
  <c r="P122" i="2" a="1"/>
  <c r="P122" i="2" s="1"/>
  <c r="P123" i="2" a="1"/>
  <c r="P123" i="2" s="1"/>
  <c r="P124" i="2" a="1"/>
  <c r="P124" i="2" s="1"/>
  <c r="P125" i="2" a="1"/>
  <c r="P125" i="2" s="1"/>
  <c r="P126" i="2" a="1"/>
  <c r="P126" i="2" s="1"/>
  <c r="P127" i="2" a="1"/>
  <c r="P127" i="2" s="1"/>
  <c r="P128" i="2" a="1"/>
  <c r="P128" i="2" s="1"/>
  <c r="P129" i="2" a="1"/>
  <c r="P129" i="2" s="1"/>
  <c r="P130" i="2" a="1"/>
  <c r="P130" i="2" s="1"/>
  <c r="P131" i="2" a="1"/>
  <c r="P131" i="2" s="1"/>
  <c r="P132" i="2" a="1"/>
  <c r="P132" i="2" s="1"/>
  <c r="P133" i="2" a="1"/>
  <c r="P133" i="2" s="1"/>
  <c r="P134" i="2" a="1"/>
  <c r="P134" i="2" s="1"/>
  <c r="P135" i="2" a="1"/>
  <c r="P135" i="2" s="1"/>
  <c r="P136" i="2" a="1"/>
  <c r="P136" i="2" s="1"/>
  <c r="P137" i="2" a="1"/>
  <c r="P137" i="2" s="1"/>
  <c r="P138" i="2" a="1"/>
  <c r="P138" i="2" s="1"/>
  <c r="P139" i="2" a="1"/>
  <c r="P139" i="2" s="1"/>
  <c r="P140" i="2" a="1"/>
  <c r="P140" i="2" s="1"/>
  <c r="P141" i="2" a="1"/>
  <c r="P141" i="2" s="1"/>
  <c r="P142" i="2" a="1"/>
  <c r="P142" i="2" s="1"/>
  <c r="P143" i="2" a="1"/>
  <c r="P143" i="2" s="1"/>
  <c r="P144" i="2" a="1"/>
  <c r="P144" i="2" s="1"/>
  <c r="P145" i="2" a="1"/>
  <c r="P145" i="2" s="1"/>
  <c r="P146" i="2" a="1"/>
  <c r="P146" i="2" s="1"/>
  <c r="P147" i="2" a="1"/>
  <c r="P147" i="2" s="1"/>
  <c r="P148" i="2" a="1"/>
  <c r="P148" i="2" s="1"/>
  <c r="P149" i="2" a="1"/>
  <c r="P149" i="2" s="1"/>
  <c r="P150" i="2" a="1"/>
  <c r="P150" i="2" s="1"/>
  <c r="P151" i="2" a="1"/>
  <c r="P151" i="2" s="1"/>
  <c r="P152" i="2" a="1"/>
  <c r="P152" i="2" s="1"/>
  <c r="P153" i="2" a="1"/>
  <c r="P153" i="2" s="1"/>
  <c r="P154" i="2" a="1"/>
  <c r="P154" i="2" s="1"/>
  <c r="P155" i="2" a="1"/>
  <c r="P155" i="2" s="1"/>
  <c r="P156" i="2" a="1"/>
  <c r="P156" i="2" s="1"/>
  <c r="P157" i="2" a="1"/>
  <c r="P157" i="2" s="1"/>
  <c r="P158" i="2" a="1"/>
  <c r="P158" i="2" s="1"/>
  <c r="P159" i="2" a="1"/>
  <c r="P159" i="2" s="1"/>
  <c r="P160" i="2" a="1"/>
  <c r="P160" i="2" s="1"/>
  <c r="P161" i="2" a="1"/>
  <c r="P161" i="2" s="1"/>
  <c r="P162" i="2" a="1"/>
  <c r="P162" i="2" s="1"/>
  <c r="P163" i="2" a="1"/>
  <c r="P163" i="2" s="1"/>
  <c r="P164" i="2" a="1"/>
  <c r="P164" i="2" s="1"/>
  <c r="P165" i="2" a="1"/>
  <c r="P165" i="2" s="1"/>
  <c r="P166" i="2" a="1"/>
  <c r="P166" i="2" s="1"/>
  <c r="P167" i="2" a="1"/>
  <c r="P167" i="2" s="1"/>
  <c r="P168" i="2" a="1"/>
  <c r="P168" i="2" s="1"/>
  <c r="P169" i="2" a="1"/>
  <c r="P169" i="2" s="1"/>
  <c r="P170" i="2" a="1"/>
  <c r="P170" i="2" s="1"/>
  <c r="P171" i="2" a="1"/>
  <c r="P171" i="2" s="1"/>
  <c r="P172" i="2" a="1"/>
  <c r="P172" i="2" s="1"/>
  <c r="P173" i="2" a="1"/>
  <c r="P173" i="2" s="1"/>
  <c r="P174" i="2" a="1"/>
  <c r="P174" i="2" s="1"/>
  <c r="P175" i="2" a="1"/>
  <c r="P175" i="2" s="1"/>
  <c r="P176" i="2" a="1"/>
  <c r="P176" i="2" s="1"/>
  <c r="P177" i="2" a="1"/>
  <c r="P177" i="2" s="1"/>
  <c r="P178" i="2" a="1"/>
  <c r="P178" i="2" s="1"/>
  <c r="P179" i="2" a="1"/>
  <c r="P179" i="2" s="1"/>
  <c r="P180" i="2" a="1"/>
  <c r="P180" i="2" s="1"/>
  <c r="P181" i="2" a="1"/>
  <c r="P181" i="2" s="1"/>
  <c r="P182" i="2" a="1"/>
  <c r="P182" i="2" s="1"/>
  <c r="P183" i="2" a="1"/>
  <c r="P183" i="2" s="1"/>
  <c r="P184" i="2" a="1"/>
  <c r="P184" i="2" s="1"/>
  <c r="P185" i="2" a="1"/>
  <c r="P185" i="2" s="1"/>
  <c r="P186" i="2" a="1"/>
  <c r="P186" i="2" s="1"/>
  <c r="P187" i="2" a="1"/>
  <c r="P187" i="2" s="1"/>
  <c r="P188" i="2" a="1"/>
  <c r="P188" i="2" s="1"/>
  <c r="P189" i="2" a="1"/>
  <c r="P189" i="2" s="1"/>
  <c r="P190" i="2" a="1"/>
  <c r="P190" i="2" s="1"/>
  <c r="P191" i="2" a="1"/>
  <c r="P191" i="2" s="1"/>
  <c r="P192" i="2" a="1"/>
  <c r="P192" i="2" s="1"/>
  <c r="P193" i="2" a="1"/>
  <c r="P193" i="2" s="1"/>
  <c r="P194" i="2" a="1"/>
  <c r="P194" i="2" s="1"/>
  <c r="P195" i="2" a="1"/>
  <c r="P195" i="2" s="1"/>
  <c r="P196" i="2" a="1"/>
  <c r="P196" i="2" s="1"/>
  <c r="P197" i="2" a="1"/>
  <c r="P197" i="2" s="1"/>
  <c r="P198" i="2" a="1"/>
  <c r="P198" i="2" s="1"/>
  <c r="P199" i="2" a="1"/>
  <c r="P199" i="2" s="1"/>
  <c r="P200" i="2" a="1"/>
  <c r="P200" i="2" s="1"/>
  <c r="P201" i="2" a="1"/>
  <c r="P201" i="2" s="1"/>
  <c r="P202" i="2" a="1"/>
  <c r="P202" i="2" s="1"/>
  <c r="P203" i="2" a="1"/>
  <c r="P203" i="2" s="1"/>
  <c r="P204" i="2" a="1"/>
  <c r="P204" i="2" s="1"/>
  <c r="P205" i="2" a="1"/>
  <c r="P205" i="2" s="1"/>
  <c r="P206" i="2" a="1"/>
  <c r="P206" i="2" s="1"/>
  <c r="P207" i="2" a="1"/>
  <c r="P207" i="2" s="1"/>
  <c r="P208" i="2" a="1"/>
  <c r="P208" i="2" s="1"/>
  <c r="P209" i="2" a="1"/>
  <c r="P209" i="2" s="1"/>
  <c r="P210" i="2" a="1"/>
  <c r="P210" i="2" s="1"/>
  <c r="P211" i="2" a="1"/>
  <c r="P211" i="2" s="1"/>
  <c r="P212" i="2" a="1"/>
  <c r="P212" i="2" s="1"/>
  <c r="P213" i="2" a="1"/>
  <c r="P213" i="2" s="1"/>
  <c r="P214" i="2" a="1"/>
  <c r="P214" i="2" s="1"/>
  <c r="P215" i="2" a="1"/>
  <c r="P215" i="2" s="1"/>
  <c r="P216" i="2" a="1"/>
  <c r="P216" i="2" s="1"/>
  <c r="P217" i="2" a="1"/>
  <c r="P217" i="2" s="1"/>
  <c r="P218" i="2" a="1"/>
  <c r="P218" i="2" s="1"/>
  <c r="P219" i="2" a="1"/>
  <c r="P219" i="2" s="1"/>
  <c r="P220" i="2" a="1"/>
  <c r="P220" i="2" s="1"/>
  <c r="P221" i="2" a="1"/>
  <c r="P221" i="2" s="1"/>
  <c r="P222" i="2" a="1"/>
  <c r="P222" i="2" s="1"/>
  <c r="P223" i="2" a="1"/>
  <c r="P223" i="2" s="1"/>
  <c r="P224" i="2" a="1"/>
  <c r="P224" i="2" s="1"/>
  <c r="P225" i="2" a="1"/>
  <c r="P225" i="2" s="1"/>
  <c r="P226" i="2" a="1"/>
  <c r="P226" i="2" s="1"/>
  <c r="P227" i="2" a="1"/>
  <c r="P227" i="2" s="1"/>
  <c r="P228" i="2" a="1"/>
  <c r="P228" i="2" s="1"/>
  <c r="P229" i="2" a="1"/>
  <c r="P229" i="2" s="1"/>
  <c r="P230" i="2" a="1"/>
  <c r="P230" i="2" s="1"/>
  <c r="P231" i="2" a="1"/>
  <c r="P231" i="2" s="1"/>
  <c r="P232" i="2" a="1"/>
  <c r="P232" i="2" s="1"/>
  <c r="P233" i="2" a="1"/>
  <c r="P233" i="2" s="1"/>
  <c r="P234" i="2" a="1"/>
  <c r="P234" i="2" s="1"/>
  <c r="P235" i="2" a="1"/>
  <c r="P235" i="2" s="1"/>
  <c r="P236" i="2" a="1"/>
  <c r="P236" i="2" s="1"/>
  <c r="P237" i="2" a="1"/>
  <c r="P237" i="2" s="1"/>
  <c r="P238" i="2" a="1"/>
  <c r="P238" i="2" s="1"/>
  <c r="P239" i="2" a="1"/>
  <c r="P239" i="2" s="1"/>
  <c r="P240" i="2" a="1"/>
  <c r="P240" i="2" s="1"/>
  <c r="P241" i="2" a="1"/>
  <c r="P241" i="2" s="1"/>
  <c r="P242" i="2" a="1"/>
  <c r="P242" i="2" s="1"/>
  <c r="P243" i="2" a="1"/>
  <c r="P243" i="2" s="1"/>
  <c r="P244" i="2" a="1"/>
  <c r="P244" i="2" s="1"/>
  <c r="P245" i="2" a="1"/>
  <c r="P245" i="2" s="1"/>
  <c r="P246" i="2" a="1"/>
  <c r="P246" i="2" s="1"/>
  <c r="P247" i="2" a="1"/>
  <c r="P247" i="2" s="1"/>
  <c r="P248" i="2" a="1"/>
  <c r="P248" i="2" s="1"/>
  <c r="P249" i="2" a="1"/>
  <c r="P249" i="2" s="1"/>
  <c r="P250" i="2" a="1"/>
  <c r="P250" i="2" s="1"/>
  <c r="P251" i="2" a="1"/>
  <c r="P251" i="2" s="1"/>
  <c r="P252" i="2" a="1"/>
  <c r="P252" i="2" s="1"/>
  <c r="P253" i="2" a="1"/>
  <c r="P253" i="2" s="1"/>
  <c r="P254" i="2" a="1"/>
  <c r="P254" i="2" s="1"/>
  <c r="P255" i="2" a="1"/>
  <c r="P255" i="2" s="1"/>
  <c r="P256" i="2" a="1"/>
  <c r="P256" i="2" s="1"/>
  <c r="P257" i="2" a="1"/>
  <c r="P257" i="2" s="1"/>
  <c r="P258" i="2" a="1"/>
  <c r="P258" i="2" s="1"/>
  <c r="P259" i="2" a="1"/>
  <c r="P259" i="2" s="1"/>
  <c r="P260" i="2" a="1"/>
  <c r="P260" i="2" s="1"/>
  <c r="P261" i="2" a="1"/>
  <c r="P261" i="2" s="1"/>
  <c r="P262" i="2" a="1"/>
  <c r="P262" i="2" s="1"/>
  <c r="P263" i="2" a="1"/>
  <c r="P263" i="2" s="1"/>
  <c r="P264" i="2" a="1"/>
  <c r="P264" i="2" s="1"/>
  <c r="P265" i="2" a="1"/>
  <c r="P265" i="2" s="1"/>
  <c r="P266" i="2" a="1"/>
  <c r="P266" i="2" s="1"/>
  <c r="P267" i="2" a="1"/>
  <c r="P267" i="2" s="1"/>
  <c r="P268" i="2" a="1"/>
  <c r="P268" i="2" s="1"/>
  <c r="P269" i="2" a="1"/>
  <c r="P269" i="2" s="1"/>
  <c r="P270" i="2" a="1"/>
  <c r="P270" i="2" s="1"/>
  <c r="P271" i="2" a="1"/>
  <c r="P271" i="2" s="1"/>
  <c r="P272" i="2" a="1"/>
  <c r="P272" i="2" s="1"/>
  <c r="P273" i="2" a="1"/>
  <c r="P273" i="2" s="1"/>
  <c r="P274" i="2" a="1"/>
  <c r="P274" i="2" s="1"/>
  <c r="P275" i="2" a="1"/>
  <c r="P275" i="2" s="1"/>
  <c r="P276" i="2" a="1"/>
  <c r="P276" i="2" s="1"/>
  <c r="P277" i="2" a="1"/>
  <c r="P277" i="2" s="1"/>
  <c r="P278" i="2" a="1"/>
  <c r="P278" i="2" s="1"/>
  <c r="P279" i="2" a="1"/>
  <c r="P279" i="2" s="1"/>
  <c r="P280" i="2" a="1"/>
  <c r="P280" i="2" s="1"/>
  <c r="P281" i="2" a="1"/>
  <c r="P281" i="2" s="1"/>
  <c r="P282" i="2" a="1"/>
  <c r="P282" i="2" s="1"/>
  <c r="P283" i="2" a="1"/>
  <c r="P283" i="2" s="1"/>
  <c r="P284" i="2" a="1"/>
  <c r="P284" i="2" s="1"/>
  <c r="P285" i="2" a="1"/>
  <c r="P285" i="2" s="1"/>
  <c r="P286" i="2" a="1"/>
  <c r="P286" i="2" s="1"/>
  <c r="P287" i="2" a="1"/>
  <c r="P287" i="2" s="1"/>
  <c r="P288" i="2" a="1"/>
  <c r="P288" i="2" s="1"/>
  <c r="P289" i="2" a="1"/>
  <c r="P289" i="2" s="1"/>
  <c r="P290" i="2" a="1"/>
  <c r="P290" i="2" s="1"/>
  <c r="P291" i="2" a="1"/>
  <c r="P291" i="2" s="1"/>
  <c r="P292" i="2" a="1"/>
  <c r="P292" i="2" s="1"/>
  <c r="P293" i="2" a="1"/>
  <c r="P293" i="2" s="1"/>
  <c r="P294" i="2" a="1"/>
  <c r="P294" i="2" s="1"/>
  <c r="P295" i="2" a="1"/>
  <c r="P295" i="2" s="1"/>
  <c r="P296" i="2" a="1"/>
  <c r="P296" i="2" s="1"/>
  <c r="P297" i="2" a="1"/>
  <c r="P297" i="2" s="1"/>
  <c r="P298" i="2" a="1"/>
  <c r="P298" i="2" s="1"/>
  <c r="P299" i="2" a="1"/>
  <c r="P299" i="2" s="1"/>
  <c r="P300" i="2" a="1"/>
  <c r="P300" i="2" s="1"/>
  <c r="P301" i="2" a="1"/>
  <c r="P301" i="2" s="1"/>
  <c r="P302" i="2" a="1"/>
  <c r="P302" i="2" s="1"/>
  <c r="P303" i="2" a="1"/>
  <c r="P303" i="2" s="1"/>
  <c r="P304" i="2" a="1"/>
  <c r="P304" i="2" s="1"/>
  <c r="P305" i="2" a="1"/>
  <c r="P305" i="2" s="1"/>
  <c r="P306" i="2" a="1"/>
  <c r="P306" i="2" s="1"/>
  <c r="P307" i="2" a="1"/>
  <c r="P307" i="2" s="1"/>
  <c r="P308" i="2" a="1"/>
  <c r="P308" i="2" s="1"/>
  <c r="P309" i="2" a="1"/>
  <c r="P309" i="2" s="1"/>
  <c r="P310" i="2" a="1"/>
  <c r="P310" i="2" s="1"/>
  <c r="P311" i="2" a="1"/>
  <c r="P311" i="2" s="1"/>
  <c r="P312" i="2" a="1"/>
  <c r="P312" i="2" s="1"/>
  <c r="P313" i="2" a="1"/>
  <c r="P313" i="2" s="1"/>
  <c r="P314" i="2" a="1"/>
  <c r="P314" i="2" s="1"/>
  <c r="P315" i="2" a="1"/>
  <c r="P315" i="2" s="1"/>
  <c r="P316" i="2" a="1"/>
  <c r="P316" i="2" s="1"/>
  <c r="P317" i="2" a="1"/>
  <c r="P317" i="2" s="1"/>
  <c r="P318" i="2" a="1"/>
  <c r="P318" i="2" s="1"/>
  <c r="P319" i="2" a="1"/>
  <c r="P319" i="2" s="1"/>
  <c r="P320" i="2" a="1"/>
  <c r="P320" i="2" s="1"/>
  <c r="P321" i="2" a="1"/>
  <c r="P321" i="2" s="1"/>
  <c r="P322" i="2" a="1"/>
  <c r="P322" i="2" s="1"/>
  <c r="P323" i="2" a="1"/>
  <c r="P323" i="2" s="1"/>
  <c r="P324" i="2" a="1"/>
  <c r="P324" i="2" s="1"/>
  <c r="P325" i="2" a="1"/>
  <c r="P325" i="2" s="1"/>
  <c r="P326" i="2" a="1"/>
  <c r="P326" i="2" s="1"/>
  <c r="P327" i="2" a="1"/>
  <c r="P327" i="2" s="1"/>
  <c r="P328" i="2" a="1"/>
  <c r="P328" i="2" s="1"/>
  <c r="P329" i="2" a="1"/>
  <c r="P329" i="2" s="1"/>
  <c r="P330" i="2" a="1"/>
  <c r="P330" i="2" s="1"/>
  <c r="P331" i="2" a="1"/>
  <c r="P331" i="2" s="1"/>
  <c r="P332" i="2" a="1"/>
  <c r="P332" i="2" s="1"/>
  <c r="P333" i="2" a="1"/>
  <c r="P333" i="2" s="1"/>
  <c r="P334" i="2" a="1"/>
  <c r="P334" i="2" s="1"/>
  <c r="P335" i="2" a="1"/>
  <c r="P335" i="2" s="1"/>
  <c r="P336" i="2" a="1"/>
  <c r="P336" i="2" s="1"/>
  <c r="P337" i="2" a="1"/>
  <c r="P337" i="2" s="1"/>
  <c r="P338" i="2" a="1"/>
  <c r="P338" i="2" s="1"/>
  <c r="P339" i="2" a="1"/>
  <c r="P339" i="2" s="1"/>
  <c r="P340" i="2" a="1"/>
  <c r="P340" i="2" s="1"/>
  <c r="P341" i="2" a="1"/>
  <c r="P341" i="2" s="1"/>
  <c r="P342" i="2" a="1"/>
  <c r="P342" i="2" s="1"/>
  <c r="P343" i="2" a="1"/>
  <c r="P343" i="2" s="1"/>
  <c r="P344" i="2" a="1"/>
  <c r="P344" i="2" s="1"/>
  <c r="P345" i="2" a="1"/>
  <c r="P345" i="2" s="1"/>
  <c r="P346" i="2" a="1"/>
  <c r="P346" i="2" s="1"/>
  <c r="P347" i="2" a="1"/>
  <c r="P347" i="2" s="1"/>
  <c r="P348" i="2" a="1"/>
  <c r="P348" i="2" s="1"/>
  <c r="P349" i="2" a="1"/>
  <c r="P349" i="2" s="1"/>
  <c r="P350" i="2" a="1"/>
  <c r="P350" i="2" s="1"/>
  <c r="P351" i="2" a="1"/>
  <c r="P351" i="2" s="1"/>
  <c r="P352" i="2" a="1"/>
  <c r="P352" i="2" s="1"/>
  <c r="P353" i="2" a="1"/>
  <c r="P353" i="2" s="1"/>
  <c r="P354" i="2" a="1"/>
  <c r="P354" i="2" s="1"/>
  <c r="P355" i="2" a="1"/>
  <c r="P355" i="2" s="1"/>
  <c r="P356" i="2" a="1"/>
  <c r="P356" i="2" s="1"/>
  <c r="P357" i="2" a="1"/>
  <c r="P357" i="2" s="1"/>
  <c r="P358" i="2" a="1"/>
  <c r="P358" i="2" s="1"/>
  <c r="P359" i="2" a="1"/>
  <c r="P359" i="2" s="1"/>
  <c r="P360" i="2" a="1"/>
  <c r="P360" i="2" s="1"/>
  <c r="P361" i="2" a="1"/>
  <c r="P361" i="2" s="1"/>
  <c r="P362" i="2" a="1"/>
  <c r="P362" i="2" s="1"/>
  <c r="P363" i="2" a="1"/>
  <c r="P363" i="2" s="1"/>
  <c r="P364" i="2" a="1"/>
  <c r="P364" i="2" s="1"/>
  <c r="P365" i="2" a="1"/>
  <c r="P365" i="2" s="1"/>
  <c r="P366" i="2" a="1"/>
  <c r="P366" i="2" s="1"/>
  <c r="P367" i="2" a="1"/>
  <c r="P367" i="2" s="1"/>
  <c r="P368" i="2" a="1"/>
  <c r="P368" i="2" s="1"/>
  <c r="P369" i="2" a="1"/>
  <c r="P369" i="2" s="1"/>
  <c r="P370" i="2" a="1"/>
  <c r="P370" i="2" s="1"/>
  <c r="P371" i="2" a="1"/>
  <c r="P371" i="2" s="1"/>
  <c r="P372" i="2" a="1"/>
  <c r="P372" i="2" s="1"/>
  <c r="P373" i="2" a="1"/>
  <c r="P373" i="2" s="1"/>
  <c r="P374" i="2" a="1"/>
  <c r="P374" i="2" s="1"/>
  <c r="P375" i="2" a="1"/>
  <c r="P375" i="2" s="1"/>
  <c r="P376" i="2" a="1"/>
  <c r="P376" i="2" s="1"/>
  <c r="P377" i="2" a="1"/>
  <c r="P377" i="2" s="1"/>
  <c r="P378" i="2" a="1"/>
  <c r="P378" i="2" s="1"/>
  <c r="P379" i="2" a="1"/>
  <c r="P379" i="2" s="1"/>
  <c r="P380" i="2" a="1"/>
  <c r="P380" i="2" s="1"/>
  <c r="P381" i="2" a="1"/>
  <c r="P381" i="2" s="1"/>
  <c r="P382" i="2" a="1"/>
  <c r="P382" i="2" s="1"/>
  <c r="P383" i="2" a="1"/>
  <c r="P383" i="2" s="1"/>
  <c r="P384" i="2" a="1"/>
  <c r="P384" i="2" s="1"/>
  <c r="P385" i="2" a="1"/>
  <c r="P385" i="2" s="1"/>
  <c r="P386" i="2" a="1"/>
  <c r="P386" i="2" s="1"/>
  <c r="P387" i="2" a="1"/>
  <c r="P387" i="2" s="1"/>
  <c r="P388" i="2" a="1"/>
  <c r="P388" i="2" s="1"/>
  <c r="P389" i="2" a="1"/>
  <c r="P389" i="2" s="1"/>
  <c r="P390" i="2" a="1"/>
  <c r="P390" i="2" s="1"/>
  <c r="P391" i="2" a="1"/>
  <c r="P391" i="2" s="1"/>
  <c r="P392" i="2" a="1"/>
  <c r="P392" i="2" s="1"/>
  <c r="P393" i="2" a="1"/>
  <c r="P393" i="2" s="1"/>
  <c r="P394" i="2" a="1"/>
  <c r="P394" i="2" s="1"/>
  <c r="P395" i="2" a="1"/>
  <c r="P395" i="2" s="1"/>
  <c r="P396" i="2" a="1"/>
  <c r="P396" i="2" s="1"/>
  <c r="P397" i="2" a="1"/>
  <c r="P397" i="2" s="1"/>
  <c r="P398" i="2" a="1"/>
  <c r="P398" i="2" s="1"/>
  <c r="P399" i="2" a="1"/>
  <c r="P399" i="2" s="1"/>
  <c r="P400" i="2" a="1"/>
  <c r="P400" i="2" s="1"/>
  <c r="P401" i="2" a="1"/>
  <c r="P401" i="2" s="1"/>
  <c r="P402" i="2" a="1"/>
  <c r="P402" i="2" s="1"/>
  <c r="P403" i="2" a="1"/>
  <c r="P403" i="2" s="1"/>
  <c r="P404" i="2" a="1"/>
  <c r="P404" i="2" s="1"/>
  <c r="P405" i="2" a="1"/>
  <c r="P405" i="2" s="1"/>
  <c r="P406" i="2" a="1"/>
  <c r="P406" i="2" s="1"/>
  <c r="P407" i="2" a="1"/>
  <c r="P407" i="2" s="1"/>
  <c r="P408" i="2" a="1"/>
  <c r="P408" i="2" s="1"/>
  <c r="P409" i="2" a="1"/>
  <c r="P409" i="2" s="1"/>
  <c r="P410" i="2" a="1"/>
  <c r="P410" i="2" s="1"/>
  <c r="P411" i="2" a="1"/>
  <c r="P411" i="2" s="1"/>
  <c r="P412" i="2" a="1"/>
  <c r="P412" i="2" s="1"/>
  <c r="P413" i="2" a="1"/>
  <c r="P413" i="2" s="1"/>
  <c r="P414" i="2" a="1"/>
  <c r="P414" i="2" s="1"/>
  <c r="P415" i="2" a="1"/>
  <c r="P415" i="2" s="1"/>
  <c r="P416" i="2" a="1"/>
  <c r="P416" i="2" s="1"/>
  <c r="P417" i="2" a="1"/>
  <c r="P417" i="2" s="1"/>
  <c r="P418" i="2" a="1"/>
  <c r="P418" i="2" s="1"/>
  <c r="P419" i="2" a="1"/>
  <c r="P419" i="2" s="1"/>
  <c r="P420" i="2" a="1"/>
  <c r="P420" i="2" s="1"/>
  <c r="P421" i="2" a="1"/>
  <c r="P421" i="2" s="1"/>
  <c r="P422" i="2" a="1"/>
  <c r="P422" i="2" s="1"/>
  <c r="P423" i="2" a="1"/>
  <c r="P423" i="2" s="1"/>
  <c r="P424" i="2" a="1"/>
  <c r="P424" i="2" s="1"/>
  <c r="P425" i="2" a="1"/>
  <c r="P425" i="2" s="1"/>
  <c r="P426" i="2" a="1"/>
  <c r="P426" i="2" s="1"/>
  <c r="P427" i="2" a="1"/>
  <c r="P427" i="2" s="1"/>
  <c r="P428" i="2" a="1"/>
  <c r="P428" i="2" s="1"/>
  <c r="P429" i="2" a="1"/>
  <c r="P429" i="2" s="1"/>
  <c r="P430" i="2" a="1"/>
  <c r="P430" i="2" s="1"/>
  <c r="P431" i="2" a="1"/>
  <c r="P431" i="2" s="1"/>
  <c r="P432" i="2" a="1"/>
  <c r="P432" i="2" s="1"/>
  <c r="P433" i="2" a="1"/>
  <c r="P433" i="2" s="1"/>
  <c r="P434" i="2" a="1"/>
  <c r="P434" i="2" s="1"/>
  <c r="P435" i="2" a="1"/>
  <c r="P435" i="2" s="1"/>
  <c r="P436" i="2" a="1"/>
  <c r="P436" i="2" s="1"/>
  <c r="P437" i="2" a="1"/>
  <c r="P437" i="2" s="1"/>
  <c r="P438" i="2" a="1"/>
  <c r="P438" i="2" s="1"/>
  <c r="P439" i="2" a="1"/>
  <c r="P439" i="2" s="1"/>
  <c r="P440" i="2" a="1"/>
  <c r="P440" i="2" s="1"/>
  <c r="P441" i="2" a="1"/>
  <c r="P441" i="2" s="1"/>
  <c r="P442" i="2" a="1"/>
  <c r="P442" i="2" s="1"/>
  <c r="P443" i="2" a="1"/>
  <c r="P443" i="2" s="1"/>
  <c r="P444" i="2" a="1"/>
  <c r="P444" i="2" s="1"/>
  <c r="P445" i="2" a="1"/>
  <c r="P445" i="2" s="1"/>
  <c r="P446" i="2" a="1"/>
  <c r="P446" i="2" s="1"/>
  <c r="P447" i="2" a="1"/>
  <c r="P447" i="2" s="1"/>
  <c r="P448" i="2" a="1"/>
  <c r="P448" i="2" s="1"/>
  <c r="P449" i="2" a="1"/>
  <c r="P449" i="2" s="1"/>
  <c r="P450" i="2" a="1"/>
  <c r="P450" i="2" s="1"/>
  <c r="P451" i="2" a="1"/>
  <c r="P451" i="2" s="1"/>
  <c r="P452" i="2" a="1"/>
  <c r="P452" i="2" s="1"/>
  <c r="P453" i="2" a="1"/>
  <c r="P453" i="2" s="1"/>
  <c r="P454" i="2" a="1"/>
  <c r="P454" i="2" s="1"/>
  <c r="P455" i="2" a="1"/>
  <c r="P455" i="2" s="1"/>
  <c r="P456" i="2" a="1"/>
  <c r="P456" i="2" s="1"/>
  <c r="P457" i="2" a="1"/>
  <c r="P457" i="2" s="1"/>
  <c r="P458" i="2" a="1"/>
  <c r="P458" i="2" s="1"/>
  <c r="P459" i="2" a="1"/>
  <c r="P459" i="2" s="1"/>
  <c r="P460" i="2" a="1"/>
  <c r="P460" i="2" s="1"/>
  <c r="P461" i="2" a="1"/>
  <c r="P461" i="2" s="1"/>
  <c r="P462" i="2" a="1"/>
  <c r="P462" i="2" s="1"/>
  <c r="P463" i="2" a="1"/>
  <c r="P463" i="2" s="1"/>
  <c r="P464" i="2" a="1"/>
  <c r="P464" i="2" s="1"/>
  <c r="P465" i="2" a="1"/>
  <c r="P465" i="2" s="1"/>
  <c r="P466" i="2" a="1"/>
  <c r="P466" i="2" s="1"/>
  <c r="P467" i="2" a="1"/>
  <c r="P467" i="2" s="1"/>
  <c r="P468" i="2" a="1"/>
  <c r="P468" i="2" s="1"/>
  <c r="P469" i="2" a="1"/>
  <c r="P469" i="2" s="1"/>
  <c r="P470" i="2" a="1"/>
  <c r="P470" i="2" s="1"/>
  <c r="P471" i="2" a="1"/>
  <c r="P471" i="2" s="1"/>
  <c r="P472" i="2" a="1"/>
  <c r="P472" i="2" s="1"/>
  <c r="P473" i="2" a="1"/>
  <c r="P473" i="2" s="1"/>
  <c r="P474" i="2" a="1"/>
  <c r="P474" i="2" s="1"/>
  <c r="P475" i="2" a="1"/>
  <c r="P475" i="2" s="1"/>
  <c r="P476" i="2" a="1"/>
  <c r="P476" i="2" s="1"/>
  <c r="P477" i="2" a="1"/>
  <c r="P477" i="2" s="1"/>
  <c r="P478" i="2" a="1"/>
  <c r="P478" i="2" s="1"/>
  <c r="P479" i="2" a="1"/>
  <c r="P479" i="2" s="1"/>
  <c r="P480" i="2" a="1"/>
  <c r="P480" i="2" s="1"/>
  <c r="P481" i="2" a="1"/>
  <c r="P481" i="2" s="1"/>
  <c r="P482" i="2" a="1"/>
  <c r="P482" i="2" s="1"/>
  <c r="P483" i="2" a="1"/>
  <c r="P483" i="2" s="1"/>
  <c r="P484" i="2" a="1"/>
  <c r="P484" i="2" s="1"/>
  <c r="P485" i="2" a="1"/>
  <c r="P485" i="2" s="1"/>
  <c r="P486" i="2" a="1"/>
  <c r="P486" i="2" s="1"/>
  <c r="P487" i="2" a="1"/>
  <c r="P487" i="2" s="1"/>
  <c r="P488" i="2" a="1"/>
  <c r="P488" i="2" s="1"/>
  <c r="P489" i="2" a="1"/>
  <c r="P489" i="2" s="1"/>
  <c r="P490" i="2" a="1"/>
  <c r="P490" i="2" s="1"/>
  <c r="P491" i="2" a="1"/>
  <c r="P491" i="2" s="1"/>
  <c r="P492" i="2" a="1"/>
  <c r="P492" i="2" s="1"/>
  <c r="P493" i="2" a="1"/>
  <c r="P493" i="2" s="1"/>
  <c r="P494" i="2" a="1"/>
  <c r="P494" i="2" s="1"/>
  <c r="P495" i="2" a="1"/>
  <c r="P495" i="2" s="1"/>
  <c r="P496" i="2" a="1"/>
  <c r="P496" i="2" s="1"/>
  <c r="P497" i="2" a="1"/>
  <c r="P497" i="2" s="1"/>
  <c r="P498" i="2" a="1"/>
  <c r="P498" i="2" s="1"/>
  <c r="P499" i="2" a="1"/>
  <c r="P499" i="2" s="1"/>
  <c r="P500" i="2" a="1"/>
  <c r="P500" i="2" s="1"/>
  <c r="P501" i="2" a="1"/>
  <c r="P501" i="2" s="1"/>
  <c r="P502" i="2" a="1"/>
  <c r="P502" i="2" s="1"/>
  <c r="P503" i="2" a="1"/>
  <c r="P503" i="2" s="1"/>
  <c r="P504" i="2" a="1"/>
  <c r="P504" i="2" s="1"/>
  <c r="P505" i="2" a="1"/>
  <c r="P505" i="2" s="1"/>
  <c r="P506" i="2" a="1"/>
  <c r="P506" i="2" s="1"/>
  <c r="P507" i="2" a="1"/>
  <c r="P507" i="2" s="1"/>
  <c r="P508" i="2" a="1"/>
  <c r="P508" i="2" s="1"/>
  <c r="P509" i="2" a="1"/>
  <c r="P509" i="2" s="1"/>
  <c r="P510" i="2" a="1"/>
  <c r="P510" i="2" s="1"/>
  <c r="P511" i="2" a="1"/>
  <c r="P511" i="2" s="1"/>
  <c r="P512" i="2" a="1"/>
  <c r="P512" i="2" s="1"/>
  <c r="P513" i="2" a="1"/>
  <c r="P513" i="2" s="1"/>
  <c r="P514" i="2" a="1"/>
  <c r="P514" i="2" s="1"/>
  <c r="P515" i="2" a="1"/>
  <c r="P515" i="2" s="1"/>
  <c r="P516" i="2" a="1"/>
  <c r="P516" i="2" s="1"/>
  <c r="P517" i="2" a="1"/>
  <c r="P517" i="2" s="1"/>
  <c r="P518" i="2" a="1"/>
  <c r="P518" i="2" s="1"/>
  <c r="P519" i="2" a="1"/>
  <c r="P519" i="2" s="1"/>
  <c r="P520" i="2" a="1"/>
  <c r="P520" i="2" s="1"/>
  <c r="P521" i="2" a="1"/>
  <c r="P521" i="2" s="1"/>
  <c r="P522" i="2" a="1"/>
  <c r="P522" i="2" s="1"/>
  <c r="P523" i="2" a="1"/>
  <c r="P523" i="2" s="1"/>
  <c r="P524" i="2" a="1"/>
  <c r="P524" i="2" s="1"/>
  <c r="P525" i="2" a="1"/>
  <c r="P525" i="2" s="1"/>
  <c r="P526" i="2" a="1"/>
  <c r="P526" i="2" s="1"/>
  <c r="P527" i="2" a="1"/>
  <c r="P527" i="2" s="1"/>
  <c r="P528" i="2" a="1"/>
  <c r="P528" i="2" s="1"/>
  <c r="P529" i="2" a="1"/>
  <c r="P529" i="2" s="1"/>
  <c r="O3" i="2" a="1"/>
  <c r="O3" i="2" s="1"/>
  <c r="O4" i="2" a="1"/>
  <c r="O4" i="2" s="1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O22" i="2" a="1"/>
  <c r="O22" i="2" s="1"/>
  <c r="O23" i="2" a="1"/>
  <c r="O23" i="2" s="1"/>
  <c r="O24" i="2" a="1"/>
  <c r="O24" i="2" s="1"/>
  <c r="O25" i="2" a="1"/>
  <c r="O25" i="2" s="1"/>
  <c r="O26" i="2" a="1"/>
  <c r="O26" i="2" s="1"/>
  <c r="O27" i="2" a="1"/>
  <c r="O27" i="2" s="1"/>
  <c r="O28" i="2" a="1"/>
  <c r="O28" i="2" s="1"/>
  <c r="O29" i="2" a="1"/>
  <c r="O29" i="2" s="1"/>
  <c r="O30" i="2" a="1"/>
  <c r="O30" i="2" s="1"/>
  <c r="O31" i="2" a="1"/>
  <c r="O31" i="2" s="1"/>
  <c r="O32" i="2" a="1"/>
  <c r="O32" i="2" s="1"/>
  <c r="O33" i="2" a="1"/>
  <c r="O33" i="2" s="1"/>
  <c r="O34" i="2" a="1"/>
  <c r="O34" i="2" s="1"/>
  <c r="O35" i="2" a="1"/>
  <c r="O35" i="2" s="1"/>
  <c r="O36" i="2" a="1"/>
  <c r="O36" i="2" s="1"/>
  <c r="O37" i="2" a="1"/>
  <c r="O37" i="2" s="1"/>
  <c r="O38" i="2" a="1"/>
  <c r="O38" i="2" s="1"/>
  <c r="O39" i="2" a="1"/>
  <c r="O39" i="2" s="1"/>
  <c r="O40" i="2" a="1"/>
  <c r="O40" i="2" s="1"/>
  <c r="O41" i="2" a="1"/>
  <c r="O41" i="2" s="1"/>
  <c r="O42" i="2" a="1"/>
  <c r="O42" i="2" s="1"/>
  <c r="O43" i="2" a="1"/>
  <c r="O43" i="2" s="1"/>
  <c r="O44" i="2" a="1"/>
  <c r="O44" i="2" s="1"/>
  <c r="O45" i="2" a="1"/>
  <c r="O45" i="2" s="1"/>
  <c r="O46" i="2" a="1"/>
  <c r="O46" i="2" s="1"/>
  <c r="O47" i="2" a="1"/>
  <c r="O47" i="2" s="1"/>
  <c r="O48" i="2" a="1"/>
  <c r="O48" i="2" s="1"/>
  <c r="O49" i="2" a="1"/>
  <c r="O49" i="2" s="1"/>
  <c r="O50" i="2" a="1"/>
  <c r="O50" i="2" s="1"/>
  <c r="O51" i="2" a="1"/>
  <c r="O51" i="2" s="1"/>
  <c r="O52" i="2" a="1"/>
  <c r="O52" i="2" s="1"/>
  <c r="O53" i="2" a="1"/>
  <c r="O53" i="2" s="1"/>
  <c r="O54" i="2" a="1"/>
  <c r="O54" i="2" s="1"/>
  <c r="O55" i="2" a="1"/>
  <c r="O55" i="2" s="1"/>
  <c r="O56" i="2" a="1"/>
  <c r="O56" i="2" s="1"/>
  <c r="O57" i="2" a="1"/>
  <c r="O57" i="2" s="1"/>
  <c r="O58" i="2" a="1"/>
  <c r="O58" i="2" s="1"/>
  <c r="O59" i="2" a="1"/>
  <c r="O59" i="2" s="1"/>
  <c r="O60" i="2" a="1"/>
  <c r="O60" i="2" s="1"/>
  <c r="O61" i="2" a="1"/>
  <c r="O61" i="2" s="1"/>
  <c r="O62" i="2" a="1"/>
  <c r="O62" i="2" s="1"/>
  <c r="O63" i="2" a="1"/>
  <c r="O63" i="2" s="1"/>
  <c r="O64" i="2" a="1"/>
  <c r="O64" i="2" s="1"/>
  <c r="O65" i="2" a="1"/>
  <c r="O65" i="2" s="1"/>
  <c r="O66" i="2" a="1"/>
  <c r="O66" i="2" s="1"/>
  <c r="O67" i="2" a="1"/>
  <c r="O67" i="2" s="1"/>
  <c r="O68" i="2" a="1"/>
  <c r="O68" i="2" s="1"/>
  <c r="O69" i="2" a="1"/>
  <c r="O69" i="2" s="1"/>
  <c r="O70" i="2" a="1"/>
  <c r="O70" i="2" s="1"/>
  <c r="O71" i="2" a="1"/>
  <c r="O71" i="2" s="1"/>
  <c r="O72" i="2" a="1"/>
  <c r="O72" i="2" s="1"/>
  <c r="O73" i="2" a="1"/>
  <c r="O73" i="2" s="1"/>
  <c r="O74" i="2" a="1"/>
  <c r="O74" i="2" s="1"/>
  <c r="O75" i="2" a="1"/>
  <c r="O75" i="2" s="1"/>
  <c r="O76" i="2" a="1"/>
  <c r="O76" i="2" s="1"/>
  <c r="O77" i="2" a="1"/>
  <c r="O77" i="2" s="1"/>
  <c r="O78" i="2" a="1"/>
  <c r="O78" i="2" s="1"/>
  <c r="O79" i="2" a="1"/>
  <c r="O79" i="2" s="1"/>
  <c r="O80" i="2" a="1"/>
  <c r="O80" i="2" s="1"/>
  <c r="O81" i="2" a="1"/>
  <c r="O81" i="2" s="1"/>
  <c r="O82" i="2" a="1"/>
  <c r="O82" i="2" s="1"/>
  <c r="O83" i="2" a="1"/>
  <c r="O83" i="2" s="1"/>
  <c r="O84" i="2" a="1"/>
  <c r="O84" i="2" s="1"/>
  <c r="O85" i="2" a="1"/>
  <c r="O85" i="2" s="1"/>
  <c r="O86" i="2" a="1"/>
  <c r="O86" i="2" s="1"/>
  <c r="O87" i="2" a="1"/>
  <c r="O87" i="2" s="1"/>
  <c r="O88" i="2" a="1"/>
  <c r="O88" i="2" s="1"/>
  <c r="O89" i="2" a="1"/>
  <c r="O89" i="2" s="1"/>
  <c r="O90" i="2" a="1"/>
  <c r="O90" i="2" s="1"/>
  <c r="O91" i="2" a="1"/>
  <c r="O91" i="2" s="1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 s="1"/>
  <c r="O98" i="2" a="1"/>
  <c r="O98" i="2" s="1"/>
  <c r="O99" i="2" a="1"/>
  <c r="O99" i="2" s="1"/>
  <c r="O100" i="2" a="1"/>
  <c r="O100" i="2" s="1"/>
  <c r="O101" i="2" a="1"/>
  <c r="O101" i="2" s="1"/>
  <c r="O102" i="2" a="1"/>
  <c r="O102" i="2" s="1"/>
  <c r="O103" i="2" a="1"/>
  <c r="O103" i="2" s="1"/>
  <c r="O104" i="2" a="1"/>
  <c r="O104" i="2" s="1"/>
  <c r="O105" i="2" a="1"/>
  <c r="O105" i="2" s="1"/>
  <c r="O106" i="2" a="1"/>
  <c r="O106" i="2" s="1"/>
  <c r="O107" i="2" a="1"/>
  <c r="O107" i="2" s="1"/>
  <c r="O108" i="2" a="1"/>
  <c r="O108" i="2" s="1"/>
  <c r="O109" i="2" a="1"/>
  <c r="O109" i="2" s="1"/>
  <c r="O110" i="2" a="1"/>
  <c r="O110" i="2" s="1"/>
  <c r="O111" i="2" a="1"/>
  <c r="O111" i="2" s="1"/>
  <c r="O112" i="2" a="1"/>
  <c r="O112" i="2" s="1"/>
  <c r="O113" i="2" a="1"/>
  <c r="O113" i="2" s="1"/>
  <c r="O114" i="2" a="1"/>
  <c r="O114" i="2" s="1"/>
  <c r="O115" i="2" a="1"/>
  <c r="O115" i="2" s="1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 s="1"/>
  <c r="O122" i="2" a="1"/>
  <c r="O122" i="2" s="1"/>
  <c r="O123" i="2" a="1"/>
  <c r="O123" i="2" s="1"/>
  <c r="O124" i="2" a="1"/>
  <c r="O124" i="2" s="1"/>
  <c r="O125" i="2" a="1"/>
  <c r="O125" i="2" s="1"/>
  <c r="O126" i="2" a="1"/>
  <c r="O126" i="2" s="1"/>
  <c r="O127" i="2" a="1"/>
  <c r="O127" i="2" s="1"/>
  <c r="O128" i="2" a="1"/>
  <c r="O128" i="2" s="1"/>
  <c r="O129" i="2" a="1"/>
  <c r="O129" i="2" s="1"/>
  <c r="O130" i="2" a="1"/>
  <c r="O130" i="2" s="1"/>
  <c r="O131" i="2" a="1"/>
  <c r="O131" i="2" s="1"/>
  <c r="O132" i="2" a="1"/>
  <c r="O132" i="2" s="1"/>
  <c r="O133" i="2" a="1"/>
  <c r="O133" i="2" s="1"/>
  <c r="O134" i="2" a="1"/>
  <c r="O134" i="2" s="1"/>
  <c r="O135" i="2" a="1"/>
  <c r="O135" i="2" s="1"/>
  <c r="O136" i="2" a="1"/>
  <c r="O136" i="2" s="1"/>
  <c r="O137" i="2" a="1"/>
  <c r="O137" i="2" s="1"/>
  <c r="O138" i="2" a="1"/>
  <c r="O138" i="2" s="1"/>
  <c r="O139" i="2" a="1"/>
  <c r="O139" i="2" s="1"/>
  <c r="O140" i="2" a="1"/>
  <c r="O140" i="2" s="1"/>
  <c r="O141" i="2" a="1"/>
  <c r="O141" i="2" s="1"/>
  <c r="O142" i="2" a="1"/>
  <c r="O142" i="2" s="1"/>
  <c r="O143" i="2" a="1"/>
  <c r="O143" i="2" s="1"/>
  <c r="O144" i="2" a="1"/>
  <c r="O144" i="2" s="1"/>
  <c r="O145" i="2" a="1"/>
  <c r="O145" i="2" s="1"/>
  <c r="O146" i="2" a="1"/>
  <c r="O146" i="2" s="1"/>
  <c r="O147" i="2" a="1"/>
  <c r="O147" i="2" s="1"/>
  <c r="O148" i="2" a="1"/>
  <c r="O148" i="2" s="1"/>
  <c r="O149" i="2" a="1"/>
  <c r="O149" i="2" s="1"/>
  <c r="O150" i="2" a="1"/>
  <c r="O150" i="2" s="1"/>
  <c r="O151" i="2" a="1"/>
  <c r="O151" i="2" s="1"/>
  <c r="O152" i="2" a="1"/>
  <c r="O152" i="2" s="1"/>
  <c r="O153" i="2" a="1"/>
  <c r="O153" i="2" s="1"/>
  <c r="O154" i="2" a="1"/>
  <c r="O154" i="2" s="1"/>
  <c r="O155" i="2" a="1"/>
  <c r="O155" i="2" s="1"/>
  <c r="O156" i="2" a="1"/>
  <c r="O156" i="2" s="1"/>
  <c r="O157" i="2" a="1"/>
  <c r="O157" i="2" s="1"/>
  <c r="O158" i="2" a="1"/>
  <c r="O158" i="2" s="1"/>
  <c r="O159" i="2" a="1"/>
  <c r="O159" i="2" s="1"/>
  <c r="O160" i="2" a="1"/>
  <c r="O160" i="2" s="1"/>
  <c r="O161" i="2" a="1"/>
  <c r="O161" i="2" s="1"/>
  <c r="O162" i="2" a="1"/>
  <c r="O162" i="2" s="1"/>
  <c r="O163" i="2" a="1"/>
  <c r="O163" i="2" s="1"/>
  <c r="O164" i="2" a="1"/>
  <c r="O164" i="2" s="1"/>
  <c r="O165" i="2" a="1"/>
  <c r="O165" i="2" s="1"/>
  <c r="O166" i="2" a="1"/>
  <c r="O166" i="2" s="1"/>
  <c r="O167" i="2" a="1"/>
  <c r="O167" i="2" s="1"/>
  <c r="O168" i="2" a="1"/>
  <c r="O168" i="2" s="1"/>
  <c r="O169" i="2" a="1"/>
  <c r="O169" i="2" s="1"/>
  <c r="O170" i="2" a="1"/>
  <c r="O170" i="2" s="1"/>
  <c r="O171" i="2" a="1"/>
  <c r="O171" i="2" s="1"/>
  <c r="O172" i="2" a="1"/>
  <c r="O172" i="2" s="1"/>
  <c r="O173" i="2" a="1"/>
  <c r="O173" i="2" s="1"/>
  <c r="O174" i="2" a="1"/>
  <c r="O174" i="2" s="1"/>
  <c r="O175" i="2" a="1"/>
  <c r="O175" i="2" s="1"/>
  <c r="O176" i="2" a="1"/>
  <c r="O176" i="2" s="1"/>
  <c r="O177" i="2" a="1"/>
  <c r="O177" i="2" s="1"/>
  <c r="O178" i="2" a="1"/>
  <c r="O178" i="2" s="1"/>
  <c r="O179" i="2" a="1"/>
  <c r="O179" i="2" s="1"/>
  <c r="O180" i="2" a="1"/>
  <c r="O180" i="2" s="1"/>
  <c r="O181" i="2" a="1"/>
  <c r="O181" i="2" s="1"/>
  <c r="O182" i="2" a="1"/>
  <c r="O182" i="2" s="1"/>
  <c r="O183" i="2" a="1"/>
  <c r="O183" i="2" s="1"/>
  <c r="O184" i="2" a="1"/>
  <c r="O184" i="2" s="1"/>
  <c r="O185" i="2" a="1"/>
  <c r="O185" i="2" s="1"/>
  <c r="O186" i="2" a="1"/>
  <c r="O186" i="2" s="1"/>
  <c r="O187" i="2" a="1"/>
  <c r="O187" i="2" s="1"/>
  <c r="O188" i="2" a="1"/>
  <c r="O188" i="2" s="1"/>
  <c r="O189" i="2" a="1"/>
  <c r="O189" i="2" s="1"/>
  <c r="O190" i="2" a="1"/>
  <c r="O190" i="2" s="1"/>
  <c r="O191" i="2" a="1"/>
  <c r="O191" i="2" s="1"/>
  <c r="O192" i="2" a="1"/>
  <c r="O192" i="2" s="1"/>
  <c r="O193" i="2" a="1"/>
  <c r="O193" i="2" s="1"/>
  <c r="O194" i="2" a="1"/>
  <c r="O194" i="2" s="1"/>
  <c r="O195" i="2" a="1"/>
  <c r="O195" i="2" s="1"/>
  <c r="O196" i="2" a="1"/>
  <c r="O196" i="2" s="1"/>
  <c r="O197" i="2" a="1"/>
  <c r="O197" i="2" s="1"/>
  <c r="O198" i="2" a="1"/>
  <c r="O198" i="2" s="1"/>
  <c r="O199" i="2" a="1"/>
  <c r="O199" i="2" s="1"/>
  <c r="O200" i="2" a="1"/>
  <c r="O200" i="2" s="1"/>
  <c r="O201" i="2" a="1"/>
  <c r="O201" i="2" s="1"/>
  <c r="O202" i="2" a="1"/>
  <c r="O202" i="2" s="1"/>
  <c r="O203" i="2" a="1"/>
  <c r="O203" i="2" s="1"/>
  <c r="O204" i="2" a="1"/>
  <c r="O204" i="2" s="1"/>
  <c r="O205" i="2" a="1"/>
  <c r="O205" i="2" s="1"/>
  <c r="O206" i="2" a="1"/>
  <c r="O206" i="2" s="1"/>
  <c r="O207" i="2" a="1"/>
  <c r="O207" i="2" s="1"/>
  <c r="O208" i="2" a="1"/>
  <c r="O208" i="2" s="1"/>
  <c r="O209" i="2" a="1"/>
  <c r="O209" i="2" s="1"/>
  <c r="O210" i="2" a="1"/>
  <c r="O210" i="2" s="1"/>
  <c r="O211" i="2" a="1"/>
  <c r="O211" i="2" s="1"/>
  <c r="O212" i="2" a="1"/>
  <c r="O212" i="2" s="1"/>
  <c r="O213" i="2" a="1"/>
  <c r="O213" i="2" s="1"/>
  <c r="O214" i="2" a="1"/>
  <c r="O214" i="2" s="1"/>
  <c r="O215" i="2" a="1"/>
  <c r="O215" i="2" s="1"/>
  <c r="O216" i="2" a="1"/>
  <c r="O216" i="2" s="1"/>
  <c r="O217" i="2" a="1"/>
  <c r="O217" i="2" s="1"/>
  <c r="O218" i="2" a="1"/>
  <c r="O218" i="2" s="1"/>
  <c r="O219" i="2" a="1"/>
  <c r="O219" i="2" s="1"/>
  <c r="O220" i="2" a="1"/>
  <c r="O220" i="2" s="1"/>
  <c r="O221" i="2" a="1"/>
  <c r="O221" i="2" s="1"/>
  <c r="O222" i="2" a="1"/>
  <c r="O222" i="2" s="1"/>
  <c r="O223" i="2" a="1"/>
  <c r="O223" i="2" s="1"/>
  <c r="O224" i="2" a="1"/>
  <c r="O224" i="2" s="1"/>
  <c r="O225" i="2" a="1"/>
  <c r="O225" i="2" s="1"/>
  <c r="O226" i="2" a="1"/>
  <c r="O226" i="2" s="1"/>
  <c r="O227" i="2" a="1"/>
  <c r="O227" i="2" s="1"/>
  <c r="O228" i="2" a="1"/>
  <c r="O228" i="2" s="1"/>
  <c r="O229" i="2" a="1"/>
  <c r="O229" i="2" s="1"/>
  <c r="O230" i="2" a="1"/>
  <c r="O230" i="2" s="1"/>
  <c r="O231" i="2" a="1"/>
  <c r="O231" i="2" s="1"/>
  <c r="O232" i="2" a="1"/>
  <c r="O232" i="2" s="1"/>
  <c r="O233" i="2" a="1"/>
  <c r="O233" i="2" s="1"/>
  <c r="O234" i="2" a="1"/>
  <c r="O234" i="2" s="1"/>
  <c r="O235" i="2" a="1"/>
  <c r="O235" i="2" s="1"/>
  <c r="O236" i="2" a="1"/>
  <c r="O236" i="2" s="1"/>
  <c r="O237" i="2" a="1"/>
  <c r="O237" i="2" s="1"/>
  <c r="O238" i="2" a="1"/>
  <c r="O238" i="2" s="1"/>
  <c r="O239" i="2" a="1"/>
  <c r="O239" i="2" s="1"/>
  <c r="O240" i="2" a="1"/>
  <c r="O240" i="2" s="1"/>
  <c r="O241" i="2" a="1"/>
  <c r="O241" i="2" s="1"/>
  <c r="O242" i="2" a="1"/>
  <c r="O242" i="2" s="1"/>
  <c r="O243" i="2" a="1"/>
  <c r="O243" i="2" s="1"/>
  <c r="O244" i="2" a="1"/>
  <c r="O244" i="2" s="1"/>
  <c r="O245" i="2" a="1"/>
  <c r="O245" i="2" s="1"/>
  <c r="O246" i="2" a="1"/>
  <c r="O246" i="2" s="1"/>
  <c r="O247" i="2" a="1"/>
  <c r="O247" i="2" s="1"/>
  <c r="O248" i="2" a="1"/>
  <c r="O248" i="2" s="1"/>
  <c r="O249" i="2" a="1"/>
  <c r="O249" i="2" s="1"/>
  <c r="O250" i="2" a="1"/>
  <c r="O250" i="2" s="1"/>
  <c r="O251" i="2" a="1"/>
  <c r="O251" i="2" s="1"/>
  <c r="O252" i="2" a="1"/>
  <c r="O252" i="2" s="1"/>
  <c r="O253" i="2" a="1"/>
  <c r="O253" i="2" s="1"/>
  <c r="O254" i="2" a="1"/>
  <c r="O254" i="2" s="1"/>
  <c r="O255" i="2" a="1"/>
  <c r="O255" i="2" s="1"/>
  <c r="O256" i="2" a="1"/>
  <c r="O256" i="2" s="1"/>
  <c r="O257" i="2" a="1"/>
  <c r="O257" i="2" s="1"/>
  <c r="O258" i="2" a="1"/>
  <c r="O258" i="2" s="1"/>
  <c r="O259" i="2" a="1"/>
  <c r="O259" i="2" s="1"/>
  <c r="O260" i="2" a="1"/>
  <c r="O260" i="2" s="1"/>
  <c r="O261" i="2" a="1"/>
  <c r="O261" i="2" s="1"/>
  <c r="O262" i="2" a="1"/>
  <c r="O262" i="2" s="1"/>
  <c r="O263" i="2" a="1"/>
  <c r="O263" i="2" s="1"/>
  <c r="O264" i="2" a="1"/>
  <c r="O264" i="2" s="1"/>
  <c r="O265" i="2" a="1"/>
  <c r="O265" i="2" s="1"/>
  <c r="O266" i="2" a="1"/>
  <c r="O266" i="2" s="1"/>
  <c r="O267" i="2" a="1"/>
  <c r="O267" i="2" s="1"/>
  <c r="O268" i="2" a="1"/>
  <c r="O268" i="2" s="1"/>
  <c r="O269" i="2" a="1"/>
  <c r="O269" i="2" s="1"/>
  <c r="O270" i="2" a="1"/>
  <c r="O270" i="2" s="1"/>
  <c r="O271" i="2" a="1"/>
  <c r="O271" i="2" s="1"/>
  <c r="O272" i="2" a="1"/>
  <c r="O272" i="2" s="1"/>
  <c r="O273" i="2" a="1"/>
  <c r="O273" i="2" s="1"/>
  <c r="O274" i="2" a="1"/>
  <c r="O274" i="2" s="1"/>
  <c r="O275" i="2" a="1"/>
  <c r="O275" i="2" s="1"/>
  <c r="O276" i="2" a="1"/>
  <c r="O276" i="2" s="1"/>
  <c r="O277" i="2" a="1"/>
  <c r="O277" i="2" s="1"/>
  <c r="O278" i="2" a="1"/>
  <c r="O278" i="2" s="1"/>
  <c r="O279" i="2" a="1"/>
  <c r="O279" i="2" s="1"/>
  <c r="O280" i="2" a="1"/>
  <c r="O280" i="2" s="1"/>
  <c r="O281" i="2" a="1"/>
  <c r="O281" i="2" s="1"/>
  <c r="O282" i="2" a="1"/>
  <c r="O282" i="2" s="1"/>
  <c r="O283" i="2" a="1"/>
  <c r="O283" i="2" s="1"/>
  <c r="O284" i="2" a="1"/>
  <c r="O284" i="2" s="1"/>
  <c r="O285" i="2" a="1"/>
  <c r="O285" i="2" s="1"/>
  <c r="O286" i="2" a="1"/>
  <c r="O286" i="2" s="1"/>
  <c r="O287" i="2" a="1"/>
  <c r="O287" i="2" s="1"/>
  <c r="O288" i="2" a="1"/>
  <c r="O288" i="2" s="1"/>
  <c r="O289" i="2" a="1"/>
  <c r="O289" i="2" s="1"/>
  <c r="O290" i="2" a="1"/>
  <c r="O290" i="2" s="1"/>
  <c r="O291" i="2" a="1"/>
  <c r="O291" i="2" s="1"/>
  <c r="O292" i="2" a="1"/>
  <c r="O292" i="2" s="1"/>
  <c r="O293" i="2" a="1"/>
  <c r="O293" i="2" s="1"/>
  <c r="O294" i="2" a="1"/>
  <c r="O294" i="2" s="1"/>
  <c r="O295" i="2" a="1"/>
  <c r="O295" i="2" s="1"/>
  <c r="O296" i="2" a="1"/>
  <c r="O296" i="2" s="1"/>
  <c r="O297" i="2" a="1"/>
  <c r="O297" i="2" s="1"/>
  <c r="O298" i="2" a="1"/>
  <c r="O298" i="2" s="1"/>
  <c r="O299" i="2" a="1"/>
  <c r="O299" i="2" s="1"/>
  <c r="O300" i="2" a="1"/>
  <c r="O300" i="2" s="1"/>
  <c r="O301" i="2" a="1"/>
  <c r="O301" i="2" s="1"/>
  <c r="O302" i="2" a="1"/>
  <c r="O302" i="2" s="1"/>
  <c r="O303" i="2" a="1"/>
  <c r="O303" i="2" s="1"/>
  <c r="O304" i="2" a="1"/>
  <c r="O304" i="2" s="1"/>
  <c r="O305" i="2" a="1"/>
  <c r="O305" i="2" s="1"/>
  <c r="O306" i="2" a="1"/>
  <c r="O306" i="2" s="1"/>
  <c r="O307" i="2" a="1"/>
  <c r="O307" i="2" s="1"/>
  <c r="O308" i="2" a="1"/>
  <c r="O308" i="2" s="1"/>
  <c r="O309" i="2" a="1"/>
  <c r="O309" i="2" s="1"/>
  <c r="O310" i="2" a="1"/>
  <c r="O310" i="2" s="1"/>
  <c r="O311" i="2" a="1"/>
  <c r="O311" i="2" s="1"/>
  <c r="O312" i="2" a="1"/>
  <c r="O312" i="2" s="1"/>
  <c r="O313" i="2" a="1"/>
  <c r="O313" i="2" s="1"/>
  <c r="O314" i="2" a="1"/>
  <c r="O314" i="2" s="1"/>
  <c r="O315" i="2" a="1"/>
  <c r="O315" i="2" s="1"/>
  <c r="O316" i="2" a="1"/>
  <c r="O316" i="2" s="1"/>
  <c r="O317" i="2" a="1"/>
  <c r="O317" i="2" s="1"/>
  <c r="O318" i="2" a="1"/>
  <c r="O318" i="2" s="1"/>
  <c r="O319" i="2" a="1"/>
  <c r="O319" i="2" s="1"/>
  <c r="O320" i="2" a="1"/>
  <c r="O320" i="2" s="1"/>
  <c r="O321" i="2" a="1"/>
  <c r="O321" i="2" s="1"/>
  <c r="O322" i="2" a="1"/>
  <c r="O322" i="2" s="1"/>
  <c r="O323" i="2" a="1"/>
  <c r="O323" i="2" s="1"/>
  <c r="O324" i="2" a="1"/>
  <c r="O324" i="2" s="1"/>
  <c r="O325" i="2" a="1"/>
  <c r="O325" i="2" s="1"/>
  <c r="O326" i="2" a="1"/>
  <c r="O326" i="2" s="1"/>
  <c r="O327" i="2" a="1"/>
  <c r="O327" i="2" s="1"/>
  <c r="O328" i="2" a="1"/>
  <c r="O328" i="2" s="1"/>
  <c r="O329" i="2" a="1"/>
  <c r="O329" i="2" s="1"/>
  <c r="O330" i="2" a="1"/>
  <c r="O330" i="2" s="1"/>
  <c r="O331" i="2" a="1"/>
  <c r="O331" i="2" s="1"/>
  <c r="O332" i="2" a="1"/>
  <c r="O332" i="2" s="1"/>
  <c r="O333" i="2" a="1"/>
  <c r="O333" i="2" s="1"/>
  <c r="O334" i="2" a="1"/>
  <c r="O334" i="2" s="1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 s="1"/>
  <c r="O343" i="2" a="1"/>
  <c r="O343" i="2" s="1"/>
  <c r="O344" i="2" a="1"/>
  <c r="O344" i="2" s="1"/>
  <c r="O345" i="2" a="1"/>
  <c r="O345" i="2" s="1"/>
  <c r="O346" i="2" a="1"/>
  <c r="O346" i="2" s="1"/>
  <c r="O347" i="2" a="1"/>
  <c r="O347" i="2" s="1"/>
  <c r="O348" i="2" a="1"/>
  <c r="O348" i="2" s="1"/>
  <c r="O349" i="2" a="1"/>
  <c r="O349" i="2" s="1"/>
  <c r="O350" i="2" a="1"/>
  <c r="O350" i="2" s="1"/>
  <c r="O351" i="2" a="1"/>
  <c r="O351" i="2" s="1"/>
  <c r="O352" i="2" a="1"/>
  <c r="O352" i="2" s="1"/>
  <c r="O353" i="2" a="1"/>
  <c r="O353" i="2" s="1"/>
  <c r="O354" i="2" a="1"/>
  <c r="O354" i="2" s="1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0" i="2" a="1"/>
  <c r="O360" i="2" s="1"/>
  <c r="O361" i="2" a="1"/>
  <c r="O361" i="2" s="1"/>
  <c r="O362" i="2" a="1"/>
  <c r="O362" i="2" s="1"/>
  <c r="O363" i="2" a="1"/>
  <c r="O363" i="2" s="1"/>
  <c r="O364" i="2" a="1"/>
  <c r="O364" i="2" s="1"/>
  <c r="O365" i="2" a="1"/>
  <c r="O365" i="2" s="1"/>
  <c r="O366" i="2" a="1"/>
  <c r="O366" i="2" s="1"/>
  <c r="O367" i="2" a="1"/>
  <c r="O367" i="2" s="1"/>
  <c r="O368" i="2" a="1"/>
  <c r="O368" i="2" s="1"/>
  <c r="O369" i="2" a="1"/>
  <c r="O369" i="2" s="1"/>
  <c r="O370" i="2" a="1"/>
  <c r="O370" i="2" s="1"/>
  <c r="O371" i="2" a="1"/>
  <c r="O371" i="2" s="1"/>
  <c r="O372" i="2" a="1"/>
  <c r="O372" i="2" s="1"/>
  <c r="O373" i="2" a="1"/>
  <c r="O373" i="2" s="1"/>
  <c r="O374" i="2" a="1"/>
  <c r="O374" i="2" s="1"/>
  <c r="O375" i="2" a="1"/>
  <c r="O375" i="2" s="1"/>
  <c r="O376" i="2" a="1"/>
  <c r="O376" i="2" s="1"/>
  <c r="O377" i="2" a="1"/>
  <c r="O377" i="2" s="1"/>
  <c r="O378" i="2" a="1"/>
  <c r="O378" i="2" s="1"/>
  <c r="O379" i="2" a="1"/>
  <c r="O379" i="2" s="1"/>
  <c r="O380" i="2" a="1"/>
  <c r="O380" i="2" s="1"/>
  <c r="O381" i="2" a="1"/>
  <c r="O381" i="2" s="1"/>
  <c r="O382" i="2" a="1"/>
  <c r="O382" i="2" s="1"/>
  <c r="O383" i="2" a="1"/>
  <c r="O383" i="2" s="1"/>
  <c r="O384" i="2" a="1"/>
  <c r="O384" i="2" s="1"/>
  <c r="O385" i="2" a="1"/>
  <c r="O385" i="2" s="1"/>
  <c r="O386" i="2" a="1"/>
  <c r="O386" i="2" s="1"/>
  <c r="O387" i="2" a="1"/>
  <c r="O387" i="2" s="1"/>
  <c r="O388" i="2" a="1"/>
  <c r="O388" i="2" s="1"/>
  <c r="O389" i="2" a="1"/>
  <c r="O389" i="2" s="1"/>
  <c r="O390" i="2" a="1"/>
  <c r="O390" i="2" s="1"/>
  <c r="O391" i="2" a="1"/>
  <c r="O391" i="2" s="1"/>
  <c r="O392" i="2" a="1"/>
  <c r="O392" i="2" s="1"/>
  <c r="O393" i="2" a="1"/>
  <c r="O393" i="2" s="1"/>
  <c r="O394" i="2" a="1"/>
  <c r="O394" i="2" s="1"/>
  <c r="O395" i="2" a="1"/>
  <c r="O395" i="2" s="1"/>
  <c r="O396" i="2" a="1"/>
  <c r="O396" i="2" s="1"/>
  <c r="O397" i="2" a="1"/>
  <c r="O397" i="2" s="1"/>
  <c r="O398" i="2" a="1"/>
  <c r="O398" i="2" s="1"/>
  <c r="O399" i="2" a="1"/>
  <c r="O399" i="2" s="1"/>
  <c r="O400" i="2" a="1"/>
  <c r="O400" i="2" s="1"/>
  <c r="O401" i="2" a="1"/>
  <c r="O401" i="2" s="1"/>
  <c r="O402" i="2" a="1"/>
  <c r="O402" i="2" s="1"/>
  <c r="O403" i="2" a="1"/>
  <c r="O403" i="2" s="1"/>
  <c r="O404" i="2" a="1"/>
  <c r="O404" i="2" s="1"/>
  <c r="O405" i="2" a="1"/>
  <c r="O405" i="2" s="1"/>
  <c r="O406" i="2" a="1"/>
  <c r="O406" i="2" s="1"/>
  <c r="O407" i="2" a="1"/>
  <c r="O407" i="2" s="1"/>
  <c r="O408" i="2" a="1"/>
  <c r="O408" i="2" s="1"/>
  <c r="O409" i="2" a="1"/>
  <c r="O409" i="2" s="1"/>
  <c r="O410" i="2" a="1"/>
  <c r="O410" i="2" s="1"/>
  <c r="O411" i="2" a="1"/>
  <c r="O411" i="2" s="1"/>
  <c r="O412" i="2" a="1"/>
  <c r="O412" i="2" s="1"/>
  <c r="O413" i="2" a="1"/>
  <c r="O413" i="2" s="1"/>
  <c r="O414" i="2" a="1"/>
  <c r="O414" i="2" s="1"/>
  <c r="O415" i="2" a="1"/>
  <c r="O415" i="2" s="1"/>
  <c r="O416" i="2" a="1"/>
  <c r="O416" i="2" s="1"/>
  <c r="O417" i="2" a="1"/>
  <c r="O417" i="2" s="1"/>
  <c r="O418" i="2" a="1"/>
  <c r="O418" i="2" s="1"/>
  <c r="O419" i="2" a="1"/>
  <c r="O419" i="2" s="1"/>
  <c r="O420" i="2" a="1"/>
  <c r="O420" i="2" s="1"/>
  <c r="O421" i="2" a="1"/>
  <c r="O421" i="2" s="1"/>
  <c r="O422" i="2" a="1"/>
  <c r="O422" i="2" s="1"/>
  <c r="O423" i="2" a="1"/>
  <c r="O423" i="2" s="1"/>
  <c r="O424" i="2" a="1"/>
  <c r="O424" i="2" s="1"/>
  <c r="O425" i="2" a="1"/>
  <c r="O425" i="2" s="1"/>
  <c r="O426" i="2" a="1"/>
  <c r="O426" i="2" s="1"/>
  <c r="O427" i="2" a="1"/>
  <c r="O427" i="2" s="1"/>
  <c r="O428" i="2" a="1"/>
  <c r="O428" i="2" s="1"/>
  <c r="O429" i="2" a="1"/>
  <c r="O429" i="2" s="1"/>
  <c r="O430" i="2" a="1"/>
  <c r="O430" i="2" s="1"/>
  <c r="O431" i="2" a="1"/>
  <c r="O431" i="2" s="1"/>
  <c r="O432" i="2" a="1"/>
  <c r="O432" i="2" s="1"/>
  <c r="O433" i="2" a="1"/>
  <c r="O433" i="2" s="1"/>
  <c r="O434" i="2" a="1"/>
  <c r="O434" i="2" s="1"/>
  <c r="O435" i="2" a="1"/>
  <c r="O435" i="2" s="1"/>
  <c r="O436" i="2" a="1"/>
  <c r="O436" i="2" s="1"/>
  <c r="O437" i="2" a="1"/>
  <c r="O437" i="2" s="1"/>
  <c r="O438" i="2" a="1"/>
  <c r="O438" i="2" s="1"/>
  <c r="O439" i="2" a="1"/>
  <c r="O439" i="2" s="1"/>
  <c r="O440" i="2" a="1"/>
  <c r="O440" i="2" s="1"/>
  <c r="O441" i="2" a="1"/>
  <c r="O441" i="2" s="1"/>
  <c r="O442" i="2" a="1"/>
  <c r="O442" i="2" s="1"/>
  <c r="O443" i="2" a="1"/>
  <c r="O443" i="2" s="1"/>
  <c r="O444" i="2" a="1"/>
  <c r="O444" i="2" s="1"/>
  <c r="O445" i="2" a="1"/>
  <c r="O445" i="2" s="1"/>
  <c r="O446" i="2" a="1"/>
  <c r="O446" i="2" s="1"/>
  <c r="O447" i="2" a="1"/>
  <c r="O447" i="2" s="1"/>
  <c r="O448" i="2" a="1"/>
  <c r="O448" i="2" s="1"/>
  <c r="O449" i="2" a="1"/>
  <c r="O449" i="2" s="1"/>
  <c r="O450" i="2" a="1"/>
  <c r="O450" i="2" s="1"/>
  <c r="O451" i="2" a="1"/>
  <c r="O451" i="2" s="1"/>
  <c r="O452" i="2" a="1"/>
  <c r="O452" i="2" s="1"/>
  <c r="O453" i="2" a="1"/>
  <c r="O453" i="2" s="1"/>
  <c r="O454" i="2" a="1"/>
  <c r="O454" i="2" s="1"/>
  <c r="O455" i="2" a="1"/>
  <c r="O455" i="2" s="1"/>
  <c r="O456" i="2" a="1"/>
  <c r="O456" i="2" s="1"/>
  <c r="O457" i="2" a="1"/>
  <c r="O457" i="2" s="1"/>
  <c r="O458" i="2" a="1"/>
  <c r="O458" i="2" s="1"/>
  <c r="O459" i="2" a="1"/>
  <c r="O459" i="2" s="1"/>
  <c r="O460" i="2" a="1"/>
  <c r="O460" i="2" s="1"/>
  <c r="O461" i="2" a="1"/>
  <c r="O461" i="2" s="1"/>
  <c r="O462" i="2" a="1"/>
  <c r="O462" i="2" s="1"/>
  <c r="O463" i="2" a="1"/>
  <c r="O463" i="2" s="1"/>
  <c r="O464" i="2" a="1"/>
  <c r="O464" i="2" s="1"/>
  <c r="O465" i="2" a="1"/>
  <c r="O465" i="2" s="1"/>
  <c r="O466" i="2" a="1"/>
  <c r="O466" i="2" s="1"/>
  <c r="O467" i="2" a="1"/>
  <c r="O467" i="2" s="1"/>
  <c r="O468" i="2" a="1"/>
  <c r="O468" i="2" s="1"/>
  <c r="O469" i="2" a="1"/>
  <c r="O469" i="2" s="1"/>
  <c r="O470" i="2" a="1"/>
  <c r="O470" i="2" s="1"/>
  <c r="O471" i="2" a="1"/>
  <c r="O471" i="2" s="1"/>
  <c r="O472" i="2" a="1"/>
  <c r="O472" i="2" s="1"/>
  <c r="O473" i="2" a="1"/>
  <c r="O473" i="2" s="1"/>
  <c r="O474" i="2" a="1"/>
  <c r="O474" i="2" s="1"/>
  <c r="O475" i="2" a="1"/>
  <c r="O475" i="2" s="1"/>
  <c r="O476" i="2" a="1"/>
  <c r="O476" i="2" s="1"/>
  <c r="O477" i="2" a="1"/>
  <c r="O477" i="2" s="1"/>
  <c r="O478" i="2" a="1"/>
  <c r="O478" i="2" s="1"/>
  <c r="O479" i="2" a="1"/>
  <c r="O479" i="2" s="1"/>
  <c r="O480" i="2" a="1"/>
  <c r="O480" i="2" s="1"/>
  <c r="O481" i="2" a="1"/>
  <c r="O481" i="2" s="1"/>
  <c r="O482" i="2" a="1"/>
  <c r="O482" i="2" s="1"/>
  <c r="O483" i="2" a="1"/>
  <c r="O483" i="2" s="1"/>
  <c r="O484" i="2" a="1"/>
  <c r="O484" i="2" s="1"/>
  <c r="O485" i="2" a="1"/>
  <c r="O485" i="2" s="1"/>
  <c r="O486" i="2" a="1"/>
  <c r="O486" i="2" s="1"/>
  <c r="O487" i="2" a="1"/>
  <c r="O487" i="2" s="1"/>
  <c r="O488" i="2" a="1"/>
  <c r="O488" i="2" s="1"/>
  <c r="O489" i="2" a="1"/>
  <c r="O489" i="2" s="1"/>
  <c r="O490" i="2" a="1"/>
  <c r="O490" i="2" s="1"/>
  <c r="O491" i="2" a="1"/>
  <c r="O491" i="2" s="1"/>
  <c r="O492" i="2" a="1"/>
  <c r="O492" i="2" s="1"/>
  <c r="O493" i="2" a="1"/>
  <c r="O493" i="2" s="1"/>
  <c r="O494" i="2" a="1"/>
  <c r="O494" i="2" s="1"/>
  <c r="O495" i="2" a="1"/>
  <c r="O495" i="2" s="1"/>
  <c r="O496" i="2" a="1"/>
  <c r="O496" i="2" s="1"/>
  <c r="O497" i="2" a="1"/>
  <c r="O497" i="2" s="1"/>
  <c r="O498" i="2" a="1"/>
  <c r="O498" i="2" s="1"/>
  <c r="O499" i="2" a="1"/>
  <c r="O499" i="2" s="1"/>
  <c r="O500" i="2" a="1"/>
  <c r="O500" i="2" s="1"/>
  <c r="O501" i="2" a="1"/>
  <c r="O501" i="2" s="1"/>
  <c r="O502" i="2" a="1"/>
  <c r="O502" i="2" s="1"/>
  <c r="O503" i="2" a="1"/>
  <c r="O503" i="2" s="1"/>
  <c r="O504" i="2" a="1"/>
  <c r="O504" i="2" s="1"/>
  <c r="O505" i="2" a="1"/>
  <c r="O505" i="2" s="1"/>
  <c r="O506" i="2" a="1"/>
  <c r="O506" i="2" s="1"/>
  <c r="O507" i="2" a="1"/>
  <c r="O507" i="2" s="1"/>
  <c r="O508" i="2" a="1"/>
  <c r="O508" i="2" s="1"/>
  <c r="O509" i="2" a="1"/>
  <c r="O509" i="2" s="1"/>
  <c r="O510" i="2" a="1"/>
  <c r="O510" i="2" s="1"/>
  <c r="O511" i="2" a="1"/>
  <c r="O511" i="2" s="1"/>
  <c r="O512" i="2" a="1"/>
  <c r="O512" i="2" s="1"/>
  <c r="O513" i="2" a="1"/>
  <c r="O513" i="2" s="1"/>
  <c r="O514" i="2" a="1"/>
  <c r="O514" i="2" s="1"/>
  <c r="O515" i="2" a="1"/>
  <c r="O515" i="2" s="1"/>
  <c r="O516" i="2" a="1"/>
  <c r="O516" i="2" s="1"/>
  <c r="O517" i="2" a="1"/>
  <c r="O517" i="2" s="1"/>
  <c r="O518" i="2" a="1"/>
  <c r="O518" i="2" s="1"/>
  <c r="O519" i="2" a="1"/>
  <c r="O519" i="2" s="1"/>
  <c r="O520" i="2" a="1"/>
  <c r="O520" i="2" s="1"/>
  <c r="O521" i="2" a="1"/>
  <c r="O521" i="2" s="1"/>
  <c r="O522" i="2" a="1"/>
  <c r="O522" i="2" s="1"/>
  <c r="O523" i="2" a="1"/>
  <c r="O523" i="2" s="1"/>
  <c r="O524" i="2" a="1"/>
  <c r="O524" i="2" s="1"/>
  <c r="O525" i="2" a="1"/>
  <c r="O525" i="2" s="1"/>
  <c r="O526" i="2" a="1"/>
  <c r="O526" i="2" s="1"/>
  <c r="O527" i="2" a="1"/>
  <c r="O527" i="2" s="1"/>
  <c r="O528" i="2" a="1"/>
  <c r="O528" i="2" s="1"/>
  <c r="O529" i="2" a="1"/>
  <c r="O529" i="2" s="1"/>
  <c r="N3" i="2" a="1"/>
  <c r="N3" i="2" s="1"/>
  <c r="N4" i="2" a="1"/>
  <c r="N4" i="2" s="1"/>
  <c r="N5" i="2" a="1"/>
  <c r="N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N22" i="2" a="1"/>
  <c r="N22" i="2" s="1"/>
  <c r="N23" i="2" a="1"/>
  <c r="N23" i="2" s="1"/>
  <c r="N24" i="2" a="1"/>
  <c r="N24" i="2" s="1"/>
  <c r="N25" i="2" a="1"/>
  <c r="N25" i="2" s="1"/>
  <c r="N26" i="2" a="1"/>
  <c r="N26" i="2" s="1"/>
  <c r="N27" i="2" a="1"/>
  <c r="N27" i="2" s="1"/>
  <c r="N28" i="2" a="1"/>
  <c r="N28" i="2" s="1"/>
  <c r="N29" i="2" a="1"/>
  <c r="N29" i="2" s="1"/>
  <c r="N30" i="2" a="1"/>
  <c r="N30" i="2" s="1"/>
  <c r="N31" i="2" a="1"/>
  <c r="N31" i="2" s="1"/>
  <c r="N32" i="2" a="1"/>
  <c r="N32" i="2" s="1"/>
  <c r="N33" i="2" a="1"/>
  <c r="N33" i="2" s="1"/>
  <c r="N34" i="2" a="1"/>
  <c r="N34" i="2" s="1"/>
  <c r="N35" i="2" a="1"/>
  <c r="N35" i="2" s="1"/>
  <c r="N36" i="2" a="1"/>
  <c r="N36" i="2" s="1"/>
  <c r="N37" i="2" a="1"/>
  <c r="N37" i="2" s="1"/>
  <c r="N38" i="2" a="1"/>
  <c r="N38" i="2" s="1"/>
  <c r="N39" i="2" a="1"/>
  <c r="N39" i="2" s="1"/>
  <c r="N40" i="2" a="1"/>
  <c r="N40" i="2" s="1"/>
  <c r="N41" i="2" a="1"/>
  <c r="N41" i="2" s="1"/>
  <c r="N42" i="2" a="1"/>
  <c r="N42" i="2" s="1"/>
  <c r="N43" i="2" a="1"/>
  <c r="N43" i="2" s="1"/>
  <c r="N44" i="2" a="1"/>
  <c r="N44" i="2" s="1"/>
  <c r="N45" i="2" a="1"/>
  <c r="N45" i="2" s="1"/>
  <c r="N46" i="2" a="1"/>
  <c r="N46" i="2" s="1"/>
  <c r="N47" i="2" a="1"/>
  <c r="N47" i="2" s="1"/>
  <c r="N48" i="2" a="1"/>
  <c r="N48" i="2" s="1"/>
  <c r="N49" i="2" a="1"/>
  <c r="N49" i="2" s="1"/>
  <c r="N50" i="2" a="1"/>
  <c r="N50" i="2" s="1"/>
  <c r="N51" i="2" a="1"/>
  <c r="N51" i="2" s="1"/>
  <c r="N52" i="2" a="1"/>
  <c r="N52" i="2" s="1"/>
  <c r="N53" i="2" a="1"/>
  <c r="N53" i="2" s="1"/>
  <c r="N54" i="2" a="1"/>
  <c r="N54" i="2" s="1"/>
  <c r="N55" i="2" a="1"/>
  <c r="N55" i="2" s="1"/>
  <c r="N56" i="2" a="1"/>
  <c r="N56" i="2" s="1"/>
  <c r="N57" i="2" a="1"/>
  <c r="N57" i="2" s="1"/>
  <c r="N58" i="2" a="1"/>
  <c r="N58" i="2" s="1"/>
  <c r="N59" i="2" a="1"/>
  <c r="N59" i="2" s="1"/>
  <c r="N60" i="2" a="1"/>
  <c r="N60" i="2" s="1"/>
  <c r="N61" i="2" a="1"/>
  <c r="N61" i="2" s="1"/>
  <c r="N62" i="2" a="1"/>
  <c r="N62" i="2" s="1"/>
  <c r="N63" i="2" a="1"/>
  <c r="N63" i="2" s="1"/>
  <c r="N64" i="2" a="1"/>
  <c r="N64" i="2" s="1"/>
  <c r="N65" i="2" a="1"/>
  <c r="N65" i="2" s="1"/>
  <c r="N66" i="2" a="1"/>
  <c r="N66" i="2" s="1"/>
  <c r="N67" i="2" a="1"/>
  <c r="N67" i="2" s="1"/>
  <c r="N68" i="2" a="1"/>
  <c r="N68" i="2" s="1"/>
  <c r="N69" i="2" a="1"/>
  <c r="N69" i="2" s="1"/>
  <c r="N70" i="2" a="1"/>
  <c r="N70" i="2" s="1"/>
  <c r="N71" i="2" a="1"/>
  <c r="N71" i="2" s="1"/>
  <c r="N72" i="2" a="1"/>
  <c r="N72" i="2" s="1"/>
  <c r="N73" i="2" a="1"/>
  <c r="N73" i="2" s="1"/>
  <c r="N74" i="2" a="1"/>
  <c r="N74" i="2" s="1"/>
  <c r="N75" i="2" a="1"/>
  <c r="N75" i="2" s="1"/>
  <c r="N76" i="2" a="1"/>
  <c r="N76" i="2" s="1"/>
  <c r="N77" i="2" a="1"/>
  <c r="N77" i="2" s="1"/>
  <c r="N78" i="2" a="1"/>
  <c r="N78" i="2" s="1"/>
  <c r="N79" i="2" a="1"/>
  <c r="N79" i="2" s="1"/>
  <c r="N80" i="2" a="1"/>
  <c r="N80" i="2" s="1"/>
  <c r="N81" i="2" a="1"/>
  <c r="N81" i="2" s="1"/>
  <c r="N82" i="2" a="1"/>
  <c r="N82" i="2" s="1"/>
  <c r="N83" i="2" a="1"/>
  <c r="N83" i="2" s="1"/>
  <c r="N84" i="2" a="1"/>
  <c r="N84" i="2" s="1"/>
  <c r="N85" i="2" a="1"/>
  <c r="N85" i="2" s="1"/>
  <c r="N86" i="2" a="1"/>
  <c r="N86" i="2" s="1"/>
  <c r="N87" i="2" a="1"/>
  <c r="N87" i="2" s="1"/>
  <c r="N88" i="2" a="1"/>
  <c r="N88" i="2" s="1"/>
  <c r="N89" i="2" a="1"/>
  <c r="N89" i="2" s="1"/>
  <c r="N90" i="2" a="1"/>
  <c r="N90" i="2" s="1"/>
  <c r="N91" i="2" a="1"/>
  <c r="N91" i="2" s="1"/>
  <c r="N92" i="2" a="1"/>
  <c r="N92" i="2" s="1"/>
  <c r="N93" i="2" a="1"/>
  <c r="N93" i="2" s="1"/>
  <c r="N94" i="2" a="1"/>
  <c r="N94" i="2" s="1"/>
  <c r="N95" i="2" a="1"/>
  <c r="N95" i="2" s="1"/>
  <c r="N96" i="2" a="1"/>
  <c r="N96" i="2" s="1"/>
  <c r="N97" i="2" a="1"/>
  <c r="N97" i="2" s="1"/>
  <c r="N98" i="2" a="1"/>
  <c r="N98" i="2" s="1"/>
  <c r="N99" i="2" a="1"/>
  <c r="N99" i="2" s="1"/>
  <c r="N100" i="2" a="1"/>
  <c r="N100" i="2" s="1"/>
  <c r="N101" i="2" a="1"/>
  <c r="N101" i="2" s="1"/>
  <c r="N102" i="2" a="1"/>
  <c r="N102" i="2" s="1"/>
  <c r="N103" i="2" a="1"/>
  <c r="N103" i="2" s="1"/>
  <c r="N104" i="2" a="1"/>
  <c r="N104" i="2" s="1"/>
  <c r="N105" i="2" a="1"/>
  <c r="N105" i="2" s="1"/>
  <c r="N106" i="2" a="1"/>
  <c r="N106" i="2" s="1"/>
  <c r="N107" i="2" a="1"/>
  <c r="N107" i="2" s="1"/>
  <c r="N108" i="2" a="1"/>
  <c r="N108" i="2" s="1"/>
  <c r="N109" i="2" a="1"/>
  <c r="N109" i="2" s="1"/>
  <c r="N110" i="2" a="1"/>
  <c r="N110" i="2" s="1"/>
  <c r="N111" i="2" a="1"/>
  <c r="N111" i="2" s="1"/>
  <c r="N112" i="2" a="1"/>
  <c r="N112" i="2" s="1"/>
  <c r="N113" i="2" a="1"/>
  <c r="N113" i="2" s="1"/>
  <c r="N114" i="2" a="1"/>
  <c r="N114" i="2" s="1"/>
  <c r="N115" i="2" a="1"/>
  <c r="N115" i="2" s="1"/>
  <c r="N116" i="2" a="1"/>
  <c r="N116" i="2" s="1"/>
  <c r="N117" i="2" a="1"/>
  <c r="N117" i="2" s="1"/>
  <c r="N118" i="2" a="1"/>
  <c r="N118" i="2" s="1"/>
  <c r="N119" i="2" a="1"/>
  <c r="N119" i="2" s="1"/>
  <c r="N120" i="2" a="1"/>
  <c r="N120" i="2" s="1"/>
  <c r="N121" i="2" a="1"/>
  <c r="N121" i="2" s="1"/>
  <c r="N122" i="2" a="1"/>
  <c r="N122" i="2" s="1"/>
  <c r="N123" i="2" a="1"/>
  <c r="N123" i="2" s="1"/>
  <c r="N124" i="2" a="1"/>
  <c r="N124" i="2" s="1"/>
  <c r="N125" i="2" a="1"/>
  <c r="N125" i="2" s="1"/>
  <c r="N126" i="2" a="1"/>
  <c r="N126" i="2" s="1"/>
  <c r="N127" i="2" a="1"/>
  <c r="N127" i="2" s="1"/>
  <c r="N128" i="2" a="1"/>
  <c r="N128" i="2" s="1"/>
  <c r="N129" i="2" a="1"/>
  <c r="N129" i="2" s="1"/>
  <c r="N130" i="2" a="1"/>
  <c r="N130" i="2" s="1"/>
  <c r="N131" i="2" a="1"/>
  <c r="N131" i="2" s="1"/>
  <c r="N132" i="2" a="1"/>
  <c r="N132" i="2" s="1"/>
  <c r="N133" i="2" a="1"/>
  <c r="N133" i="2" s="1"/>
  <c r="N134" i="2" a="1"/>
  <c r="N134" i="2" s="1"/>
  <c r="N135" i="2" a="1"/>
  <c r="N135" i="2" s="1"/>
  <c r="N136" i="2" a="1"/>
  <c r="N136" i="2" s="1"/>
  <c r="N137" i="2" a="1"/>
  <c r="N137" i="2" s="1"/>
  <c r="N138" i="2" a="1"/>
  <c r="N138" i="2" s="1"/>
  <c r="N139" i="2" a="1"/>
  <c r="N139" i="2" s="1"/>
  <c r="N140" i="2" a="1"/>
  <c r="N140" i="2" s="1"/>
  <c r="N141" i="2" a="1"/>
  <c r="N141" i="2" s="1"/>
  <c r="N142" i="2" a="1"/>
  <c r="N142" i="2" s="1"/>
  <c r="N143" i="2" a="1"/>
  <c r="N143" i="2" s="1"/>
  <c r="N144" i="2" a="1"/>
  <c r="N144" i="2" s="1"/>
  <c r="N145" i="2" a="1"/>
  <c r="N145" i="2" s="1"/>
  <c r="N146" i="2" a="1"/>
  <c r="N146" i="2" s="1"/>
  <c r="N147" i="2" a="1"/>
  <c r="N147" i="2" s="1"/>
  <c r="N148" i="2" a="1"/>
  <c r="N148" i="2" s="1"/>
  <c r="N149" i="2" a="1"/>
  <c r="N149" i="2" s="1"/>
  <c r="N150" i="2" a="1"/>
  <c r="N150" i="2" s="1"/>
  <c r="N151" i="2" a="1"/>
  <c r="N151" i="2" s="1"/>
  <c r="N152" i="2" a="1"/>
  <c r="N152" i="2" s="1"/>
  <c r="N153" i="2" a="1"/>
  <c r="N153" i="2" s="1"/>
  <c r="N154" i="2" a="1"/>
  <c r="N154" i="2" s="1"/>
  <c r="N155" i="2" a="1"/>
  <c r="N155" i="2" s="1"/>
  <c r="N156" i="2" a="1"/>
  <c r="N156" i="2" s="1"/>
  <c r="N157" i="2" a="1"/>
  <c r="N157" i="2" s="1"/>
  <c r="N158" i="2" a="1"/>
  <c r="N158" i="2" s="1"/>
  <c r="N159" i="2" a="1"/>
  <c r="N159" i="2" s="1"/>
  <c r="N160" i="2" a="1"/>
  <c r="N160" i="2" s="1"/>
  <c r="N161" i="2" a="1"/>
  <c r="N161" i="2" s="1"/>
  <c r="N162" i="2" a="1"/>
  <c r="N162" i="2" s="1"/>
  <c r="N163" i="2" a="1"/>
  <c r="N163" i="2" s="1"/>
  <c r="N164" i="2" a="1"/>
  <c r="N164" i="2" s="1"/>
  <c r="N165" i="2" a="1"/>
  <c r="N165" i="2" s="1"/>
  <c r="N166" i="2" a="1"/>
  <c r="N166" i="2" s="1"/>
  <c r="N167" i="2" a="1"/>
  <c r="N167" i="2" s="1"/>
  <c r="N168" i="2" a="1"/>
  <c r="N168" i="2" s="1"/>
  <c r="N169" i="2" a="1"/>
  <c r="N169" i="2" s="1"/>
  <c r="N170" i="2" a="1"/>
  <c r="N170" i="2" s="1"/>
  <c r="N171" i="2" a="1"/>
  <c r="N171" i="2" s="1"/>
  <c r="N172" i="2" a="1"/>
  <c r="N172" i="2" s="1"/>
  <c r="N173" i="2" a="1"/>
  <c r="N173" i="2" s="1"/>
  <c r="N174" i="2" a="1"/>
  <c r="N174" i="2" s="1"/>
  <c r="N175" i="2" a="1"/>
  <c r="N175" i="2" s="1"/>
  <c r="N176" i="2" a="1"/>
  <c r="N176" i="2" s="1"/>
  <c r="N177" i="2" a="1"/>
  <c r="N177" i="2" s="1"/>
  <c r="N178" i="2" a="1"/>
  <c r="N178" i="2" s="1"/>
  <c r="N179" i="2" a="1"/>
  <c r="N179" i="2" s="1"/>
  <c r="N180" i="2" a="1"/>
  <c r="N180" i="2" s="1"/>
  <c r="N181" i="2" a="1"/>
  <c r="N181" i="2" s="1"/>
  <c r="N182" i="2" a="1"/>
  <c r="N182" i="2" s="1"/>
  <c r="N183" i="2" a="1"/>
  <c r="N183" i="2" s="1"/>
  <c r="N184" i="2" a="1"/>
  <c r="N184" i="2" s="1"/>
  <c r="N185" i="2" a="1"/>
  <c r="N185" i="2" s="1"/>
  <c r="N186" i="2" a="1"/>
  <c r="N186" i="2" s="1"/>
  <c r="N187" i="2" a="1"/>
  <c r="N187" i="2" s="1"/>
  <c r="N188" i="2" a="1"/>
  <c r="N188" i="2" s="1"/>
  <c r="N189" i="2" a="1"/>
  <c r="N189" i="2" s="1"/>
  <c r="N190" i="2" a="1"/>
  <c r="N190" i="2" s="1"/>
  <c r="N191" i="2" a="1"/>
  <c r="N191" i="2" s="1"/>
  <c r="N192" i="2" a="1"/>
  <c r="N192" i="2" s="1"/>
  <c r="N193" i="2" a="1"/>
  <c r="N193" i="2" s="1"/>
  <c r="N194" i="2" a="1"/>
  <c r="N194" i="2" s="1"/>
  <c r="N195" i="2" a="1"/>
  <c r="N195" i="2" s="1"/>
  <c r="N196" i="2" a="1"/>
  <c r="N196" i="2" s="1"/>
  <c r="N197" i="2" a="1"/>
  <c r="N197" i="2" s="1"/>
  <c r="N198" i="2" a="1"/>
  <c r="N198" i="2" s="1"/>
  <c r="N199" i="2" a="1"/>
  <c r="N199" i="2" s="1"/>
  <c r="N200" i="2" a="1"/>
  <c r="N200" i="2" s="1"/>
  <c r="N201" i="2" a="1"/>
  <c r="N201" i="2" s="1"/>
  <c r="N202" i="2" a="1"/>
  <c r="N202" i="2" s="1"/>
  <c r="N203" i="2" a="1"/>
  <c r="N203" i="2" s="1"/>
  <c r="N204" i="2" a="1"/>
  <c r="N204" i="2" s="1"/>
  <c r="N205" i="2" a="1"/>
  <c r="N205" i="2" s="1"/>
  <c r="N206" i="2" a="1"/>
  <c r="N206" i="2" s="1"/>
  <c r="N207" i="2" a="1"/>
  <c r="N207" i="2" s="1"/>
  <c r="N208" i="2" a="1"/>
  <c r="N208" i="2" s="1"/>
  <c r="N209" i="2" a="1"/>
  <c r="N209" i="2" s="1"/>
  <c r="N210" i="2" a="1"/>
  <c r="N210" i="2" s="1"/>
  <c r="N211" i="2" a="1"/>
  <c r="N211" i="2" s="1"/>
  <c r="N212" i="2" a="1"/>
  <c r="N212" i="2" s="1"/>
  <c r="N213" i="2" a="1"/>
  <c r="N213" i="2" s="1"/>
  <c r="N214" i="2" a="1"/>
  <c r="N214" i="2" s="1"/>
  <c r="N215" i="2" a="1"/>
  <c r="N215" i="2" s="1"/>
  <c r="N216" i="2" a="1"/>
  <c r="N216" i="2" s="1"/>
  <c r="N217" i="2" a="1"/>
  <c r="N217" i="2" s="1"/>
  <c r="N218" i="2" a="1"/>
  <c r="N218" i="2" s="1"/>
  <c r="N219" i="2" a="1"/>
  <c r="N219" i="2" s="1"/>
  <c r="N220" i="2" a="1"/>
  <c r="N220" i="2" s="1"/>
  <c r="N221" i="2" a="1"/>
  <c r="N221" i="2" s="1"/>
  <c r="N222" i="2" a="1"/>
  <c r="N222" i="2" s="1"/>
  <c r="N223" i="2" a="1"/>
  <c r="N223" i="2" s="1"/>
  <c r="N224" i="2" a="1"/>
  <c r="N224" i="2" s="1"/>
  <c r="N225" i="2" a="1"/>
  <c r="N225" i="2" s="1"/>
  <c r="N226" i="2" a="1"/>
  <c r="N226" i="2" s="1"/>
  <c r="N227" i="2" a="1"/>
  <c r="N227" i="2" s="1"/>
  <c r="N228" i="2" a="1"/>
  <c r="N228" i="2" s="1"/>
  <c r="N229" i="2" a="1"/>
  <c r="N229" i="2" s="1"/>
  <c r="N230" i="2" a="1"/>
  <c r="N230" i="2" s="1"/>
  <c r="N231" i="2" a="1"/>
  <c r="N231" i="2" s="1"/>
  <c r="N232" i="2" a="1"/>
  <c r="N232" i="2" s="1"/>
  <c r="N233" i="2" a="1"/>
  <c r="N233" i="2" s="1"/>
  <c r="N234" i="2" a="1"/>
  <c r="N234" i="2" s="1"/>
  <c r="N235" i="2" a="1"/>
  <c r="N235" i="2" s="1"/>
  <c r="N236" i="2" a="1"/>
  <c r="N236" i="2" s="1"/>
  <c r="N237" i="2" a="1"/>
  <c r="N237" i="2" s="1"/>
  <c r="N238" i="2" a="1"/>
  <c r="N238" i="2" s="1"/>
  <c r="N239" i="2" a="1"/>
  <c r="N239" i="2" s="1"/>
  <c r="N240" i="2" a="1"/>
  <c r="N240" i="2" s="1"/>
  <c r="N241" i="2" a="1"/>
  <c r="N241" i="2" s="1"/>
  <c r="N242" i="2" a="1"/>
  <c r="N242" i="2" s="1"/>
  <c r="N243" i="2" a="1"/>
  <c r="N243" i="2" s="1"/>
  <c r="N244" i="2" a="1"/>
  <c r="N244" i="2" s="1"/>
  <c r="N245" i="2" a="1"/>
  <c r="N245" i="2" s="1"/>
  <c r="N246" i="2" a="1"/>
  <c r="N246" i="2" s="1"/>
  <c r="N247" i="2" a="1"/>
  <c r="N247" i="2" s="1"/>
  <c r="N248" i="2" a="1"/>
  <c r="N248" i="2" s="1"/>
  <c r="N249" i="2" a="1"/>
  <c r="N249" i="2" s="1"/>
  <c r="N250" i="2" a="1"/>
  <c r="N250" i="2" s="1"/>
  <c r="N251" i="2" a="1"/>
  <c r="N251" i="2" s="1"/>
  <c r="N252" i="2" a="1"/>
  <c r="N252" i="2" s="1"/>
  <c r="N253" i="2" a="1"/>
  <c r="N253" i="2" s="1"/>
  <c r="N254" i="2" a="1"/>
  <c r="N254" i="2" s="1"/>
  <c r="N255" i="2" a="1"/>
  <c r="N255" i="2" s="1"/>
  <c r="N256" i="2" a="1"/>
  <c r="N256" i="2" s="1"/>
  <c r="N257" i="2" a="1"/>
  <c r="N257" i="2" s="1"/>
  <c r="N258" i="2" a="1"/>
  <c r="N258" i="2" s="1"/>
  <c r="N259" i="2" a="1"/>
  <c r="N259" i="2" s="1"/>
  <c r="N260" i="2" a="1"/>
  <c r="N260" i="2" s="1"/>
  <c r="N261" i="2" a="1"/>
  <c r="N261" i="2" s="1"/>
  <c r="N262" i="2" a="1"/>
  <c r="N262" i="2" s="1"/>
  <c r="N263" i="2" a="1"/>
  <c r="N263" i="2" s="1"/>
  <c r="N264" i="2" a="1"/>
  <c r="N264" i="2" s="1"/>
  <c r="N265" i="2" a="1"/>
  <c r="N265" i="2" s="1"/>
  <c r="N266" i="2" a="1"/>
  <c r="N266" i="2" s="1"/>
  <c r="N267" i="2" a="1"/>
  <c r="N267" i="2" s="1"/>
  <c r="N268" i="2" a="1"/>
  <c r="N268" i="2" s="1"/>
  <c r="N269" i="2" a="1"/>
  <c r="N269" i="2" s="1"/>
  <c r="N270" i="2" a="1"/>
  <c r="N270" i="2" s="1"/>
  <c r="N271" i="2" a="1"/>
  <c r="N271" i="2" s="1"/>
  <c r="N272" i="2" a="1"/>
  <c r="N272" i="2" s="1"/>
  <c r="N273" i="2" a="1"/>
  <c r="N273" i="2" s="1"/>
  <c r="N274" i="2" a="1"/>
  <c r="N274" i="2" s="1"/>
  <c r="N275" i="2" a="1"/>
  <c r="N275" i="2" s="1"/>
  <c r="N276" i="2" a="1"/>
  <c r="N276" i="2" s="1"/>
  <c r="N277" i="2" a="1"/>
  <c r="N277" i="2" s="1"/>
  <c r="N278" i="2" a="1"/>
  <c r="N278" i="2" s="1"/>
  <c r="N279" i="2" a="1"/>
  <c r="N279" i="2" s="1"/>
  <c r="N280" i="2" a="1"/>
  <c r="N280" i="2" s="1"/>
  <c r="N281" i="2" a="1"/>
  <c r="N281" i="2" s="1"/>
  <c r="N282" i="2" a="1"/>
  <c r="N282" i="2" s="1"/>
  <c r="N283" i="2" a="1"/>
  <c r="N283" i="2" s="1"/>
  <c r="N284" i="2" a="1"/>
  <c r="N284" i="2" s="1"/>
  <c r="N285" i="2" a="1"/>
  <c r="N285" i="2" s="1"/>
  <c r="N286" i="2" a="1"/>
  <c r="N286" i="2" s="1"/>
  <c r="N287" i="2" a="1"/>
  <c r="N287" i="2" s="1"/>
  <c r="N288" i="2" a="1"/>
  <c r="N288" i="2" s="1"/>
  <c r="N289" i="2" a="1"/>
  <c r="N289" i="2" s="1"/>
  <c r="N290" i="2" a="1"/>
  <c r="N290" i="2" s="1"/>
  <c r="N291" i="2" a="1"/>
  <c r="N291" i="2" s="1"/>
  <c r="N292" i="2" a="1"/>
  <c r="N292" i="2" s="1"/>
  <c r="N293" i="2" a="1"/>
  <c r="N293" i="2" s="1"/>
  <c r="N294" i="2" a="1"/>
  <c r="N294" i="2" s="1"/>
  <c r="N295" i="2" a="1"/>
  <c r="N295" i="2" s="1"/>
  <c r="N296" i="2" a="1"/>
  <c r="N296" i="2" s="1"/>
  <c r="N297" i="2" a="1"/>
  <c r="N297" i="2" s="1"/>
  <c r="N298" i="2" a="1"/>
  <c r="N298" i="2" s="1"/>
  <c r="N299" i="2" a="1"/>
  <c r="N299" i="2" s="1"/>
  <c r="N300" i="2" a="1"/>
  <c r="N300" i="2" s="1"/>
  <c r="N301" i="2" a="1"/>
  <c r="N301" i="2" s="1"/>
  <c r="N302" i="2" a="1"/>
  <c r="N302" i="2" s="1"/>
  <c r="N303" i="2" a="1"/>
  <c r="N303" i="2" s="1"/>
  <c r="N304" i="2" a="1"/>
  <c r="N304" i="2" s="1"/>
  <c r="N305" i="2" a="1"/>
  <c r="N305" i="2" s="1"/>
  <c r="N306" i="2" a="1"/>
  <c r="N306" i="2" s="1"/>
  <c r="N307" i="2" a="1"/>
  <c r="N307" i="2" s="1"/>
  <c r="N308" i="2" a="1"/>
  <c r="N308" i="2" s="1"/>
  <c r="N309" i="2" a="1"/>
  <c r="N309" i="2" s="1"/>
  <c r="N310" i="2" a="1"/>
  <c r="N310" i="2" s="1"/>
  <c r="N311" i="2" a="1"/>
  <c r="N311" i="2" s="1"/>
  <c r="N312" i="2" a="1"/>
  <c r="N312" i="2" s="1"/>
  <c r="N313" i="2" a="1"/>
  <c r="N313" i="2" s="1"/>
  <c r="N314" i="2" a="1"/>
  <c r="N314" i="2" s="1"/>
  <c r="N315" i="2" a="1"/>
  <c r="N315" i="2" s="1"/>
  <c r="N316" i="2" a="1"/>
  <c r="N316" i="2" s="1"/>
  <c r="N317" i="2" a="1"/>
  <c r="N317" i="2" s="1"/>
  <c r="N318" i="2" a="1"/>
  <c r="N318" i="2" s="1"/>
  <c r="N319" i="2" a="1"/>
  <c r="N319" i="2" s="1"/>
  <c r="N320" i="2" a="1"/>
  <c r="N320" i="2" s="1"/>
  <c r="N321" i="2" a="1"/>
  <c r="N321" i="2" s="1"/>
  <c r="N322" i="2" a="1"/>
  <c r="N322" i="2" s="1"/>
  <c r="N323" i="2" a="1"/>
  <c r="N323" i="2" s="1"/>
  <c r="N324" i="2" a="1"/>
  <c r="N324" i="2" s="1"/>
  <c r="N325" i="2" a="1"/>
  <c r="N325" i="2" s="1"/>
  <c r="N326" i="2" a="1"/>
  <c r="N326" i="2" s="1"/>
  <c r="N327" i="2" a="1"/>
  <c r="N327" i="2" s="1"/>
  <c r="N328" i="2" a="1"/>
  <c r="N328" i="2" s="1"/>
  <c r="N329" i="2" a="1"/>
  <c r="N329" i="2" s="1"/>
  <c r="N330" i="2" a="1"/>
  <c r="N330" i="2" s="1"/>
  <c r="N331" i="2" a="1"/>
  <c r="N331" i="2" s="1"/>
  <c r="N332" i="2" a="1"/>
  <c r="N332" i="2" s="1"/>
  <c r="N333" i="2" a="1"/>
  <c r="N333" i="2" s="1"/>
  <c r="N334" i="2" a="1"/>
  <c r="N334" i="2" s="1"/>
  <c r="N335" i="2" a="1"/>
  <c r="N335" i="2" s="1"/>
  <c r="N336" i="2" a="1"/>
  <c r="N336" i="2" s="1"/>
  <c r="N337" i="2" a="1"/>
  <c r="N337" i="2" s="1"/>
  <c r="N338" i="2" a="1"/>
  <c r="N338" i="2" s="1"/>
  <c r="N339" i="2" a="1"/>
  <c r="N339" i="2" s="1"/>
  <c r="N340" i="2" a="1"/>
  <c r="N340" i="2" s="1"/>
  <c r="N341" i="2" a="1"/>
  <c r="N341" i="2" s="1"/>
  <c r="N342" i="2" a="1"/>
  <c r="N342" i="2" s="1"/>
  <c r="N343" i="2" a="1"/>
  <c r="N343" i="2" s="1"/>
  <c r="N344" i="2" a="1"/>
  <c r="N344" i="2" s="1"/>
  <c r="N345" i="2" a="1"/>
  <c r="N345" i="2" s="1"/>
  <c r="N346" i="2" a="1"/>
  <c r="N346" i="2" s="1"/>
  <c r="N347" i="2" a="1"/>
  <c r="N347" i="2" s="1"/>
  <c r="N348" i="2" a="1"/>
  <c r="N348" i="2" s="1"/>
  <c r="N349" i="2" a="1"/>
  <c r="N349" i="2" s="1"/>
  <c r="N350" i="2" a="1"/>
  <c r="N350" i="2" s="1"/>
  <c r="N351" i="2" a="1"/>
  <c r="N351" i="2" s="1"/>
  <c r="N352" i="2" a="1"/>
  <c r="N352" i="2" s="1"/>
  <c r="N353" i="2" a="1"/>
  <c r="N353" i="2" s="1"/>
  <c r="N354" i="2" a="1"/>
  <c r="N354" i="2" s="1"/>
  <c r="N355" i="2" a="1"/>
  <c r="N355" i="2" s="1"/>
  <c r="N356" i="2" a="1"/>
  <c r="N356" i="2" s="1"/>
  <c r="N357" i="2" a="1"/>
  <c r="N357" i="2" s="1"/>
  <c r="N358" i="2" a="1"/>
  <c r="N358" i="2" s="1"/>
  <c r="N359" i="2" a="1"/>
  <c r="N359" i="2" s="1"/>
  <c r="N360" i="2" a="1"/>
  <c r="N360" i="2" s="1"/>
  <c r="N361" i="2" a="1"/>
  <c r="N361" i="2" s="1"/>
  <c r="N362" i="2" a="1"/>
  <c r="N362" i="2" s="1"/>
  <c r="N363" i="2" a="1"/>
  <c r="N363" i="2" s="1"/>
  <c r="N364" i="2" a="1"/>
  <c r="N364" i="2" s="1"/>
  <c r="N365" i="2" a="1"/>
  <c r="N365" i="2" s="1"/>
  <c r="N366" i="2" a="1"/>
  <c r="N366" i="2" s="1"/>
  <c r="N367" i="2" a="1"/>
  <c r="N367" i="2" s="1"/>
  <c r="N368" i="2" a="1"/>
  <c r="N368" i="2" s="1"/>
  <c r="N369" i="2" a="1"/>
  <c r="N369" i="2" s="1"/>
  <c r="N370" i="2" a="1"/>
  <c r="N370" i="2" s="1"/>
  <c r="N371" i="2" a="1"/>
  <c r="N371" i="2" s="1"/>
  <c r="N372" i="2" a="1"/>
  <c r="N372" i="2" s="1"/>
  <c r="N373" i="2" a="1"/>
  <c r="N373" i="2" s="1"/>
  <c r="N374" i="2" a="1"/>
  <c r="N374" i="2" s="1"/>
  <c r="N375" i="2" a="1"/>
  <c r="N375" i="2" s="1"/>
  <c r="N376" i="2" a="1"/>
  <c r="N376" i="2" s="1"/>
  <c r="N377" i="2" a="1"/>
  <c r="N377" i="2" s="1"/>
  <c r="N378" i="2" a="1"/>
  <c r="N378" i="2" s="1"/>
  <c r="N379" i="2" a="1"/>
  <c r="N379" i="2" s="1"/>
  <c r="N380" i="2" a="1"/>
  <c r="N380" i="2" s="1"/>
  <c r="N381" i="2" a="1"/>
  <c r="N381" i="2" s="1"/>
  <c r="N382" i="2" a="1"/>
  <c r="N382" i="2" s="1"/>
  <c r="N383" i="2" a="1"/>
  <c r="N383" i="2" s="1"/>
  <c r="N384" i="2" a="1"/>
  <c r="N384" i="2" s="1"/>
  <c r="N385" i="2" a="1"/>
  <c r="N385" i="2" s="1"/>
  <c r="N386" i="2" a="1"/>
  <c r="N386" i="2" s="1"/>
  <c r="N387" i="2" a="1"/>
  <c r="N387" i="2" s="1"/>
  <c r="N388" i="2" a="1"/>
  <c r="N388" i="2" s="1"/>
  <c r="N389" i="2" a="1"/>
  <c r="N389" i="2" s="1"/>
  <c r="N390" i="2" a="1"/>
  <c r="N390" i="2" s="1"/>
  <c r="N391" i="2" a="1"/>
  <c r="N391" i="2" s="1"/>
  <c r="N392" i="2" a="1"/>
  <c r="N392" i="2" s="1"/>
  <c r="N393" i="2" a="1"/>
  <c r="N393" i="2" s="1"/>
  <c r="N394" i="2" a="1"/>
  <c r="N394" i="2" s="1"/>
  <c r="N395" i="2" a="1"/>
  <c r="N395" i="2" s="1"/>
  <c r="N396" i="2" a="1"/>
  <c r="N396" i="2" s="1"/>
  <c r="N397" i="2" a="1"/>
  <c r="N397" i="2" s="1"/>
  <c r="N398" i="2" a="1"/>
  <c r="N398" i="2" s="1"/>
  <c r="N399" i="2" a="1"/>
  <c r="N399" i="2" s="1"/>
  <c r="N400" i="2" a="1"/>
  <c r="N400" i="2" s="1"/>
  <c r="N401" i="2" a="1"/>
  <c r="N401" i="2" s="1"/>
  <c r="N402" i="2" a="1"/>
  <c r="N402" i="2" s="1"/>
  <c r="N403" i="2" a="1"/>
  <c r="N403" i="2" s="1"/>
  <c r="N404" i="2" a="1"/>
  <c r="N404" i="2" s="1"/>
  <c r="N405" i="2" a="1"/>
  <c r="N405" i="2" s="1"/>
  <c r="N406" i="2" a="1"/>
  <c r="N406" i="2" s="1"/>
  <c r="N407" i="2" a="1"/>
  <c r="N407" i="2" s="1"/>
  <c r="N408" i="2" a="1"/>
  <c r="N408" i="2" s="1"/>
  <c r="N409" i="2" a="1"/>
  <c r="N409" i="2" s="1"/>
  <c r="N410" i="2" a="1"/>
  <c r="N410" i="2" s="1"/>
  <c r="N411" i="2" a="1"/>
  <c r="N411" i="2" s="1"/>
  <c r="N412" i="2" a="1"/>
  <c r="N412" i="2" s="1"/>
  <c r="N413" i="2" a="1"/>
  <c r="N413" i="2" s="1"/>
  <c r="N414" i="2" a="1"/>
  <c r="N414" i="2" s="1"/>
  <c r="N415" i="2" a="1"/>
  <c r="N415" i="2" s="1"/>
  <c r="N416" i="2" a="1"/>
  <c r="N416" i="2" s="1"/>
  <c r="N417" i="2" a="1"/>
  <c r="N417" i="2" s="1"/>
  <c r="N418" i="2" a="1"/>
  <c r="N418" i="2" s="1"/>
  <c r="N419" i="2" a="1"/>
  <c r="N419" i="2" s="1"/>
  <c r="N420" i="2" a="1"/>
  <c r="N420" i="2" s="1"/>
  <c r="N421" i="2" a="1"/>
  <c r="N421" i="2" s="1"/>
  <c r="N422" i="2" a="1"/>
  <c r="N422" i="2" s="1"/>
  <c r="N423" i="2" a="1"/>
  <c r="N423" i="2" s="1"/>
  <c r="N424" i="2" a="1"/>
  <c r="N424" i="2" s="1"/>
  <c r="N425" i="2" a="1"/>
  <c r="N425" i="2" s="1"/>
  <c r="N426" i="2" a="1"/>
  <c r="N426" i="2" s="1"/>
  <c r="N427" i="2" a="1"/>
  <c r="N427" i="2" s="1"/>
  <c r="N428" i="2" a="1"/>
  <c r="N428" i="2" s="1"/>
  <c r="N429" i="2" a="1"/>
  <c r="N429" i="2" s="1"/>
  <c r="N430" i="2" a="1"/>
  <c r="N430" i="2" s="1"/>
  <c r="N431" i="2" a="1"/>
  <c r="N431" i="2" s="1"/>
  <c r="N432" i="2" a="1"/>
  <c r="N432" i="2" s="1"/>
  <c r="N433" i="2" a="1"/>
  <c r="N433" i="2" s="1"/>
  <c r="N434" i="2" a="1"/>
  <c r="N434" i="2" s="1"/>
  <c r="N435" i="2" a="1"/>
  <c r="N435" i="2" s="1"/>
  <c r="N436" i="2" a="1"/>
  <c r="N436" i="2" s="1"/>
  <c r="N437" i="2" a="1"/>
  <c r="N437" i="2" s="1"/>
  <c r="N438" i="2" a="1"/>
  <c r="N438" i="2" s="1"/>
  <c r="N439" i="2" a="1"/>
  <c r="N439" i="2" s="1"/>
  <c r="N440" i="2" a="1"/>
  <c r="N440" i="2" s="1"/>
  <c r="N441" i="2" a="1"/>
  <c r="N441" i="2" s="1"/>
  <c r="N442" i="2" a="1"/>
  <c r="N442" i="2" s="1"/>
  <c r="N443" i="2" a="1"/>
  <c r="N443" i="2" s="1"/>
  <c r="N444" i="2" a="1"/>
  <c r="N444" i="2" s="1"/>
  <c r="N445" i="2" a="1"/>
  <c r="N445" i="2" s="1"/>
  <c r="N446" i="2" a="1"/>
  <c r="N446" i="2" s="1"/>
  <c r="N447" i="2" a="1"/>
  <c r="N447" i="2" s="1"/>
  <c r="N448" i="2" a="1"/>
  <c r="N448" i="2" s="1"/>
  <c r="N449" i="2" a="1"/>
  <c r="N449" i="2" s="1"/>
  <c r="N450" i="2" a="1"/>
  <c r="N450" i="2" s="1"/>
  <c r="N451" i="2" a="1"/>
  <c r="N451" i="2" s="1"/>
  <c r="N452" i="2" a="1"/>
  <c r="N452" i="2" s="1"/>
  <c r="N453" i="2" a="1"/>
  <c r="N453" i="2" s="1"/>
  <c r="N454" i="2" a="1"/>
  <c r="N454" i="2" s="1"/>
  <c r="N455" i="2" a="1"/>
  <c r="N455" i="2" s="1"/>
  <c r="N456" i="2" a="1"/>
  <c r="N456" i="2" s="1"/>
  <c r="N457" i="2" a="1"/>
  <c r="N457" i="2" s="1"/>
  <c r="N458" i="2" a="1"/>
  <c r="N458" i="2" s="1"/>
  <c r="N459" i="2" a="1"/>
  <c r="N459" i="2" s="1"/>
  <c r="N460" i="2" a="1"/>
  <c r="N460" i="2" s="1"/>
  <c r="N461" i="2" a="1"/>
  <c r="N461" i="2" s="1"/>
  <c r="N462" i="2" a="1"/>
  <c r="N462" i="2" s="1"/>
  <c r="N463" i="2" a="1"/>
  <c r="N463" i="2" s="1"/>
  <c r="N464" i="2" a="1"/>
  <c r="N464" i="2" s="1"/>
  <c r="N465" i="2" a="1"/>
  <c r="N465" i="2" s="1"/>
  <c r="N466" i="2" a="1"/>
  <c r="N466" i="2" s="1"/>
  <c r="N467" i="2" a="1"/>
  <c r="N467" i="2" s="1"/>
  <c r="N468" i="2" a="1"/>
  <c r="N468" i="2" s="1"/>
  <c r="N469" i="2" a="1"/>
  <c r="N469" i="2" s="1"/>
  <c r="N470" i="2" a="1"/>
  <c r="N470" i="2" s="1"/>
  <c r="N471" i="2" a="1"/>
  <c r="N471" i="2" s="1"/>
  <c r="N472" i="2" a="1"/>
  <c r="N472" i="2" s="1"/>
  <c r="N473" i="2" a="1"/>
  <c r="N473" i="2" s="1"/>
  <c r="N474" i="2" a="1"/>
  <c r="N474" i="2" s="1"/>
  <c r="N475" i="2" a="1"/>
  <c r="N475" i="2" s="1"/>
  <c r="N476" i="2" a="1"/>
  <c r="N476" i="2" s="1"/>
  <c r="N477" i="2" a="1"/>
  <c r="N477" i="2" s="1"/>
  <c r="N478" i="2" a="1"/>
  <c r="N478" i="2" s="1"/>
  <c r="N479" i="2" a="1"/>
  <c r="N479" i="2" s="1"/>
  <c r="N480" i="2" a="1"/>
  <c r="N480" i="2" s="1"/>
  <c r="N481" i="2" a="1"/>
  <c r="N481" i="2" s="1"/>
  <c r="N482" i="2" a="1"/>
  <c r="N482" i="2" s="1"/>
  <c r="N483" i="2" a="1"/>
  <c r="N483" i="2" s="1"/>
  <c r="N484" i="2" a="1"/>
  <c r="N484" i="2" s="1"/>
  <c r="N485" i="2" a="1"/>
  <c r="N485" i="2" s="1"/>
  <c r="N486" i="2" a="1"/>
  <c r="N486" i="2" s="1"/>
  <c r="N487" i="2" a="1"/>
  <c r="N487" i="2" s="1"/>
  <c r="N488" i="2" a="1"/>
  <c r="N488" i="2" s="1"/>
  <c r="N489" i="2" a="1"/>
  <c r="N489" i="2" s="1"/>
  <c r="N490" i="2" a="1"/>
  <c r="N490" i="2" s="1"/>
  <c r="N491" i="2" a="1"/>
  <c r="N491" i="2" s="1"/>
  <c r="N492" i="2" a="1"/>
  <c r="N492" i="2" s="1"/>
  <c r="N493" i="2" a="1"/>
  <c r="N493" i="2" s="1"/>
  <c r="N494" i="2" a="1"/>
  <c r="N494" i="2" s="1"/>
  <c r="N495" i="2" a="1"/>
  <c r="N495" i="2" s="1"/>
  <c r="N496" i="2" a="1"/>
  <c r="N496" i="2" s="1"/>
  <c r="N497" i="2" a="1"/>
  <c r="N497" i="2" s="1"/>
  <c r="N498" i="2" a="1"/>
  <c r="N498" i="2" s="1"/>
  <c r="N499" i="2" a="1"/>
  <c r="N499" i="2" s="1"/>
  <c r="N500" i="2" a="1"/>
  <c r="N500" i="2" s="1"/>
  <c r="N501" i="2" a="1"/>
  <c r="N501" i="2" s="1"/>
  <c r="N502" i="2" a="1"/>
  <c r="N502" i="2" s="1"/>
  <c r="N503" i="2" a="1"/>
  <c r="N503" i="2" s="1"/>
  <c r="N504" i="2" a="1"/>
  <c r="N504" i="2" s="1"/>
  <c r="N505" i="2" a="1"/>
  <c r="N505" i="2" s="1"/>
  <c r="N506" i="2" a="1"/>
  <c r="N506" i="2" s="1"/>
  <c r="N507" i="2" a="1"/>
  <c r="N507" i="2" s="1"/>
  <c r="N508" i="2" a="1"/>
  <c r="N508" i="2" s="1"/>
  <c r="N509" i="2" a="1"/>
  <c r="N509" i="2" s="1"/>
  <c r="N510" i="2" a="1"/>
  <c r="N510" i="2" s="1"/>
  <c r="N511" i="2" a="1"/>
  <c r="N511" i="2" s="1"/>
  <c r="N512" i="2" a="1"/>
  <c r="N512" i="2" s="1"/>
  <c r="N513" i="2" a="1"/>
  <c r="N513" i="2" s="1"/>
  <c r="N514" i="2" a="1"/>
  <c r="N514" i="2" s="1"/>
  <c r="N515" i="2" a="1"/>
  <c r="N515" i="2" s="1"/>
  <c r="N516" i="2" a="1"/>
  <c r="N516" i="2" s="1"/>
  <c r="N517" i="2" a="1"/>
  <c r="N517" i="2" s="1"/>
  <c r="N518" i="2" a="1"/>
  <c r="N518" i="2" s="1"/>
  <c r="N519" i="2" a="1"/>
  <c r="N519" i="2" s="1"/>
  <c r="N520" i="2" a="1"/>
  <c r="N520" i="2" s="1"/>
  <c r="N521" i="2" a="1"/>
  <c r="N521" i="2" s="1"/>
  <c r="N522" i="2" a="1"/>
  <c r="N522" i="2" s="1"/>
  <c r="N523" i="2" a="1"/>
  <c r="N523" i="2" s="1"/>
  <c r="N524" i="2" a="1"/>
  <c r="N524" i="2" s="1"/>
  <c r="N525" i="2" a="1"/>
  <c r="N525" i="2" s="1"/>
  <c r="N526" i="2" a="1"/>
  <c r="N526" i="2" s="1"/>
  <c r="N527" i="2" a="1"/>
  <c r="N527" i="2" s="1"/>
  <c r="N528" i="2" a="1"/>
  <c r="N528" i="2" s="1"/>
  <c r="N529" i="2" a="1"/>
  <c r="N529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89" i="2" a="1"/>
  <c r="M489" i="2" s="1"/>
  <c r="M490" i="2" a="1"/>
  <c r="M490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 s="1"/>
  <c r="M496" i="2" a="1"/>
  <c r="M496" i="2" s="1"/>
  <c r="M497" i="2" a="1"/>
  <c r="M497" i="2" s="1"/>
  <c r="M498" i="2" a="1"/>
  <c r="M498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4" i="2" a="1"/>
  <c r="M504" i="2" s="1"/>
  <c r="M505" i="2" a="1"/>
  <c r="M505" i="2" s="1"/>
  <c r="M506" i="2" a="1"/>
  <c r="M506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19" i="2" a="1"/>
  <c r="M519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 s="1"/>
  <c r="L298" i="2" a="1"/>
  <c r="L298" i="2" s="1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 s="1"/>
  <c r="L305" i="2" a="1"/>
  <c r="L305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 s="1"/>
  <c r="L316" i="2" a="1"/>
  <c r="L316" i="2" s="1"/>
  <c r="L317" i="2" a="1"/>
  <c r="L317" i="2" s="1"/>
  <c r="L318" i="2" a="1"/>
  <c r="L318" i="2" s="1"/>
  <c r="L319" i="2" a="1"/>
  <c r="L319" i="2" s="1"/>
  <c r="L320" i="2" a="1"/>
  <c r="L320" i="2" s="1"/>
  <c r="L321" i="2" a="1"/>
  <c r="L321" i="2" s="1"/>
  <c r="L322" i="2" a="1"/>
  <c r="L322" i="2" s="1"/>
  <c r="L323" i="2" a="1"/>
  <c r="L323" i="2" s="1"/>
  <c r="L324" i="2" a="1"/>
  <c r="L324" i="2" s="1"/>
  <c r="L325" i="2" a="1"/>
  <c r="L325" i="2" s="1"/>
  <c r="L326" i="2" a="1"/>
  <c r="L326" i="2" s="1"/>
  <c r="L327" i="2" a="1"/>
  <c r="L327" i="2" s="1"/>
  <c r="L328" i="2" a="1"/>
  <c r="L328" i="2" s="1"/>
  <c r="L329" i="2" a="1"/>
  <c r="L329" i="2" s="1"/>
  <c r="L330" i="2" a="1"/>
  <c r="L330" i="2" s="1"/>
  <c r="L331" i="2" a="1"/>
  <c r="L331" i="2" s="1"/>
  <c r="L332" i="2" a="1"/>
  <c r="L332" i="2" s="1"/>
  <c r="L333" i="2" a="1"/>
  <c r="L333" i="2" s="1"/>
  <c r="L334" i="2" a="1"/>
  <c r="L334" i="2" s="1"/>
  <c r="L335" i="2" a="1"/>
  <c r="L335" i="2" s="1"/>
  <c r="L336" i="2" a="1"/>
  <c r="L336" i="2" s="1"/>
  <c r="L337" i="2" a="1"/>
  <c r="L337" i="2" s="1"/>
  <c r="L338" i="2" a="1"/>
  <c r="L338" i="2" s="1"/>
  <c r="L339" i="2" a="1"/>
  <c r="L339" i="2" s="1"/>
  <c r="L340" i="2" a="1"/>
  <c r="L340" i="2" s="1"/>
  <c r="L341" i="2" a="1"/>
  <c r="L341" i="2" s="1"/>
  <c r="L342" i="2" a="1"/>
  <c r="L342" i="2" s="1"/>
  <c r="L343" i="2" a="1"/>
  <c r="L343" i="2" s="1"/>
  <c r="L344" i="2" a="1"/>
  <c r="L344" i="2" s="1"/>
  <c r="L345" i="2" a="1"/>
  <c r="L345" i="2" s="1"/>
  <c r="L346" i="2" a="1"/>
  <c r="L346" i="2" s="1"/>
  <c r="L347" i="2" a="1"/>
  <c r="L347" i="2" s="1"/>
  <c r="L348" i="2" a="1"/>
  <c r="L348" i="2" s="1"/>
  <c r="L349" i="2" a="1"/>
  <c r="L349" i="2" s="1"/>
  <c r="L350" i="2" a="1"/>
  <c r="L350" i="2" s="1"/>
  <c r="L351" i="2" a="1"/>
  <c r="L351" i="2" s="1"/>
  <c r="L352" i="2" a="1"/>
  <c r="L352" i="2" s="1"/>
  <c r="L353" i="2" a="1"/>
  <c r="L353" i="2" s="1"/>
  <c r="L354" i="2" a="1"/>
  <c r="L354" i="2" s="1"/>
  <c r="L355" i="2" a="1"/>
  <c r="L355" i="2" s="1"/>
  <c r="L356" i="2" a="1"/>
  <c r="L356" i="2" s="1"/>
  <c r="L357" i="2" a="1"/>
  <c r="L357" i="2" s="1"/>
  <c r="L358" i="2" a="1"/>
  <c r="L358" i="2" s="1"/>
  <c r="L359" i="2" a="1"/>
  <c r="L359" i="2" s="1"/>
  <c r="L360" i="2" a="1"/>
  <c r="L360" i="2" s="1"/>
  <c r="L361" i="2" a="1"/>
  <c r="L361" i="2" s="1"/>
  <c r="L362" i="2" a="1"/>
  <c r="L362" i="2" s="1"/>
  <c r="L363" i="2" a="1"/>
  <c r="L363" i="2" s="1"/>
  <c r="L364" i="2" a="1"/>
  <c r="L364" i="2" s="1"/>
  <c r="L365" i="2" a="1"/>
  <c r="L365" i="2" s="1"/>
  <c r="L366" i="2" a="1"/>
  <c r="L366" i="2" s="1"/>
  <c r="L367" i="2" a="1"/>
  <c r="L367" i="2" s="1"/>
  <c r="L368" i="2" a="1"/>
  <c r="L368" i="2" s="1"/>
  <c r="L369" i="2" a="1"/>
  <c r="L369" i="2" s="1"/>
  <c r="L370" i="2" a="1"/>
  <c r="L370" i="2" s="1"/>
  <c r="L371" i="2" a="1"/>
  <c r="L371" i="2" s="1"/>
  <c r="L372" i="2" a="1"/>
  <c r="L372" i="2" s="1"/>
  <c r="L373" i="2" a="1"/>
  <c r="L373" i="2" s="1"/>
  <c r="L374" i="2" a="1"/>
  <c r="L374" i="2" s="1"/>
  <c r="L375" i="2" a="1"/>
  <c r="L375" i="2" s="1"/>
  <c r="L376" i="2" a="1"/>
  <c r="L376" i="2" s="1"/>
  <c r="L377" i="2" a="1"/>
  <c r="L377" i="2" s="1"/>
  <c r="L378" i="2" a="1"/>
  <c r="L378" i="2" s="1"/>
  <c r="L379" i="2" a="1"/>
  <c r="L379" i="2" s="1"/>
  <c r="L380" i="2" a="1"/>
  <c r="L380" i="2" s="1"/>
  <c r="L381" i="2" a="1"/>
  <c r="L381" i="2" s="1"/>
  <c r="L382" i="2" a="1"/>
  <c r="L382" i="2" s="1"/>
  <c r="L383" i="2" a="1"/>
  <c r="L383" i="2" s="1"/>
  <c r="L384" i="2" a="1"/>
  <c r="L384" i="2" s="1"/>
  <c r="L385" i="2" a="1"/>
  <c r="L385" i="2" s="1"/>
  <c r="L386" i="2" a="1"/>
  <c r="L386" i="2" s="1"/>
  <c r="L387" i="2" a="1"/>
  <c r="L387" i="2" s="1"/>
  <c r="L388" i="2" a="1"/>
  <c r="L388" i="2" s="1"/>
  <c r="L389" i="2" a="1"/>
  <c r="L389" i="2" s="1"/>
  <c r="L390" i="2" a="1"/>
  <c r="L390" i="2" s="1"/>
  <c r="L391" i="2" a="1"/>
  <c r="L391" i="2" s="1"/>
  <c r="L392" i="2" a="1"/>
  <c r="L392" i="2" s="1"/>
  <c r="L393" i="2" a="1"/>
  <c r="L393" i="2" s="1"/>
  <c r="L394" i="2" a="1"/>
  <c r="L394" i="2" s="1"/>
  <c r="L395" i="2" a="1"/>
  <c r="L395" i="2" s="1"/>
  <c r="L396" i="2" a="1"/>
  <c r="L396" i="2" s="1"/>
  <c r="L397" i="2" a="1"/>
  <c r="L397" i="2" s="1"/>
  <c r="L398" i="2" a="1"/>
  <c r="L398" i="2" s="1"/>
  <c r="L399" i="2" a="1"/>
  <c r="L399" i="2" s="1"/>
  <c r="L400" i="2" a="1"/>
  <c r="L400" i="2" s="1"/>
  <c r="L401" i="2" a="1"/>
  <c r="L401" i="2" s="1"/>
  <c r="L402" i="2" a="1"/>
  <c r="L402" i="2" s="1"/>
  <c r="L403" i="2" a="1"/>
  <c r="L403" i="2" s="1"/>
  <c r="L404" i="2" a="1"/>
  <c r="L404" i="2" s="1"/>
  <c r="L405" i="2" a="1"/>
  <c r="L405" i="2" s="1"/>
  <c r="L406" i="2" a="1"/>
  <c r="L406" i="2" s="1"/>
  <c r="L407" i="2" a="1"/>
  <c r="L407" i="2" s="1"/>
  <c r="L408" i="2" a="1"/>
  <c r="L408" i="2" s="1"/>
  <c r="L409" i="2" a="1"/>
  <c r="L409" i="2" s="1"/>
  <c r="L410" i="2" a="1"/>
  <c r="L410" i="2" s="1"/>
  <c r="L411" i="2" a="1"/>
  <c r="L411" i="2" s="1"/>
  <c r="L412" i="2" a="1"/>
  <c r="L412" i="2" s="1"/>
  <c r="L413" i="2" a="1"/>
  <c r="L413" i="2" s="1"/>
  <c r="L414" i="2" a="1"/>
  <c r="L414" i="2" s="1"/>
  <c r="L415" i="2" a="1"/>
  <c r="L415" i="2" s="1"/>
  <c r="L416" i="2" a="1"/>
  <c r="L416" i="2" s="1"/>
  <c r="L417" i="2" a="1"/>
  <c r="L417" i="2" s="1"/>
  <c r="L418" i="2" a="1"/>
  <c r="L418" i="2" s="1"/>
  <c r="L419" i="2" a="1"/>
  <c r="L419" i="2" s="1"/>
  <c r="L420" i="2" a="1"/>
  <c r="L420" i="2" s="1"/>
  <c r="L421" i="2" a="1"/>
  <c r="L421" i="2" s="1"/>
  <c r="L422" i="2" a="1"/>
  <c r="L422" i="2" s="1"/>
  <c r="L423" i="2" a="1"/>
  <c r="L423" i="2" s="1"/>
  <c r="L424" i="2" a="1"/>
  <c r="L424" i="2" s="1"/>
  <c r="L425" i="2" a="1"/>
  <c r="L425" i="2" s="1"/>
  <c r="L426" i="2" a="1"/>
  <c r="L426" i="2" s="1"/>
  <c r="L427" i="2" a="1"/>
  <c r="L427" i="2" s="1"/>
  <c r="L428" i="2" a="1"/>
  <c r="L428" i="2" s="1"/>
  <c r="L429" i="2" a="1"/>
  <c r="L429" i="2" s="1"/>
  <c r="L430" i="2" a="1"/>
  <c r="L430" i="2" s="1"/>
  <c r="L431" i="2" a="1"/>
  <c r="L431" i="2" s="1"/>
  <c r="L432" i="2" a="1"/>
  <c r="L432" i="2" s="1"/>
  <c r="L433" i="2" a="1"/>
  <c r="L433" i="2" s="1"/>
  <c r="L434" i="2" a="1"/>
  <c r="L434" i="2" s="1"/>
  <c r="L435" i="2" a="1"/>
  <c r="L435" i="2" s="1"/>
  <c r="L436" i="2" a="1"/>
  <c r="L436" i="2" s="1"/>
  <c r="L437" i="2" a="1"/>
  <c r="L437" i="2" s="1"/>
  <c r="L438" i="2" a="1"/>
  <c r="L438" i="2" s="1"/>
  <c r="L439" i="2" a="1"/>
  <c r="L439" i="2" s="1"/>
  <c r="L440" i="2" a="1"/>
  <c r="L440" i="2" s="1"/>
  <c r="L441" i="2" a="1"/>
  <c r="L441" i="2" s="1"/>
  <c r="L442" i="2" a="1"/>
  <c r="L442" i="2" s="1"/>
  <c r="L443" i="2" a="1"/>
  <c r="L443" i="2" s="1"/>
  <c r="L444" i="2" a="1"/>
  <c r="L444" i="2" s="1"/>
  <c r="L445" i="2" a="1"/>
  <c r="L445" i="2" s="1"/>
  <c r="L446" i="2" a="1"/>
  <c r="L446" i="2" s="1"/>
  <c r="L447" i="2" a="1"/>
  <c r="L447" i="2" s="1"/>
  <c r="L448" i="2" a="1"/>
  <c r="L448" i="2" s="1"/>
  <c r="L449" i="2" a="1"/>
  <c r="L449" i="2" s="1"/>
  <c r="L450" i="2" a="1"/>
  <c r="L450" i="2" s="1"/>
  <c r="L451" i="2" a="1"/>
  <c r="L451" i="2" s="1"/>
  <c r="L452" i="2" a="1"/>
  <c r="L452" i="2" s="1"/>
  <c r="L453" i="2" a="1"/>
  <c r="L453" i="2" s="1"/>
  <c r="L454" i="2" a="1"/>
  <c r="L454" i="2" s="1"/>
  <c r="L455" i="2" a="1"/>
  <c r="L455" i="2" s="1"/>
  <c r="L456" i="2" a="1"/>
  <c r="L456" i="2" s="1"/>
  <c r="L457" i="2" a="1"/>
  <c r="L457" i="2" s="1"/>
  <c r="L458" i="2" a="1"/>
  <c r="L458" i="2" s="1"/>
  <c r="L459" i="2" a="1"/>
  <c r="L459" i="2" s="1"/>
  <c r="L460" i="2" a="1"/>
  <c r="L460" i="2" s="1"/>
  <c r="L461" i="2" a="1"/>
  <c r="L461" i="2" s="1"/>
  <c r="L462" i="2" a="1"/>
  <c r="L462" i="2" s="1"/>
  <c r="L463" i="2" a="1"/>
  <c r="L463" i="2" s="1"/>
  <c r="L464" i="2" a="1"/>
  <c r="L464" i="2" s="1"/>
  <c r="L465" i="2" a="1"/>
  <c r="L465" i="2" s="1"/>
  <c r="L466" i="2" a="1"/>
  <c r="L466" i="2" s="1"/>
  <c r="L467" i="2" a="1"/>
  <c r="L467" i="2" s="1"/>
  <c r="L468" i="2" a="1"/>
  <c r="L468" i="2" s="1"/>
  <c r="L469" i="2" a="1"/>
  <c r="L469" i="2" s="1"/>
  <c r="L470" i="2" a="1"/>
  <c r="L470" i="2" s="1"/>
  <c r="L471" i="2" a="1"/>
  <c r="L471" i="2" s="1"/>
  <c r="L472" i="2" a="1"/>
  <c r="L472" i="2" s="1"/>
  <c r="L473" i="2" a="1"/>
  <c r="L473" i="2" s="1"/>
  <c r="L474" i="2" a="1"/>
  <c r="L474" i="2" s="1"/>
  <c r="L475" i="2" a="1"/>
  <c r="L475" i="2" s="1"/>
  <c r="L476" i="2" a="1"/>
  <c r="L476" i="2" s="1"/>
  <c r="L477" i="2" a="1"/>
  <c r="L477" i="2" s="1"/>
  <c r="L478" i="2" a="1"/>
  <c r="L478" i="2" s="1"/>
  <c r="L479" i="2" a="1"/>
  <c r="L479" i="2" s="1"/>
  <c r="L480" i="2" a="1"/>
  <c r="L480" i="2" s="1"/>
  <c r="L481" i="2" a="1"/>
  <c r="L481" i="2" s="1"/>
  <c r="L482" i="2" a="1"/>
  <c r="L482" i="2" s="1"/>
  <c r="L483" i="2" a="1"/>
  <c r="L483" i="2" s="1"/>
  <c r="L484" i="2" a="1"/>
  <c r="L484" i="2" s="1"/>
  <c r="L485" i="2" a="1"/>
  <c r="L485" i="2" s="1"/>
  <c r="L486" i="2" a="1"/>
  <c r="L486" i="2" s="1"/>
  <c r="L487" i="2" a="1"/>
  <c r="L487" i="2" s="1"/>
  <c r="L488" i="2" a="1"/>
  <c r="L488" i="2" s="1"/>
  <c r="L489" i="2" a="1"/>
  <c r="L489" i="2" s="1"/>
  <c r="L490" i="2" a="1"/>
  <c r="L490" i="2" s="1"/>
  <c r="L491" i="2" a="1"/>
  <c r="L491" i="2" s="1"/>
  <c r="L492" i="2" a="1"/>
  <c r="L492" i="2" s="1"/>
  <c r="L493" i="2" a="1"/>
  <c r="L493" i="2" s="1"/>
  <c r="L494" i="2" a="1"/>
  <c r="L494" i="2" s="1"/>
  <c r="L495" i="2" a="1"/>
  <c r="L495" i="2" s="1"/>
  <c r="L496" i="2" a="1"/>
  <c r="L496" i="2" s="1"/>
  <c r="L497" i="2" a="1"/>
  <c r="L497" i="2" s="1"/>
  <c r="L498" i="2" a="1"/>
  <c r="L498" i="2" s="1"/>
  <c r="L499" i="2" a="1"/>
  <c r="L499" i="2" s="1"/>
  <c r="L500" i="2" a="1"/>
  <c r="L500" i="2" s="1"/>
  <c r="L501" i="2" a="1"/>
  <c r="L501" i="2" s="1"/>
  <c r="L502" i="2" a="1"/>
  <c r="L502" i="2" s="1"/>
  <c r="L503" i="2" a="1"/>
  <c r="L503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 s="1"/>
  <c r="L512" i="2" a="1"/>
  <c r="L512" i="2" s="1"/>
  <c r="L513" i="2" a="1"/>
  <c r="L513" i="2" s="1"/>
  <c r="L514" i="2" a="1"/>
  <c r="L514" i="2" s="1"/>
  <c r="L515" i="2" a="1"/>
  <c r="L515" i="2" s="1"/>
  <c r="L516" i="2" a="1"/>
  <c r="L516" i="2" s="1"/>
  <c r="L517" i="2" a="1"/>
  <c r="L517" i="2" s="1"/>
  <c r="L518" i="2" a="1"/>
  <c r="L518" i="2" s="1"/>
  <c r="L519" i="2" a="1"/>
  <c r="L519" i="2" s="1"/>
  <c r="L520" i="2" a="1"/>
  <c r="L520" i="2" s="1"/>
  <c r="L521" i="2" a="1"/>
  <c r="L521" i="2" s="1"/>
  <c r="L522" i="2" a="1"/>
  <c r="L522" i="2" s="1"/>
  <c r="L523" i="2" a="1"/>
  <c r="L523" i="2" s="1"/>
  <c r="L524" i="2" a="1"/>
  <c r="L524" i="2" s="1"/>
  <c r="L525" i="2" a="1"/>
  <c r="L525" i="2" s="1"/>
  <c r="L526" i="2" a="1"/>
  <c r="L526" i="2" s="1"/>
  <c r="L527" i="2" a="1"/>
  <c r="L527" i="2" s="1"/>
  <c r="L528" i="2" a="1"/>
  <c r="L528" i="2" s="1"/>
  <c r="L529" i="2" a="1"/>
  <c r="L529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 s="1"/>
  <c r="K491" i="2" a="1"/>
  <c r="K491" i="2" s="1"/>
  <c r="K492" i="2" a="1"/>
  <c r="K492" i="2" s="1"/>
  <c r="K493" i="2" a="1"/>
  <c r="K493" i="2" s="1"/>
  <c r="K494" i="2" a="1"/>
  <c r="K494" i="2" s="1"/>
  <c r="K495" i="2" a="1"/>
  <c r="K495" i="2" s="1"/>
  <c r="K496" i="2" a="1"/>
  <c r="K496" i="2" s="1"/>
  <c r="K497" i="2" a="1"/>
  <c r="K497" i="2" s="1"/>
  <c r="K498" i="2" a="1"/>
  <c r="K498" i="2" s="1"/>
  <c r="K499" i="2" a="1"/>
  <c r="K499" i="2" s="1"/>
  <c r="K500" i="2" a="1"/>
  <c r="K500" i="2" s="1"/>
  <c r="K501" i="2" a="1"/>
  <c r="K501" i="2" s="1"/>
  <c r="K502" i="2" a="1"/>
  <c r="K502" i="2" s="1"/>
  <c r="K503" i="2" a="1"/>
  <c r="K503" i="2" s="1"/>
  <c r="K504" i="2" a="1"/>
  <c r="K504" i="2" s="1"/>
  <c r="K505" i="2" a="1"/>
  <c r="K505" i="2" s="1"/>
  <c r="K506" i="2" a="1"/>
  <c r="K506" i="2" s="1"/>
  <c r="K507" i="2" a="1"/>
  <c r="K507" i="2" s="1"/>
  <c r="K508" i="2" a="1"/>
  <c r="K508" i="2" s="1"/>
  <c r="K509" i="2" a="1"/>
  <c r="K509" i="2" s="1"/>
  <c r="K510" i="2" a="1"/>
  <c r="K510" i="2" s="1"/>
  <c r="K511" i="2" a="1"/>
  <c r="K511" i="2" s="1"/>
  <c r="K512" i="2" a="1"/>
  <c r="K512" i="2" s="1"/>
  <c r="K513" i="2" a="1"/>
  <c r="K513" i="2" s="1"/>
  <c r="K514" i="2" a="1"/>
  <c r="K514" i="2" s="1"/>
  <c r="K515" i="2" a="1"/>
  <c r="K515" i="2" s="1"/>
  <c r="K516" i="2" a="1"/>
  <c r="K516" i="2" s="1"/>
  <c r="K517" i="2" a="1"/>
  <c r="K517" i="2" s="1"/>
  <c r="K518" i="2" a="1"/>
  <c r="K518" i="2" s="1"/>
  <c r="K519" i="2" a="1"/>
  <c r="K519" i="2" s="1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 s="1"/>
  <c r="K529" i="2" a="1"/>
  <c r="K529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 s="1"/>
  <c r="J84" i="2" a="1"/>
  <c r="J84" i="2" s="1"/>
  <c r="J85" i="2" a="1"/>
  <c r="J85" i="2" s="1"/>
  <c r="J86" i="2" a="1"/>
  <c r="J86" i="2" s="1"/>
  <c r="J87" i="2" a="1"/>
  <c r="J87" i="2" s="1"/>
  <c r="J88" i="2" a="1"/>
  <c r="J88" i="2" s="1"/>
  <c r="J89" i="2" a="1"/>
  <c r="J89" i="2" s="1"/>
  <c r="J90" i="2" a="1"/>
  <c r="J90" i="2" s="1"/>
  <c r="J91" i="2" a="1"/>
  <c r="J91" i="2" s="1"/>
  <c r="J92" i="2" a="1"/>
  <c r="J92" i="2" s="1"/>
  <c r="J93" i="2" a="1"/>
  <c r="J93" i="2" s="1"/>
  <c r="J94" i="2" a="1"/>
  <c r="J94" i="2" s="1"/>
  <c r="J95" i="2" a="1"/>
  <c r="J95" i="2" s="1"/>
  <c r="J96" i="2" a="1"/>
  <c r="J96" i="2" s="1"/>
  <c r="J97" i="2" a="1"/>
  <c r="J97" i="2" s="1"/>
  <c r="J98" i="2" a="1"/>
  <c r="J98" i="2" s="1"/>
  <c r="J99" i="2" a="1"/>
  <c r="J99" i="2" s="1"/>
  <c r="J100" i="2" a="1"/>
  <c r="J100" i="2" s="1"/>
  <c r="J101" i="2" a="1"/>
  <c r="J101" i="2" s="1"/>
  <c r="J102" i="2" a="1"/>
  <c r="J102" i="2" s="1"/>
  <c r="J103" i="2" a="1"/>
  <c r="J103" i="2" s="1"/>
  <c r="J104" i="2" a="1"/>
  <c r="J104" i="2" s="1"/>
  <c r="J105" i="2" a="1"/>
  <c r="J105" i="2" s="1"/>
  <c r="J106" i="2" a="1"/>
  <c r="J106" i="2" s="1"/>
  <c r="J107" i="2" a="1"/>
  <c r="J107" i="2" s="1"/>
  <c r="J108" i="2" a="1"/>
  <c r="J108" i="2" s="1"/>
  <c r="J109" i="2" a="1"/>
  <c r="J109" i="2" s="1"/>
  <c r="J110" i="2" a="1"/>
  <c r="J110" i="2" s="1"/>
  <c r="J111" i="2" a="1"/>
  <c r="J111" i="2" s="1"/>
  <c r="J112" i="2" a="1"/>
  <c r="J112" i="2" s="1"/>
  <c r="J113" i="2" a="1"/>
  <c r="J113" i="2" s="1"/>
  <c r="J114" i="2" a="1"/>
  <c r="J114" i="2" s="1"/>
  <c r="J115" i="2" a="1"/>
  <c r="J115" i="2" s="1"/>
  <c r="J116" i="2" a="1"/>
  <c r="J116" i="2" s="1"/>
  <c r="J117" i="2" a="1"/>
  <c r="J117" i="2" s="1"/>
  <c r="J118" i="2" a="1"/>
  <c r="J118" i="2" s="1"/>
  <c r="J119" i="2" a="1"/>
  <c r="J119" i="2" s="1"/>
  <c r="J120" i="2" a="1"/>
  <c r="J120" i="2" s="1"/>
  <c r="J121" i="2" a="1"/>
  <c r="J121" i="2" s="1"/>
  <c r="J122" i="2" a="1"/>
  <c r="J122" i="2" s="1"/>
  <c r="J123" i="2" a="1"/>
  <c r="J123" i="2" s="1"/>
  <c r="J124" i="2" a="1"/>
  <c r="J124" i="2" s="1"/>
  <c r="J125" i="2" a="1"/>
  <c r="J125" i="2" s="1"/>
  <c r="J126" i="2" a="1"/>
  <c r="J126" i="2" s="1"/>
  <c r="J127" i="2" a="1"/>
  <c r="J127" i="2" s="1"/>
  <c r="J128" i="2" a="1"/>
  <c r="J128" i="2" s="1"/>
  <c r="J129" i="2" a="1"/>
  <c r="J129" i="2" s="1"/>
  <c r="J130" i="2" a="1"/>
  <c r="J130" i="2" s="1"/>
  <c r="J131" i="2" a="1"/>
  <c r="J131" i="2" s="1"/>
  <c r="J132" i="2" a="1"/>
  <c r="J132" i="2" s="1"/>
  <c r="J133" i="2" a="1"/>
  <c r="J133" i="2" s="1"/>
  <c r="J134" i="2" a="1"/>
  <c r="J134" i="2" s="1"/>
  <c r="J135" i="2" a="1"/>
  <c r="J135" i="2" s="1"/>
  <c r="J136" i="2" a="1"/>
  <c r="J136" i="2" s="1"/>
  <c r="J137" i="2" a="1"/>
  <c r="J137" i="2" s="1"/>
  <c r="J138" i="2" a="1"/>
  <c r="J138" i="2" s="1"/>
  <c r="J139" i="2" a="1"/>
  <c r="J139" i="2" s="1"/>
  <c r="J140" i="2" a="1"/>
  <c r="J140" i="2" s="1"/>
  <c r="J141" i="2" a="1"/>
  <c r="J141" i="2" s="1"/>
  <c r="J142" i="2" a="1"/>
  <c r="J142" i="2" s="1"/>
  <c r="J143" i="2" a="1"/>
  <c r="J143" i="2" s="1"/>
  <c r="J144" i="2" a="1"/>
  <c r="J144" i="2" s="1"/>
  <c r="J145" i="2" a="1"/>
  <c r="J145" i="2" s="1"/>
  <c r="J146" i="2" a="1"/>
  <c r="J146" i="2" s="1"/>
  <c r="J147" i="2" a="1"/>
  <c r="J147" i="2" s="1"/>
  <c r="J148" i="2" a="1"/>
  <c r="J148" i="2" s="1"/>
  <c r="J149" i="2" a="1"/>
  <c r="J149" i="2" s="1"/>
  <c r="J150" i="2" a="1"/>
  <c r="J150" i="2" s="1"/>
  <c r="J151" i="2" a="1"/>
  <c r="J151" i="2" s="1"/>
  <c r="J152" i="2" a="1"/>
  <c r="J152" i="2" s="1"/>
  <c r="J153" i="2" a="1"/>
  <c r="J153" i="2" s="1"/>
  <c r="J154" i="2" a="1"/>
  <c r="J154" i="2" s="1"/>
  <c r="J155" i="2" a="1"/>
  <c r="J155" i="2" s="1"/>
  <c r="J156" i="2" a="1"/>
  <c r="J156" i="2" s="1"/>
  <c r="J157" i="2" a="1"/>
  <c r="J157" i="2" s="1"/>
  <c r="J158" i="2" a="1"/>
  <c r="J158" i="2" s="1"/>
  <c r="J159" i="2" a="1"/>
  <c r="J159" i="2" s="1"/>
  <c r="J160" i="2" a="1"/>
  <c r="J160" i="2" s="1"/>
  <c r="J161" i="2" a="1"/>
  <c r="J161" i="2" s="1"/>
  <c r="J162" i="2" a="1"/>
  <c r="J162" i="2" s="1"/>
  <c r="J163" i="2" a="1"/>
  <c r="J163" i="2" s="1"/>
  <c r="J164" i="2" a="1"/>
  <c r="J164" i="2" s="1"/>
  <c r="J165" i="2" a="1"/>
  <c r="J165" i="2" s="1"/>
  <c r="J166" i="2" a="1"/>
  <c r="J166" i="2" s="1"/>
  <c r="J167" i="2" a="1"/>
  <c r="J167" i="2" s="1"/>
  <c r="J168" i="2" a="1"/>
  <c r="J168" i="2" s="1"/>
  <c r="J169" i="2" a="1"/>
  <c r="J169" i="2" s="1"/>
  <c r="J170" i="2" a="1"/>
  <c r="J170" i="2" s="1"/>
  <c r="J171" i="2" a="1"/>
  <c r="J171" i="2" s="1"/>
  <c r="J172" i="2" a="1"/>
  <c r="J172" i="2" s="1"/>
  <c r="J173" i="2" a="1"/>
  <c r="J173" i="2" s="1"/>
  <c r="J174" i="2" a="1"/>
  <c r="J174" i="2" s="1"/>
  <c r="J175" i="2" a="1"/>
  <c r="J175" i="2" s="1"/>
  <c r="J176" i="2" a="1"/>
  <c r="J176" i="2" s="1"/>
  <c r="J177" i="2" a="1"/>
  <c r="J177" i="2" s="1"/>
  <c r="J178" i="2" a="1"/>
  <c r="J178" i="2" s="1"/>
  <c r="J179" i="2" a="1"/>
  <c r="J179" i="2" s="1"/>
  <c r="J180" i="2" a="1"/>
  <c r="J180" i="2" s="1"/>
  <c r="J181" i="2" a="1"/>
  <c r="J181" i="2" s="1"/>
  <c r="J182" i="2" a="1"/>
  <c r="J182" i="2" s="1"/>
  <c r="J183" i="2" a="1"/>
  <c r="J183" i="2" s="1"/>
  <c r="J184" i="2" a="1"/>
  <c r="J184" i="2" s="1"/>
  <c r="J185" i="2" a="1"/>
  <c r="J185" i="2" s="1"/>
  <c r="J186" i="2" a="1"/>
  <c r="J186" i="2" s="1"/>
  <c r="J187" i="2" a="1"/>
  <c r="J187" i="2" s="1"/>
  <c r="J188" i="2" a="1"/>
  <c r="J188" i="2" s="1"/>
  <c r="J189" i="2" a="1"/>
  <c r="J189" i="2" s="1"/>
  <c r="J190" i="2" a="1"/>
  <c r="J190" i="2" s="1"/>
  <c r="J191" i="2" a="1"/>
  <c r="J191" i="2" s="1"/>
  <c r="J192" i="2" a="1"/>
  <c r="J192" i="2" s="1"/>
  <c r="J193" i="2" a="1"/>
  <c r="J193" i="2" s="1"/>
  <c r="J194" i="2" a="1"/>
  <c r="J194" i="2" s="1"/>
  <c r="J195" i="2" a="1"/>
  <c r="J195" i="2" s="1"/>
  <c r="J196" i="2" a="1"/>
  <c r="J196" i="2" s="1"/>
  <c r="J197" i="2" a="1"/>
  <c r="J197" i="2" s="1"/>
  <c r="J198" i="2" a="1"/>
  <c r="J198" i="2" s="1"/>
  <c r="J199" i="2" a="1"/>
  <c r="J199" i="2" s="1"/>
  <c r="J200" i="2" a="1"/>
  <c r="J200" i="2" s="1"/>
  <c r="J201" i="2" a="1"/>
  <c r="J201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J207" i="2" a="1"/>
  <c r="J207" i="2" s="1"/>
  <c r="J208" i="2" a="1"/>
  <c r="J208" i="2" s="1"/>
  <c r="J209" i="2" a="1"/>
  <c r="J209" i="2" s="1"/>
  <c r="J210" i="2" a="1"/>
  <c r="J210" i="2" s="1"/>
  <c r="J211" i="2" a="1"/>
  <c r="J211" i="2" s="1"/>
  <c r="J212" i="2" a="1"/>
  <c r="J212" i="2" s="1"/>
  <c r="J213" i="2" a="1"/>
  <c r="J213" i="2" s="1"/>
  <c r="J214" i="2" a="1"/>
  <c r="J214" i="2" s="1"/>
  <c r="J215" i="2" a="1"/>
  <c r="J215" i="2" s="1"/>
  <c r="J216" i="2" a="1"/>
  <c r="J216" i="2" s="1"/>
  <c r="J217" i="2" a="1"/>
  <c r="J217" i="2" s="1"/>
  <c r="J218" i="2" a="1"/>
  <c r="J218" i="2" s="1"/>
  <c r="J219" i="2" a="1"/>
  <c r="J219" i="2" s="1"/>
  <c r="J220" i="2" a="1"/>
  <c r="J220" i="2" s="1"/>
  <c r="J221" i="2" a="1"/>
  <c r="J221" i="2" s="1"/>
  <c r="J222" i="2" a="1"/>
  <c r="J222" i="2" s="1"/>
  <c r="J223" i="2" a="1"/>
  <c r="J223" i="2" s="1"/>
  <c r="J224" i="2" a="1"/>
  <c r="J224" i="2" s="1"/>
  <c r="J225" i="2" a="1"/>
  <c r="J225" i="2" s="1"/>
  <c r="J226" i="2" a="1"/>
  <c r="J226" i="2" s="1"/>
  <c r="J227" i="2" a="1"/>
  <c r="J227" i="2" s="1"/>
  <c r="J228" i="2" a="1"/>
  <c r="J228" i="2" s="1"/>
  <c r="J229" i="2" a="1"/>
  <c r="J229" i="2" s="1"/>
  <c r="J230" i="2" a="1"/>
  <c r="J230" i="2" s="1"/>
  <c r="J231" i="2" a="1"/>
  <c r="J231" i="2" s="1"/>
  <c r="J232" i="2" a="1"/>
  <c r="J232" i="2" s="1"/>
  <c r="J233" i="2" a="1"/>
  <c r="J233" i="2" s="1"/>
  <c r="J234" i="2" a="1"/>
  <c r="J234" i="2" s="1"/>
  <c r="J235" i="2" a="1"/>
  <c r="J235" i="2" s="1"/>
  <c r="J236" i="2" a="1"/>
  <c r="J236" i="2" s="1"/>
  <c r="J237" i="2" a="1"/>
  <c r="J237" i="2" s="1"/>
  <c r="J238" i="2" a="1"/>
  <c r="J238" i="2" s="1"/>
  <c r="J239" i="2" a="1"/>
  <c r="J239" i="2" s="1"/>
  <c r="J240" i="2" a="1"/>
  <c r="J240" i="2" s="1"/>
  <c r="J241" i="2" a="1"/>
  <c r="J241" i="2" s="1"/>
  <c r="J242" i="2" a="1"/>
  <c r="J242" i="2" s="1"/>
  <c r="J243" i="2" a="1"/>
  <c r="J243" i="2" s="1"/>
  <c r="J244" i="2" a="1"/>
  <c r="J244" i="2" s="1"/>
  <c r="J245" i="2" a="1"/>
  <c r="J245" i="2" s="1"/>
  <c r="J246" i="2" a="1"/>
  <c r="J246" i="2" s="1"/>
  <c r="J247" i="2" a="1"/>
  <c r="J247" i="2" s="1"/>
  <c r="J248" i="2" a="1"/>
  <c r="J248" i="2" s="1"/>
  <c r="J249" i="2" a="1"/>
  <c r="J249" i="2" s="1"/>
  <c r="J250" i="2" a="1"/>
  <c r="J250" i="2" s="1"/>
  <c r="J251" i="2" a="1"/>
  <c r="J251" i="2" s="1"/>
  <c r="J252" i="2" a="1"/>
  <c r="J252" i="2" s="1"/>
  <c r="J253" i="2" a="1"/>
  <c r="J253" i="2" s="1"/>
  <c r="J254" i="2" a="1"/>
  <c r="J254" i="2" s="1"/>
  <c r="J255" i="2" a="1"/>
  <c r="J255" i="2" s="1"/>
  <c r="J256" i="2" a="1"/>
  <c r="J256" i="2" s="1"/>
  <c r="J257" i="2" a="1"/>
  <c r="J257" i="2" s="1"/>
  <c r="J258" i="2" a="1"/>
  <c r="J258" i="2" s="1"/>
  <c r="J259" i="2" a="1"/>
  <c r="J259" i="2" s="1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 s="1"/>
  <c r="J270" i="2" a="1"/>
  <c r="J270" i="2" s="1"/>
  <c r="J271" i="2" a="1"/>
  <c r="J271" i="2" s="1"/>
  <c r="J272" i="2" a="1"/>
  <c r="J272" i="2" s="1"/>
  <c r="J273" i="2" a="1"/>
  <c r="J273" i="2" s="1"/>
  <c r="J274" i="2" a="1"/>
  <c r="J274" i="2" s="1"/>
  <c r="J275" i="2" a="1"/>
  <c r="J275" i="2" s="1"/>
  <c r="J276" i="2" a="1"/>
  <c r="J276" i="2" s="1"/>
  <c r="J277" i="2" a="1"/>
  <c r="J277" i="2" s="1"/>
  <c r="J278" i="2" a="1"/>
  <c r="J278" i="2" s="1"/>
  <c r="J279" i="2" a="1"/>
  <c r="J279" i="2" s="1"/>
  <c r="J280" i="2" a="1"/>
  <c r="J280" i="2" s="1"/>
  <c r="J281" i="2" a="1"/>
  <c r="J281" i="2" s="1"/>
  <c r="J282" i="2" a="1"/>
  <c r="J282" i="2" s="1"/>
  <c r="J283" i="2" a="1"/>
  <c r="J283" i="2" s="1"/>
  <c r="J284" i="2" a="1"/>
  <c r="J284" i="2" s="1"/>
  <c r="J285" i="2" a="1"/>
  <c r="J285" i="2" s="1"/>
  <c r="J286" i="2" a="1"/>
  <c r="J286" i="2" s="1"/>
  <c r="J287" i="2" a="1"/>
  <c r="J287" i="2" s="1"/>
  <c r="J288" i="2" a="1"/>
  <c r="J288" i="2" s="1"/>
  <c r="J289" i="2" a="1"/>
  <c r="J289" i="2" s="1"/>
  <c r="J290" i="2" a="1"/>
  <c r="J290" i="2" s="1"/>
  <c r="J291" i="2" a="1"/>
  <c r="J291" i="2" s="1"/>
  <c r="J292" i="2" a="1"/>
  <c r="J292" i="2" s="1"/>
  <c r="J293" i="2" a="1"/>
  <c r="J293" i="2" s="1"/>
  <c r="J294" i="2" a="1"/>
  <c r="J294" i="2" s="1"/>
  <c r="J295" i="2" a="1"/>
  <c r="J295" i="2" s="1"/>
  <c r="J296" i="2" a="1"/>
  <c r="J296" i="2" s="1"/>
  <c r="J297" i="2" a="1"/>
  <c r="J297" i="2" s="1"/>
  <c r="J298" i="2" a="1"/>
  <c r="J298" i="2" s="1"/>
  <c r="J299" i="2" a="1"/>
  <c r="J299" i="2" s="1"/>
  <c r="J300" i="2" a="1"/>
  <c r="J300" i="2" s="1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 s="1"/>
  <c r="J310" i="2" a="1"/>
  <c r="J310" i="2" s="1"/>
  <c r="J311" i="2" a="1"/>
  <c r="J311" i="2" s="1"/>
  <c r="J312" i="2" a="1"/>
  <c r="J312" i="2" s="1"/>
  <c r="J313" i="2" a="1"/>
  <c r="J313" i="2" s="1"/>
  <c r="J314" i="2" a="1"/>
  <c r="J314" i="2" s="1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 s="1"/>
  <c r="J321" i="2" a="1"/>
  <c r="J321" i="2" s="1"/>
  <c r="J322" i="2" a="1"/>
  <c r="J322" i="2" s="1"/>
  <c r="J323" i="2" a="1"/>
  <c r="J323" i="2" s="1"/>
  <c r="J324" i="2" a="1"/>
  <c r="J324" i="2" s="1"/>
  <c r="J325" i="2" a="1"/>
  <c r="J325" i="2" s="1"/>
  <c r="J326" i="2" a="1"/>
  <c r="J326" i="2" s="1"/>
  <c r="J327" i="2" a="1"/>
  <c r="J327" i="2" s="1"/>
  <c r="J328" i="2" a="1"/>
  <c r="J328" i="2" s="1"/>
  <c r="J329" i="2" a="1"/>
  <c r="J329" i="2" s="1"/>
  <c r="J330" i="2" a="1"/>
  <c r="J330" i="2" s="1"/>
  <c r="J331" i="2" a="1"/>
  <c r="J331" i="2" s="1"/>
  <c r="J332" i="2" a="1"/>
  <c r="J332" i="2" s="1"/>
  <c r="J333" i="2" a="1"/>
  <c r="J333" i="2" s="1"/>
  <c r="J334" i="2" a="1"/>
  <c r="J334" i="2" s="1"/>
  <c r="J335" i="2" a="1"/>
  <c r="J335" i="2" s="1"/>
  <c r="J336" i="2" a="1"/>
  <c r="J336" i="2" s="1"/>
  <c r="J337" i="2" a="1"/>
  <c r="J337" i="2" s="1"/>
  <c r="J338" i="2" a="1"/>
  <c r="J338" i="2" s="1"/>
  <c r="J339" i="2" a="1"/>
  <c r="J339" i="2" s="1"/>
  <c r="J340" i="2" a="1"/>
  <c r="J340" i="2" s="1"/>
  <c r="J341" i="2" a="1"/>
  <c r="J341" i="2" s="1"/>
  <c r="J342" i="2" a="1"/>
  <c r="J342" i="2" s="1"/>
  <c r="J343" i="2" a="1"/>
  <c r="J343" i="2" s="1"/>
  <c r="J344" i="2" a="1"/>
  <c r="J344" i="2" s="1"/>
  <c r="J345" i="2" a="1"/>
  <c r="J345" i="2" s="1"/>
  <c r="J346" i="2" a="1"/>
  <c r="J346" i="2" s="1"/>
  <c r="J347" i="2" a="1"/>
  <c r="J347" i="2" s="1"/>
  <c r="J348" i="2" a="1"/>
  <c r="J348" i="2" s="1"/>
  <c r="J349" i="2" a="1"/>
  <c r="J349" i="2" s="1"/>
  <c r="J350" i="2" a="1"/>
  <c r="J350" i="2" s="1"/>
  <c r="J351" i="2" a="1"/>
  <c r="J351" i="2" s="1"/>
  <c r="J352" i="2" a="1"/>
  <c r="J352" i="2" s="1"/>
  <c r="J353" i="2" a="1"/>
  <c r="J353" i="2" s="1"/>
  <c r="J354" i="2" a="1"/>
  <c r="J354" i="2" s="1"/>
  <c r="J355" i="2" a="1"/>
  <c r="J355" i="2" s="1"/>
  <c r="J356" i="2" a="1"/>
  <c r="J356" i="2" s="1"/>
  <c r="J357" i="2" a="1"/>
  <c r="J357" i="2" s="1"/>
  <c r="J358" i="2" a="1"/>
  <c r="J358" i="2" s="1"/>
  <c r="J359" i="2" a="1"/>
  <c r="J359" i="2" s="1"/>
  <c r="J360" i="2" a="1"/>
  <c r="J360" i="2" s="1"/>
  <c r="J361" i="2" a="1"/>
  <c r="J361" i="2" s="1"/>
  <c r="J362" i="2" a="1"/>
  <c r="J362" i="2" s="1"/>
  <c r="J363" i="2" a="1"/>
  <c r="J363" i="2" s="1"/>
  <c r="J364" i="2" a="1"/>
  <c r="J364" i="2" s="1"/>
  <c r="J365" i="2" a="1"/>
  <c r="J365" i="2" s="1"/>
  <c r="J366" i="2" a="1"/>
  <c r="J366" i="2" s="1"/>
  <c r="J367" i="2" a="1"/>
  <c r="J367" i="2" s="1"/>
  <c r="J368" i="2" a="1"/>
  <c r="J368" i="2" s="1"/>
  <c r="J369" i="2" a="1"/>
  <c r="J369" i="2" s="1"/>
  <c r="J370" i="2" a="1"/>
  <c r="J370" i="2" s="1"/>
  <c r="J371" i="2" a="1"/>
  <c r="J371" i="2" s="1"/>
  <c r="J372" i="2" a="1"/>
  <c r="J372" i="2" s="1"/>
  <c r="J373" i="2" a="1"/>
  <c r="J373" i="2" s="1"/>
  <c r="J374" i="2" a="1"/>
  <c r="J374" i="2" s="1"/>
  <c r="J375" i="2" a="1"/>
  <c r="J375" i="2" s="1"/>
  <c r="J376" i="2" a="1"/>
  <c r="J376" i="2" s="1"/>
  <c r="J377" i="2" a="1"/>
  <c r="J377" i="2" s="1"/>
  <c r="J378" i="2" a="1"/>
  <c r="J378" i="2" s="1"/>
  <c r="J379" i="2" a="1"/>
  <c r="J379" i="2" s="1"/>
  <c r="J380" i="2" a="1"/>
  <c r="J380" i="2" s="1"/>
  <c r="J381" i="2" a="1"/>
  <c r="J381" i="2" s="1"/>
  <c r="J382" i="2" a="1"/>
  <c r="J382" i="2" s="1"/>
  <c r="J383" i="2" a="1"/>
  <c r="J383" i="2" s="1"/>
  <c r="J384" i="2" a="1"/>
  <c r="J384" i="2" s="1"/>
  <c r="J385" i="2" a="1"/>
  <c r="J385" i="2" s="1"/>
  <c r="J386" i="2" a="1"/>
  <c r="J386" i="2" s="1"/>
  <c r="J387" i="2" a="1"/>
  <c r="J387" i="2" s="1"/>
  <c r="J388" i="2" a="1"/>
  <c r="J388" i="2" s="1"/>
  <c r="J389" i="2" a="1"/>
  <c r="J389" i="2" s="1"/>
  <c r="J390" i="2" a="1"/>
  <c r="J390" i="2" s="1"/>
  <c r="J391" i="2" a="1"/>
  <c r="J391" i="2" s="1"/>
  <c r="J392" i="2" a="1"/>
  <c r="J392" i="2" s="1"/>
  <c r="J393" i="2" a="1"/>
  <c r="J393" i="2" s="1"/>
  <c r="J394" i="2" a="1"/>
  <c r="J394" i="2" s="1"/>
  <c r="J395" i="2" a="1"/>
  <c r="J395" i="2" s="1"/>
  <c r="J396" i="2" a="1"/>
  <c r="J396" i="2" s="1"/>
  <c r="J397" i="2" a="1"/>
  <c r="J397" i="2" s="1"/>
  <c r="J398" i="2" a="1"/>
  <c r="J398" i="2" s="1"/>
  <c r="J399" i="2" a="1"/>
  <c r="J399" i="2" s="1"/>
  <c r="J400" i="2" a="1"/>
  <c r="J400" i="2" s="1"/>
  <c r="J401" i="2" a="1"/>
  <c r="J401" i="2" s="1"/>
  <c r="J402" i="2" a="1"/>
  <c r="J402" i="2" s="1"/>
  <c r="J403" i="2" a="1"/>
  <c r="J403" i="2" s="1"/>
  <c r="J404" i="2" a="1"/>
  <c r="J404" i="2" s="1"/>
  <c r="J405" i="2" a="1"/>
  <c r="J405" i="2" s="1"/>
  <c r="J406" i="2" a="1"/>
  <c r="J406" i="2" s="1"/>
  <c r="J407" i="2" a="1"/>
  <c r="J407" i="2" s="1"/>
  <c r="J408" i="2" a="1"/>
  <c r="J408" i="2" s="1"/>
  <c r="J409" i="2" a="1"/>
  <c r="J409" i="2" s="1"/>
  <c r="J410" i="2" a="1"/>
  <c r="J410" i="2" s="1"/>
  <c r="J411" i="2" a="1"/>
  <c r="J411" i="2" s="1"/>
  <c r="J412" i="2" a="1"/>
  <c r="J412" i="2" s="1"/>
  <c r="J413" i="2" a="1"/>
  <c r="J413" i="2" s="1"/>
  <c r="J414" i="2" a="1"/>
  <c r="J414" i="2" s="1"/>
  <c r="J415" i="2" a="1"/>
  <c r="J415" i="2" s="1"/>
  <c r="J416" i="2" a="1"/>
  <c r="J416" i="2" s="1"/>
  <c r="J417" i="2" a="1"/>
  <c r="J417" i="2" s="1"/>
  <c r="J418" i="2" a="1"/>
  <c r="J418" i="2" s="1"/>
  <c r="J419" i="2" a="1"/>
  <c r="J419" i="2" s="1"/>
  <c r="J420" i="2" a="1"/>
  <c r="J420" i="2" s="1"/>
  <c r="J421" i="2" a="1"/>
  <c r="J421" i="2" s="1"/>
  <c r="J422" i="2" a="1"/>
  <c r="J422" i="2" s="1"/>
  <c r="J423" i="2" a="1"/>
  <c r="J423" i="2" s="1"/>
  <c r="J424" i="2" a="1"/>
  <c r="J424" i="2" s="1"/>
  <c r="J425" i="2" a="1"/>
  <c r="J425" i="2" s="1"/>
  <c r="J426" i="2" a="1"/>
  <c r="J426" i="2" s="1"/>
  <c r="J427" i="2" a="1"/>
  <c r="J427" i="2" s="1"/>
  <c r="J428" i="2" a="1"/>
  <c r="J428" i="2" s="1"/>
  <c r="J429" i="2" a="1"/>
  <c r="J429" i="2" s="1"/>
  <c r="J430" i="2" a="1"/>
  <c r="J430" i="2" s="1"/>
  <c r="J431" i="2" a="1"/>
  <c r="J431" i="2" s="1"/>
  <c r="J432" i="2" a="1"/>
  <c r="J432" i="2" s="1"/>
  <c r="J433" i="2" a="1"/>
  <c r="J433" i="2" s="1"/>
  <c r="J434" i="2" a="1"/>
  <c r="J434" i="2" s="1"/>
  <c r="J435" i="2" a="1"/>
  <c r="J435" i="2" s="1"/>
  <c r="J436" i="2" a="1"/>
  <c r="J436" i="2" s="1"/>
  <c r="J437" i="2" a="1"/>
  <c r="J437" i="2" s="1"/>
  <c r="J438" i="2" a="1"/>
  <c r="J438" i="2" s="1"/>
  <c r="J439" i="2" a="1"/>
  <c r="J439" i="2" s="1"/>
  <c r="J440" i="2" a="1"/>
  <c r="J440" i="2" s="1"/>
  <c r="J441" i="2" a="1"/>
  <c r="J441" i="2" s="1"/>
  <c r="J442" i="2" a="1"/>
  <c r="J442" i="2" s="1"/>
  <c r="J443" i="2" a="1"/>
  <c r="J443" i="2" s="1"/>
  <c r="J444" i="2" a="1"/>
  <c r="J444" i="2" s="1"/>
  <c r="J445" i="2" a="1"/>
  <c r="J445" i="2" s="1"/>
  <c r="J446" i="2" a="1"/>
  <c r="J446" i="2" s="1"/>
  <c r="J447" i="2" a="1"/>
  <c r="J447" i="2" s="1"/>
  <c r="J448" i="2" a="1"/>
  <c r="J448" i="2" s="1"/>
  <c r="J449" i="2" a="1"/>
  <c r="J449" i="2" s="1"/>
  <c r="J450" i="2" a="1"/>
  <c r="J450" i="2" s="1"/>
  <c r="J451" i="2" a="1"/>
  <c r="J451" i="2" s="1"/>
  <c r="J452" i="2" a="1"/>
  <c r="J452" i="2" s="1"/>
  <c r="J453" i="2" a="1"/>
  <c r="J453" i="2" s="1"/>
  <c r="J454" i="2" a="1"/>
  <c r="J454" i="2" s="1"/>
  <c r="J455" i="2" a="1"/>
  <c r="J455" i="2" s="1"/>
  <c r="J456" i="2" a="1"/>
  <c r="J456" i="2" s="1"/>
  <c r="J457" i="2" a="1"/>
  <c r="J457" i="2" s="1"/>
  <c r="J458" i="2" a="1"/>
  <c r="J458" i="2" s="1"/>
  <c r="J459" i="2" a="1"/>
  <c r="J459" i="2" s="1"/>
  <c r="J460" i="2" a="1"/>
  <c r="J460" i="2" s="1"/>
  <c r="J461" i="2" a="1"/>
  <c r="J461" i="2" s="1"/>
  <c r="J462" i="2" a="1"/>
  <c r="J462" i="2" s="1"/>
  <c r="J463" i="2" a="1"/>
  <c r="J463" i="2" s="1"/>
  <c r="J464" i="2" a="1"/>
  <c r="J464" i="2" s="1"/>
  <c r="J465" i="2" a="1"/>
  <c r="J465" i="2" s="1"/>
  <c r="J466" i="2" a="1"/>
  <c r="J466" i="2" s="1"/>
  <c r="J467" i="2" a="1"/>
  <c r="J467" i="2" s="1"/>
  <c r="J468" i="2" a="1"/>
  <c r="J468" i="2" s="1"/>
  <c r="J469" i="2" a="1"/>
  <c r="J469" i="2" s="1"/>
  <c r="J470" i="2" a="1"/>
  <c r="J470" i="2" s="1"/>
  <c r="J471" i="2" a="1"/>
  <c r="J471" i="2" s="1"/>
  <c r="J472" i="2" a="1"/>
  <c r="J472" i="2" s="1"/>
  <c r="J473" i="2" a="1"/>
  <c r="J473" i="2" s="1"/>
  <c r="J474" i="2" a="1"/>
  <c r="J474" i="2" s="1"/>
  <c r="J475" i="2" a="1"/>
  <c r="J475" i="2" s="1"/>
  <c r="J476" i="2" a="1"/>
  <c r="J476" i="2" s="1"/>
  <c r="J477" i="2" a="1"/>
  <c r="J477" i="2" s="1"/>
  <c r="J478" i="2" a="1"/>
  <c r="J478" i="2" s="1"/>
  <c r="J479" i="2" a="1"/>
  <c r="J479" i="2" s="1"/>
  <c r="J480" i="2" a="1"/>
  <c r="J480" i="2" s="1"/>
  <c r="J481" i="2" a="1"/>
  <c r="J481" i="2" s="1"/>
  <c r="J482" i="2" a="1"/>
  <c r="J482" i="2" s="1"/>
  <c r="J483" i="2" a="1"/>
  <c r="J483" i="2" s="1"/>
  <c r="J484" i="2" a="1"/>
  <c r="J484" i="2" s="1"/>
  <c r="J485" i="2" a="1"/>
  <c r="J485" i="2" s="1"/>
  <c r="J486" i="2" a="1"/>
  <c r="J486" i="2" s="1"/>
  <c r="J487" i="2" a="1"/>
  <c r="J487" i="2" s="1"/>
  <c r="J488" i="2" a="1"/>
  <c r="J488" i="2" s="1"/>
  <c r="J489" i="2" a="1"/>
  <c r="J489" i="2" s="1"/>
  <c r="J490" i="2" a="1"/>
  <c r="J490" i="2" s="1"/>
  <c r="J491" i="2" a="1"/>
  <c r="J491" i="2" s="1"/>
  <c r="J492" i="2" a="1"/>
  <c r="J492" i="2" s="1"/>
  <c r="J493" i="2" a="1"/>
  <c r="J493" i="2" s="1"/>
  <c r="J494" i="2" a="1"/>
  <c r="J494" i="2" s="1"/>
  <c r="J495" i="2" a="1"/>
  <c r="J495" i="2" s="1"/>
  <c r="J496" i="2" a="1"/>
  <c r="J496" i="2" s="1"/>
  <c r="J497" i="2" a="1"/>
  <c r="J497" i="2" s="1"/>
  <c r="J498" i="2" a="1"/>
  <c r="J498" i="2" s="1"/>
  <c r="J499" i="2" a="1"/>
  <c r="J499" i="2" s="1"/>
  <c r="J500" i="2" a="1"/>
  <c r="J500" i="2" s="1"/>
  <c r="J501" i="2" a="1"/>
  <c r="J501" i="2" s="1"/>
  <c r="J502" i="2" a="1"/>
  <c r="J502" i="2" s="1"/>
  <c r="J503" i="2" a="1"/>
  <c r="J503" i="2" s="1"/>
  <c r="J504" i="2" a="1"/>
  <c r="J504" i="2" s="1"/>
  <c r="J505" i="2" a="1"/>
  <c r="J505" i="2" s="1"/>
  <c r="J506" i="2" a="1"/>
  <c r="J506" i="2" s="1"/>
  <c r="J507" i="2" a="1"/>
  <c r="J507" i="2" s="1"/>
  <c r="J508" i="2" a="1"/>
  <c r="J508" i="2" s="1"/>
  <c r="J509" i="2" a="1"/>
  <c r="J509" i="2" s="1"/>
  <c r="J510" i="2" a="1"/>
  <c r="J510" i="2" s="1"/>
  <c r="J511" i="2" a="1"/>
  <c r="J511" i="2" s="1"/>
  <c r="J512" i="2" a="1"/>
  <c r="J512" i="2" s="1"/>
  <c r="J513" i="2" a="1"/>
  <c r="J513" i="2" s="1"/>
  <c r="J514" i="2" a="1"/>
  <c r="J514" i="2" s="1"/>
  <c r="J515" i="2" a="1"/>
  <c r="J515" i="2" s="1"/>
  <c r="J516" i="2" a="1"/>
  <c r="J516" i="2" s="1"/>
  <c r="J517" i="2" a="1"/>
  <c r="J517" i="2" s="1"/>
  <c r="J518" i="2" a="1"/>
  <c r="J518" i="2" s="1"/>
  <c r="J519" i="2" a="1"/>
  <c r="J519" i="2" s="1"/>
  <c r="J520" i="2" a="1"/>
  <c r="J520" i="2" s="1"/>
  <c r="J521" i="2" a="1"/>
  <c r="J521" i="2" s="1"/>
  <c r="J522" i="2" a="1"/>
  <c r="J522" i="2" s="1"/>
  <c r="J523" i="2" a="1"/>
  <c r="J523" i="2" s="1"/>
  <c r="J524" i="2" a="1"/>
  <c r="J524" i="2" s="1"/>
  <c r="J525" i="2" a="1"/>
  <c r="J525" i="2" s="1"/>
  <c r="J526" i="2" a="1"/>
  <c r="J526" i="2" s="1"/>
  <c r="J527" i="2" a="1"/>
  <c r="J527" i="2" s="1"/>
  <c r="J528" i="2" a="1"/>
  <c r="J528" i="2" s="1"/>
  <c r="J529" i="2" a="1"/>
  <c r="J529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 s="1"/>
  <c r="H168" i="2" a="1"/>
  <c r="H168" i="2" s="1"/>
  <c r="H169" i="2" a="1"/>
  <c r="H169" i="2" s="1"/>
  <c r="H170" i="2" a="1"/>
  <c r="H170" i="2" s="1"/>
  <c r="H171" i="2" a="1"/>
  <c r="H171" i="2" s="1"/>
  <c r="H172" i="2" a="1"/>
  <c r="H172" i="2" s="1"/>
  <c r="H173" i="2" a="1"/>
  <c r="H173" i="2" s="1"/>
  <c r="H174" i="2" a="1"/>
  <c r="H174" i="2" s="1"/>
  <c r="H175" i="2" a="1"/>
  <c r="H175" i="2" s="1"/>
  <c r="H176" i="2" a="1"/>
  <c r="H176" i="2" s="1"/>
  <c r="H177" i="2" a="1"/>
  <c r="H177" i="2" s="1"/>
  <c r="H178" i="2" a="1"/>
  <c r="H178" i="2" s="1"/>
  <c r="H179" i="2" a="1"/>
  <c r="H179" i="2" s="1"/>
  <c r="H180" i="2" a="1"/>
  <c r="H180" i="2" s="1"/>
  <c r="H181" i="2" a="1"/>
  <c r="H181" i="2" s="1"/>
  <c r="H182" i="2" a="1"/>
  <c r="H182" i="2" s="1"/>
  <c r="H183" i="2" a="1"/>
  <c r="H183" i="2" s="1"/>
  <c r="H184" i="2" a="1"/>
  <c r="H184" i="2" s="1"/>
  <c r="H185" i="2" a="1"/>
  <c r="H185" i="2" s="1"/>
  <c r="H186" i="2" a="1"/>
  <c r="H186" i="2" s="1"/>
  <c r="H187" i="2" a="1"/>
  <c r="H187" i="2" s="1"/>
  <c r="H188" i="2" a="1"/>
  <c r="H188" i="2" s="1"/>
  <c r="H189" i="2" a="1"/>
  <c r="H189" i="2" s="1"/>
  <c r="H190" i="2" a="1"/>
  <c r="H190" i="2" s="1"/>
  <c r="H191" i="2" a="1"/>
  <c r="H191" i="2" s="1"/>
  <c r="H192" i="2" a="1"/>
  <c r="H192" i="2" s="1"/>
  <c r="H193" i="2" a="1"/>
  <c r="H19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 s="1"/>
  <c r="H199" i="2" a="1"/>
  <c r="H199" i="2" s="1"/>
  <c r="H200" i="2" a="1"/>
  <c r="H200" i="2" s="1"/>
  <c r="H201" i="2" a="1"/>
  <c r="H201" i="2" s="1"/>
  <c r="H202" i="2" a="1"/>
  <c r="H202" i="2" s="1"/>
  <c r="H203" i="2" a="1"/>
  <c r="H203" i="2" s="1"/>
  <c r="H204" i="2" a="1"/>
  <c r="H204" i="2" s="1"/>
  <c r="H205" i="2" a="1"/>
  <c r="H205" i="2" s="1"/>
  <c r="H206" i="2" a="1"/>
  <c r="H206" i="2" s="1"/>
  <c r="H207" i="2" a="1"/>
  <c r="H207" i="2" s="1"/>
  <c r="H208" i="2" a="1"/>
  <c r="H208" i="2" s="1"/>
  <c r="H209" i="2" a="1"/>
  <c r="H209" i="2" s="1"/>
  <c r="H210" i="2" a="1"/>
  <c r="H210" i="2" s="1"/>
  <c r="H211" i="2" a="1"/>
  <c r="H211" i="2" s="1"/>
  <c r="H212" i="2" a="1"/>
  <c r="H212" i="2" s="1"/>
  <c r="H213" i="2" a="1"/>
  <c r="H213" i="2" s="1"/>
  <c r="H214" i="2" a="1"/>
  <c r="H214" i="2" s="1"/>
  <c r="H215" i="2" a="1"/>
  <c r="H215" i="2" s="1"/>
  <c r="H216" i="2" a="1"/>
  <c r="H216" i="2" s="1"/>
  <c r="H217" i="2" a="1"/>
  <c r="H217" i="2" s="1"/>
  <c r="H218" i="2" a="1"/>
  <c r="H218" i="2" s="1"/>
  <c r="H219" i="2" a="1"/>
  <c r="H219" i="2" s="1"/>
  <c r="H220" i="2" a="1"/>
  <c r="H220" i="2" s="1"/>
  <c r="H221" i="2" a="1"/>
  <c r="H221" i="2" s="1"/>
  <c r="H222" i="2" a="1"/>
  <c r="H222" i="2" s="1"/>
  <c r="H223" i="2" a="1"/>
  <c r="H223" i="2" s="1"/>
  <c r="H224" i="2" a="1"/>
  <c r="H224" i="2" s="1"/>
  <c r="H225" i="2" a="1"/>
  <c r="H225" i="2" s="1"/>
  <c r="H226" i="2" a="1"/>
  <c r="H226" i="2" s="1"/>
  <c r="H227" i="2" a="1"/>
  <c r="H227" i="2" s="1"/>
  <c r="H228" i="2" a="1"/>
  <c r="H228" i="2" s="1"/>
  <c r="H229" i="2" a="1"/>
  <c r="H229" i="2" s="1"/>
  <c r="H230" i="2" a="1"/>
  <c r="H230" i="2" s="1"/>
  <c r="H231" i="2" a="1"/>
  <c r="H231" i="2" s="1"/>
  <c r="H232" i="2" a="1"/>
  <c r="H232" i="2" s="1"/>
  <c r="H233" i="2" a="1"/>
  <c r="H233" i="2" s="1"/>
  <c r="H234" i="2" a="1"/>
  <c r="H234" i="2" s="1"/>
  <c r="H235" i="2" a="1"/>
  <c r="H235" i="2" s="1"/>
  <c r="H236" i="2" a="1"/>
  <c r="H236" i="2" s="1"/>
  <c r="H237" i="2" a="1"/>
  <c r="H237" i="2" s="1"/>
  <c r="H238" i="2" a="1"/>
  <c r="H238" i="2" s="1"/>
  <c r="H239" i="2" a="1"/>
  <c r="H239" i="2" s="1"/>
  <c r="H240" i="2" a="1"/>
  <c r="H240" i="2" s="1"/>
  <c r="H241" i="2" a="1"/>
  <c r="H241" i="2" s="1"/>
  <c r="H242" i="2" a="1"/>
  <c r="H242" i="2" s="1"/>
  <c r="H243" i="2" a="1"/>
  <c r="H243" i="2" s="1"/>
  <c r="H244" i="2" a="1"/>
  <c r="H244" i="2" s="1"/>
  <c r="H245" i="2" a="1"/>
  <c r="H245" i="2" s="1"/>
  <c r="H246" i="2" a="1"/>
  <c r="H246" i="2" s="1"/>
  <c r="H247" i="2" a="1"/>
  <c r="H247" i="2" s="1"/>
  <c r="H248" i="2" a="1"/>
  <c r="H248" i="2" s="1"/>
  <c r="H249" i="2" a="1"/>
  <c r="H249" i="2" s="1"/>
  <c r="H250" i="2" a="1"/>
  <c r="H250" i="2" s="1"/>
  <c r="H251" i="2" a="1"/>
  <c r="H251" i="2" s="1"/>
  <c r="H252" i="2" a="1"/>
  <c r="H252" i="2" s="1"/>
  <c r="H253" i="2" a="1"/>
  <c r="H253" i="2" s="1"/>
  <c r="H254" i="2" a="1"/>
  <c r="H254" i="2" s="1"/>
  <c r="H255" i="2" a="1"/>
  <c r="H255" i="2" s="1"/>
  <c r="H256" i="2" a="1"/>
  <c r="H256" i="2" s="1"/>
  <c r="H257" i="2" a="1"/>
  <c r="H257" i="2" s="1"/>
  <c r="H258" i="2" a="1"/>
  <c r="H258" i="2" s="1"/>
  <c r="H259" i="2" a="1"/>
  <c r="H259" i="2" s="1"/>
  <c r="H260" i="2" a="1"/>
  <c r="H260" i="2" s="1"/>
  <c r="H261" i="2" a="1"/>
  <c r="H261" i="2" s="1"/>
  <c r="H262" i="2" a="1"/>
  <c r="H262" i="2" s="1"/>
  <c r="H263" i="2" a="1"/>
  <c r="H263" i="2" s="1"/>
  <c r="H264" i="2" a="1"/>
  <c r="H264" i="2" s="1"/>
  <c r="H265" i="2" a="1"/>
  <c r="H265" i="2" s="1"/>
  <c r="H266" i="2" a="1"/>
  <c r="H266" i="2" s="1"/>
  <c r="H267" i="2" a="1"/>
  <c r="H267" i="2" s="1"/>
  <c r="H268" i="2" a="1"/>
  <c r="H268" i="2" s="1"/>
  <c r="H269" i="2" a="1"/>
  <c r="H269" i="2" s="1"/>
  <c r="H270" i="2" a="1"/>
  <c r="H270" i="2" s="1"/>
  <c r="H271" i="2" a="1"/>
  <c r="H271" i="2" s="1"/>
  <c r="H272" i="2" a="1"/>
  <c r="H272" i="2" s="1"/>
  <c r="H273" i="2" a="1"/>
  <c r="H273" i="2" s="1"/>
  <c r="H274" i="2" a="1"/>
  <c r="H274" i="2" s="1"/>
  <c r="H275" i="2" a="1"/>
  <c r="H275" i="2" s="1"/>
  <c r="H276" i="2" a="1"/>
  <c r="H276" i="2" s="1"/>
  <c r="H277" i="2" a="1"/>
  <c r="H277" i="2" s="1"/>
  <c r="H278" i="2" a="1"/>
  <c r="H278" i="2" s="1"/>
  <c r="H279" i="2" a="1"/>
  <c r="H279" i="2" s="1"/>
  <c r="H280" i="2" a="1"/>
  <c r="H280" i="2" s="1"/>
  <c r="H281" i="2" a="1"/>
  <c r="H281" i="2" s="1"/>
  <c r="H282" i="2" a="1"/>
  <c r="H282" i="2" s="1"/>
  <c r="H283" i="2" a="1"/>
  <c r="H283" i="2" s="1"/>
  <c r="H284" i="2" a="1"/>
  <c r="H284" i="2" s="1"/>
  <c r="H285" i="2" a="1"/>
  <c r="H285" i="2" s="1"/>
  <c r="H286" i="2" a="1"/>
  <c r="H286" i="2" s="1"/>
  <c r="H287" i="2" a="1"/>
  <c r="H287" i="2" s="1"/>
  <c r="H288" i="2" a="1"/>
  <c r="H288" i="2" s="1"/>
  <c r="H289" i="2" a="1"/>
  <c r="H289" i="2" s="1"/>
  <c r="H290" i="2" a="1"/>
  <c r="H290" i="2" s="1"/>
  <c r="H291" i="2" a="1"/>
  <c r="H291" i="2" s="1"/>
  <c r="H292" i="2" a="1"/>
  <c r="H292" i="2" s="1"/>
  <c r="H293" i="2" a="1"/>
  <c r="H293" i="2" s="1"/>
  <c r="H294" i="2" a="1"/>
  <c r="H294" i="2" s="1"/>
  <c r="H295" i="2" a="1"/>
  <c r="H295" i="2" s="1"/>
  <c r="H296" i="2" a="1"/>
  <c r="H296" i="2" s="1"/>
  <c r="H297" i="2" a="1"/>
  <c r="H297" i="2" s="1"/>
  <c r="H298" i="2" a="1"/>
  <c r="H298" i="2" s="1"/>
  <c r="H299" i="2" a="1"/>
  <c r="H299" i="2" s="1"/>
  <c r="H300" i="2" a="1"/>
  <c r="H300" i="2" s="1"/>
  <c r="H301" i="2" a="1"/>
  <c r="H301" i="2" s="1"/>
  <c r="H302" i="2" a="1"/>
  <c r="H302" i="2" s="1"/>
  <c r="H303" i="2" a="1"/>
  <c r="H303" i="2" s="1"/>
  <c r="H304" i="2" a="1"/>
  <c r="H304" i="2" s="1"/>
  <c r="H305" i="2" a="1"/>
  <c r="H305" i="2" s="1"/>
  <c r="H306" i="2" a="1"/>
  <c r="H306" i="2" s="1"/>
  <c r="H307" i="2" a="1"/>
  <c r="H307" i="2" s="1"/>
  <c r="H308" i="2" a="1"/>
  <c r="H308" i="2" s="1"/>
  <c r="H309" i="2" a="1"/>
  <c r="H309" i="2" s="1"/>
  <c r="H310" i="2" a="1"/>
  <c r="H310" i="2" s="1"/>
  <c r="H311" i="2" a="1"/>
  <c r="H311" i="2" s="1"/>
  <c r="H312" i="2" a="1"/>
  <c r="H312" i="2" s="1"/>
  <c r="H313" i="2" a="1"/>
  <c r="H313" i="2" s="1"/>
  <c r="H314" i="2" a="1"/>
  <c r="H314" i="2" s="1"/>
  <c r="H315" i="2" a="1"/>
  <c r="H315" i="2" s="1"/>
  <c r="H316" i="2" a="1"/>
  <c r="H316" i="2" s="1"/>
  <c r="H317" i="2" a="1"/>
  <c r="H317" i="2" s="1"/>
  <c r="H318" i="2" a="1"/>
  <c r="H318" i="2" s="1"/>
  <c r="H319" i="2" a="1"/>
  <c r="H319" i="2" s="1"/>
  <c r="H320" i="2" a="1"/>
  <c r="H320" i="2" s="1"/>
  <c r="H321" i="2" a="1"/>
  <c r="H321" i="2" s="1"/>
  <c r="H322" i="2" a="1"/>
  <c r="H322" i="2" s="1"/>
  <c r="H323" i="2" a="1"/>
  <c r="H323" i="2" s="1"/>
  <c r="H324" i="2" a="1"/>
  <c r="H324" i="2" s="1"/>
  <c r="H325" i="2" a="1"/>
  <c r="H325" i="2" s="1"/>
  <c r="H326" i="2" a="1"/>
  <c r="H326" i="2" s="1"/>
  <c r="H327" i="2" a="1"/>
  <c r="H327" i="2" s="1"/>
  <c r="H328" i="2" a="1"/>
  <c r="H328" i="2" s="1"/>
  <c r="H329" i="2" a="1"/>
  <c r="H329" i="2" s="1"/>
  <c r="H330" i="2" a="1"/>
  <c r="H330" i="2" s="1"/>
  <c r="H331" i="2" a="1"/>
  <c r="H331" i="2" s="1"/>
  <c r="H332" i="2" a="1"/>
  <c r="H332" i="2" s="1"/>
  <c r="H333" i="2" a="1"/>
  <c r="H333" i="2" s="1"/>
  <c r="H334" i="2" a="1"/>
  <c r="H334" i="2" s="1"/>
  <c r="H335" i="2" a="1"/>
  <c r="H335" i="2" s="1"/>
  <c r="H336" i="2" a="1"/>
  <c r="H336" i="2" s="1"/>
  <c r="H337" i="2" a="1"/>
  <c r="H337" i="2" s="1"/>
  <c r="H338" i="2" a="1"/>
  <c r="H338" i="2" s="1"/>
  <c r="H339" i="2" a="1"/>
  <c r="H339" i="2" s="1"/>
  <c r="H340" i="2" a="1"/>
  <c r="H340" i="2" s="1"/>
  <c r="H341" i="2" a="1"/>
  <c r="H341" i="2" s="1"/>
  <c r="H342" i="2" a="1"/>
  <c r="H342" i="2" s="1"/>
  <c r="H343" i="2" a="1"/>
  <c r="H343" i="2" s="1"/>
  <c r="H344" i="2" a="1"/>
  <c r="H344" i="2" s="1"/>
  <c r="H345" i="2" a="1"/>
  <c r="H345" i="2" s="1"/>
  <c r="H346" i="2" a="1"/>
  <c r="H346" i="2" s="1"/>
  <c r="H347" i="2" a="1"/>
  <c r="H347" i="2" s="1"/>
  <c r="H348" i="2" a="1"/>
  <c r="H348" i="2" s="1"/>
  <c r="H349" i="2" a="1"/>
  <c r="H349" i="2" s="1"/>
  <c r="H350" i="2" a="1"/>
  <c r="H350" i="2" s="1"/>
  <c r="H351" i="2" a="1"/>
  <c r="H351" i="2" s="1"/>
  <c r="H352" i="2" a="1"/>
  <c r="H352" i="2" s="1"/>
  <c r="H353" i="2" a="1"/>
  <c r="H353" i="2" s="1"/>
  <c r="H354" i="2" a="1"/>
  <c r="H354" i="2" s="1"/>
  <c r="H355" i="2" a="1"/>
  <c r="H355" i="2" s="1"/>
  <c r="H356" i="2" a="1"/>
  <c r="H356" i="2" s="1"/>
  <c r="H357" i="2" a="1"/>
  <c r="H357" i="2" s="1"/>
  <c r="H358" i="2" a="1"/>
  <c r="H358" i="2" s="1"/>
  <c r="H359" i="2" a="1"/>
  <c r="H359" i="2" s="1"/>
  <c r="H360" i="2" a="1"/>
  <c r="H360" i="2" s="1"/>
  <c r="H361" i="2" a="1"/>
  <c r="H361" i="2" s="1"/>
  <c r="H362" i="2" a="1"/>
  <c r="H362" i="2" s="1"/>
  <c r="H363" i="2" a="1"/>
  <c r="H363" i="2" s="1"/>
  <c r="H364" i="2" a="1"/>
  <c r="H364" i="2" s="1"/>
  <c r="H365" i="2" a="1"/>
  <c r="H365" i="2" s="1"/>
  <c r="H366" i="2" a="1"/>
  <c r="H366" i="2" s="1"/>
  <c r="H367" i="2" a="1"/>
  <c r="H367" i="2" s="1"/>
  <c r="H368" i="2" a="1"/>
  <c r="H368" i="2" s="1"/>
  <c r="H369" i="2" a="1"/>
  <c r="H369" i="2" s="1"/>
  <c r="H370" i="2" a="1"/>
  <c r="H370" i="2" s="1"/>
  <c r="H371" i="2" a="1"/>
  <c r="H371" i="2" s="1"/>
  <c r="H372" i="2" a="1"/>
  <c r="H372" i="2" s="1"/>
  <c r="H373" i="2" a="1"/>
  <c r="H373" i="2" s="1"/>
  <c r="H374" i="2" a="1"/>
  <c r="H374" i="2" s="1"/>
  <c r="H375" i="2" a="1"/>
  <c r="H375" i="2" s="1"/>
  <c r="H376" i="2" a="1"/>
  <c r="H376" i="2" s="1"/>
  <c r="H377" i="2" a="1"/>
  <c r="H377" i="2" s="1"/>
  <c r="H378" i="2" a="1"/>
  <c r="H378" i="2" s="1"/>
  <c r="H379" i="2" a="1"/>
  <c r="H379" i="2" s="1"/>
  <c r="H380" i="2" a="1"/>
  <c r="H380" i="2" s="1"/>
  <c r="H381" i="2" a="1"/>
  <c r="H381" i="2" s="1"/>
  <c r="H382" i="2" a="1"/>
  <c r="H382" i="2" s="1"/>
  <c r="H383" i="2" a="1"/>
  <c r="H383" i="2" s="1"/>
  <c r="H384" i="2" a="1"/>
  <c r="H384" i="2" s="1"/>
  <c r="H385" i="2" a="1"/>
  <c r="H385" i="2" s="1"/>
  <c r="H386" i="2" a="1"/>
  <c r="H386" i="2" s="1"/>
  <c r="H387" i="2" a="1"/>
  <c r="H387" i="2" s="1"/>
  <c r="H388" i="2" a="1"/>
  <c r="H388" i="2" s="1"/>
  <c r="H389" i="2" a="1"/>
  <c r="H389" i="2" s="1"/>
  <c r="H390" i="2" a="1"/>
  <c r="H390" i="2" s="1"/>
  <c r="H391" i="2" a="1"/>
  <c r="H391" i="2" s="1"/>
  <c r="H392" i="2" a="1"/>
  <c r="H392" i="2" s="1"/>
  <c r="H393" i="2" a="1"/>
  <c r="H393" i="2" s="1"/>
  <c r="H394" i="2" a="1"/>
  <c r="H394" i="2" s="1"/>
  <c r="H395" i="2" a="1"/>
  <c r="H395" i="2" s="1"/>
  <c r="H396" i="2" a="1"/>
  <c r="H396" i="2" s="1"/>
  <c r="H397" i="2" a="1"/>
  <c r="H397" i="2" s="1"/>
  <c r="H398" i="2" a="1"/>
  <c r="H398" i="2" s="1"/>
  <c r="H399" i="2" a="1"/>
  <c r="H399" i="2" s="1"/>
  <c r="H400" i="2" a="1"/>
  <c r="H400" i="2" s="1"/>
  <c r="H401" i="2" a="1"/>
  <c r="H401" i="2" s="1"/>
  <c r="H402" i="2" a="1"/>
  <c r="H402" i="2" s="1"/>
  <c r="H403" i="2" a="1"/>
  <c r="H403" i="2" s="1"/>
  <c r="H404" i="2" a="1"/>
  <c r="H404" i="2" s="1"/>
  <c r="H405" i="2" a="1"/>
  <c r="H405" i="2" s="1"/>
  <c r="H406" i="2" a="1"/>
  <c r="H406" i="2" s="1"/>
  <c r="H407" i="2" a="1"/>
  <c r="H407" i="2" s="1"/>
  <c r="H408" i="2" a="1"/>
  <c r="H408" i="2" s="1"/>
  <c r="H409" i="2" a="1"/>
  <c r="H409" i="2" s="1"/>
  <c r="H410" i="2" a="1"/>
  <c r="H410" i="2" s="1"/>
  <c r="H411" i="2" a="1"/>
  <c r="H411" i="2" s="1"/>
  <c r="H412" i="2" a="1"/>
  <c r="H412" i="2" s="1"/>
  <c r="H413" i="2" a="1"/>
  <c r="H413" i="2" s="1"/>
  <c r="H414" i="2" a="1"/>
  <c r="H414" i="2" s="1"/>
  <c r="H415" i="2" a="1"/>
  <c r="H415" i="2" s="1"/>
  <c r="H416" i="2" a="1"/>
  <c r="H416" i="2" s="1"/>
  <c r="H417" i="2" a="1"/>
  <c r="H417" i="2" s="1"/>
  <c r="H418" i="2" a="1"/>
  <c r="H418" i="2" s="1"/>
  <c r="H419" i="2" a="1"/>
  <c r="H419" i="2" s="1"/>
  <c r="H420" i="2" a="1"/>
  <c r="H420" i="2" s="1"/>
  <c r="H421" i="2" a="1"/>
  <c r="H421" i="2" s="1"/>
  <c r="H422" i="2" a="1"/>
  <c r="H422" i="2" s="1"/>
  <c r="H423" i="2" a="1"/>
  <c r="H423" i="2" s="1"/>
  <c r="H424" i="2" a="1"/>
  <c r="H424" i="2" s="1"/>
  <c r="H425" i="2" a="1"/>
  <c r="H425" i="2" s="1"/>
  <c r="H426" i="2" a="1"/>
  <c r="H426" i="2" s="1"/>
  <c r="H427" i="2" a="1"/>
  <c r="H427" i="2" s="1"/>
  <c r="H428" i="2" a="1"/>
  <c r="H428" i="2" s="1"/>
  <c r="H429" i="2" a="1"/>
  <c r="H429" i="2" s="1"/>
  <c r="H430" i="2" a="1"/>
  <c r="H430" i="2" s="1"/>
  <c r="H431" i="2" a="1"/>
  <c r="H431" i="2" s="1"/>
  <c r="H432" i="2" a="1"/>
  <c r="H432" i="2" s="1"/>
  <c r="H433" i="2" a="1"/>
  <c r="H433" i="2" s="1"/>
  <c r="H434" i="2" a="1"/>
  <c r="H434" i="2" s="1"/>
  <c r="H435" i="2" a="1"/>
  <c r="H435" i="2" s="1"/>
  <c r="H436" i="2" a="1"/>
  <c r="H436" i="2" s="1"/>
  <c r="H437" i="2" a="1"/>
  <c r="H437" i="2" s="1"/>
  <c r="H438" i="2" a="1"/>
  <c r="H438" i="2" s="1"/>
  <c r="H439" i="2" a="1"/>
  <c r="H439" i="2" s="1"/>
  <c r="H440" i="2" a="1"/>
  <c r="H440" i="2" s="1"/>
  <c r="H441" i="2" a="1"/>
  <c r="H441" i="2" s="1"/>
  <c r="H442" i="2" a="1"/>
  <c r="H442" i="2" s="1"/>
  <c r="H443" i="2" a="1"/>
  <c r="H443" i="2" s="1"/>
  <c r="H444" i="2" a="1"/>
  <c r="H444" i="2" s="1"/>
  <c r="H445" i="2" a="1"/>
  <c r="H445" i="2" s="1"/>
  <c r="H446" i="2" a="1"/>
  <c r="H446" i="2" s="1"/>
  <c r="H447" i="2" a="1"/>
  <c r="H447" i="2" s="1"/>
  <c r="H448" i="2" a="1"/>
  <c r="H448" i="2" s="1"/>
  <c r="H449" i="2" a="1"/>
  <c r="H449" i="2" s="1"/>
  <c r="H450" i="2" a="1"/>
  <c r="H450" i="2" s="1"/>
  <c r="H451" i="2" a="1"/>
  <c r="H451" i="2" s="1"/>
  <c r="H452" i="2" a="1"/>
  <c r="H452" i="2" s="1"/>
  <c r="H453" i="2" a="1"/>
  <c r="H453" i="2" s="1"/>
  <c r="H454" i="2" a="1"/>
  <c r="H454" i="2" s="1"/>
  <c r="H455" i="2" a="1"/>
  <c r="H455" i="2" s="1"/>
  <c r="H456" i="2" a="1"/>
  <c r="H456" i="2" s="1"/>
  <c r="H457" i="2" a="1"/>
  <c r="H457" i="2" s="1"/>
  <c r="H458" i="2" a="1"/>
  <c r="H458" i="2" s="1"/>
  <c r="H459" i="2" a="1"/>
  <c r="H459" i="2" s="1"/>
  <c r="H460" i="2" a="1"/>
  <c r="H460" i="2" s="1"/>
  <c r="H461" i="2" a="1"/>
  <c r="H461" i="2" s="1"/>
  <c r="H462" i="2" a="1"/>
  <c r="H462" i="2" s="1"/>
  <c r="H463" i="2" a="1"/>
  <c r="H463" i="2" s="1"/>
  <c r="H464" i="2" a="1"/>
  <c r="H464" i="2" s="1"/>
  <c r="H465" i="2" a="1"/>
  <c r="H465" i="2" s="1"/>
  <c r="H466" i="2" a="1"/>
  <c r="H466" i="2" s="1"/>
  <c r="H467" i="2" a="1"/>
  <c r="H467" i="2" s="1"/>
  <c r="H468" i="2" a="1"/>
  <c r="H468" i="2" s="1"/>
  <c r="H469" i="2" a="1"/>
  <c r="H469" i="2" s="1"/>
  <c r="H470" i="2" a="1"/>
  <c r="H470" i="2" s="1"/>
  <c r="H471" i="2" a="1"/>
  <c r="H471" i="2" s="1"/>
  <c r="H472" i="2" a="1"/>
  <c r="H472" i="2" s="1"/>
  <c r="H473" i="2" a="1"/>
  <c r="H473" i="2" s="1"/>
  <c r="H474" i="2" a="1"/>
  <c r="H474" i="2" s="1"/>
  <c r="H475" i="2" a="1"/>
  <c r="H475" i="2" s="1"/>
  <c r="H476" i="2" a="1"/>
  <c r="H476" i="2" s="1"/>
  <c r="H477" i="2" a="1"/>
  <c r="H477" i="2" s="1"/>
  <c r="H478" i="2" a="1"/>
  <c r="H478" i="2" s="1"/>
  <c r="H479" i="2" a="1"/>
  <c r="H479" i="2" s="1"/>
  <c r="H480" i="2" a="1"/>
  <c r="H480" i="2" s="1"/>
  <c r="H481" i="2" a="1"/>
  <c r="H481" i="2" s="1"/>
  <c r="H482" i="2" a="1"/>
  <c r="H482" i="2" s="1"/>
  <c r="H483" i="2" a="1"/>
  <c r="H483" i="2" s="1"/>
  <c r="H484" i="2" a="1"/>
  <c r="H484" i="2" s="1"/>
  <c r="H485" i="2" a="1"/>
  <c r="H485" i="2" s="1"/>
  <c r="H486" i="2" a="1"/>
  <c r="H486" i="2" s="1"/>
  <c r="H487" i="2" a="1"/>
  <c r="H487" i="2" s="1"/>
  <c r="H488" i="2" a="1"/>
  <c r="H488" i="2" s="1"/>
  <c r="H489" i="2" a="1"/>
  <c r="H489" i="2" s="1"/>
  <c r="H490" i="2" a="1"/>
  <c r="H490" i="2" s="1"/>
  <c r="H491" i="2" a="1"/>
  <c r="H491" i="2" s="1"/>
  <c r="H492" i="2" a="1"/>
  <c r="H492" i="2" s="1"/>
  <c r="H493" i="2" a="1"/>
  <c r="H493" i="2" s="1"/>
  <c r="H494" i="2" a="1"/>
  <c r="H494" i="2" s="1"/>
  <c r="H495" i="2" a="1"/>
  <c r="H495" i="2" s="1"/>
  <c r="H496" i="2" a="1"/>
  <c r="H496" i="2" s="1"/>
  <c r="H497" i="2" a="1"/>
  <c r="H497" i="2" s="1"/>
  <c r="H498" i="2" a="1"/>
  <c r="H498" i="2" s="1"/>
  <c r="H499" i="2" a="1"/>
  <c r="H499" i="2" s="1"/>
  <c r="H500" i="2" a="1"/>
  <c r="H500" i="2" s="1"/>
  <c r="H501" i="2" a="1"/>
  <c r="H501" i="2" s="1"/>
  <c r="H502" i="2" a="1"/>
  <c r="H502" i="2" s="1"/>
  <c r="H503" i="2" a="1"/>
  <c r="H503" i="2" s="1"/>
  <c r="H504" i="2" a="1"/>
  <c r="H504" i="2" s="1"/>
  <c r="H505" i="2" a="1"/>
  <c r="H505" i="2" s="1"/>
  <c r="H506" i="2" a="1"/>
  <c r="H506" i="2" s="1"/>
  <c r="H507" i="2" a="1"/>
  <c r="H507" i="2" s="1"/>
  <c r="H508" i="2" a="1"/>
  <c r="H508" i="2" s="1"/>
  <c r="H509" i="2" a="1"/>
  <c r="H509" i="2" s="1"/>
  <c r="H510" i="2" a="1"/>
  <c r="H510" i="2" s="1"/>
  <c r="H511" i="2" a="1"/>
  <c r="H511" i="2" s="1"/>
  <c r="H512" i="2" a="1"/>
  <c r="H512" i="2" s="1"/>
  <c r="H513" i="2" a="1"/>
  <c r="H513" i="2" s="1"/>
  <c r="H514" i="2" a="1"/>
  <c r="H514" i="2" s="1"/>
  <c r="H515" i="2" a="1"/>
  <c r="H515" i="2" s="1"/>
  <c r="H516" i="2" a="1"/>
  <c r="H516" i="2" s="1"/>
  <c r="H517" i="2" a="1"/>
  <c r="H517" i="2" s="1"/>
  <c r="H518" i="2" a="1"/>
  <c r="H518" i="2" s="1"/>
  <c r="H519" i="2" a="1"/>
  <c r="H519" i="2" s="1"/>
  <c r="H520" i="2" a="1"/>
  <c r="H520" i="2" s="1"/>
  <c r="H521" i="2" a="1"/>
  <c r="H521" i="2" s="1"/>
  <c r="H522" i="2" a="1"/>
  <c r="H522" i="2" s="1"/>
  <c r="H523" i="2" a="1"/>
  <c r="H523" i="2" s="1"/>
  <c r="H524" i="2" a="1"/>
  <c r="H524" i="2" s="1"/>
  <c r="H525" i="2" a="1"/>
  <c r="H525" i="2" s="1"/>
  <c r="H526" i="2" a="1"/>
  <c r="H526" i="2" s="1"/>
  <c r="H527" i="2" a="1"/>
  <c r="H527" i="2" s="1"/>
  <c r="H528" i="2" a="1"/>
  <c r="H528" i="2" s="1"/>
  <c r="H529" i="2" a="1"/>
  <c r="H529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 s="1"/>
  <c r="G122" i="2" a="1"/>
  <c r="G122" i="2" s="1"/>
  <c r="G123" i="2" a="1"/>
  <c r="G123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7" i="2" a="1"/>
  <c r="G257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 s="1"/>
  <c r="G282" i="2" a="1"/>
  <c r="G282" i="2" s="1"/>
  <c r="G283" i="2" a="1"/>
  <c r="G283" i="2" s="1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 s="1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 s="1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 s="1"/>
  <c r="G324" i="2" a="1"/>
  <c r="G324" i="2" s="1"/>
  <c r="G325" i="2" a="1"/>
  <c r="G325" i="2" s="1"/>
  <c r="G326" i="2" a="1"/>
  <c r="G326" i="2" s="1"/>
  <c r="G327" i="2" a="1"/>
  <c r="G327" i="2" s="1"/>
  <c r="G328" i="2" a="1"/>
  <c r="G328" i="2" s="1"/>
  <c r="G329" i="2" a="1"/>
  <c r="G329" i="2" s="1"/>
  <c r="G330" i="2" a="1"/>
  <c r="G330" i="2" s="1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 s="1"/>
  <c r="G338" i="2" a="1"/>
  <c r="G338" i="2" s="1"/>
  <c r="G339" i="2" a="1"/>
  <c r="G339" i="2" s="1"/>
  <c r="G340" i="2" a="1"/>
  <c r="G340" i="2" s="1"/>
  <c r="G341" i="2" a="1"/>
  <c r="G341" i="2" s="1"/>
  <c r="G342" i="2" a="1"/>
  <c r="G342" i="2" s="1"/>
  <c r="G343" i="2" a="1"/>
  <c r="G343" i="2" s="1"/>
  <c r="G344" i="2" a="1"/>
  <c r="G344" i="2" s="1"/>
  <c r="G345" i="2" a="1"/>
  <c r="G345" i="2" s="1"/>
  <c r="G346" i="2" a="1"/>
  <c r="G346" i="2" s="1"/>
  <c r="G347" i="2" a="1"/>
  <c r="G347" i="2" s="1"/>
  <c r="G348" i="2" a="1"/>
  <c r="G348" i="2" s="1"/>
  <c r="G349" i="2" a="1"/>
  <c r="G349" i="2" s="1"/>
  <c r="G350" i="2" a="1"/>
  <c r="G350" i="2" s="1"/>
  <c r="G351" i="2" a="1"/>
  <c r="G351" i="2" s="1"/>
  <c r="G352" i="2" a="1"/>
  <c r="G352" i="2" s="1"/>
  <c r="G353" i="2" a="1"/>
  <c r="G353" i="2" s="1"/>
  <c r="G354" i="2" a="1"/>
  <c r="G354" i="2" s="1"/>
  <c r="G355" i="2" a="1"/>
  <c r="G355" i="2" s="1"/>
  <c r="G356" i="2" a="1"/>
  <c r="G356" i="2" s="1"/>
  <c r="G357" i="2" a="1"/>
  <c r="G357" i="2" s="1"/>
  <c r="G358" i="2" a="1"/>
  <c r="G358" i="2" s="1"/>
  <c r="G359" i="2" a="1"/>
  <c r="G359" i="2" s="1"/>
  <c r="G360" i="2" a="1"/>
  <c r="G360" i="2" s="1"/>
  <c r="G361" i="2" a="1"/>
  <c r="G361" i="2" s="1"/>
  <c r="G362" i="2" a="1"/>
  <c r="G362" i="2" s="1"/>
  <c r="G363" i="2" a="1"/>
  <c r="G363" i="2" s="1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 s="1"/>
  <c r="G381" i="2" a="1"/>
  <c r="G381" i="2" s="1"/>
  <c r="G382" i="2" a="1"/>
  <c r="G382" i="2" s="1"/>
  <c r="G383" i="2" a="1"/>
  <c r="G383" i="2" s="1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 s="1"/>
  <c r="G399" i="2" a="1"/>
  <c r="G399" i="2" s="1"/>
  <c r="G400" i="2" a="1"/>
  <c r="G400" i="2" s="1"/>
  <c r="G401" i="2" a="1"/>
  <c r="G401" i="2" s="1"/>
  <c r="G402" i="2" a="1"/>
  <c r="G402" i="2" s="1"/>
  <c r="G403" i="2" a="1"/>
  <c r="G403" i="2" s="1"/>
  <c r="G404" i="2" a="1"/>
  <c r="G404" i="2" s="1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 s="1"/>
  <c r="G419" i="2" a="1"/>
  <c r="G419" i="2" s="1"/>
  <c r="G420" i="2" a="1"/>
  <c r="G420" i="2" s="1"/>
  <c r="G421" i="2" a="1"/>
  <c r="G421" i="2" s="1"/>
  <c r="G422" i="2" a="1"/>
  <c r="G422" i="2" s="1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 s="1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 s="1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 s="1"/>
  <c r="G448" i="2" a="1"/>
  <c r="G448" i="2" s="1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 s="1"/>
  <c r="G459" i="2" a="1"/>
  <c r="G459" i="2" s="1"/>
  <c r="G460" i="2" a="1"/>
  <c r="G460" i="2" s="1"/>
  <c r="G461" i="2" a="1"/>
  <c r="G461" i="2" s="1"/>
  <c r="G462" i="2" a="1"/>
  <c r="G462" i="2" s="1"/>
  <c r="G463" i="2" a="1"/>
  <c r="G463" i="2" s="1"/>
  <c r="G464" i="2" a="1"/>
  <c r="G464" i="2" s="1"/>
  <c r="G465" i="2" a="1"/>
  <c r="G465" i="2" s="1"/>
  <c r="G466" i="2" a="1"/>
  <c r="G466" i="2" s="1"/>
  <c r="G467" i="2" a="1"/>
  <c r="G467" i="2" s="1"/>
  <c r="G468" i="2" a="1"/>
  <c r="G468" i="2" s="1"/>
  <c r="G469" i="2" a="1"/>
  <c r="G469" i="2" s="1"/>
  <c r="G470" i="2" a="1"/>
  <c r="G470" i="2" s="1"/>
  <c r="G471" i="2" a="1"/>
  <c r="G471" i="2" s="1"/>
  <c r="G472" i="2" a="1"/>
  <c r="G472" i="2" s="1"/>
  <c r="G473" i="2" a="1"/>
  <c r="G473" i="2" s="1"/>
  <c r="G474" i="2" a="1"/>
  <c r="G474" i="2" s="1"/>
  <c r="G475" i="2" a="1"/>
  <c r="G475" i="2" s="1"/>
  <c r="G476" i="2" a="1"/>
  <c r="G476" i="2" s="1"/>
  <c r="G477" i="2" a="1"/>
  <c r="G477" i="2" s="1"/>
  <c r="G478" i="2" a="1"/>
  <c r="G478" i="2" s="1"/>
  <c r="G479" i="2" a="1"/>
  <c r="G479" i="2" s="1"/>
  <c r="G480" i="2" a="1"/>
  <c r="G480" i="2" s="1"/>
  <c r="G481" i="2" a="1"/>
  <c r="G481" i="2" s="1"/>
  <c r="G482" i="2" a="1"/>
  <c r="G482" i="2" s="1"/>
  <c r="G483" i="2" a="1"/>
  <c r="G483" i="2" s="1"/>
  <c r="G484" i="2" a="1"/>
  <c r="G484" i="2" s="1"/>
  <c r="G485" i="2" a="1"/>
  <c r="G485" i="2" s="1"/>
  <c r="G486" i="2" a="1"/>
  <c r="G486" i="2" s="1"/>
  <c r="G487" i="2" a="1"/>
  <c r="G487" i="2" s="1"/>
  <c r="G488" i="2" a="1"/>
  <c r="G488" i="2" s="1"/>
  <c r="G489" i="2" a="1"/>
  <c r="G489" i="2" s="1"/>
  <c r="G490" i="2" a="1"/>
  <c r="G490" i="2" s="1"/>
  <c r="G491" i="2" a="1"/>
  <c r="G491" i="2" s="1"/>
  <c r="G492" i="2" a="1"/>
  <c r="G492" i="2" s="1"/>
  <c r="G493" i="2" a="1"/>
  <c r="G493" i="2" s="1"/>
  <c r="G494" i="2" a="1"/>
  <c r="G494" i="2" s="1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 s="1"/>
  <c r="G506" i="2" a="1"/>
  <c r="G506" i="2" s="1"/>
  <c r="G507" i="2" a="1"/>
  <c r="G507" i="2" s="1"/>
  <c r="G508" i="2" a="1"/>
  <c r="G508" i="2" s="1"/>
  <c r="G509" i="2" a="1"/>
  <c r="G509" i="2" s="1"/>
  <c r="G510" i="2" a="1"/>
  <c r="G510" i="2" s="1"/>
  <c r="G511" i="2" a="1"/>
  <c r="G511" i="2" s="1"/>
  <c r="G512" i="2" a="1"/>
  <c r="G512" i="2" s="1"/>
  <c r="G513" i="2" a="1"/>
  <c r="G513" i="2" s="1"/>
  <c r="G514" i="2" a="1"/>
  <c r="G514" i="2" s="1"/>
  <c r="G515" i="2" a="1"/>
  <c r="G515" i="2" s="1"/>
  <c r="G516" i="2" a="1"/>
  <c r="G516" i="2" s="1"/>
  <c r="G517" i="2" a="1"/>
  <c r="G517" i="2" s="1"/>
  <c r="G518" i="2" a="1"/>
  <c r="G518" i="2" s="1"/>
  <c r="G519" i="2" a="1"/>
  <c r="G519" i="2" s="1"/>
  <c r="G520" i="2" a="1"/>
  <c r="G520" i="2" s="1"/>
  <c r="G521" i="2" a="1"/>
  <c r="G521" i="2" s="1"/>
  <c r="G522" i="2" a="1"/>
  <c r="G522" i="2" s="1"/>
  <c r="G523" i="2" a="1"/>
  <c r="G523" i="2" s="1"/>
  <c r="G524" i="2" a="1"/>
  <c r="G524" i="2" s="1"/>
  <c r="G525" i="2" a="1"/>
  <c r="G525" i="2" s="1"/>
  <c r="G526" i="2" a="1"/>
  <c r="G526" i="2" s="1"/>
  <c r="G527" i="2" a="1"/>
  <c r="G527" i="2" s="1"/>
  <c r="G528" i="2" a="1"/>
  <c r="G528" i="2" s="1"/>
  <c r="G529" i="2" a="1"/>
  <c r="G529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 s="1"/>
  <c r="F272" i="2" a="1"/>
  <c r="F272" i="2" s="1"/>
  <c r="F273" i="2" a="1"/>
  <c r="F273" i="2" s="1"/>
  <c r="F274" i="2" a="1"/>
  <c r="F274" i="2" s="1"/>
  <c r="F275" i="2" a="1"/>
  <c r="F275" i="2" s="1"/>
  <c r="F276" i="2" a="1"/>
  <c r="F276" i="2" s="1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 s="1"/>
  <c r="F288" i="2" a="1"/>
  <c r="F288" i="2" s="1"/>
  <c r="F289" i="2" a="1"/>
  <c r="F289" i="2" s="1"/>
  <c r="F290" i="2" a="1"/>
  <c r="F290" i="2" s="1"/>
  <c r="F291" i="2" a="1"/>
  <c r="F291" i="2" s="1"/>
  <c r="F292" i="2" a="1"/>
  <c r="F292" i="2" s="1"/>
  <c r="F293" i="2" a="1"/>
  <c r="F293" i="2" s="1"/>
  <c r="F294" i="2" a="1"/>
  <c r="F294" i="2" s="1"/>
  <c r="F295" i="2" a="1"/>
  <c r="F295" i="2" s="1"/>
  <c r="F296" i="2" a="1"/>
  <c r="F296" i="2" s="1"/>
  <c r="F297" i="2" a="1"/>
  <c r="F297" i="2" s="1"/>
  <c r="F298" i="2" a="1"/>
  <c r="F298" i="2" s="1"/>
  <c r="F299" i="2" a="1"/>
  <c r="F299" i="2" s="1"/>
  <c r="F300" i="2" a="1"/>
  <c r="F300" i="2" s="1"/>
  <c r="F301" i="2" a="1"/>
  <c r="F301" i="2" s="1"/>
  <c r="F302" i="2" a="1"/>
  <c r="F302" i="2" s="1"/>
  <c r="F303" i="2" a="1"/>
  <c r="F303" i="2" s="1"/>
  <c r="F304" i="2" a="1"/>
  <c r="F304" i="2" s="1"/>
  <c r="F305" i="2" a="1"/>
  <c r="F305" i="2" s="1"/>
  <c r="F306" i="2" a="1"/>
  <c r="F306" i="2" s="1"/>
  <c r="F307" i="2" a="1"/>
  <c r="F307" i="2" s="1"/>
  <c r="F308" i="2" a="1"/>
  <c r="F308" i="2" s="1"/>
  <c r="F309" i="2" a="1"/>
  <c r="F309" i="2" s="1"/>
  <c r="F310" i="2" a="1"/>
  <c r="F310" i="2" s="1"/>
  <c r="F311" i="2" a="1"/>
  <c r="F311" i="2" s="1"/>
  <c r="F312" i="2" a="1"/>
  <c r="F312" i="2" s="1"/>
  <c r="F313" i="2" a="1"/>
  <c r="F313" i="2" s="1"/>
  <c r="F314" i="2" a="1"/>
  <c r="F314" i="2" s="1"/>
  <c r="F315" i="2" a="1"/>
  <c r="F315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 s="1"/>
  <c r="F321" i="2" a="1"/>
  <c r="F321" i="2" s="1"/>
  <c r="F322" i="2" a="1"/>
  <c r="F322" i="2" s="1"/>
  <c r="F323" i="2" a="1"/>
  <c r="F323" i="2" s="1"/>
  <c r="F324" i="2" a="1"/>
  <c r="F324" i="2" s="1"/>
  <c r="F325" i="2" a="1"/>
  <c r="F325" i="2" s="1"/>
  <c r="F326" i="2" a="1"/>
  <c r="F326" i="2" s="1"/>
  <c r="F327" i="2" a="1"/>
  <c r="F327" i="2" s="1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 s="1"/>
  <c r="F335" i="2" a="1"/>
  <c r="F335" i="2" s="1"/>
  <c r="F336" i="2" a="1"/>
  <c r="F336" i="2" s="1"/>
  <c r="F337" i="2" a="1"/>
  <c r="F337" i="2" s="1"/>
  <c r="F338" i="2" a="1"/>
  <c r="F338" i="2" s="1"/>
  <c r="F339" i="2" a="1"/>
  <c r="F339" i="2" s="1"/>
  <c r="F340" i="2" a="1"/>
  <c r="F340" i="2" s="1"/>
  <c r="F341" i="2" a="1"/>
  <c r="F341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 s="1"/>
  <c r="F348" i="2" a="1"/>
  <c r="F348" i="2" s="1"/>
  <c r="F349" i="2" a="1"/>
  <c r="F349" i="2" s="1"/>
  <c r="F350" i="2" a="1"/>
  <c r="F350" i="2" s="1"/>
  <c r="F351" i="2" a="1"/>
  <c r="F351" i="2" s="1"/>
  <c r="F352" i="2" a="1"/>
  <c r="F352" i="2" s="1"/>
  <c r="F353" i="2" a="1"/>
  <c r="F353" i="2" s="1"/>
  <c r="F354" i="2" a="1"/>
  <c r="F354" i="2" s="1"/>
  <c r="F355" i="2" a="1"/>
  <c r="F355" i="2" s="1"/>
  <c r="F356" i="2" a="1"/>
  <c r="F356" i="2" s="1"/>
  <c r="F357" i="2" a="1"/>
  <c r="F357" i="2" s="1"/>
  <c r="F358" i="2" a="1"/>
  <c r="F358" i="2" s="1"/>
  <c r="F359" i="2" a="1"/>
  <c r="F359" i="2" s="1"/>
  <c r="F360" i="2" a="1"/>
  <c r="F360" i="2" s="1"/>
  <c r="F361" i="2" a="1"/>
  <c r="F361" i="2" s="1"/>
  <c r="F362" i="2" a="1"/>
  <c r="F362" i="2" s="1"/>
  <c r="F363" i="2" a="1"/>
  <c r="F363" i="2" s="1"/>
  <c r="F364" i="2" a="1"/>
  <c r="F364" i="2" s="1"/>
  <c r="F365" i="2" a="1"/>
  <c r="F365" i="2" s="1"/>
  <c r="F366" i="2" a="1"/>
  <c r="F366" i="2" s="1"/>
  <c r="F367" i="2" a="1"/>
  <c r="F367" i="2" s="1"/>
  <c r="F368" i="2" a="1"/>
  <c r="F368" i="2" s="1"/>
  <c r="F369" i="2" a="1"/>
  <c r="F369" i="2" s="1"/>
  <c r="F370" i="2" a="1"/>
  <c r="F370" i="2" s="1"/>
  <c r="F371" i="2" a="1"/>
  <c r="F371" i="2" s="1"/>
  <c r="F372" i="2" a="1"/>
  <c r="F372" i="2" s="1"/>
  <c r="F373" i="2" a="1"/>
  <c r="F373" i="2" s="1"/>
  <c r="F374" i="2" a="1"/>
  <c r="F374" i="2" s="1"/>
  <c r="F375" i="2" a="1"/>
  <c r="F375" i="2" s="1"/>
  <c r="F376" i="2" a="1"/>
  <c r="F376" i="2" s="1"/>
  <c r="F377" i="2" a="1"/>
  <c r="F377" i="2" s="1"/>
  <c r="F378" i="2" a="1"/>
  <c r="F378" i="2" s="1"/>
  <c r="F379" i="2" a="1"/>
  <c r="F379" i="2" s="1"/>
  <c r="F380" i="2" a="1"/>
  <c r="F380" i="2" s="1"/>
  <c r="F381" i="2" a="1"/>
  <c r="F381" i="2" s="1"/>
  <c r="F382" i="2" a="1"/>
  <c r="F382" i="2" s="1"/>
  <c r="F383" i="2" a="1"/>
  <c r="F383" i="2" s="1"/>
  <c r="F384" i="2" a="1"/>
  <c r="F384" i="2" s="1"/>
  <c r="F385" i="2" a="1"/>
  <c r="F385" i="2" s="1"/>
  <c r="F386" i="2" a="1"/>
  <c r="F386" i="2" s="1"/>
  <c r="F387" i="2" a="1"/>
  <c r="F387" i="2" s="1"/>
  <c r="F388" i="2" a="1"/>
  <c r="F388" i="2" s="1"/>
  <c r="F389" i="2" a="1"/>
  <c r="F389" i="2" s="1"/>
  <c r="F390" i="2" a="1"/>
  <c r="F390" i="2" s="1"/>
  <c r="F391" i="2" a="1"/>
  <c r="F391" i="2" s="1"/>
  <c r="F392" i="2" a="1"/>
  <c r="F392" i="2" s="1"/>
  <c r="F393" i="2" a="1"/>
  <c r="F393" i="2" s="1"/>
  <c r="F394" i="2" a="1"/>
  <c r="F394" i="2" s="1"/>
  <c r="F395" i="2" a="1"/>
  <c r="F395" i="2" s="1"/>
  <c r="F396" i="2" a="1"/>
  <c r="F396" i="2" s="1"/>
  <c r="F397" i="2" a="1"/>
  <c r="F397" i="2" s="1"/>
  <c r="F398" i="2" a="1"/>
  <c r="F398" i="2" s="1"/>
  <c r="F399" i="2" a="1"/>
  <c r="F399" i="2" s="1"/>
  <c r="F400" i="2" a="1"/>
  <c r="F400" i="2" s="1"/>
  <c r="F401" i="2" a="1"/>
  <c r="F401" i="2" s="1"/>
  <c r="F402" i="2" a="1"/>
  <c r="F402" i="2" s="1"/>
  <c r="F403" i="2" a="1"/>
  <c r="F403" i="2" s="1"/>
  <c r="F404" i="2" a="1"/>
  <c r="F404" i="2" s="1"/>
  <c r="F405" i="2" a="1"/>
  <c r="F405" i="2" s="1"/>
  <c r="F406" i="2" a="1"/>
  <c r="F406" i="2" s="1"/>
  <c r="F407" i="2" a="1"/>
  <c r="F407" i="2" s="1"/>
  <c r="F408" i="2" a="1"/>
  <c r="F408" i="2" s="1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 s="1"/>
  <c r="F416" i="2" a="1"/>
  <c r="F416" i="2" s="1"/>
  <c r="F417" i="2" a="1"/>
  <c r="F417" i="2" s="1"/>
  <c r="F418" i="2" a="1"/>
  <c r="F418" i="2" s="1"/>
  <c r="F419" i="2" a="1"/>
  <c r="F419" i="2" s="1"/>
  <c r="F420" i="2" a="1"/>
  <c r="F420" i="2" s="1"/>
  <c r="F421" i="2" a="1"/>
  <c r="F421" i="2" s="1"/>
  <c r="F422" i="2" a="1"/>
  <c r="F422" i="2" s="1"/>
  <c r="F423" i="2" a="1"/>
  <c r="F423" i="2" s="1"/>
  <c r="F424" i="2" a="1"/>
  <c r="F424" i="2" s="1"/>
  <c r="F425" i="2" a="1"/>
  <c r="F425" i="2" s="1"/>
  <c r="F426" i="2" a="1"/>
  <c r="F426" i="2" s="1"/>
  <c r="F427" i="2" a="1"/>
  <c r="F427" i="2" s="1"/>
  <c r="F428" i="2" a="1"/>
  <c r="F428" i="2" s="1"/>
  <c r="F429" i="2" a="1"/>
  <c r="F429" i="2" s="1"/>
  <c r="F430" i="2" a="1"/>
  <c r="F430" i="2" s="1"/>
  <c r="F431" i="2" a="1"/>
  <c r="F431" i="2" s="1"/>
  <c r="F432" i="2" a="1"/>
  <c r="F432" i="2" s="1"/>
  <c r="F433" i="2" a="1"/>
  <c r="F433" i="2" s="1"/>
  <c r="F434" i="2" a="1"/>
  <c r="F434" i="2" s="1"/>
  <c r="F435" i="2" a="1"/>
  <c r="F435" i="2" s="1"/>
  <c r="F436" i="2" a="1"/>
  <c r="F436" i="2" s="1"/>
  <c r="F437" i="2" a="1"/>
  <c r="F437" i="2" s="1"/>
  <c r="F438" i="2" a="1"/>
  <c r="F438" i="2" s="1"/>
  <c r="F439" i="2" a="1"/>
  <c r="F439" i="2" s="1"/>
  <c r="F440" i="2" a="1"/>
  <c r="F440" i="2" s="1"/>
  <c r="F441" i="2" a="1"/>
  <c r="F441" i="2" s="1"/>
  <c r="F442" i="2" a="1"/>
  <c r="F442" i="2" s="1"/>
  <c r="F443" i="2" a="1"/>
  <c r="F443" i="2" s="1"/>
  <c r="F444" i="2" a="1"/>
  <c r="F444" i="2" s="1"/>
  <c r="F445" i="2" a="1"/>
  <c r="F445" i="2" s="1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 s="1"/>
  <c r="F453" i="2" a="1"/>
  <c r="F453" i="2" s="1"/>
  <c r="F454" i="2" a="1"/>
  <c r="F454" i="2" s="1"/>
  <c r="F455" i="2" a="1"/>
  <c r="F455" i="2" s="1"/>
  <c r="F456" i="2" a="1"/>
  <c r="F456" i="2" s="1"/>
  <c r="F457" i="2" a="1"/>
  <c r="F457" i="2" s="1"/>
  <c r="F458" i="2" a="1"/>
  <c r="F458" i="2" s="1"/>
  <c r="F459" i="2" a="1"/>
  <c r="F459" i="2" s="1"/>
  <c r="F460" i="2" a="1"/>
  <c r="F460" i="2" s="1"/>
  <c r="F461" i="2" a="1"/>
  <c r="F461" i="2" s="1"/>
  <c r="F462" i="2" a="1"/>
  <c r="F462" i="2" s="1"/>
  <c r="F463" i="2" a="1"/>
  <c r="F463" i="2" s="1"/>
  <c r="F464" i="2" a="1"/>
  <c r="F464" i="2" s="1"/>
  <c r="F465" i="2" a="1"/>
  <c r="F465" i="2" s="1"/>
  <c r="F466" i="2" a="1"/>
  <c r="F466" i="2" s="1"/>
  <c r="F467" i="2" a="1"/>
  <c r="F467" i="2" s="1"/>
  <c r="F468" i="2" a="1"/>
  <c r="F468" i="2" s="1"/>
  <c r="F469" i="2" a="1"/>
  <c r="F469" i="2" s="1"/>
  <c r="F470" i="2" a="1"/>
  <c r="F470" i="2" s="1"/>
  <c r="F471" i="2" a="1"/>
  <c r="F471" i="2" s="1"/>
  <c r="F472" i="2" a="1"/>
  <c r="F472" i="2" s="1"/>
  <c r="F473" i="2" a="1"/>
  <c r="F473" i="2" s="1"/>
  <c r="F474" i="2" a="1"/>
  <c r="F474" i="2" s="1"/>
  <c r="F475" i="2" a="1"/>
  <c r="F475" i="2" s="1"/>
  <c r="F476" i="2" a="1"/>
  <c r="F476" i="2" s="1"/>
  <c r="F477" i="2" a="1"/>
  <c r="F477" i="2" s="1"/>
  <c r="F478" i="2" a="1"/>
  <c r="F478" i="2" s="1"/>
  <c r="F479" i="2" a="1"/>
  <c r="F479" i="2" s="1"/>
  <c r="F480" i="2" a="1"/>
  <c r="F480" i="2" s="1"/>
  <c r="F481" i="2" a="1"/>
  <c r="F481" i="2" s="1"/>
  <c r="F482" i="2" a="1"/>
  <c r="F482" i="2" s="1"/>
  <c r="F483" i="2" a="1"/>
  <c r="F483" i="2" s="1"/>
  <c r="F484" i="2" a="1"/>
  <c r="F484" i="2" s="1"/>
  <c r="F485" i="2" a="1"/>
  <c r="F485" i="2" s="1"/>
  <c r="F486" i="2" a="1"/>
  <c r="F486" i="2" s="1"/>
  <c r="F487" i="2" a="1"/>
  <c r="F487" i="2" s="1"/>
  <c r="F488" i="2" a="1"/>
  <c r="F488" i="2" s="1"/>
  <c r="F489" i="2" a="1"/>
  <c r="F489" i="2" s="1"/>
  <c r="F490" i="2" a="1"/>
  <c r="F490" i="2" s="1"/>
  <c r="F491" i="2" a="1"/>
  <c r="F491" i="2" s="1"/>
  <c r="F492" i="2" a="1"/>
  <c r="F492" i="2" s="1"/>
  <c r="F493" i="2" a="1"/>
  <c r="F493" i="2" s="1"/>
  <c r="F494" i="2" a="1"/>
  <c r="F494" i="2" s="1"/>
  <c r="F495" i="2" a="1"/>
  <c r="F495" i="2" s="1"/>
  <c r="F496" i="2" a="1"/>
  <c r="F496" i="2" s="1"/>
  <c r="F497" i="2" a="1"/>
  <c r="F497" i="2" s="1"/>
  <c r="F498" i="2" a="1"/>
  <c r="F498" i="2" s="1"/>
  <c r="F499" i="2" a="1"/>
  <c r="F499" i="2" s="1"/>
  <c r="F500" i="2" a="1"/>
  <c r="F500" i="2" s="1"/>
  <c r="F501" i="2" a="1"/>
  <c r="F501" i="2" s="1"/>
  <c r="F502" i="2" a="1"/>
  <c r="F502" i="2" s="1"/>
  <c r="F503" i="2" a="1"/>
  <c r="F503" i="2" s="1"/>
  <c r="F504" i="2" a="1"/>
  <c r="F504" i="2" s="1"/>
  <c r="F505" i="2" a="1"/>
  <c r="F505" i="2" s="1"/>
  <c r="F506" i="2" a="1"/>
  <c r="F506" i="2" s="1"/>
  <c r="F507" i="2" a="1"/>
  <c r="F507" i="2" s="1"/>
  <c r="F508" i="2" a="1"/>
  <c r="F508" i="2" s="1"/>
  <c r="F509" i="2" a="1"/>
  <c r="F509" i="2" s="1"/>
  <c r="F510" i="2" a="1"/>
  <c r="F510" i="2" s="1"/>
  <c r="F511" i="2" a="1"/>
  <c r="F511" i="2" s="1"/>
  <c r="F512" i="2" a="1"/>
  <c r="F512" i="2" s="1"/>
  <c r="F513" i="2" a="1"/>
  <c r="F513" i="2" s="1"/>
  <c r="F514" i="2" a="1"/>
  <c r="F514" i="2" s="1"/>
  <c r="F515" i="2" a="1"/>
  <c r="F515" i="2" s="1"/>
  <c r="F516" i="2" a="1"/>
  <c r="F516" i="2" s="1"/>
  <c r="F517" i="2" a="1"/>
  <c r="F517" i="2" s="1"/>
  <c r="F518" i="2" a="1"/>
  <c r="F518" i="2" s="1"/>
  <c r="F519" i="2" a="1"/>
  <c r="F519" i="2" s="1"/>
  <c r="F520" i="2" a="1"/>
  <c r="F520" i="2" s="1"/>
  <c r="F521" i="2" a="1"/>
  <c r="F521" i="2" s="1"/>
  <c r="F522" i="2" a="1"/>
  <c r="F522" i="2" s="1"/>
  <c r="F523" i="2" a="1"/>
  <c r="F523" i="2" s="1"/>
  <c r="F524" i="2" a="1"/>
  <c r="F524" i="2" s="1"/>
  <c r="F525" i="2" a="1"/>
  <c r="F525" i="2" s="1"/>
  <c r="F526" i="2" a="1"/>
  <c r="F526" i="2" s="1"/>
  <c r="F527" i="2" a="1"/>
  <c r="F527" i="2" s="1"/>
  <c r="F528" i="2" a="1"/>
  <c r="F528" i="2" s="1"/>
  <c r="F529" i="2" a="1"/>
  <c r="F529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E49" i="2" a="1"/>
  <c r="E49" i="2" s="1"/>
  <c r="E50" i="2" a="1"/>
  <c r="E50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 s="1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 s="1"/>
  <c r="E119" i="2" a="1"/>
  <c r="E119" i="2" s="1"/>
  <c r="E120" i="2" a="1"/>
  <c r="E120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 s="1"/>
  <c r="E144" i="2" a="1"/>
  <c r="E144" i="2" s="1"/>
  <c r="E145" i="2" a="1"/>
  <c r="E145" i="2" s="1"/>
  <c r="E146" i="2" a="1"/>
  <c r="E146" i="2" s="1"/>
  <c r="E147" i="2" a="1"/>
  <c r="E147" i="2" s="1"/>
  <c r="E148" i="2" a="1"/>
  <c r="E148" i="2" s="1"/>
  <c r="E149" i="2" a="1"/>
  <c r="E149" i="2" s="1"/>
  <c r="E150" i="2" a="1"/>
  <c r="E150" i="2" s="1"/>
  <c r="E151" i="2" a="1"/>
  <c r="E151" i="2" s="1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160" i="2" a="1"/>
  <c r="E160" i="2" s="1"/>
  <c r="E161" i="2" a="1"/>
  <c r="E161" i="2" s="1"/>
  <c r="E162" i="2" a="1"/>
  <c r="E162" i="2" s="1"/>
  <c r="E163" i="2" a="1"/>
  <c r="E163" i="2" s="1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 s="1"/>
  <c r="E207" i="2" a="1"/>
  <c r="E207" i="2" s="1"/>
  <c r="E208" i="2" a="1"/>
  <c r="E208" i="2" s="1"/>
  <c r="E209" i="2" a="1"/>
  <c r="E209" i="2" s="1"/>
  <c r="E210" i="2" a="1"/>
  <c r="E210" i="2" s="1"/>
  <c r="E211" i="2" a="1"/>
  <c r="E211" i="2" s="1"/>
  <c r="E212" i="2" a="1"/>
  <c r="E212" i="2" s="1"/>
  <c r="E213" i="2" a="1"/>
  <c r="E213" i="2" s="1"/>
  <c r="E214" i="2" a="1"/>
  <c r="E214" i="2" s="1"/>
  <c r="E215" i="2" a="1"/>
  <c r="E215" i="2" s="1"/>
  <c r="E216" i="2" a="1"/>
  <c r="E216" i="2" s="1"/>
  <c r="E217" i="2" a="1"/>
  <c r="E217" i="2" s="1"/>
  <c r="E218" i="2" a="1"/>
  <c r="E218" i="2" s="1"/>
  <c r="E219" i="2" a="1"/>
  <c r="E219" i="2" s="1"/>
  <c r="E220" i="2" a="1"/>
  <c r="E220" i="2" s="1"/>
  <c r="E221" i="2" a="1"/>
  <c r="E221" i="2" s="1"/>
  <c r="E222" i="2" a="1"/>
  <c r="E222" i="2" s="1"/>
  <c r="E223" i="2" a="1"/>
  <c r="E223" i="2" s="1"/>
  <c r="E224" i="2" a="1"/>
  <c r="E224" i="2" s="1"/>
  <c r="E225" i="2" a="1"/>
  <c r="E225" i="2" s="1"/>
  <c r="E226" i="2" a="1"/>
  <c r="E226" i="2" s="1"/>
  <c r="E227" i="2" a="1"/>
  <c r="E227" i="2" s="1"/>
  <c r="E228" i="2" a="1"/>
  <c r="E228" i="2" s="1"/>
  <c r="E229" i="2" a="1"/>
  <c r="E229" i="2" s="1"/>
  <c r="E230" i="2" a="1"/>
  <c r="E230" i="2" s="1"/>
  <c r="E231" i="2" a="1"/>
  <c r="E231" i="2" s="1"/>
  <c r="E232" i="2" a="1"/>
  <c r="E232" i="2" s="1"/>
  <c r="E233" i="2" a="1"/>
  <c r="E233" i="2" s="1"/>
  <c r="E234" i="2" a="1"/>
  <c r="E234" i="2" s="1"/>
  <c r="E235" i="2" a="1"/>
  <c r="E235" i="2" s="1"/>
  <c r="E236" i="2" a="1"/>
  <c r="E236" i="2" s="1"/>
  <c r="E237" i="2" a="1"/>
  <c r="E237" i="2" s="1"/>
  <c r="E238" i="2" a="1"/>
  <c r="E238" i="2" s="1"/>
  <c r="E239" i="2" a="1"/>
  <c r="E239" i="2" s="1"/>
  <c r="E240" i="2" a="1"/>
  <c r="E240" i="2" s="1"/>
  <c r="E241" i="2" a="1"/>
  <c r="E241" i="2" s="1"/>
  <c r="E242" i="2" a="1"/>
  <c r="E242" i="2" s="1"/>
  <c r="E243" i="2" a="1"/>
  <c r="E243" i="2" s="1"/>
  <c r="E244" i="2" a="1"/>
  <c r="E244" i="2" s="1"/>
  <c r="E245" i="2" a="1"/>
  <c r="E245" i="2" s="1"/>
  <c r="E246" i="2" a="1"/>
  <c r="E246" i="2" s="1"/>
  <c r="E247" i="2" a="1"/>
  <c r="E247" i="2" s="1"/>
  <c r="E248" i="2" a="1"/>
  <c r="E248" i="2" s="1"/>
  <c r="E249" i="2" a="1"/>
  <c r="E249" i="2" s="1"/>
  <c r="E250" i="2" a="1"/>
  <c r="E250" i="2" s="1"/>
  <c r="E251" i="2" a="1"/>
  <c r="E251" i="2" s="1"/>
  <c r="E252" i="2" a="1"/>
  <c r="E252" i="2" s="1"/>
  <c r="E253" i="2" a="1"/>
  <c r="E253" i="2" s="1"/>
  <c r="E254" i="2" a="1"/>
  <c r="E254" i="2" s="1"/>
  <c r="E255" i="2" a="1"/>
  <c r="E255" i="2" s="1"/>
  <c r="E256" i="2" a="1"/>
  <c r="E256" i="2" s="1"/>
  <c r="E257" i="2" a="1"/>
  <c r="E257" i="2" s="1"/>
  <c r="E258" i="2" a="1"/>
  <c r="E258" i="2" s="1"/>
  <c r="E259" i="2" a="1"/>
  <c r="E259" i="2" s="1"/>
  <c r="E260" i="2" a="1"/>
  <c r="E260" i="2" s="1"/>
  <c r="E261" i="2" a="1"/>
  <c r="E261" i="2" s="1"/>
  <c r="E262" i="2" a="1"/>
  <c r="E262" i="2" s="1"/>
  <c r="E263" i="2" a="1"/>
  <c r="E263" i="2" s="1"/>
  <c r="E264" i="2" a="1"/>
  <c r="E264" i="2" s="1"/>
  <c r="E265" i="2" a="1"/>
  <c r="E265" i="2" s="1"/>
  <c r="E266" i="2" a="1"/>
  <c r="E266" i="2" s="1"/>
  <c r="E267" i="2" a="1"/>
  <c r="E267" i="2" s="1"/>
  <c r="E268" i="2" a="1"/>
  <c r="E268" i="2" s="1"/>
  <c r="E269" i="2" a="1"/>
  <c r="E269" i="2" s="1"/>
  <c r="E270" i="2" a="1"/>
  <c r="E270" i="2" s="1"/>
  <c r="E271" i="2" a="1"/>
  <c r="E271" i="2" s="1"/>
  <c r="E272" i="2" a="1"/>
  <c r="E272" i="2" s="1"/>
  <c r="E273" i="2" a="1"/>
  <c r="E273" i="2" s="1"/>
  <c r="E274" i="2" a="1"/>
  <c r="E274" i="2" s="1"/>
  <c r="E275" i="2" a="1"/>
  <c r="E275" i="2" s="1"/>
  <c r="E276" i="2" a="1"/>
  <c r="E276" i="2" s="1"/>
  <c r="E277" i="2" a="1"/>
  <c r="E277" i="2" s="1"/>
  <c r="E278" i="2" a="1"/>
  <c r="E278" i="2" s="1"/>
  <c r="E279" i="2" a="1"/>
  <c r="E279" i="2" s="1"/>
  <c r="E280" i="2" a="1"/>
  <c r="E280" i="2" s="1"/>
  <c r="E281" i="2" a="1"/>
  <c r="E281" i="2" s="1"/>
  <c r="E282" i="2" a="1"/>
  <c r="E282" i="2" s="1"/>
  <c r="E283" i="2" a="1"/>
  <c r="E283" i="2" s="1"/>
  <c r="E284" i="2" a="1"/>
  <c r="E284" i="2" s="1"/>
  <c r="E285" i="2" a="1"/>
  <c r="E285" i="2" s="1"/>
  <c r="E286" i="2" a="1"/>
  <c r="E286" i="2" s="1"/>
  <c r="E287" i="2" a="1"/>
  <c r="E287" i="2" s="1"/>
  <c r="E288" i="2" a="1"/>
  <c r="E288" i="2" s="1"/>
  <c r="E289" i="2" a="1"/>
  <c r="E289" i="2" s="1"/>
  <c r="E290" i="2" a="1"/>
  <c r="E290" i="2" s="1"/>
  <c r="E291" i="2" a="1"/>
  <c r="E291" i="2" s="1"/>
  <c r="E292" i="2" a="1"/>
  <c r="E292" i="2" s="1"/>
  <c r="E293" i="2" a="1"/>
  <c r="E293" i="2" s="1"/>
  <c r="E294" i="2" a="1"/>
  <c r="E294" i="2" s="1"/>
  <c r="E295" i="2" a="1"/>
  <c r="E295" i="2" s="1"/>
  <c r="E296" i="2" a="1"/>
  <c r="E296" i="2" s="1"/>
  <c r="E297" i="2" a="1"/>
  <c r="E297" i="2" s="1"/>
  <c r="E298" i="2" a="1"/>
  <c r="E298" i="2" s="1"/>
  <c r="E299" i="2" a="1"/>
  <c r="E299" i="2" s="1"/>
  <c r="E300" i="2" a="1"/>
  <c r="E300" i="2" s="1"/>
  <c r="E301" i="2" a="1"/>
  <c r="E301" i="2" s="1"/>
  <c r="E302" i="2" a="1"/>
  <c r="E302" i="2" s="1"/>
  <c r="E303" i="2" a="1"/>
  <c r="E303" i="2" s="1"/>
  <c r="E304" i="2" a="1"/>
  <c r="E304" i="2" s="1"/>
  <c r="E305" i="2" a="1"/>
  <c r="E305" i="2" s="1"/>
  <c r="E306" i="2" a="1"/>
  <c r="E306" i="2" s="1"/>
  <c r="E307" i="2" a="1"/>
  <c r="E307" i="2" s="1"/>
  <c r="E308" i="2" a="1"/>
  <c r="E308" i="2" s="1"/>
  <c r="E309" i="2" a="1"/>
  <c r="E309" i="2" s="1"/>
  <c r="E310" i="2" a="1"/>
  <c r="E310" i="2" s="1"/>
  <c r="E311" i="2" a="1"/>
  <c r="E311" i="2" s="1"/>
  <c r="E312" i="2" a="1"/>
  <c r="E312" i="2" s="1"/>
  <c r="E313" i="2" a="1"/>
  <c r="E313" i="2" s="1"/>
  <c r="E314" i="2" a="1"/>
  <c r="E314" i="2" s="1"/>
  <c r="E315" i="2" a="1"/>
  <c r="E315" i="2" s="1"/>
  <c r="E316" i="2" a="1"/>
  <c r="E316" i="2" s="1"/>
  <c r="E317" i="2" a="1"/>
  <c r="E317" i="2" s="1"/>
  <c r="E318" i="2" a="1"/>
  <c r="E318" i="2" s="1"/>
  <c r="E319" i="2" a="1"/>
  <c r="E319" i="2" s="1"/>
  <c r="E320" i="2" a="1"/>
  <c r="E320" i="2" s="1"/>
  <c r="E321" i="2" a="1"/>
  <c r="E321" i="2" s="1"/>
  <c r="E322" i="2" a="1"/>
  <c r="E322" i="2" s="1"/>
  <c r="E323" i="2" a="1"/>
  <c r="E323" i="2" s="1"/>
  <c r="E324" i="2" a="1"/>
  <c r="E324" i="2" s="1"/>
  <c r="E325" i="2" a="1"/>
  <c r="E325" i="2" s="1"/>
  <c r="E326" i="2" a="1"/>
  <c r="E326" i="2" s="1"/>
  <c r="E327" i="2" a="1"/>
  <c r="E327" i="2" s="1"/>
  <c r="E328" i="2" a="1"/>
  <c r="E328" i="2" s="1"/>
  <c r="E329" i="2" a="1"/>
  <c r="E329" i="2" s="1"/>
  <c r="E330" i="2" a="1"/>
  <c r="E330" i="2" s="1"/>
  <c r="E331" i="2" a="1"/>
  <c r="E331" i="2" s="1"/>
  <c r="E332" i="2" a="1"/>
  <c r="E332" i="2" s="1"/>
  <c r="E333" i="2" a="1"/>
  <c r="E333" i="2" s="1"/>
  <c r="E334" i="2" a="1"/>
  <c r="E334" i="2" s="1"/>
  <c r="E335" i="2" a="1"/>
  <c r="E335" i="2" s="1"/>
  <c r="E336" i="2" a="1"/>
  <c r="E336" i="2" s="1"/>
  <c r="E337" i="2" a="1"/>
  <c r="E337" i="2" s="1"/>
  <c r="E338" i="2" a="1"/>
  <c r="E338" i="2" s="1"/>
  <c r="E339" i="2" a="1"/>
  <c r="E339" i="2" s="1"/>
  <c r="E340" i="2" a="1"/>
  <c r="E340" i="2" s="1"/>
  <c r="E341" i="2" a="1"/>
  <c r="E341" i="2" s="1"/>
  <c r="E342" i="2" a="1"/>
  <c r="E342" i="2" s="1"/>
  <c r="E343" i="2" a="1"/>
  <c r="E343" i="2" s="1"/>
  <c r="E344" i="2" a="1"/>
  <c r="E344" i="2" s="1"/>
  <c r="E345" i="2" a="1"/>
  <c r="E345" i="2" s="1"/>
  <c r="E346" i="2" a="1"/>
  <c r="E346" i="2" s="1"/>
  <c r="E347" i="2" a="1"/>
  <c r="E347" i="2" s="1"/>
  <c r="E348" i="2" a="1"/>
  <c r="E348" i="2" s="1"/>
  <c r="E349" i="2" a="1"/>
  <c r="E349" i="2" s="1"/>
  <c r="E350" i="2" a="1"/>
  <c r="E350" i="2" s="1"/>
  <c r="E351" i="2" a="1"/>
  <c r="E351" i="2" s="1"/>
  <c r="E352" i="2" a="1"/>
  <c r="E352" i="2" s="1"/>
  <c r="E353" i="2" a="1"/>
  <c r="E353" i="2" s="1"/>
  <c r="E354" i="2" a="1"/>
  <c r="E354" i="2" s="1"/>
  <c r="E355" i="2" a="1"/>
  <c r="E355" i="2" s="1"/>
  <c r="E356" i="2" a="1"/>
  <c r="E356" i="2" s="1"/>
  <c r="E357" i="2" a="1"/>
  <c r="E357" i="2" s="1"/>
  <c r="E358" i="2" a="1"/>
  <c r="E358" i="2" s="1"/>
  <c r="E359" i="2" a="1"/>
  <c r="E359" i="2" s="1"/>
  <c r="E360" i="2" a="1"/>
  <c r="E360" i="2" s="1"/>
  <c r="E361" i="2" a="1"/>
  <c r="E361" i="2" s="1"/>
  <c r="E362" i="2" a="1"/>
  <c r="E362" i="2" s="1"/>
  <c r="E363" i="2" a="1"/>
  <c r="E363" i="2" s="1"/>
  <c r="E364" i="2" a="1"/>
  <c r="E364" i="2" s="1"/>
  <c r="E365" i="2" a="1"/>
  <c r="E365" i="2" s="1"/>
  <c r="E366" i="2" a="1"/>
  <c r="E366" i="2" s="1"/>
  <c r="E367" i="2" a="1"/>
  <c r="E367" i="2" s="1"/>
  <c r="E368" i="2" a="1"/>
  <c r="E368" i="2" s="1"/>
  <c r="E369" i="2" a="1"/>
  <c r="E369" i="2" s="1"/>
  <c r="E370" i="2" a="1"/>
  <c r="E370" i="2" s="1"/>
  <c r="E371" i="2" a="1"/>
  <c r="E371" i="2" s="1"/>
  <c r="E372" i="2" a="1"/>
  <c r="E372" i="2" s="1"/>
  <c r="E373" i="2" a="1"/>
  <c r="E373" i="2" s="1"/>
  <c r="E374" i="2" a="1"/>
  <c r="E374" i="2" s="1"/>
  <c r="E375" i="2" a="1"/>
  <c r="E375" i="2" s="1"/>
  <c r="E376" i="2" a="1"/>
  <c r="E376" i="2" s="1"/>
  <c r="E377" i="2" a="1"/>
  <c r="E377" i="2" s="1"/>
  <c r="E378" i="2" a="1"/>
  <c r="E378" i="2" s="1"/>
  <c r="E379" i="2" a="1"/>
  <c r="E379" i="2" s="1"/>
  <c r="E380" i="2" a="1"/>
  <c r="E380" i="2" s="1"/>
  <c r="E381" i="2" a="1"/>
  <c r="E381" i="2" s="1"/>
  <c r="E382" i="2" a="1"/>
  <c r="E382" i="2" s="1"/>
  <c r="E383" i="2" a="1"/>
  <c r="E383" i="2" s="1"/>
  <c r="E384" i="2" a="1"/>
  <c r="E384" i="2" s="1"/>
  <c r="E385" i="2" a="1"/>
  <c r="E385" i="2" s="1"/>
  <c r="E386" i="2" a="1"/>
  <c r="E386" i="2" s="1"/>
  <c r="E387" i="2" a="1"/>
  <c r="E387" i="2" s="1"/>
  <c r="E388" i="2" a="1"/>
  <c r="E388" i="2" s="1"/>
  <c r="E389" i="2" a="1"/>
  <c r="E389" i="2" s="1"/>
  <c r="E390" i="2" a="1"/>
  <c r="E390" i="2" s="1"/>
  <c r="E391" i="2" a="1"/>
  <c r="E391" i="2" s="1"/>
  <c r="E392" i="2" a="1"/>
  <c r="E392" i="2" s="1"/>
  <c r="E393" i="2" a="1"/>
  <c r="E393" i="2" s="1"/>
  <c r="E394" i="2" a="1"/>
  <c r="E394" i="2" s="1"/>
  <c r="E395" i="2" a="1"/>
  <c r="E395" i="2" s="1"/>
  <c r="E396" i="2" a="1"/>
  <c r="E396" i="2" s="1"/>
  <c r="E397" i="2" a="1"/>
  <c r="E397" i="2" s="1"/>
  <c r="E398" i="2" a="1"/>
  <c r="E398" i="2" s="1"/>
  <c r="E399" i="2" a="1"/>
  <c r="E399" i="2" s="1"/>
  <c r="E400" i="2" a="1"/>
  <c r="E400" i="2" s="1"/>
  <c r="E401" i="2" a="1"/>
  <c r="E401" i="2" s="1"/>
  <c r="E402" i="2" a="1"/>
  <c r="E402" i="2" s="1"/>
  <c r="E403" i="2" a="1"/>
  <c r="E403" i="2" s="1"/>
  <c r="E404" i="2" a="1"/>
  <c r="E404" i="2" s="1"/>
  <c r="E405" i="2" a="1"/>
  <c r="E405" i="2" s="1"/>
  <c r="E406" i="2" a="1"/>
  <c r="E406" i="2" s="1"/>
  <c r="E407" i="2" a="1"/>
  <c r="E407" i="2" s="1"/>
  <c r="E408" i="2" a="1"/>
  <c r="E408" i="2" s="1"/>
  <c r="E409" i="2" a="1"/>
  <c r="E409" i="2" s="1"/>
  <c r="E410" i="2" a="1"/>
  <c r="E410" i="2" s="1"/>
  <c r="E411" i="2" a="1"/>
  <c r="E411" i="2" s="1"/>
  <c r="E412" i="2" a="1"/>
  <c r="E412" i="2" s="1"/>
  <c r="E413" i="2" a="1"/>
  <c r="E413" i="2" s="1"/>
  <c r="E414" i="2" a="1"/>
  <c r="E414" i="2" s="1"/>
  <c r="E415" i="2" a="1"/>
  <c r="E415" i="2" s="1"/>
  <c r="E416" i="2" a="1"/>
  <c r="E416" i="2" s="1"/>
  <c r="E417" i="2" a="1"/>
  <c r="E417" i="2" s="1"/>
  <c r="E418" i="2" a="1"/>
  <c r="E418" i="2" s="1"/>
  <c r="E419" i="2" a="1"/>
  <c r="E419" i="2" s="1"/>
  <c r="E420" i="2" a="1"/>
  <c r="E420" i="2" s="1"/>
  <c r="E421" i="2" a="1"/>
  <c r="E421" i="2" s="1"/>
  <c r="E422" i="2" a="1"/>
  <c r="E422" i="2" s="1"/>
  <c r="E423" i="2" a="1"/>
  <c r="E423" i="2" s="1"/>
  <c r="E424" i="2" a="1"/>
  <c r="E424" i="2" s="1"/>
  <c r="E425" i="2" a="1"/>
  <c r="E425" i="2" s="1"/>
  <c r="E426" i="2" a="1"/>
  <c r="E426" i="2" s="1"/>
  <c r="E427" i="2" a="1"/>
  <c r="E427" i="2" s="1"/>
  <c r="E428" i="2" a="1"/>
  <c r="E428" i="2" s="1"/>
  <c r="E429" i="2" a="1"/>
  <c r="E429" i="2" s="1"/>
  <c r="E430" i="2" a="1"/>
  <c r="E430" i="2" s="1"/>
  <c r="E431" i="2" a="1"/>
  <c r="E431" i="2" s="1"/>
  <c r="E432" i="2" a="1"/>
  <c r="E432" i="2" s="1"/>
  <c r="E433" i="2" a="1"/>
  <c r="E433" i="2" s="1"/>
  <c r="E434" i="2" a="1"/>
  <c r="E434" i="2" s="1"/>
  <c r="E435" i="2" a="1"/>
  <c r="E435" i="2" s="1"/>
  <c r="E436" i="2" a="1"/>
  <c r="E436" i="2" s="1"/>
  <c r="E437" i="2" a="1"/>
  <c r="E437" i="2" s="1"/>
  <c r="E438" i="2" a="1"/>
  <c r="E438" i="2" s="1"/>
  <c r="E439" i="2" a="1"/>
  <c r="E439" i="2" s="1"/>
  <c r="E440" i="2" a="1"/>
  <c r="E440" i="2" s="1"/>
  <c r="E441" i="2" a="1"/>
  <c r="E441" i="2" s="1"/>
  <c r="E442" i="2" a="1"/>
  <c r="E442" i="2" s="1"/>
  <c r="E443" i="2" a="1"/>
  <c r="E443" i="2" s="1"/>
  <c r="E444" i="2" a="1"/>
  <c r="E444" i="2" s="1"/>
  <c r="E445" i="2" a="1"/>
  <c r="E445" i="2" s="1"/>
  <c r="E446" i="2" a="1"/>
  <c r="E446" i="2" s="1"/>
  <c r="E447" i="2" a="1"/>
  <c r="E447" i="2" s="1"/>
  <c r="E448" i="2" a="1"/>
  <c r="E448" i="2" s="1"/>
  <c r="E449" i="2" a="1"/>
  <c r="E449" i="2" s="1"/>
  <c r="E450" i="2" a="1"/>
  <c r="E450" i="2" s="1"/>
  <c r="E451" i="2" a="1"/>
  <c r="E451" i="2" s="1"/>
  <c r="E452" i="2" a="1"/>
  <c r="E452" i="2" s="1"/>
  <c r="E453" i="2" a="1"/>
  <c r="E453" i="2" s="1"/>
  <c r="E454" i="2" a="1"/>
  <c r="E454" i="2" s="1"/>
  <c r="E455" i="2" a="1"/>
  <c r="E455" i="2" s="1"/>
  <c r="E456" i="2" a="1"/>
  <c r="E456" i="2" s="1"/>
  <c r="E457" i="2" a="1"/>
  <c r="E457" i="2" s="1"/>
  <c r="E458" i="2" a="1"/>
  <c r="E458" i="2" s="1"/>
  <c r="E459" i="2" a="1"/>
  <c r="E459" i="2" s="1"/>
  <c r="E460" i="2" a="1"/>
  <c r="E460" i="2" s="1"/>
  <c r="E461" i="2" a="1"/>
  <c r="E461" i="2" s="1"/>
  <c r="E462" i="2" a="1"/>
  <c r="E462" i="2" s="1"/>
  <c r="E463" i="2" a="1"/>
  <c r="E463" i="2" s="1"/>
  <c r="E464" i="2" a="1"/>
  <c r="E464" i="2" s="1"/>
  <c r="E465" i="2" a="1"/>
  <c r="E465" i="2" s="1"/>
  <c r="E466" i="2" a="1"/>
  <c r="E466" i="2" s="1"/>
  <c r="E467" i="2" a="1"/>
  <c r="E467" i="2" s="1"/>
  <c r="E468" i="2" a="1"/>
  <c r="E468" i="2" s="1"/>
  <c r="E469" i="2" a="1"/>
  <c r="E469" i="2" s="1"/>
  <c r="E470" i="2" a="1"/>
  <c r="E470" i="2" s="1"/>
  <c r="E471" i="2" a="1"/>
  <c r="E471" i="2" s="1"/>
  <c r="E472" i="2" a="1"/>
  <c r="E472" i="2" s="1"/>
  <c r="E473" i="2" a="1"/>
  <c r="E473" i="2" s="1"/>
  <c r="E474" i="2" a="1"/>
  <c r="E474" i="2" s="1"/>
  <c r="E475" i="2" a="1"/>
  <c r="E475" i="2" s="1"/>
  <c r="E476" i="2" a="1"/>
  <c r="E476" i="2" s="1"/>
  <c r="E477" i="2" a="1"/>
  <c r="E477" i="2" s="1"/>
  <c r="E478" i="2" a="1"/>
  <c r="E478" i="2" s="1"/>
  <c r="E479" i="2" a="1"/>
  <c r="E479" i="2" s="1"/>
  <c r="E480" i="2" a="1"/>
  <c r="E480" i="2" s="1"/>
  <c r="E481" i="2" a="1"/>
  <c r="E481" i="2" s="1"/>
  <c r="E482" i="2" a="1"/>
  <c r="E482" i="2" s="1"/>
  <c r="E483" i="2" a="1"/>
  <c r="E483" i="2" s="1"/>
  <c r="E484" i="2" a="1"/>
  <c r="E484" i="2" s="1"/>
  <c r="E485" i="2" a="1"/>
  <c r="E485" i="2" s="1"/>
  <c r="E486" i="2" a="1"/>
  <c r="E486" i="2" s="1"/>
  <c r="E487" i="2" a="1"/>
  <c r="E487" i="2" s="1"/>
  <c r="E488" i="2" a="1"/>
  <c r="E488" i="2" s="1"/>
  <c r="E489" i="2" a="1"/>
  <c r="E489" i="2" s="1"/>
  <c r="E490" i="2" a="1"/>
  <c r="E490" i="2" s="1"/>
  <c r="E491" i="2" a="1"/>
  <c r="E491" i="2" s="1"/>
  <c r="E492" i="2" a="1"/>
  <c r="E492" i="2" s="1"/>
  <c r="E493" i="2" a="1"/>
  <c r="E493" i="2" s="1"/>
  <c r="E494" i="2" a="1"/>
  <c r="E494" i="2" s="1"/>
  <c r="E495" i="2" a="1"/>
  <c r="E495" i="2" s="1"/>
  <c r="E496" i="2" a="1"/>
  <c r="E496" i="2" s="1"/>
  <c r="E497" i="2" a="1"/>
  <c r="E497" i="2" s="1"/>
  <c r="E498" i="2" a="1"/>
  <c r="E498" i="2" s="1"/>
  <c r="E499" i="2" a="1"/>
  <c r="E499" i="2" s="1"/>
  <c r="E500" i="2" a="1"/>
  <c r="E500" i="2" s="1"/>
  <c r="E501" i="2" a="1"/>
  <c r="E501" i="2" s="1"/>
  <c r="E502" i="2" a="1"/>
  <c r="E502" i="2" s="1"/>
  <c r="E503" i="2" a="1"/>
  <c r="E503" i="2" s="1"/>
  <c r="E504" i="2" a="1"/>
  <c r="E504" i="2" s="1"/>
  <c r="E505" i="2" a="1"/>
  <c r="E505" i="2" s="1"/>
  <c r="E506" i="2" a="1"/>
  <c r="E506" i="2" s="1"/>
  <c r="E507" i="2" a="1"/>
  <c r="E507" i="2" s="1"/>
  <c r="E508" i="2" a="1"/>
  <c r="E508" i="2" s="1"/>
  <c r="E509" i="2" a="1"/>
  <c r="E509" i="2" s="1"/>
  <c r="E510" i="2" a="1"/>
  <c r="E510" i="2" s="1"/>
  <c r="E511" i="2" a="1"/>
  <c r="E511" i="2" s="1"/>
  <c r="E512" i="2" a="1"/>
  <c r="E512" i="2" s="1"/>
  <c r="E513" i="2" a="1"/>
  <c r="E513" i="2" s="1"/>
  <c r="E514" i="2" a="1"/>
  <c r="E514" i="2" s="1"/>
  <c r="E515" i="2" a="1"/>
  <c r="E515" i="2" s="1"/>
  <c r="E516" i="2" a="1"/>
  <c r="E516" i="2" s="1"/>
  <c r="E517" i="2" a="1"/>
  <c r="E517" i="2" s="1"/>
  <c r="E518" i="2" a="1"/>
  <c r="E518" i="2" s="1"/>
  <c r="E519" i="2" a="1"/>
  <c r="E519" i="2" s="1"/>
  <c r="E520" i="2" a="1"/>
  <c r="E520" i="2" s="1"/>
  <c r="E521" i="2" a="1"/>
  <c r="E521" i="2" s="1"/>
  <c r="E522" i="2" a="1"/>
  <c r="E522" i="2" s="1"/>
  <c r="E523" i="2" a="1"/>
  <c r="E523" i="2" s="1"/>
  <c r="E524" i="2" a="1"/>
  <c r="E524" i="2" s="1"/>
  <c r="E525" i="2" a="1"/>
  <c r="E525" i="2" s="1"/>
  <c r="E526" i="2" a="1"/>
  <c r="E526" i="2" s="1"/>
  <c r="E527" i="2" a="1"/>
  <c r="E527" i="2" s="1"/>
  <c r="E528" i="2" a="1"/>
  <c r="E528" i="2" s="1"/>
  <c r="E529" i="2" a="1"/>
  <c r="E529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D506" i="2" a="1"/>
  <c r="D506" i="2" s="1"/>
  <c r="D507" i="2" a="1"/>
  <c r="D507" i="2" s="1"/>
  <c r="D508" i="2" a="1"/>
  <c r="D508" i="2" s="1"/>
  <c r="D509" i="2" a="1"/>
  <c r="D509" i="2" s="1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 s="1"/>
  <c r="D520" i="2" a="1"/>
  <c r="D520" i="2" s="1"/>
  <c r="D521" i="2" a="1"/>
  <c r="D521" i="2" s="1"/>
  <c r="D522" i="2" a="1"/>
  <c r="D522" i="2" s="1"/>
  <c r="D523" i="2" a="1"/>
  <c r="D523" i="2" s="1"/>
  <c r="D524" i="2" a="1"/>
  <c r="D524" i="2" s="1"/>
  <c r="D525" i="2" a="1"/>
  <c r="D525" i="2" s="1"/>
  <c r="D526" i="2" a="1"/>
  <c r="D526" i="2" s="1"/>
  <c r="D527" i="2" a="1"/>
  <c r="D527" i="2" s="1"/>
  <c r="D528" i="2" a="1"/>
  <c r="D528" i="2" s="1"/>
  <c r="D529" i="2" a="1"/>
  <c r="D529" i="2" s="1"/>
  <c r="D2" i="2" a="1"/>
  <c r="D2" i="2" s="1"/>
  <c r="E2" i="2" a="1"/>
  <c r="E2" i="2" s="1"/>
  <c r="F2" i="2" a="1"/>
  <c r="F2" i="2" s="1"/>
  <c r="G2" i="2" a="1"/>
  <c r="G2" i="2" s="1"/>
  <c r="H2" i="2" a="1"/>
  <c r="H2" i="2" s="1"/>
  <c r="I2" i="2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P2" i="2" a="1"/>
  <c r="P2" i="2" s="1"/>
  <c r="Q2" i="2" a="1"/>
  <c r="Q2" i="2" s="1"/>
  <c r="R2" i="2" a="1"/>
  <c r="R2" i="2" s="1"/>
  <c r="S2" i="2" a="1"/>
  <c r="S2" i="2" s="1"/>
  <c r="T2" i="2" a="1"/>
  <c r="T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154" i="2" a="1"/>
  <c r="C154" i="2" s="1"/>
  <c r="C155" i="2" a="1"/>
  <c r="C155" i="2" s="1"/>
  <c r="C156" i="2" a="1"/>
  <c r="C156" i="2" s="1"/>
  <c r="C157" i="2" a="1"/>
  <c r="C157" i="2" s="1"/>
  <c r="C158" i="2" a="1"/>
  <c r="C158" i="2" s="1"/>
  <c r="C159" i="2" a="1"/>
  <c r="C159" i="2" s="1"/>
  <c r="C160" i="2" a="1"/>
  <c r="C160" i="2" s="1"/>
  <c r="C161" i="2" a="1"/>
  <c r="C161" i="2" s="1"/>
  <c r="C162" i="2" a="1"/>
  <c r="C162" i="2" s="1"/>
  <c r="C163" i="2" a="1"/>
  <c r="C163" i="2" s="1"/>
  <c r="C164" i="2" a="1"/>
  <c r="C164" i="2" s="1"/>
  <c r="C165" i="2" a="1"/>
  <c r="C165" i="2" s="1"/>
  <c r="C166" i="2" a="1"/>
  <c r="C166" i="2" s="1"/>
  <c r="C167" i="2" a="1"/>
  <c r="C167" i="2" s="1"/>
  <c r="C168" i="2" a="1"/>
  <c r="C168" i="2" s="1"/>
  <c r="C169" i="2" a="1"/>
  <c r="C169" i="2" s="1"/>
  <c r="C170" i="2" a="1"/>
  <c r="C170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1" i="2" a="1"/>
  <c r="C181" i="2" s="1"/>
  <c r="C182" i="2" a="1"/>
  <c r="C182" i="2" s="1"/>
  <c r="C183" i="2" a="1"/>
  <c r="C183" i="2" s="1"/>
  <c r="C184" i="2" a="1"/>
  <c r="C184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1" i="2" a="1"/>
  <c r="C191" i="2" s="1"/>
  <c r="C192" i="2" a="1"/>
  <c r="C192" i="2" s="1"/>
  <c r="C193" i="2" a="1"/>
  <c r="C193" i="2" s="1"/>
  <c r="C194" i="2" a="1"/>
  <c r="C194" i="2" s="1"/>
  <c r="C195" i="2" a="1"/>
  <c r="C195" i="2" s="1"/>
  <c r="C196" i="2" a="1"/>
  <c r="C196" i="2" s="1"/>
  <c r="C197" i="2" a="1"/>
  <c r="C197" i="2" s="1"/>
  <c r="C198" i="2" a="1"/>
  <c r="C198" i="2" s="1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 s="1"/>
  <c r="C210" i="2" a="1"/>
  <c r="C210" i="2" s="1"/>
  <c r="C211" i="2" a="1"/>
  <c r="C211" i="2" s="1"/>
  <c r="C212" i="2" a="1"/>
  <c r="C212" i="2" s="1"/>
  <c r="C213" i="2" a="1"/>
  <c r="C213" i="2" s="1"/>
  <c r="C214" i="2" a="1"/>
  <c r="C214" i="2" s="1"/>
  <c r="C215" i="2" a="1"/>
  <c r="C215" i="2" s="1"/>
  <c r="C216" i="2" a="1"/>
  <c r="C216" i="2" s="1"/>
  <c r="C217" i="2" a="1"/>
  <c r="C217" i="2" s="1"/>
  <c r="C218" i="2" a="1"/>
  <c r="C218" i="2" s="1"/>
  <c r="C219" i="2" a="1"/>
  <c r="C219" i="2" s="1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 s="1"/>
  <c r="C229" i="2" a="1"/>
  <c r="C229" i="2" s="1"/>
  <c r="C230" i="2" a="1"/>
  <c r="C230" i="2" s="1"/>
  <c r="C231" i="2" a="1"/>
  <c r="C231" i="2" s="1"/>
  <c r="C232" i="2" a="1"/>
  <c r="C232" i="2" s="1"/>
  <c r="C233" i="2" a="1"/>
  <c r="C233" i="2" s="1"/>
  <c r="C234" i="2" a="1"/>
  <c r="C234" i="2" s="1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 s="1"/>
  <c r="C241" i="2" a="1"/>
  <c r="C241" i="2" s="1"/>
  <c r="C242" i="2" a="1"/>
  <c r="C242" i="2" s="1"/>
  <c r="C243" i="2" a="1"/>
  <c r="C243" i="2" s="1"/>
  <c r="C244" i="2" a="1"/>
  <c r="C244" i="2" s="1"/>
  <c r="C245" i="2" a="1"/>
  <c r="C245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5" i="2" a="1"/>
  <c r="C255" i="2" s="1"/>
  <c r="C256" i="2" a="1"/>
  <c r="C256" i="2" s="1"/>
  <c r="C257" i="2" a="1"/>
  <c r="C257" i="2" s="1"/>
  <c r="C258" i="2" a="1"/>
  <c r="C258" i="2" s="1"/>
  <c r="C259" i="2" a="1"/>
  <c r="C259" i="2" s="1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 s="1"/>
  <c r="C271" i="2" a="1"/>
  <c r="C271" i="2" s="1"/>
  <c r="C272" i="2" a="1"/>
  <c r="C272" i="2" s="1"/>
  <c r="C273" i="2" a="1"/>
  <c r="C273" i="2" s="1"/>
  <c r="C274" i="2" a="1"/>
  <c r="C274" i="2" s="1"/>
  <c r="C275" i="2" a="1"/>
  <c r="C275" i="2" s="1"/>
  <c r="C276" i="2" a="1"/>
  <c r="C276" i="2" s="1"/>
  <c r="C277" i="2" a="1"/>
  <c r="C277" i="2" s="1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 s="1"/>
  <c r="C286" i="2" a="1"/>
  <c r="C286" i="2" s="1"/>
  <c r="C287" i="2" a="1"/>
  <c r="C287" i="2" s="1"/>
  <c r="C288" i="2" a="1"/>
  <c r="C288" i="2" s="1"/>
  <c r="C289" i="2" a="1"/>
  <c r="C289" i="2" s="1"/>
  <c r="C290" i="2" a="1"/>
  <c r="C290" i="2" s="1"/>
  <c r="C291" i="2" a="1"/>
  <c r="C291" i="2" s="1"/>
  <c r="C292" i="2" a="1"/>
  <c r="C292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 s="1"/>
  <c r="C301" i="2" a="1"/>
  <c r="C301" i="2" s="1"/>
  <c r="C302" i="2" a="1"/>
  <c r="C302" i="2" s="1"/>
  <c r="C303" i="2" a="1"/>
  <c r="C303" i="2" s="1"/>
  <c r="C304" i="2" a="1"/>
  <c r="C304" i="2" s="1"/>
  <c r="C305" i="2" a="1"/>
  <c r="C305" i="2" s="1"/>
  <c r="C306" i="2" a="1"/>
  <c r="C306" i="2" s="1"/>
  <c r="C307" i="2" a="1"/>
  <c r="C307" i="2" s="1"/>
  <c r="C308" i="2" a="1"/>
  <c r="C308" i="2" s="1"/>
  <c r="C309" i="2" a="1"/>
  <c r="C309" i="2" s="1"/>
  <c r="C310" i="2" a="1"/>
  <c r="C310" i="2" s="1"/>
  <c r="C311" i="2" a="1"/>
  <c r="C311" i="2" s="1"/>
  <c r="C312" i="2" a="1"/>
  <c r="C312" i="2" s="1"/>
  <c r="C313" i="2" a="1"/>
  <c r="C313" i="2" s="1"/>
  <c r="C314" i="2" a="1"/>
  <c r="C314" i="2" s="1"/>
  <c r="C315" i="2" a="1"/>
  <c r="C315" i="2" s="1"/>
  <c r="C316" i="2" a="1"/>
  <c r="C316" i="2" s="1"/>
  <c r="C317" i="2" a="1"/>
  <c r="C317" i="2" s="1"/>
  <c r="C318" i="2" a="1"/>
  <c r="C318" i="2" s="1"/>
  <c r="C319" i="2" a="1"/>
  <c r="C319" i="2" s="1"/>
  <c r="C320" i="2" a="1"/>
  <c r="C320" i="2" s="1"/>
  <c r="C321" i="2" a="1"/>
  <c r="C321" i="2" s="1"/>
  <c r="C322" i="2" a="1"/>
  <c r="C322" i="2" s="1"/>
  <c r="C323" i="2" a="1"/>
  <c r="C323" i="2" s="1"/>
  <c r="C324" i="2" a="1"/>
  <c r="C324" i="2" s="1"/>
  <c r="C325" i="2" a="1"/>
  <c r="C325" i="2" s="1"/>
  <c r="C326" i="2" a="1"/>
  <c r="C326" i="2" s="1"/>
  <c r="C327" i="2" a="1"/>
  <c r="C327" i="2" s="1"/>
  <c r="C328" i="2" a="1"/>
  <c r="C328" i="2" s="1"/>
  <c r="C329" i="2" a="1"/>
  <c r="C329" i="2" s="1"/>
  <c r="C330" i="2" a="1"/>
  <c r="C330" i="2" s="1"/>
  <c r="C331" i="2" a="1"/>
  <c r="C331" i="2" s="1"/>
  <c r="C332" i="2" a="1"/>
  <c r="C332" i="2" s="1"/>
  <c r="C333" i="2" a="1"/>
  <c r="C333" i="2" s="1"/>
  <c r="C334" i="2" a="1"/>
  <c r="C334" i="2" s="1"/>
  <c r="C335" i="2" a="1"/>
  <c r="C335" i="2" s="1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 s="1"/>
  <c r="C342" i="2" a="1"/>
  <c r="C342" i="2" s="1"/>
  <c r="C343" i="2" a="1"/>
  <c r="C343" i="2" s="1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 s="1"/>
  <c r="C350" i="2" a="1"/>
  <c r="C350" i="2" s="1"/>
  <c r="C351" i="2" a="1"/>
  <c r="C351" i="2" s="1"/>
  <c r="C352" i="2" a="1"/>
  <c r="C352" i="2" s="1"/>
  <c r="C353" i="2" a="1"/>
  <c r="C353" i="2" s="1"/>
  <c r="C354" i="2" a="1"/>
  <c r="C354" i="2" s="1"/>
  <c r="C355" i="2" a="1"/>
  <c r="C355" i="2" s="1"/>
  <c r="C356" i="2" a="1"/>
  <c r="C356" i="2" s="1"/>
  <c r="C357" i="2" a="1"/>
  <c r="C357" i="2" s="1"/>
  <c r="C358" i="2" a="1"/>
  <c r="C358" i="2" s="1"/>
  <c r="C359" i="2" a="1"/>
  <c r="C359" i="2" s="1"/>
  <c r="C360" i="2" a="1"/>
  <c r="C360" i="2" s="1"/>
  <c r="C361" i="2" a="1"/>
  <c r="C361" i="2" s="1"/>
  <c r="C362" i="2" a="1"/>
  <c r="C362" i="2" s="1"/>
  <c r="C363" i="2" a="1"/>
  <c r="C363" i="2" s="1"/>
  <c r="C364" i="2" a="1"/>
  <c r="C364" i="2" s="1"/>
  <c r="C365" i="2" a="1"/>
  <c r="C365" i="2" s="1"/>
  <c r="C366" i="2" a="1"/>
  <c r="C366" i="2" s="1"/>
  <c r="C367" i="2" a="1"/>
  <c r="C367" i="2" s="1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 s="1"/>
  <c r="C374" i="2" a="1"/>
  <c r="C374" i="2" s="1"/>
  <c r="C375" i="2" a="1"/>
  <c r="C375" i="2" s="1"/>
  <c r="C376" i="2" a="1"/>
  <c r="C376" i="2" s="1"/>
  <c r="C377" i="2" a="1"/>
  <c r="C377" i="2" s="1"/>
  <c r="C378" i="2" a="1"/>
  <c r="C378" i="2" s="1"/>
  <c r="C379" i="2" a="1"/>
  <c r="C379" i="2" s="1"/>
  <c r="C380" i="2" a="1"/>
  <c r="C380" i="2" s="1"/>
  <c r="C381" i="2" a="1"/>
  <c r="C381" i="2" s="1"/>
  <c r="C382" i="2" a="1"/>
  <c r="C382" i="2" s="1"/>
  <c r="C383" i="2" a="1"/>
  <c r="C383" i="2" s="1"/>
  <c r="C384" i="2" a="1"/>
  <c r="C384" i="2" s="1"/>
  <c r="C385" i="2" a="1"/>
  <c r="C385" i="2" s="1"/>
  <c r="C386" i="2" a="1"/>
  <c r="C386" i="2" s="1"/>
  <c r="C387" i="2" a="1"/>
  <c r="C387" i="2" s="1"/>
  <c r="C388" i="2" a="1"/>
  <c r="C388" i="2" s="1"/>
  <c r="C389" i="2" a="1"/>
  <c r="C389" i="2" s="1"/>
  <c r="C390" i="2" a="1"/>
  <c r="C390" i="2" s="1"/>
  <c r="C391" i="2" a="1"/>
  <c r="C391" i="2" s="1"/>
  <c r="C392" i="2" a="1"/>
  <c r="C392" i="2" s="1"/>
  <c r="C393" i="2" a="1"/>
  <c r="C393" i="2" s="1"/>
  <c r="C394" i="2" a="1"/>
  <c r="C394" i="2" s="1"/>
  <c r="C395" i="2" a="1"/>
  <c r="C395" i="2" s="1"/>
  <c r="C396" i="2" a="1"/>
  <c r="C396" i="2" s="1"/>
  <c r="C397" i="2" a="1"/>
  <c r="C397" i="2" s="1"/>
  <c r="C398" i="2" a="1"/>
  <c r="C398" i="2" s="1"/>
  <c r="C399" i="2" a="1"/>
  <c r="C399" i="2" s="1"/>
  <c r="C400" i="2" a="1"/>
  <c r="C400" i="2" s="1"/>
  <c r="C401" i="2" a="1"/>
  <c r="C401" i="2" s="1"/>
  <c r="C402" i="2" a="1"/>
  <c r="C402" i="2" s="1"/>
  <c r="C403" i="2" a="1"/>
  <c r="C403" i="2" s="1"/>
  <c r="C404" i="2" a="1"/>
  <c r="C404" i="2" s="1"/>
  <c r="C405" i="2" a="1"/>
  <c r="C405" i="2" s="1"/>
  <c r="C406" i="2" a="1"/>
  <c r="C406" i="2" s="1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 s="1"/>
  <c r="C414" i="2" a="1"/>
  <c r="C414" i="2" s="1"/>
  <c r="C415" i="2" a="1"/>
  <c r="C415" i="2" s="1"/>
  <c r="C416" i="2" a="1"/>
  <c r="C416" i="2" s="1"/>
  <c r="C417" i="2" a="1"/>
  <c r="C417" i="2" s="1"/>
  <c r="C418" i="2" a="1"/>
  <c r="C418" i="2" s="1"/>
  <c r="C419" i="2" a="1"/>
  <c r="C419" i="2" s="1"/>
  <c r="C420" i="2" a="1"/>
  <c r="C420" i="2" s="1"/>
  <c r="C421" i="2" a="1"/>
  <c r="C421" i="2" s="1"/>
  <c r="C422" i="2" a="1"/>
  <c r="C422" i="2" s="1"/>
  <c r="C423" i="2" a="1"/>
  <c r="C423" i="2" s="1"/>
  <c r="C424" i="2" a="1"/>
  <c r="C424" i="2" s="1"/>
  <c r="C425" i="2" a="1"/>
  <c r="C425" i="2" s="1"/>
  <c r="C426" i="2" a="1"/>
  <c r="C426" i="2" s="1"/>
  <c r="C427" i="2" a="1"/>
  <c r="C427" i="2" s="1"/>
  <c r="C428" i="2" a="1"/>
  <c r="C428" i="2" s="1"/>
  <c r="C429" i="2" a="1"/>
  <c r="C429" i="2" s="1"/>
  <c r="C430" i="2" a="1"/>
  <c r="C430" i="2" s="1"/>
  <c r="C431" i="2" a="1"/>
  <c r="C431" i="2" s="1"/>
  <c r="C432" i="2" a="1"/>
  <c r="C432" i="2" s="1"/>
  <c r="C433" i="2" a="1"/>
  <c r="C433" i="2" s="1"/>
  <c r="C434" i="2" a="1"/>
  <c r="C434" i="2" s="1"/>
  <c r="C435" i="2" a="1"/>
  <c r="C435" i="2" s="1"/>
  <c r="C436" i="2" a="1"/>
  <c r="C436" i="2" s="1"/>
  <c r="C437" i="2" a="1"/>
  <c r="C437" i="2" s="1"/>
  <c r="C438" i="2" a="1"/>
  <c r="C438" i="2" s="1"/>
  <c r="C439" i="2" a="1"/>
  <c r="C439" i="2" s="1"/>
  <c r="C440" i="2" a="1"/>
  <c r="C440" i="2" s="1"/>
  <c r="C441" i="2" a="1"/>
  <c r="C441" i="2" s="1"/>
  <c r="C442" i="2" a="1"/>
  <c r="C442" i="2" s="1"/>
  <c r="C443" i="2" a="1"/>
  <c r="C443" i="2" s="1"/>
  <c r="C444" i="2" a="1"/>
  <c r="C444" i="2" s="1"/>
  <c r="C445" i="2" a="1"/>
  <c r="C445" i="2" s="1"/>
  <c r="C446" i="2" a="1"/>
  <c r="C446" i="2" s="1"/>
  <c r="C447" i="2" a="1"/>
  <c r="C447" i="2" s="1"/>
  <c r="C448" i="2" a="1"/>
  <c r="C448" i="2" s="1"/>
  <c r="C449" i="2" a="1"/>
  <c r="C449" i="2" s="1"/>
  <c r="C450" i="2" a="1"/>
  <c r="C450" i="2" s="1"/>
  <c r="C451" i="2" a="1"/>
  <c r="C451" i="2" s="1"/>
  <c r="C452" i="2" a="1"/>
  <c r="C452" i="2" s="1"/>
  <c r="C453" i="2" a="1"/>
  <c r="C453" i="2" s="1"/>
  <c r="C454" i="2" a="1"/>
  <c r="C454" i="2" s="1"/>
  <c r="C455" i="2" a="1"/>
  <c r="C455" i="2" s="1"/>
  <c r="C456" i="2" a="1"/>
  <c r="C456" i="2" s="1"/>
  <c r="C457" i="2" a="1"/>
  <c r="C457" i="2" s="1"/>
  <c r="C458" i="2" a="1"/>
  <c r="C458" i="2" s="1"/>
  <c r="C459" i="2" a="1"/>
  <c r="C459" i="2" s="1"/>
  <c r="C460" i="2" a="1"/>
  <c r="C460" i="2" s="1"/>
  <c r="C461" i="2" a="1"/>
  <c r="C461" i="2" s="1"/>
  <c r="C462" i="2" a="1"/>
  <c r="C462" i="2" s="1"/>
  <c r="C463" i="2" a="1"/>
  <c r="C463" i="2" s="1"/>
  <c r="C464" i="2" a="1"/>
  <c r="C464" i="2" s="1"/>
  <c r="C465" i="2" a="1"/>
  <c r="C465" i="2" s="1"/>
  <c r="C466" i="2" a="1"/>
  <c r="C466" i="2" s="1"/>
  <c r="C467" i="2" a="1"/>
  <c r="C467" i="2" s="1"/>
  <c r="C468" i="2" a="1"/>
  <c r="C468" i="2" s="1"/>
  <c r="C469" i="2" a="1"/>
  <c r="C469" i="2" s="1"/>
  <c r="C470" i="2" a="1"/>
  <c r="C470" i="2" s="1"/>
  <c r="C471" i="2" a="1"/>
  <c r="C471" i="2" s="1"/>
  <c r="C472" i="2" a="1"/>
  <c r="C472" i="2" s="1"/>
  <c r="C473" i="2" a="1"/>
  <c r="C473" i="2" s="1"/>
  <c r="C474" i="2" a="1"/>
  <c r="C474" i="2" s="1"/>
  <c r="C475" i="2" a="1"/>
  <c r="C475" i="2" s="1"/>
  <c r="C476" i="2" a="1"/>
  <c r="C476" i="2" s="1"/>
  <c r="C477" i="2" a="1"/>
  <c r="C477" i="2" s="1"/>
  <c r="C478" i="2" a="1"/>
  <c r="C478" i="2" s="1"/>
  <c r="C479" i="2" a="1"/>
  <c r="C479" i="2" s="1"/>
  <c r="C480" i="2" a="1"/>
  <c r="C480" i="2" s="1"/>
  <c r="C481" i="2" a="1"/>
  <c r="C481" i="2" s="1"/>
  <c r="C482" i="2" a="1"/>
  <c r="C482" i="2" s="1"/>
  <c r="C483" i="2" a="1"/>
  <c r="C483" i="2" s="1"/>
  <c r="C484" i="2" a="1"/>
  <c r="C484" i="2" s="1"/>
  <c r="C485" i="2" a="1"/>
  <c r="C485" i="2" s="1"/>
  <c r="C486" i="2" a="1"/>
  <c r="C486" i="2" s="1"/>
  <c r="C487" i="2" a="1"/>
  <c r="C487" i="2" s="1"/>
  <c r="C488" i="2" a="1"/>
  <c r="C488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 s="1"/>
  <c r="C500" i="2" a="1"/>
  <c r="C500" i="2" s="1"/>
  <c r="C501" i="2" a="1"/>
  <c r="C501" i="2" s="1"/>
  <c r="C502" i="2" a="1"/>
  <c r="C502" i="2" s="1"/>
  <c r="C503" i="2" a="1"/>
  <c r="C503" i="2" s="1"/>
  <c r="C504" i="2" a="1"/>
  <c r="C504" i="2" s="1"/>
  <c r="C505" i="2" a="1"/>
  <c r="C505" i="2" s="1"/>
  <c r="C506" i="2" a="1"/>
  <c r="C506" i="2" s="1"/>
  <c r="C507" i="2" a="1"/>
  <c r="C507" i="2" s="1"/>
  <c r="C508" i="2" a="1"/>
  <c r="C508" i="2" s="1"/>
  <c r="C509" i="2" a="1"/>
  <c r="C509" i="2" s="1"/>
  <c r="C510" i="2" a="1"/>
  <c r="C510" i="2" s="1"/>
  <c r="C511" i="2" a="1"/>
  <c r="C511" i="2" s="1"/>
  <c r="C512" i="2" a="1"/>
  <c r="C512" i="2" s="1"/>
  <c r="C513" i="2" a="1"/>
  <c r="C513" i="2" s="1"/>
  <c r="C514" i="2" a="1"/>
  <c r="C514" i="2" s="1"/>
  <c r="C515" i="2" a="1"/>
  <c r="C515" i="2" s="1"/>
  <c r="C516" i="2" a="1"/>
  <c r="C516" i="2" s="1"/>
  <c r="C517" i="2" a="1"/>
  <c r="C517" i="2" s="1"/>
  <c r="C518" i="2" a="1"/>
  <c r="C518" i="2" s="1"/>
  <c r="C519" i="2" a="1"/>
  <c r="C519" i="2" s="1"/>
  <c r="C520" i="2" a="1"/>
  <c r="C520" i="2" s="1"/>
  <c r="C521" i="2" a="1"/>
  <c r="C521" i="2" s="1"/>
  <c r="C522" i="2" a="1"/>
  <c r="C522" i="2" s="1"/>
  <c r="C523" i="2" a="1"/>
  <c r="C523" i="2" s="1"/>
  <c r="C524" i="2" a="1"/>
  <c r="C524" i="2" s="1"/>
  <c r="C525" i="2" a="1"/>
  <c r="C525" i="2" s="1"/>
  <c r="C526" i="2" a="1"/>
  <c r="C526" i="2" s="1"/>
  <c r="C527" i="2" a="1"/>
  <c r="C527" i="2" s="1"/>
  <c r="C528" i="2" a="1"/>
  <c r="C528" i="2" s="1"/>
  <c r="C529" i="2" a="1"/>
  <c r="C529" i="2" s="1"/>
  <c r="C2" i="2" a="1"/>
  <c r="C2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28" i="2" a="1"/>
  <c r="B528" i="2" s="1"/>
  <c r="B529" i="2" a="1"/>
  <c r="B52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<sst xmlns="http://schemas.openxmlformats.org/spreadsheetml/2006/main" count="4224" uniqueCount="1843">
  <si>
    <t>Gene names</t>
  </si>
  <si>
    <t>riBAQ 17</t>
  </si>
  <si>
    <t>riBAQ 18</t>
  </si>
  <si>
    <t>riBAQ 35</t>
  </si>
  <si>
    <t>riBAQ 36</t>
  </si>
  <si>
    <t>riBAQ 19</t>
  </si>
  <si>
    <t>riBAQ 20</t>
  </si>
  <si>
    <t>riBAQ 21</t>
  </si>
  <si>
    <t>riBAQ 22</t>
  </si>
  <si>
    <t>riBAQ 23</t>
  </si>
  <si>
    <t>riBAQ 37</t>
  </si>
  <si>
    <t>riBAQ 38</t>
  </si>
  <si>
    <t>riBAQ 39</t>
  </si>
  <si>
    <t>riBAQ 40</t>
  </si>
  <si>
    <t>riBAQ 41</t>
  </si>
  <si>
    <t>riBAQ 24</t>
  </si>
  <si>
    <t>riBAQ 25</t>
  </si>
  <si>
    <t>riBAQ 26</t>
  </si>
  <si>
    <t>riBAQ 42</t>
  </si>
  <si>
    <t>riBAQ 43</t>
  </si>
  <si>
    <t>A2M</t>
  </si>
  <si>
    <t>AAK1</t>
  </si>
  <si>
    <t>AARS</t>
  </si>
  <si>
    <t>AASDHPPT</t>
  </si>
  <si>
    <t>ABAT</t>
  </si>
  <si>
    <t>ABCA8</t>
  </si>
  <si>
    <t>ABCB1</t>
  </si>
  <si>
    <t>ABCC4</t>
  </si>
  <si>
    <t>ABHD10</t>
  </si>
  <si>
    <t>ABHD12</t>
  </si>
  <si>
    <t>ABHD14B</t>
  </si>
  <si>
    <t>ABI1</t>
  </si>
  <si>
    <t>ABI2</t>
  </si>
  <si>
    <t>ABLIM1</t>
  </si>
  <si>
    <t>ABR</t>
  </si>
  <si>
    <t>ACAA1</t>
  </si>
  <si>
    <t>ACAA2</t>
  </si>
  <si>
    <t>ACADM</t>
  </si>
  <si>
    <t>ACADVL</t>
  </si>
  <si>
    <t>ACAN</t>
  </si>
  <si>
    <t>ACAT1</t>
  </si>
  <si>
    <t>ACAT2</t>
  </si>
  <si>
    <t>ACBD7</t>
  </si>
  <si>
    <t>ACLY</t>
  </si>
  <si>
    <t>ACO1</t>
  </si>
  <si>
    <t>ACO2</t>
  </si>
  <si>
    <t>ACOT1</t>
  </si>
  <si>
    <t>ACOT7</t>
  </si>
  <si>
    <t>ACOX1</t>
  </si>
  <si>
    <t>ACP1</t>
  </si>
  <si>
    <t>ACP2</t>
  </si>
  <si>
    <t>ACSBG1</t>
  </si>
  <si>
    <t>ACSL6</t>
  </si>
  <si>
    <t>ACSS1</t>
  </si>
  <si>
    <t>ACSS3</t>
  </si>
  <si>
    <t>ACTC1</t>
  </si>
  <si>
    <t>ACTG1</t>
  </si>
  <si>
    <t>ACTN1</t>
  </si>
  <si>
    <t>ACTN4</t>
  </si>
  <si>
    <t>ACTR1A</t>
  </si>
  <si>
    <t>ACTR1B</t>
  </si>
  <si>
    <t>ACTR2</t>
  </si>
  <si>
    <t>ACTR3</t>
  </si>
  <si>
    <t>ACTR3B</t>
  </si>
  <si>
    <t>ACY1</t>
  </si>
  <si>
    <t>ACYP1</t>
  </si>
  <si>
    <t>ACYP2</t>
  </si>
  <si>
    <t>ADAM10</t>
  </si>
  <si>
    <t>ADAM11</t>
  </si>
  <si>
    <t>ADAM22</t>
  </si>
  <si>
    <t>ADAM9</t>
  </si>
  <si>
    <t>ADAP1</t>
  </si>
  <si>
    <t>ADCY1</t>
  </si>
  <si>
    <t>ADCY2</t>
  </si>
  <si>
    <t>ADD1</t>
  </si>
  <si>
    <t>ADD2</t>
  </si>
  <si>
    <t>ADD3</t>
  </si>
  <si>
    <t>ADGRL3</t>
  </si>
  <si>
    <t>ADH5</t>
  </si>
  <si>
    <t>ADK</t>
  </si>
  <si>
    <t>ADRBK1</t>
  </si>
  <si>
    <t>ADSS</t>
  </si>
  <si>
    <t>AGL</t>
  </si>
  <si>
    <t>AGRN</t>
  </si>
  <si>
    <t>AGT</t>
  </si>
  <si>
    <t>AHCY</t>
  </si>
  <si>
    <t>AHCYL1</t>
  </si>
  <si>
    <t>AHCYL2</t>
  </si>
  <si>
    <t>AHNAK</t>
  </si>
  <si>
    <t>AHNAK2</t>
  </si>
  <si>
    <t>AHSA1</t>
  </si>
  <si>
    <t>AIFM1</t>
  </si>
  <si>
    <t>AIMP1</t>
  </si>
  <si>
    <t>AK1</t>
  </si>
  <si>
    <t>AK2</t>
  </si>
  <si>
    <t>AK3</t>
  </si>
  <si>
    <t>AK4</t>
  </si>
  <si>
    <t>AKAP12</t>
  </si>
  <si>
    <t>AKR1A1</t>
  </si>
  <si>
    <t>AKR1B1</t>
  </si>
  <si>
    <t>AKR1C3</t>
  </si>
  <si>
    <t>AKR7A2</t>
  </si>
  <si>
    <t>ALAD</t>
  </si>
  <si>
    <t>ALCAM</t>
  </si>
  <si>
    <t>ALDH1A1</t>
  </si>
  <si>
    <t>ALDH1L1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</si>
  <si>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</si>
  <si>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</si>
  <si>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</si>
  <si>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</si>
  <si>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</si>
  <si>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</si>
  <si>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</si>
  <si>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</si>
  <si>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ALDOC</t>
  </si>
  <si>
    <t>ALPL</t>
  </si>
  <si>
    <t>AMPD2</t>
  </si>
  <si>
    <t>AMPH</t>
  </si>
  <si>
    <t>ANK2</t>
  </si>
  <si>
    <t>ANK3</t>
  </si>
  <si>
    <t>ANKFY1</t>
  </si>
  <si>
    <t>ANO6</t>
  </si>
  <si>
    <t>ANP32A</t>
  </si>
  <si>
    <t>ANTXR1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</si>
  <si>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</si>
  <si>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</si>
  <si>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</si>
  <si>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</si>
  <si>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</si>
  <si>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</si>
  <si>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</si>
  <si>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</si>
  <si>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AOC3</t>
  </si>
  <si>
    <t>AP1B1</t>
  </si>
  <si>
    <t>AP1G1</t>
  </si>
  <si>
    <t>AP2A1</t>
  </si>
  <si>
    <t>AP2A2</t>
  </si>
  <si>
    <t>AP2B1</t>
  </si>
  <si>
    <t>AP2M1</t>
  </si>
  <si>
    <t>AP3B2</t>
  </si>
  <si>
    <t>AP3D1</t>
  </si>
  <si>
    <t>AP3M2</t>
  </si>
  <si>
    <t>APBA1</t>
  </si>
  <si>
    <t>APEH</t>
  </si>
  <si>
    <t>APEX1</t>
  </si>
  <si>
    <t>APMAP</t>
  </si>
  <si>
    <t>APOA1</t>
  </si>
  <si>
    <t>APOA1BP</t>
  </si>
  <si>
    <t>APOB</t>
  </si>
  <si>
    <t>APOD</t>
  </si>
  <si>
    <t>APOE</t>
  </si>
  <si>
    <t>APOH</t>
  </si>
  <si>
    <t>APP</t>
  </si>
  <si>
    <t>APPL1</t>
  </si>
  <si>
    <t>APPL2</t>
  </si>
  <si>
    <t>APRT</t>
  </si>
  <si>
    <t>AQP4</t>
  </si>
  <si>
    <t>ARF1</t>
  </si>
  <si>
    <t>ARF4</t>
  </si>
  <si>
    <t>ARF5</t>
  </si>
  <si>
    <t>ARHGAP1</t>
  </si>
  <si>
    <t>ARHGAP35</t>
  </si>
  <si>
    <t>ARHGAP5</t>
  </si>
  <si>
    <t>ARHGDIA</t>
  </si>
  <si>
    <t>ARHGDIB</t>
  </si>
  <si>
    <t>ARHGEF12</t>
  </si>
  <si>
    <t>ARHGEF2</t>
  </si>
  <si>
    <t>ARHGEF7</t>
  </si>
  <si>
    <t>ARL3</t>
  </si>
  <si>
    <t>ARL8A</t>
  </si>
  <si>
    <t>ARMT1</t>
  </si>
  <si>
    <t>ARPC1A</t>
  </si>
  <si>
    <t>ARPC2</t>
  </si>
  <si>
    <t>ARPC3</t>
  </si>
  <si>
    <t>ARPC4-TTLL3</t>
  </si>
  <si>
    <t>ARPC5</t>
  </si>
  <si>
    <t>ARPC5L</t>
  </si>
  <si>
    <t>ARPP19</t>
  </si>
  <si>
    <t>ARRB1</t>
  </si>
  <si>
    <t>ARVCF</t>
  </si>
  <si>
    <t>ASAH1</t>
  </si>
  <si>
    <t>ASMTL</t>
  </si>
  <si>
    <t>ASNA1</t>
  </si>
  <si>
    <t>ASPA</t>
  </si>
  <si>
    <t>ASPH</t>
  </si>
  <si>
    <t>ASRGL1</t>
  </si>
  <si>
    <t>ASS1</t>
  </si>
  <si>
    <t>ATCAY</t>
  </si>
  <si>
    <t>ATG7</t>
  </si>
  <si>
    <t>ATIC</t>
  </si>
  <si>
    <t>ATL1</t>
  </si>
  <si>
    <t>ATL3</t>
  </si>
  <si>
    <t>ATOX1</t>
  </si>
  <si>
    <t>ATP1A1</t>
  </si>
  <si>
    <t>ATP1A2</t>
  </si>
  <si>
    <t>ATP1A3</t>
  </si>
  <si>
    <t>ATP1B1</t>
  </si>
  <si>
    <t>ATP1B2</t>
  </si>
  <si>
    <t>ATP1B3</t>
  </si>
  <si>
    <t>ATP2A2</t>
  </si>
  <si>
    <t>ATP2B1</t>
  </si>
  <si>
    <t>ATP2B2</t>
  </si>
  <si>
    <t>ATP2B3</t>
  </si>
  <si>
    <t>ATP2B4</t>
  </si>
  <si>
    <t>ATP5A1</t>
  </si>
  <si>
    <t>ATP5B</t>
  </si>
  <si>
    <t>ATP5C1</t>
  </si>
  <si>
    <t>ATP5F1</t>
  </si>
  <si>
    <t>ATP5H</t>
  </si>
  <si>
    <t>ATP5O</t>
  </si>
  <si>
    <t>ATP6V0A1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</si>
  <si>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</si>
  <si>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</si>
  <si>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</si>
  <si>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</si>
  <si>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</si>
  <si>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</si>
  <si>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</si>
  <si>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</si>
  <si>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</si>
  <si>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</si>
  <si>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ATP8A1</t>
  </si>
  <si>
    <t>ATP9A</t>
  </si>
  <si>
    <t>ATRN</t>
  </si>
  <si>
    <t>ATXN10</t>
  </si>
  <si>
    <t>B3GALTL</t>
  </si>
  <si>
    <t>B4GAT1</t>
  </si>
  <si>
    <t>BAG3</t>
  </si>
  <si>
    <t>BAG6</t>
  </si>
  <si>
    <t>BAIAP2</t>
  </si>
  <si>
    <t>BANF1</t>
  </si>
  <si>
    <t>BASP1</t>
  </si>
  <si>
    <t>BBOX1</t>
  </si>
  <si>
    <t>BCAM</t>
  </si>
  <si>
    <t>BCAN</t>
  </si>
  <si>
    <t>BCAP31</t>
  </si>
  <si>
    <t>BCAS1</t>
  </si>
  <si>
    <t>BDH2</t>
  </si>
  <si>
    <t>BGN</t>
  </si>
  <si>
    <t>BIN1</t>
  </si>
  <si>
    <t>BLMH</t>
  </si>
  <si>
    <t>BLVRA</t>
  </si>
  <si>
    <t>BLVRB</t>
  </si>
  <si>
    <t>BPNT1</t>
  </si>
  <si>
    <t>BRK1</t>
  </si>
  <si>
    <t>BSG</t>
  </si>
  <si>
    <t>BSN</t>
  </si>
  <si>
    <t>BST1</t>
  </si>
  <si>
    <t>BTN3A3</t>
  </si>
  <si>
    <t>C11orf54</t>
  </si>
  <si>
    <t>C11orf68</t>
  </si>
  <si>
    <t>C14orf166</t>
  </si>
  <si>
    <t>C16orf13</t>
  </si>
  <si>
    <t>C1QBP</t>
  </si>
  <si>
    <t>C3</t>
  </si>
  <si>
    <t>C4A</t>
  </si>
  <si>
    <t>CA1</t>
  </si>
  <si>
    <t>CA2</t>
  </si>
  <si>
    <t>CA4</t>
  </si>
  <si>
    <t>CAB39</t>
  </si>
  <si>
    <t>CAB39L</t>
  </si>
  <si>
    <t>CACNA2D1</t>
  </si>
  <si>
    <t>CACNA2D2</t>
  </si>
  <si>
    <t>CACNA2D3</t>
  </si>
  <si>
    <t>CACYBP</t>
  </si>
  <si>
    <t>CADM1</t>
  </si>
  <si>
    <t>CADM2</t>
  </si>
  <si>
    <t>CADM3</t>
  </si>
  <si>
    <t>CADM4</t>
  </si>
  <si>
    <t>CADPS</t>
  </si>
  <si>
    <t>CALB1</t>
  </si>
  <si>
    <t>CALB2</t>
  </si>
  <si>
    <t>CALM2</t>
  </si>
  <si>
    <t>CALML5</t>
  </si>
  <si>
    <t>CALR</t>
  </si>
  <si>
    <t>CALU</t>
  </si>
  <si>
    <t>CAMK1D</t>
  </si>
  <si>
    <t>CAMK2A</t>
  </si>
  <si>
    <t>CAMK2B</t>
  </si>
  <si>
    <t>CAMK2D</t>
  </si>
  <si>
    <t>CAMK2G</t>
  </si>
  <si>
    <t>CAMK4</t>
  </si>
  <si>
    <t>CAMKV</t>
  </si>
  <si>
    <t>CAMSAP3</t>
  </si>
  <si>
    <t>CAND1</t>
  </si>
  <si>
    <t>CANX</t>
  </si>
  <si>
    <t>CAP1</t>
  </si>
  <si>
    <t>CAP2</t>
  </si>
  <si>
    <t>CAPG</t>
  </si>
  <si>
    <t>CAPN1</t>
  </si>
  <si>
    <t>CAPN2</t>
  </si>
  <si>
    <t>CAPN5</t>
  </si>
  <si>
    <t>CAPNS1</t>
  </si>
  <si>
    <t>CAPS</t>
  </si>
  <si>
    <t>CAPZA1</t>
  </si>
  <si>
    <t>CAPZA2</t>
  </si>
  <si>
    <t>CAPZB</t>
  </si>
  <si>
    <t>CARKD</t>
  </si>
  <si>
    <t>CARS</t>
  </si>
  <si>
    <t>CASKIN1</t>
  </si>
  <si>
    <t>CASP14</t>
  </si>
  <si>
    <t>CAST</t>
  </si>
  <si>
    <t>CAT</t>
  </si>
  <si>
    <t>CAV1</t>
  </si>
  <si>
    <t>CBR1</t>
  </si>
  <si>
    <t>CBR3</t>
  </si>
  <si>
    <t>CBS</t>
  </si>
  <si>
    <t>CCDC6</t>
  </si>
  <si>
    <t>CCNY</t>
  </si>
  <si>
    <t>CCT2</t>
  </si>
  <si>
    <t>CCT3</t>
  </si>
  <si>
    <t>CCT4</t>
  </si>
  <si>
    <t>CCT5</t>
  </si>
  <si>
    <t>CCT6A</t>
  </si>
  <si>
    <t>CCT7</t>
  </si>
  <si>
    <t>CCT8</t>
  </si>
  <si>
    <t>CD109</t>
  </si>
  <si>
    <t>CD14</t>
  </si>
  <si>
    <t>CD163</t>
  </si>
  <si>
    <t>CD200</t>
  </si>
  <si>
    <t>CD38</t>
  </si>
  <si>
    <t>CD44</t>
  </si>
  <si>
    <t>CD47</t>
  </si>
  <si>
    <t>CD81</t>
  </si>
  <si>
    <t>CD82</t>
  </si>
  <si>
    <t>CD9</t>
  </si>
  <si>
    <t>CDC37</t>
  </si>
  <si>
    <t>CDC42</t>
  </si>
  <si>
    <t>CDC42BPB</t>
  </si>
  <si>
    <t>CDC42EP4</t>
  </si>
  <si>
    <t>CDH13</t>
  </si>
  <si>
    <t>CDH2</t>
  </si>
  <si>
    <t>CDK5</t>
  </si>
  <si>
    <t>CELSR2</t>
  </si>
  <si>
    <t>CES1</t>
  </si>
  <si>
    <t>CFH</t>
  </si>
  <si>
    <t>CFL1</t>
  </si>
  <si>
    <t>CFL2</t>
  </si>
  <si>
    <t>CHCHD3</t>
  </si>
  <si>
    <t>CHDH</t>
  </si>
  <si>
    <t>CHGA</t>
  </si>
  <si>
    <t>CHGB</t>
  </si>
  <si>
    <t>CHL1</t>
  </si>
  <si>
    <t>CHMP4B</t>
  </si>
  <si>
    <t>CHORDC1</t>
  </si>
  <si>
    <t>CHP1</t>
  </si>
  <si>
    <t>CIB1</t>
  </si>
  <si>
    <t>CISD1</t>
  </si>
  <si>
    <t>CKAP4</t>
  </si>
  <si>
    <t>CKAP5</t>
  </si>
  <si>
    <t>CKB</t>
  </si>
  <si>
    <t>CKMT1A</t>
  </si>
  <si>
    <t>CLASP2</t>
  </si>
  <si>
    <t>CLEC2L</t>
  </si>
  <si>
    <t>CLIC1</t>
  </si>
  <si>
    <t>CLIC4</t>
  </si>
  <si>
    <t>CLIP2</t>
  </si>
  <si>
    <t>CLTA</t>
  </si>
  <si>
    <t>CLTB</t>
  </si>
  <si>
    <t>CLTC</t>
  </si>
  <si>
    <t>CLU</t>
  </si>
  <si>
    <t>CMBL</t>
  </si>
  <si>
    <t>CMPK1</t>
  </si>
  <si>
    <t>CNDP1</t>
  </si>
  <si>
    <t>CNDP2</t>
  </si>
  <si>
    <t>CNN3</t>
  </si>
  <si>
    <t>CNP</t>
  </si>
  <si>
    <t>CNPY2</t>
  </si>
  <si>
    <t>CNRIP1</t>
  </si>
  <si>
    <t>CNTFR</t>
  </si>
  <si>
    <t>CNTN1</t>
  </si>
  <si>
    <t>CNTN2</t>
  </si>
  <si>
    <t>CNTNAP1</t>
  </si>
  <si>
    <t>CNTNAP2</t>
  </si>
  <si>
    <t>COA6</t>
  </si>
  <si>
    <t>COASY</t>
  </si>
  <si>
    <t>COL1A1</t>
  </si>
  <si>
    <t>COL4A1</t>
  </si>
  <si>
    <t>COL4A2</t>
  </si>
  <si>
    <t>COL6A1</t>
  </si>
  <si>
    <t>COL6A2</t>
  </si>
  <si>
    <t>COL6A3</t>
  </si>
  <si>
    <t>COLEC12</t>
  </si>
  <si>
    <t>COMT</t>
  </si>
  <si>
    <t>COPA</t>
  </si>
  <si>
    <t>COPB1</t>
  </si>
  <si>
    <t>COPS2</t>
  </si>
  <si>
    <t>COPS3</t>
  </si>
  <si>
    <t>COPS4</t>
  </si>
  <si>
    <t>COPS5</t>
  </si>
  <si>
    <t>COPS6</t>
  </si>
  <si>
    <t>COPS7A</t>
  </si>
  <si>
    <t>CORO1A</t>
  </si>
  <si>
    <t>CORO1B</t>
  </si>
  <si>
    <t>CORO1C</t>
  </si>
  <si>
    <t>CORO2B</t>
  </si>
  <si>
    <t>COTL1</t>
  </si>
  <si>
    <t>COX4I1</t>
  </si>
  <si>
    <t>COX5A</t>
  </si>
  <si>
    <t>COX5B</t>
  </si>
  <si>
    <t>COX6B1</t>
  </si>
  <si>
    <t>CP</t>
  </si>
  <si>
    <t>CPE</t>
  </si>
  <si>
    <t>CPLX1</t>
  </si>
  <si>
    <t>CPLX2</t>
  </si>
  <si>
    <t>CPM</t>
  </si>
  <si>
    <t>CPNE1</t>
  </si>
  <si>
    <t>CPNE2</t>
  </si>
  <si>
    <t>CPNE3</t>
  </si>
  <si>
    <t>CPNE4</t>
  </si>
  <si>
    <t>CPNE5</t>
  </si>
  <si>
    <t>CPNE6</t>
  </si>
  <si>
    <t>CPNE8</t>
  </si>
  <si>
    <t>CPPED1</t>
  </si>
  <si>
    <t>CPT1A</t>
  </si>
  <si>
    <t>CRABP1</t>
  </si>
  <si>
    <t>CRAT</t>
  </si>
  <si>
    <t>CRK</t>
  </si>
  <si>
    <t>CRKL</t>
  </si>
  <si>
    <t>CRMP1</t>
  </si>
  <si>
    <t>CRTAC1</t>
  </si>
  <si>
    <t>CRYAB</t>
  </si>
  <si>
    <t>CRYL1</t>
  </si>
  <si>
    <t>CRYM</t>
  </si>
  <si>
    <t>CRYZ</t>
  </si>
  <si>
    <t>CS</t>
  </si>
  <si>
    <t>CSE1L</t>
  </si>
  <si>
    <t>CSNK1G3</t>
  </si>
  <si>
    <t>CSNK2A1</t>
  </si>
  <si>
    <t>CSNK2A2</t>
  </si>
  <si>
    <t>CSNK2B-LY6G5B-1181</t>
  </si>
  <si>
    <t>CSRP1</t>
  </si>
  <si>
    <t>CST3</t>
  </si>
  <si>
    <t>CSTB</t>
  </si>
  <si>
    <t>CTBP1</t>
  </si>
  <si>
    <t>CTNNA1</t>
  </si>
  <si>
    <t>CTNNA2</t>
  </si>
  <si>
    <t>CTNNB1</t>
  </si>
  <si>
    <t>CTNND1</t>
  </si>
  <si>
    <t>CTNND2</t>
  </si>
  <si>
    <t>CTSB</t>
  </si>
  <si>
    <t>CTSD</t>
  </si>
  <si>
    <t>CTSH</t>
  </si>
  <si>
    <t>CTTN</t>
  </si>
  <si>
    <t>CUL1</t>
  </si>
  <si>
    <t>CUL2</t>
  </si>
  <si>
    <t>CUL3</t>
  </si>
  <si>
    <t>CUL4B</t>
  </si>
  <si>
    <t>CUL5</t>
  </si>
  <si>
    <t>CXADR</t>
  </si>
  <si>
    <t>CYB5R1</t>
  </si>
  <si>
    <t>CYB5R2</t>
  </si>
  <si>
    <t>CYB5R3</t>
  </si>
  <si>
    <t>CYBB</t>
  </si>
  <si>
    <t>CYC1</t>
  </si>
  <si>
    <t>CYCS</t>
  </si>
  <si>
    <t>CYFIP1</t>
  </si>
  <si>
    <t>CYFIP2</t>
  </si>
  <si>
    <t>CYP4F11</t>
  </si>
  <si>
    <t>DAAM1</t>
  </si>
  <si>
    <t>DAAM2</t>
  </si>
  <si>
    <t>DAG1</t>
  </si>
  <si>
    <t>DAK</t>
  </si>
  <si>
    <t>DARS</t>
  </si>
  <si>
    <t>DBI</t>
  </si>
  <si>
    <t>DBN1</t>
  </si>
  <si>
    <t>DBNL</t>
  </si>
  <si>
    <t>DCD</t>
  </si>
  <si>
    <t>DCLK1</t>
  </si>
  <si>
    <t>DCLK2</t>
  </si>
  <si>
    <t>DCTN1</t>
  </si>
  <si>
    <t>DCTN2</t>
  </si>
  <si>
    <t>DCTN3</t>
  </si>
  <si>
    <t>DCUN1D1</t>
  </si>
  <si>
    <t>DCXR</t>
  </si>
  <si>
    <t>DDAH1</t>
  </si>
  <si>
    <t>DDAH2</t>
  </si>
  <si>
    <t>DDB1</t>
  </si>
  <si>
    <t>DDHD2</t>
  </si>
  <si>
    <t>DDOST</t>
  </si>
  <si>
    <t>DDT</t>
  </si>
  <si>
    <t>DDX1</t>
  </si>
  <si>
    <t>DDX39B</t>
  </si>
  <si>
    <t>DDX3X</t>
  </si>
  <si>
    <t>DECR1</t>
  </si>
  <si>
    <t>DENR</t>
  </si>
  <si>
    <t>DFNA5</t>
  </si>
  <si>
    <t>DHRS11</t>
  </si>
  <si>
    <t>DHRS7</t>
  </si>
  <si>
    <t>DIABLO</t>
  </si>
  <si>
    <t>DIP2B</t>
  </si>
  <si>
    <t>DIRAS2</t>
  </si>
  <si>
    <t>DKK3</t>
  </si>
  <si>
    <t>DLAT</t>
  </si>
  <si>
    <t>DLD</t>
  </si>
  <si>
    <t>DLG1</t>
  </si>
  <si>
    <t>DLG2</t>
  </si>
  <si>
    <t>DLG3</t>
  </si>
  <si>
    <t>DLG4</t>
  </si>
  <si>
    <t>DLST</t>
  </si>
  <si>
    <t>DMD</t>
  </si>
  <si>
    <t>DMTN</t>
  </si>
  <si>
    <t>DMXL2</t>
  </si>
  <si>
    <t>DNAJA1</t>
  </si>
  <si>
    <t>DNAJA2</t>
  </si>
  <si>
    <t>DNAJB1</t>
  </si>
  <si>
    <t>DNAJB2</t>
  </si>
  <si>
    <t>DNAJC5</t>
  </si>
  <si>
    <t>DNAJC6</t>
  </si>
  <si>
    <t>DNM1</t>
  </si>
  <si>
    <t>DNM1L</t>
  </si>
  <si>
    <t>DNM3</t>
  </si>
  <si>
    <t>DNPEP</t>
  </si>
  <si>
    <t>DPP10</t>
  </si>
  <si>
    <t>DPP3</t>
  </si>
  <si>
    <t>DPP6</t>
  </si>
  <si>
    <t>DPP7</t>
  </si>
  <si>
    <t>DPYSL2</t>
  </si>
  <si>
    <t>DPYSL3</t>
  </si>
  <si>
    <t>DPYSL4</t>
  </si>
  <si>
    <t>DPYSL5</t>
  </si>
  <si>
    <t>DSC1</t>
  </si>
  <si>
    <t>DSG1</t>
  </si>
  <si>
    <t>DSP</t>
  </si>
  <si>
    <t>DST</t>
  </si>
  <si>
    <t>DSTN</t>
  </si>
  <si>
    <t>DTNA</t>
  </si>
  <si>
    <t>DUSP3</t>
  </si>
  <si>
    <t>DYNC1H1</t>
  </si>
  <si>
    <t>DYNC1I1</t>
  </si>
  <si>
    <t>DYNC1I2</t>
  </si>
  <si>
    <t>DYNC1LI1</t>
  </si>
  <si>
    <t>DYNC1LI2</t>
  </si>
  <si>
    <t>ECE1</t>
  </si>
  <si>
    <t>ECH1</t>
  </si>
  <si>
    <t>ECHDC1</t>
  </si>
  <si>
    <t>ECHS1</t>
  </si>
  <si>
    <t>EEA1</t>
  </si>
  <si>
    <t>EEF1A1</t>
  </si>
  <si>
    <t>EEF1A2</t>
  </si>
  <si>
    <t>EEF1B2</t>
  </si>
  <si>
    <t>EEF1D</t>
  </si>
  <si>
    <t>EEF1G</t>
  </si>
  <si>
    <t>EEF2</t>
  </si>
  <si>
    <t>EFEMP1</t>
  </si>
  <si>
    <t>EFHD2</t>
  </si>
  <si>
    <t>EFR3B</t>
  </si>
  <si>
    <t>EGFR</t>
  </si>
  <si>
    <t>EHD1</t>
  </si>
  <si>
    <t>EHD2</t>
  </si>
  <si>
    <t>EHD3</t>
  </si>
  <si>
    <t>EIF2S1</t>
  </si>
  <si>
    <t>EIF2S3</t>
  </si>
  <si>
    <t>EIF3A</t>
  </si>
  <si>
    <t>EIF3B</t>
  </si>
  <si>
    <t>EIF3C</t>
  </si>
  <si>
    <t>EIF3F</t>
  </si>
  <si>
    <t>EIF3I</t>
  </si>
  <si>
    <t>EIF3L</t>
  </si>
  <si>
    <t>EIF4A2</t>
  </si>
  <si>
    <t>EIF4B</t>
  </si>
  <si>
    <t>EIF5</t>
  </si>
  <si>
    <t>EIF5A</t>
  </si>
  <si>
    <t>EMC1</t>
  </si>
  <si>
    <t>EML2</t>
  </si>
  <si>
    <t>ENAH</t>
  </si>
  <si>
    <t>ENDOD1</t>
  </si>
  <si>
    <t>ENG</t>
  </si>
  <si>
    <t>ENO1</t>
  </si>
  <si>
    <t>ENO2</t>
  </si>
  <si>
    <t>ENOPH1</t>
  </si>
  <si>
    <t>ENPP4</t>
  </si>
  <si>
    <t>ENPP6</t>
  </si>
  <si>
    <t>ENSA</t>
  </si>
  <si>
    <t>ENTPD1</t>
  </si>
  <si>
    <t>ENTPD2</t>
  </si>
  <si>
    <t>ENTPD3</t>
  </si>
  <si>
    <t>EPB41L1</t>
  </si>
  <si>
    <t>EPB41L2</t>
  </si>
  <si>
    <t>EPB41L3</t>
  </si>
  <si>
    <t>EPDR1</t>
  </si>
  <si>
    <t>EPHA4</t>
  </si>
  <si>
    <t>EPHB2</t>
  </si>
  <si>
    <t>EPHX1</t>
  </si>
  <si>
    <t>EPHX2</t>
  </si>
  <si>
    <t>EPN1</t>
  </si>
  <si>
    <t>EPRS</t>
  </si>
  <si>
    <t>EPS15</t>
  </si>
  <si>
    <t>EPS15L1</t>
  </si>
  <si>
    <t>ERAP1</t>
  </si>
  <si>
    <t>ERBB2IP</t>
  </si>
  <si>
    <t>ERGIC1</t>
  </si>
  <si>
    <t>ERLIN2</t>
  </si>
  <si>
    <t>ERO1L</t>
  </si>
  <si>
    <t>ERP29</t>
  </si>
  <si>
    <t>ERP44</t>
  </si>
  <si>
    <t>ESD</t>
  </si>
  <si>
    <t>ESYT1</t>
  </si>
  <si>
    <t>ETF1</t>
  </si>
  <si>
    <t>ETFA</t>
  </si>
  <si>
    <t>ETFB</t>
  </si>
  <si>
    <t>ETFDH</t>
  </si>
  <si>
    <t>EXOC4</t>
  </si>
  <si>
    <t>EZR</t>
  </si>
  <si>
    <t>F13A1</t>
  </si>
  <si>
    <t>F3</t>
  </si>
  <si>
    <t>FABP3</t>
  </si>
  <si>
    <t>FABP5</t>
  </si>
  <si>
    <t>FABP7</t>
  </si>
  <si>
    <t>FAH</t>
  </si>
  <si>
    <t>FAHD2A</t>
  </si>
  <si>
    <t>FAM126B</t>
  </si>
  <si>
    <t>FAM129A</t>
  </si>
  <si>
    <t>FAM171A1</t>
  </si>
  <si>
    <t>FAM213A</t>
  </si>
  <si>
    <t>FAM49A</t>
  </si>
  <si>
    <t>FAM49B</t>
  </si>
  <si>
    <t>FARP1</t>
  </si>
  <si>
    <t>FARSB</t>
  </si>
  <si>
    <t>FASN</t>
  </si>
  <si>
    <t>FBLN1</t>
  </si>
  <si>
    <t>FBN1</t>
  </si>
  <si>
    <t>FBXL20</t>
  </si>
  <si>
    <t>FBXO2</t>
  </si>
  <si>
    <t>FCGBP</t>
  </si>
  <si>
    <t>FCGR1A</t>
  </si>
  <si>
    <t>FDPS</t>
  </si>
  <si>
    <t>FERMT2</t>
  </si>
  <si>
    <t>FGA</t>
  </si>
  <si>
    <t>FGB</t>
  </si>
  <si>
    <t>FGF1</t>
  </si>
  <si>
    <t>FGG</t>
  </si>
  <si>
    <t>FH</t>
  </si>
  <si>
    <t>FHL1</t>
  </si>
  <si>
    <t>FIBP</t>
  </si>
  <si>
    <t>FIS1</t>
  </si>
  <si>
    <t>FKBP1A</t>
  </si>
  <si>
    <t>FKBP2</t>
  </si>
  <si>
    <t>FKBP3</t>
  </si>
  <si>
    <t>FKBP4</t>
  </si>
  <si>
    <t>FLNA</t>
  </si>
  <si>
    <t>FLNB</t>
  </si>
  <si>
    <t>FLNC</t>
  </si>
  <si>
    <t>FLOT1</t>
  </si>
  <si>
    <t>FLOT2</t>
  </si>
  <si>
    <t>FMN2</t>
  </si>
  <si>
    <t>FMNL2</t>
  </si>
  <si>
    <t>FN3K</t>
  </si>
  <si>
    <t>FN3KRP</t>
  </si>
  <si>
    <t>FNTA</t>
  </si>
  <si>
    <t>FOLR2</t>
  </si>
  <si>
    <t>FRMD5</t>
  </si>
  <si>
    <t>FRRS1L</t>
  </si>
  <si>
    <t>FSCN1</t>
  </si>
  <si>
    <t>FSD1</t>
  </si>
  <si>
    <t>FTH1</t>
  </si>
  <si>
    <t>FTL</t>
  </si>
  <si>
    <t>FYN</t>
  </si>
  <si>
    <t>G6PD</t>
  </si>
  <si>
    <t>GAA</t>
  </si>
  <si>
    <t>GABARAPL2</t>
  </si>
  <si>
    <t>GABBR1</t>
  </si>
  <si>
    <t>GABBR2</t>
  </si>
  <si>
    <t>GABRA1</t>
  </si>
  <si>
    <t>GABRB2</t>
  </si>
  <si>
    <t>GAD2</t>
  </si>
  <si>
    <t>GALK1</t>
  </si>
  <si>
    <t>GANAB</t>
  </si>
  <si>
    <t>GAP43</t>
  </si>
  <si>
    <t>GAPDH</t>
  </si>
  <si>
    <t>GARS</t>
  </si>
  <si>
    <t>GAS7</t>
  </si>
  <si>
    <t>GATM</t>
  </si>
  <si>
    <t>GBA</t>
  </si>
  <si>
    <t>GBAS</t>
  </si>
  <si>
    <t>GBP1</t>
  </si>
  <si>
    <t>GCA</t>
  </si>
  <si>
    <t>GCLC</t>
  </si>
  <si>
    <t>GDA</t>
  </si>
  <si>
    <t>GDI1</t>
  </si>
  <si>
    <t>GDI2</t>
  </si>
  <si>
    <t>GFAP</t>
  </si>
  <si>
    <t>GGCT</t>
  </si>
  <si>
    <t>GGH</t>
  </si>
  <si>
    <t>GGT1</t>
  </si>
  <si>
    <t>GGT5</t>
  </si>
  <si>
    <t>GGT7</t>
  </si>
  <si>
    <t>GIT1</t>
  </si>
  <si>
    <t>GJA1</t>
  </si>
  <si>
    <t>GLG1</t>
  </si>
  <si>
    <t>GLIPR2</t>
  </si>
  <si>
    <t>GLO1</t>
  </si>
  <si>
    <t>GLOD4</t>
  </si>
  <si>
    <t>GLTP</t>
  </si>
  <si>
    <t>GLUD1</t>
  </si>
  <si>
    <t>GLUL</t>
  </si>
  <si>
    <t>GMFB</t>
  </si>
  <si>
    <t>GMPPB</t>
  </si>
  <si>
    <t>GMPR</t>
  </si>
  <si>
    <t>GMPR2</t>
  </si>
  <si>
    <t>GMPS</t>
  </si>
  <si>
    <t>GNA11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</si>
  <si>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</si>
  <si>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</si>
  <si>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</si>
  <si>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</si>
  <si>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</si>
  <si>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</si>
  <si>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</si>
  <si>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</si>
  <si>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</si>
  <si>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GNB2</t>
  </si>
  <si>
    <t>GNB2L1</t>
  </si>
  <si>
    <t>GNB4</t>
  </si>
  <si>
    <t>GNB5</t>
  </si>
  <si>
    <t>GNG12</t>
  </si>
  <si>
    <t>GNG2</t>
  </si>
  <si>
    <t>GNG4</t>
  </si>
  <si>
    <t>GNG7</t>
  </si>
  <si>
    <t>GNL1</t>
  </si>
  <si>
    <t>GNPDA1</t>
  </si>
  <si>
    <t>GNPDA2</t>
  </si>
  <si>
    <t>GOLIM4</t>
  </si>
  <si>
    <t>GOT1</t>
  </si>
  <si>
    <t>GOT2</t>
  </si>
  <si>
    <t>GPD1</t>
  </si>
  <si>
    <t>GPD1L</t>
  </si>
  <si>
    <t>GPD2</t>
  </si>
  <si>
    <t>GPHN</t>
  </si>
  <si>
    <t>GPI</t>
  </si>
  <si>
    <t>GPM6A</t>
  </si>
  <si>
    <t>GPM6B</t>
  </si>
  <si>
    <t>GPR158</t>
  </si>
  <si>
    <t>GPR37L1</t>
  </si>
  <si>
    <t>GPRIN1</t>
  </si>
  <si>
    <t>GPS1</t>
  </si>
  <si>
    <t>GPX1</t>
  </si>
  <si>
    <t>GPX4</t>
  </si>
  <si>
    <t>GRB2</t>
  </si>
  <si>
    <t>GRHPR</t>
  </si>
  <si>
    <t>GRIA2</t>
  </si>
  <si>
    <t>GRM2</t>
  </si>
  <si>
    <t>GRM3</t>
  </si>
  <si>
    <t>GRM5</t>
  </si>
  <si>
    <t>GRN</t>
  </si>
  <si>
    <t>GSK3A</t>
  </si>
  <si>
    <t>GSPT1</t>
  </si>
  <si>
    <t>GSR</t>
  </si>
  <si>
    <t>GSS</t>
  </si>
  <si>
    <t>GSTM1</t>
  </si>
  <si>
    <t>GSTM2</t>
  </si>
  <si>
    <t>GSTM3</t>
  </si>
  <si>
    <t>GSTM5</t>
  </si>
  <si>
    <t>GSTO1</t>
  </si>
  <si>
    <t>GSTP1</t>
  </si>
  <si>
    <t>GSTT2B</t>
  </si>
  <si>
    <t>GUCY1B3</t>
  </si>
  <si>
    <t>GUK1</t>
  </si>
  <si>
    <t>GYG1</t>
  </si>
  <si>
    <t>H6PD</t>
  </si>
  <si>
    <t>HADH</t>
  </si>
  <si>
    <t>HADHA</t>
  </si>
  <si>
    <t>HADHB</t>
  </si>
  <si>
    <t>HAGH</t>
  </si>
  <si>
    <t>HAPLN1</t>
  </si>
  <si>
    <t>HAPLN2</t>
  </si>
  <si>
    <t>HAPLN4</t>
  </si>
  <si>
    <t>HARS</t>
  </si>
  <si>
    <t>HBA1</t>
  </si>
  <si>
    <t>HBB</t>
  </si>
  <si>
    <t>HBD</t>
  </si>
  <si>
    <t>HDGF</t>
  </si>
  <si>
    <t>HDGFRP3</t>
  </si>
  <si>
    <t>HDHD2</t>
  </si>
  <si>
    <t>HEBP1</t>
  </si>
  <si>
    <t>HEBP2</t>
  </si>
  <si>
    <t>HEPACAM</t>
  </si>
  <si>
    <t>HEXB</t>
  </si>
  <si>
    <t>HGS</t>
  </si>
  <si>
    <t>HIBADH</t>
  </si>
  <si>
    <t>HIBCH</t>
  </si>
  <si>
    <t>HINT1</t>
  </si>
  <si>
    <t>HINT3</t>
  </si>
  <si>
    <t>HIP1R</t>
  </si>
  <si>
    <t>HIST1H2AJ</t>
  </si>
  <si>
    <t>HIST1H2BH</t>
  </si>
  <si>
    <t>HIST1H4A</t>
  </si>
  <si>
    <t>HK1</t>
  </si>
  <si>
    <t>HLA-A</t>
  </si>
  <si>
    <t>HLA-B</t>
  </si>
  <si>
    <t>HLA-DRA</t>
  </si>
  <si>
    <t>HLA-DRB1</t>
  </si>
  <si>
    <t>HMOX2</t>
  </si>
  <si>
    <t>HNMT</t>
  </si>
  <si>
    <t>HNRNPA1</t>
  </si>
  <si>
    <t>HNRNPA2B1</t>
  </si>
  <si>
    <t>HNRNPC</t>
  </si>
  <si>
    <t>HNRNPD</t>
  </si>
  <si>
    <t>HNRNPK</t>
  </si>
  <si>
    <t>HNRNPU</t>
  </si>
  <si>
    <t>HOMER1</t>
  </si>
  <si>
    <t>HP</t>
  </si>
  <si>
    <t>HPCA</t>
  </si>
  <si>
    <t>HPCAL1</t>
  </si>
  <si>
    <t>HPCAL4</t>
  </si>
  <si>
    <t>HPRT1</t>
  </si>
  <si>
    <t>HPX</t>
  </si>
  <si>
    <t>HRAS</t>
  </si>
  <si>
    <t>HRSP12</t>
  </si>
  <si>
    <t>HSD17B10</t>
  </si>
  <si>
    <t>HSD17B12</t>
  </si>
  <si>
    <t>HSD17B4</t>
  </si>
  <si>
    <t>HSDL2</t>
  </si>
  <si>
    <t>HSP90AA1</t>
  </si>
  <si>
    <t>HSP90AB1</t>
  </si>
  <si>
    <t>HSP90B1</t>
  </si>
  <si>
    <t>HSPA12A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</si>
  <si>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</si>
  <si>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</si>
  <si>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</si>
  <si>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</si>
  <si>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</si>
  <si>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</si>
  <si>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</si>
  <si>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</si>
  <si>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HSPD1</t>
  </si>
  <si>
    <t>HSPE1</t>
  </si>
  <si>
    <t>HSPG2</t>
  </si>
  <si>
    <t>HSPH1</t>
  </si>
  <si>
    <t>HTT</t>
  </si>
  <si>
    <t>HUWE1</t>
  </si>
  <si>
    <t>HYOU1</t>
  </si>
  <si>
    <t>IAH1</t>
  </si>
  <si>
    <t>ICAM1</t>
  </si>
  <si>
    <t>ICAM5</t>
  </si>
  <si>
    <t>IDH1</t>
  </si>
  <si>
    <t>IDH2</t>
  </si>
  <si>
    <t>IDH3A</t>
  </si>
  <si>
    <t>IDH3B</t>
  </si>
  <si>
    <t>IDI1</t>
  </si>
  <si>
    <t>IGF2R</t>
  </si>
  <si>
    <t>IGHA1</t>
  </si>
  <si>
    <t>IGHG1</t>
  </si>
  <si>
    <t>IGHG2</t>
  </si>
  <si>
    <t>IGHG3</t>
  </si>
  <si>
    <t>IGHM</t>
  </si>
  <si>
    <t>IGKC</t>
  </si>
  <si>
    <t>IGLC6</t>
  </si>
  <si>
    <t>IGLON5</t>
  </si>
  <si>
    <t>IGSF1</t>
  </si>
  <si>
    <t>IGSF21</t>
  </si>
  <si>
    <t>IGSF8</t>
  </si>
  <si>
    <t>ILF2</t>
  </si>
  <si>
    <t>ILF3</t>
  </si>
  <si>
    <t>ILK</t>
  </si>
  <si>
    <t>ILVBL</t>
  </si>
  <si>
    <t>IMMT</t>
  </si>
  <si>
    <t>IMPA1</t>
  </si>
  <si>
    <t>INA</t>
  </si>
  <si>
    <t>INPP1</t>
  </si>
  <si>
    <t>INPP5A</t>
  </si>
  <si>
    <t>IPO5</t>
  </si>
  <si>
    <t>IPO7</t>
  </si>
  <si>
    <t>IQGAP1</t>
  </si>
  <si>
    <t>IQSEC1</t>
  </si>
  <si>
    <t>IRGQ</t>
  </si>
  <si>
    <t>IST1</t>
  </si>
  <si>
    <t>ISYNA1</t>
  </si>
  <si>
    <t>ITFG1</t>
  </si>
  <si>
    <t>ITFG3</t>
  </si>
  <si>
    <t>ITGA1</t>
  </si>
  <si>
    <t>ITGA2</t>
  </si>
  <si>
    <t>ITGA3</t>
  </si>
  <si>
    <t>ITGA5</t>
  </si>
  <si>
    <t>ITGA6</t>
  </si>
  <si>
    <t>ITGA7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</si>
  <si>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</si>
  <si>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</si>
  <si>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</si>
  <si>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</si>
  <si>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</si>
  <si>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</si>
  <si>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</si>
  <si>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</si>
  <si>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ITGB8</t>
  </si>
  <si>
    <t>ITPKB</t>
  </si>
  <si>
    <t>ITPR2</t>
  </si>
  <si>
    <t>JAM2</t>
  </si>
  <si>
    <t>JAM3</t>
  </si>
  <si>
    <t>JUP</t>
  </si>
  <si>
    <t>KARS</t>
  </si>
  <si>
    <t>KBTBD11</t>
  </si>
  <si>
    <t>KCNA1</t>
  </si>
  <si>
    <t>KCNA2</t>
  </si>
  <si>
    <t>KCNAB2</t>
  </si>
  <si>
    <t>KCNMA1</t>
  </si>
  <si>
    <t>KCNN3</t>
  </si>
  <si>
    <t>KCTD12</t>
  </si>
  <si>
    <t>KCTD16</t>
  </si>
  <si>
    <t>KHDRBS1</t>
  </si>
  <si>
    <t>KHSRP</t>
  </si>
  <si>
    <t>KIAA0513</t>
  </si>
  <si>
    <t>KIAA1045</t>
  </si>
  <si>
    <t>KIAA1107</t>
  </si>
  <si>
    <t>KIAA1468</t>
  </si>
  <si>
    <t>KIAA1598</t>
  </si>
  <si>
    <t>KIF1A</t>
  </si>
  <si>
    <t>KIF21A</t>
  </si>
  <si>
    <t>KIF2A</t>
  </si>
  <si>
    <t>KIF5B</t>
  </si>
  <si>
    <t>KIF5C</t>
  </si>
  <si>
    <t>KLC1</t>
  </si>
  <si>
    <t>KPNA4</t>
  </si>
  <si>
    <t>KPNB1</t>
  </si>
  <si>
    <t>KPRP</t>
  </si>
  <si>
    <t>KTN1</t>
  </si>
  <si>
    <t>L1CAM</t>
  </si>
  <si>
    <t>LAMA2</t>
  </si>
  <si>
    <t>LAMA4</t>
  </si>
  <si>
    <t>LAMA5</t>
  </si>
  <si>
    <t>LAMB2</t>
  </si>
  <si>
    <t>LAMC1</t>
  </si>
  <si>
    <t>LAMP1</t>
  </si>
  <si>
    <t>LAMP2</t>
  </si>
  <si>
    <t>LAMTOR1</t>
  </si>
  <si>
    <t>LANCL1</t>
  </si>
  <si>
    <t>LANCL2</t>
  </si>
  <si>
    <t>LAP3</t>
  </si>
  <si>
    <t>LASP1</t>
  </si>
  <si>
    <t>LCMT1</t>
  </si>
  <si>
    <t>LCP1</t>
  </si>
  <si>
    <t>LDHA</t>
  </si>
  <si>
    <t>LDHB</t>
  </si>
  <si>
    <t>LGALS1</t>
  </si>
  <si>
    <t>LGALS3</t>
  </si>
  <si>
    <t>LGALS3BP</t>
  </si>
  <si>
    <t>LGALSL</t>
  </si>
  <si>
    <t>LGI1</t>
  </si>
  <si>
    <t>LHPP</t>
  </si>
  <si>
    <t>LIMS1</t>
  </si>
  <si>
    <t>LIN7C</t>
  </si>
  <si>
    <t>LLGL1</t>
  </si>
  <si>
    <t>LMAN1</t>
  </si>
  <si>
    <t>LMAN2</t>
  </si>
  <si>
    <t>LMNA</t>
  </si>
  <si>
    <t>LNPEP</t>
  </si>
  <si>
    <t>LRP1</t>
  </si>
  <si>
    <t>LRPAP1</t>
  </si>
  <si>
    <t>LRRC16A</t>
  </si>
  <si>
    <t>LRRC40</t>
  </si>
  <si>
    <t>LRRC47</t>
  </si>
  <si>
    <t>LRRC57</t>
  </si>
  <si>
    <t>LRRC8A</t>
  </si>
  <si>
    <t>LRSAM1</t>
  </si>
  <si>
    <t>LSAMP</t>
  </si>
  <si>
    <t>LTA4H</t>
  </si>
  <si>
    <t>LTF</t>
  </si>
  <si>
    <t>LY6H</t>
  </si>
  <si>
    <t>LYN</t>
  </si>
  <si>
    <t>LYZ</t>
  </si>
  <si>
    <t>LZTFL1</t>
  </si>
  <si>
    <t>M6PR</t>
  </si>
  <si>
    <t>MACF1</t>
  </si>
  <si>
    <t>MACROD2</t>
  </si>
  <si>
    <t>MADD</t>
  </si>
  <si>
    <t>MAG</t>
  </si>
  <si>
    <t>MAGI2</t>
  </si>
  <si>
    <t>MANF</t>
  </si>
  <si>
    <t>MAOA</t>
  </si>
  <si>
    <t>MAOB</t>
  </si>
  <si>
    <t>MAP1A</t>
  </si>
  <si>
    <t>MAP1B</t>
  </si>
  <si>
    <t>MAP1S</t>
  </si>
  <si>
    <t>MAP2</t>
  </si>
  <si>
    <t>MAP2K1</t>
  </si>
  <si>
    <t>MAP2K2</t>
  </si>
  <si>
    <t>MAP2K4</t>
  </si>
  <si>
    <t>MAP4</t>
  </si>
  <si>
    <t>MAP6</t>
  </si>
  <si>
    <t>MAPK1</t>
  </si>
  <si>
    <t>MAPK10</t>
  </si>
  <si>
    <t>MAPK3</t>
  </si>
  <si>
    <t>MAPK8IP3</t>
  </si>
  <si>
    <t>MAPRE1</t>
  </si>
  <si>
    <t>MAPRE2</t>
  </si>
  <si>
    <t>MAPRE3</t>
  </si>
  <si>
    <t>MAPT</t>
  </si>
  <si>
    <t>MARCKS</t>
  </si>
  <si>
    <t>MARCKSL1</t>
  </si>
  <si>
    <t>MARK1</t>
  </si>
  <si>
    <t>MAT2A</t>
  </si>
  <si>
    <t>MAT2B</t>
  </si>
  <si>
    <t>MBLAC2</t>
  </si>
  <si>
    <t>MBP</t>
  </si>
  <si>
    <t>MCAM</t>
  </si>
  <si>
    <t>MCCC2</t>
  </si>
  <si>
    <t>MCTS1</t>
  </si>
  <si>
    <t>MDH1</t>
  </si>
  <si>
    <t>MDH2</t>
  </si>
  <si>
    <t>ME1</t>
  </si>
  <si>
    <t>ME2</t>
  </si>
  <si>
    <t>MESDC2</t>
  </si>
  <si>
    <t>METAP2</t>
  </si>
  <si>
    <t>METTL7A</t>
  </si>
  <si>
    <t>MFGE8</t>
  </si>
  <si>
    <t>MFI2</t>
  </si>
  <si>
    <t>MGEA5</t>
  </si>
  <si>
    <t>MGLL</t>
  </si>
  <si>
    <t>MINK1</t>
  </si>
  <si>
    <t>MLC1</t>
  </si>
  <si>
    <t>MLEC</t>
  </si>
  <si>
    <t>MLLT4</t>
  </si>
  <si>
    <t>MOG</t>
  </si>
  <si>
    <t>MOXD1</t>
  </si>
  <si>
    <t>MPI</t>
  </si>
  <si>
    <t>MPP2</t>
  </si>
  <si>
    <t>MPP6</t>
  </si>
  <si>
    <t>MPST</t>
  </si>
  <si>
    <t>MRAS</t>
  </si>
  <si>
    <t>MRC1</t>
  </si>
  <si>
    <t>MRC2</t>
  </si>
  <si>
    <t>MROH1</t>
  </si>
  <si>
    <t>MSN</t>
  </si>
  <si>
    <t>MTAP</t>
  </si>
  <si>
    <t>MTCH2</t>
  </si>
  <si>
    <t>MT-CO2</t>
  </si>
  <si>
    <t>MTHFD1</t>
  </si>
  <si>
    <t>MTMR1</t>
  </si>
  <si>
    <t>MTOR</t>
  </si>
  <si>
    <t>MTPN</t>
  </si>
  <si>
    <t>MTSS1L</t>
  </si>
  <si>
    <t>MTX2</t>
  </si>
  <si>
    <t>MVP</t>
  </si>
  <si>
    <t>MYH10</t>
  </si>
  <si>
    <t>MYH11</t>
  </si>
  <si>
    <t>MYH14</t>
  </si>
  <si>
    <t>MYH9</t>
  </si>
  <si>
    <t>MYL12B</t>
  </si>
  <si>
    <t>MYL6</t>
  </si>
  <si>
    <t>MYL6B</t>
  </si>
  <si>
    <t>MYLK</t>
  </si>
  <si>
    <t>MYO18A</t>
  </si>
  <si>
    <t>MYO1C</t>
  </si>
  <si>
    <t>MYO1D</t>
  </si>
  <si>
    <t>MYO5A</t>
  </si>
  <si>
    <t>MYO6</t>
  </si>
  <si>
    <t>MYOF</t>
  </si>
  <si>
    <t>NADK2</t>
  </si>
  <si>
    <t>NAE1</t>
  </si>
  <si>
    <t>NAGK</t>
  </si>
  <si>
    <t>NAMPT</t>
  </si>
  <si>
    <t>NANS</t>
  </si>
  <si>
    <t>NAP1L1</t>
  </si>
  <si>
    <t>NAP1L4</t>
  </si>
  <si>
    <t>NAPA</t>
  </si>
  <si>
    <t>NAPB</t>
  </si>
  <si>
    <t>NAPG</t>
  </si>
  <si>
    <t>NARS</t>
  </si>
  <si>
    <t>NCALD</t>
  </si>
  <si>
    <t>NCAM1</t>
  </si>
  <si>
    <t>NCAM2</t>
  </si>
  <si>
    <t>NCAN</t>
  </si>
  <si>
    <t>NCDN</t>
  </si>
  <si>
    <t>NCEH1</t>
  </si>
  <si>
    <t>NCK2</t>
  </si>
  <si>
    <t>NCKAP1</t>
  </si>
  <si>
    <t>NCL</t>
  </si>
  <si>
    <t>NCOA7</t>
  </si>
  <si>
    <t>NCS1</t>
  </si>
  <si>
    <t>NCSTN</t>
  </si>
  <si>
    <t>NDEL1</t>
  </si>
  <si>
    <t>NDRG1</t>
  </si>
  <si>
    <t>NDRG2</t>
  </si>
  <si>
    <t>NDRG3</t>
  </si>
  <si>
    <t>NDRG4</t>
  </si>
  <si>
    <t>NDUFA10</t>
  </si>
  <si>
    <t>NDUFA13</t>
  </si>
  <si>
    <t>NDUFA2</t>
  </si>
  <si>
    <t>NDUFA5</t>
  </si>
  <si>
    <t>NDUFA8</t>
  </si>
  <si>
    <t>NDUFA9</t>
  </si>
  <si>
    <t>NDUFB10</t>
  </si>
  <si>
    <t>NDUFB9</t>
  </si>
  <si>
    <t>NDUFS1</t>
  </si>
  <si>
    <t>NDUFS2</t>
  </si>
  <si>
    <t>NDUFS3</t>
  </si>
  <si>
    <t>NDUFS5</t>
  </si>
  <si>
    <t>NDUFS6</t>
  </si>
  <si>
    <t>NDUFV1</t>
  </si>
  <si>
    <t>NDUFV2</t>
  </si>
  <si>
    <t>NECAB1</t>
  </si>
  <si>
    <t>NECAB2</t>
  </si>
  <si>
    <t>NECAP1</t>
  </si>
  <si>
    <t>NEDD8-MDP1</t>
  </si>
  <si>
    <t>NEFL</t>
  </si>
  <si>
    <t>NEFM</t>
  </si>
  <si>
    <t>NEGR1</t>
  </si>
  <si>
    <t>NENF</t>
  </si>
  <si>
    <t>NEO1</t>
  </si>
  <si>
    <t>NFASC</t>
  </si>
  <si>
    <t>NID1</t>
  </si>
  <si>
    <t>NID2</t>
  </si>
  <si>
    <t>NIF3L1</t>
  </si>
  <si>
    <t>NIPSNAP1</t>
  </si>
  <si>
    <t>NIPSNAP3A</t>
  </si>
  <si>
    <t>NISCH</t>
  </si>
  <si>
    <t>NIT1</t>
  </si>
  <si>
    <t>NIT2</t>
  </si>
  <si>
    <t>NME1-NME2</t>
  </si>
  <si>
    <t>NMT1</t>
  </si>
  <si>
    <t>NNT</t>
  </si>
  <si>
    <t>NOL3</t>
  </si>
  <si>
    <t>NPC1</t>
  </si>
  <si>
    <t>NPC2</t>
  </si>
  <si>
    <t>NPEPL1</t>
  </si>
  <si>
    <t>NPEPPS</t>
  </si>
  <si>
    <t>NPM1</t>
  </si>
  <si>
    <t>NPTN</t>
  </si>
  <si>
    <t>NPTX1</t>
  </si>
  <si>
    <t>NQO1</t>
  </si>
  <si>
    <t>NQO2</t>
  </si>
  <si>
    <t>NRCAM</t>
  </si>
  <si>
    <t>NRN1</t>
  </si>
  <si>
    <t>NRXN3</t>
  </si>
  <si>
    <t>NSF</t>
  </si>
  <si>
    <t>NSFL1C</t>
  </si>
  <si>
    <t>NT5C2</t>
  </si>
  <si>
    <t>NT5E</t>
  </si>
  <si>
    <t>NTM</t>
  </si>
  <si>
    <t>NTNG2</t>
  </si>
  <si>
    <t>NTRK2</t>
  </si>
  <si>
    <t>NUCB1</t>
  </si>
  <si>
    <t>NUCB2</t>
  </si>
  <si>
    <t>NUCKS1</t>
  </si>
  <si>
    <t>NUDC</t>
  </si>
  <si>
    <t>NUDCD3</t>
  </si>
  <si>
    <t>NUDT16</t>
  </si>
  <si>
    <t>NUDT5</t>
  </si>
  <si>
    <t>NUTF2</t>
  </si>
  <si>
    <t>OGDH</t>
  </si>
  <si>
    <t>OGFRL1</t>
  </si>
  <si>
    <t>OLA1</t>
  </si>
  <si>
    <t>OMG</t>
  </si>
  <si>
    <t>OPA1</t>
  </si>
  <si>
    <t>OPCML</t>
  </si>
  <si>
    <t>ORM1</t>
  </si>
  <si>
    <t>OSBP</t>
  </si>
  <si>
    <t>OSBPL1A</t>
  </si>
  <si>
    <t>OTUB1</t>
  </si>
  <si>
    <t>OXCT1</t>
  </si>
  <si>
    <t>OXR1</t>
  </si>
  <si>
    <t>OXSR1</t>
  </si>
  <si>
    <t>P2RX7</t>
  </si>
  <si>
    <t>P2RY12</t>
  </si>
  <si>
    <t>P4HB</t>
  </si>
  <si>
    <t>PA2G4</t>
  </si>
  <si>
    <t>PABPC1</t>
  </si>
  <si>
    <t>PACS1</t>
  </si>
  <si>
    <t>PACSIN1</t>
  </si>
  <si>
    <t>PACSIN2</t>
  </si>
  <si>
    <t>PACSIN3</t>
  </si>
  <si>
    <t>PADI2</t>
  </si>
  <si>
    <t>PAFAH1B1</t>
  </si>
  <si>
    <t>PAFAH1B2</t>
  </si>
  <si>
    <t>PAFAH1B3</t>
  </si>
  <si>
    <t>PAICS</t>
  </si>
  <si>
    <t>PAK1</t>
  </si>
  <si>
    <t>PAK2</t>
  </si>
  <si>
    <t>PAK3</t>
  </si>
  <si>
    <t>PALM</t>
  </si>
  <si>
    <t>PALM2</t>
  </si>
  <si>
    <t>PARK7</t>
  </si>
  <si>
    <t>PARVA</t>
  </si>
  <si>
    <t>PBXIP1</t>
  </si>
  <si>
    <t>PC</t>
  </si>
  <si>
    <t>PCBD1</t>
  </si>
  <si>
    <t>PCBP1</t>
  </si>
  <si>
    <t>PCCA</t>
  </si>
  <si>
    <t>PCDH1</t>
  </si>
  <si>
    <t>PCLO</t>
  </si>
  <si>
    <t>PCMT1</t>
  </si>
  <si>
    <t>PCSK1N</t>
  </si>
  <si>
    <t>PCYOX1</t>
  </si>
  <si>
    <t>PCYT2</t>
  </si>
  <si>
    <t>PDCD5</t>
  </si>
  <si>
    <t>PDCD6</t>
  </si>
  <si>
    <t>PDCD6IP</t>
  </si>
  <si>
    <t>PDE1A</t>
  </si>
  <si>
    <t>PDE2A</t>
  </si>
  <si>
    <t>PDGFRB</t>
  </si>
  <si>
    <t>PDHA1</t>
  </si>
  <si>
    <t>PDHB</t>
  </si>
  <si>
    <t>PDIA3</t>
  </si>
  <si>
    <t>PDIA4</t>
  </si>
  <si>
    <t>PDIA6</t>
  </si>
  <si>
    <t>PDLIM5</t>
  </si>
  <si>
    <t>PDXK</t>
  </si>
  <si>
    <t>PDXP</t>
  </si>
  <si>
    <t>PEA15</t>
  </si>
  <si>
    <t>PEBP1</t>
  </si>
  <si>
    <t>PECAM1</t>
  </si>
  <si>
    <t>PEF1</t>
  </si>
  <si>
    <t>PEPD</t>
  </si>
  <si>
    <t>PFAS</t>
  </si>
  <si>
    <t>PFDN2</t>
  </si>
  <si>
    <t>PFDN6</t>
  </si>
  <si>
    <t>PFKFB2</t>
  </si>
  <si>
    <t>PFKL</t>
  </si>
  <si>
    <t>PFKM</t>
  </si>
  <si>
    <t>PFKP</t>
  </si>
  <si>
    <t>PFN1</t>
  </si>
  <si>
    <t>PFN2</t>
  </si>
  <si>
    <t>PGAM1</t>
  </si>
  <si>
    <t>PGAM2</t>
  </si>
  <si>
    <t>PGD</t>
  </si>
  <si>
    <t>PGK1</t>
  </si>
  <si>
    <t>PGLS</t>
  </si>
  <si>
    <t>PGM1</t>
  </si>
  <si>
    <t>PGM2</t>
  </si>
  <si>
    <t>PGM2L1</t>
  </si>
  <si>
    <t>PGM3</t>
  </si>
  <si>
    <t>PGP</t>
  </si>
  <si>
    <t>PGRMC1</t>
  </si>
  <si>
    <t>PHACTR1</t>
  </si>
  <si>
    <t>PHB</t>
  </si>
  <si>
    <t>PHB2</t>
  </si>
  <si>
    <t>PHGDH</t>
  </si>
  <si>
    <t>PHYHIP</t>
  </si>
  <si>
    <t>PHYHIPL</t>
  </si>
  <si>
    <t>PI16</t>
  </si>
  <si>
    <t>PI4K2A</t>
  </si>
  <si>
    <t>PI4KA</t>
  </si>
  <si>
    <t>PIN1</t>
  </si>
  <si>
    <t>PIP</t>
  </si>
  <si>
    <t>PIP4K2A</t>
  </si>
  <si>
    <t>PIP4K2B</t>
  </si>
  <si>
    <t>PIP4K2C</t>
  </si>
  <si>
    <t>PIP5K1C</t>
  </si>
  <si>
    <t>PIR</t>
  </si>
  <si>
    <t>PITHD1</t>
  </si>
  <si>
    <t>PITPNA</t>
  </si>
  <si>
    <t>PITPNB</t>
  </si>
  <si>
    <t>PKM</t>
  </si>
  <si>
    <t>PLCB1</t>
  </si>
  <si>
    <t>PLCD1</t>
  </si>
  <si>
    <t>PLCD3</t>
  </si>
  <si>
    <t>PLD2</t>
  </si>
  <si>
    <t>PLD3</t>
  </si>
  <si>
    <t>PLEC</t>
  </si>
  <si>
    <t>PLIN3</t>
  </si>
  <si>
    <t>PLP1</t>
  </si>
  <si>
    <t>PLS3</t>
  </si>
  <si>
    <t>PLSCR4</t>
  </si>
  <si>
    <t>PLXDC2</t>
  </si>
  <si>
    <t>PLXNA1</t>
  </si>
  <si>
    <t>PLXNA2</t>
  </si>
  <si>
    <t>PLXNA4</t>
  </si>
  <si>
    <t>PLXNB1</t>
  </si>
  <si>
    <t>PLXNB2</t>
  </si>
  <si>
    <t>PLXNC1</t>
  </si>
  <si>
    <t>PMP2</t>
  </si>
  <si>
    <t>PMVK</t>
  </si>
  <si>
    <t>PNP</t>
  </si>
  <si>
    <t>PNPO</t>
  </si>
  <si>
    <t>PON2</t>
  </si>
  <si>
    <t>PPA1</t>
  </si>
  <si>
    <t>PPA2</t>
  </si>
  <si>
    <t>PPAP2A</t>
  </si>
  <si>
    <t>PPAP2B</t>
  </si>
  <si>
    <t>PPFIA3</t>
  </si>
  <si>
    <t>PPIA</t>
  </si>
  <si>
    <t>PPIB</t>
  </si>
  <si>
    <t>PPIF</t>
  </si>
  <si>
    <t>PPM1A</t>
  </si>
  <si>
    <t>PPM1H</t>
  </si>
  <si>
    <t>PPME1</t>
  </si>
  <si>
    <t>PPP1CB</t>
  </si>
  <si>
    <t>PPP1R21</t>
  </si>
  <si>
    <t>PPP1R7</t>
  </si>
  <si>
    <t>PPP2CB</t>
  </si>
  <si>
    <t>PPP2R1A</t>
  </si>
  <si>
    <t>PPP2R2A</t>
  </si>
  <si>
    <t>PPP2R4</t>
  </si>
  <si>
    <t>PPP2R5D</t>
  </si>
  <si>
    <t>PPP2R5E</t>
  </si>
  <si>
    <t>PPP3CA</t>
  </si>
  <si>
    <t>PPP3CB</t>
  </si>
  <si>
    <t>PPP3R1</t>
  </si>
  <si>
    <t>PPP5C</t>
  </si>
  <si>
    <t>PPT1</t>
  </si>
  <si>
    <t>PRCP</t>
  </si>
  <si>
    <t>PRDX1</t>
  </si>
  <si>
    <t>PRDX2</t>
  </si>
  <si>
    <t>PRDX3</t>
  </si>
  <si>
    <t>PRDX4</t>
  </si>
  <si>
    <t>PRDX5</t>
  </si>
  <si>
    <t>PRDX6</t>
  </si>
  <si>
    <t>PREP</t>
  </si>
  <si>
    <t>PREPL</t>
  </si>
  <si>
    <t>PREX1</t>
  </si>
  <si>
    <t>PREX2</t>
  </si>
  <si>
    <t>PRKACB</t>
  </si>
  <si>
    <t>PRKAR1A</t>
  </si>
  <si>
    <t>PRKAR2A</t>
  </si>
  <si>
    <t>PRKAR2B</t>
  </si>
  <si>
    <t>PRKCA</t>
  </si>
  <si>
    <t>PRKCB</t>
  </si>
  <si>
    <t>PRKCE</t>
  </si>
  <si>
    <t>PRKCG</t>
  </si>
  <si>
    <t>PRKCSH</t>
  </si>
  <si>
    <t>PRKDC</t>
  </si>
  <si>
    <t>PRNP</t>
  </si>
  <si>
    <t>PRODH</t>
  </si>
  <si>
    <t>PROSC</t>
  </si>
  <si>
    <t>PRPS1</t>
  </si>
  <si>
    <t>PRPSAP1</t>
  </si>
  <si>
    <t>PRPSAP2</t>
  </si>
  <si>
    <t>PRRT2</t>
  </si>
  <si>
    <t>PRRT3</t>
  </si>
  <si>
    <t>PSAP</t>
  </si>
  <si>
    <t>PSAT1</t>
  </si>
  <si>
    <t>PSD3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</si>
  <si>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</si>
  <si>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</si>
  <si>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</si>
  <si>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</si>
  <si>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</si>
  <si>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</si>
  <si>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</si>
  <si>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</si>
  <si>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</si>
  <si>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</si>
  <si>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</si>
  <si>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</si>
  <si>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</si>
  <si>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</si>
  <si>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</si>
  <si>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</si>
  <si>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</si>
  <si>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</si>
  <si>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</si>
  <si>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</si>
  <si>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</si>
  <si>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</si>
  <si>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</si>
  <si>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</si>
  <si>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</si>
  <si>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PSMD2</t>
  </si>
  <si>
    <t>PSMD3</t>
  </si>
  <si>
    <t>PSMD5</t>
  </si>
  <si>
    <t>PSMD6</t>
  </si>
  <si>
    <t>PSMD7</t>
  </si>
  <si>
    <t>PSMD9</t>
  </si>
  <si>
    <t>PSME1</t>
  </si>
  <si>
    <t>PSME2</t>
  </si>
  <si>
    <t>PTGDS</t>
  </si>
  <si>
    <t>PTGES2</t>
  </si>
  <si>
    <t>PTGFRN</t>
  </si>
  <si>
    <t>PTGR1</t>
  </si>
  <si>
    <t>PTGR2</t>
  </si>
  <si>
    <t>PTMA</t>
  </si>
  <si>
    <t>PTMS</t>
  </si>
  <si>
    <t>PTPN11</t>
  </si>
  <si>
    <t>PTPN23</t>
  </si>
  <si>
    <t>PTPRA</t>
  </si>
  <si>
    <t>PTPRC</t>
  </si>
  <si>
    <t>PTPRD</t>
  </si>
  <si>
    <t>PTPRF</t>
  </si>
  <si>
    <t>PTPRJ</t>
  </si>
  <si>
    <t>PTPRS</t>
  </si>
  <si>
    <t>PTPRZ1</t>
  </si>
  <si>
    <t>PURA</t>
  </si>
  <si>
    <t>PVALB</t>
  </si>
  <si>
    <t>PVRL1</t>
  </si>
  <si>
    <t>PVRL2</t>
  </si>
  <si>
    <t>PYGB</t>
  </si>
  <si>
    <t>PYGL</t>
  </si>
  <si>
    <t>PYGM</t>
  </si>
  <si>
    <t>QDPR</t>
  </si>
  <si>
    <t>QPRT</t>
  </si>
  <si>
    <t>RAB10</t>
  </si>
  <si>
    <t>RAB11B</t>
  </si>
  <si>
    <t>RAB12</t>
  </si>
  <si>
    <t>RAB14</t>
  </si>
  <si>
    <t>RAB18</t>
  </si>
  <si>
    <t>RAB1A</t>
  </si>
  <si>
    <t>RAB1B</t>
  </si>
  <si>
    <t>RAB21</t>
  </si>
  <si>
    <t>RAB22A</t>
  </si>
  <si>
    <t>RAB23</t>
  </si>
  <si>
    <t>RAB27B</t>
  </si>
  <si>
    <t>RAB2A</t>
  </si>
  <si>
    <t>RAB31</t>
  </si>
  <si>
    <t>RAB35</t>
  </si>
  <si>
    <t>RAB3A</t>
  </si>
  <si>
    <t>RAB3C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</si>
  <si>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</si>
  <si>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</si>
  <si>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</si>
  <si>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</si>
  <si>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</si>
  <si>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</si>
  <si>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</si>
  <si>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</si>
  <si>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</si>
  <si>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RABEP1</t>
  </si>
  <si>
    <t>RABGAP1</t>
  </si>
  <si>
    <t>RABGGTA</t>
  </si>
  <si>
    <t>RABL6</t>
  </si>
  <si>
    <t>RAC1</t>
  </si>
  <si>
    <t>RAD23B</t>
  </si>
  <si>
    <t>RALA</t>
  </si>
  <si>
    <t>RALB</t>
  </si>
  <si>
    <t>RAN</t>
  </si>
  <si>
    <t>RANBP1</t>
  </si>
  <si>
    <t>RAP1B</t>
  </si>
  <si>
    <t>RAP1GAP</t>
  </si>
  <si>
    <t>RAP1GAP2</t>
  </si>
  <si>
    <t>RAP1GDS1</t>
  </si>
  <si>
    <t>RAP2A</t>
  </si>
  <si>
    <t>RAP2B</t>
  </si>
  <si>
    <t>RARS</t>
  </si>
  <si>
    <t>RASAL1</t>
  </si>
  <si>
    <t>RBBP9</t>
  </si>
  <si>
    <t>RBP1</t>
  </si>
  <si>
    <t>RCN1</t>
  </si>
  <si>
    <t>RCN2</t>
  </si>
  <si>
    <t>RDX</t>
  </si>
  <si>
    <t>REEP5</t>
  </si>
  <si>
    <t>RENBP</t>
  </si>
  <si>
    <t>RFTN1</t>
  </si>
  <si>
    <t>RFTN2</t>
  </si>
  <si>
    <t>RGN</t>
  </si>
  <si>
    <t>RGS17</t>
  </si>
  <si>
    <t>RGS20</t>
  </si>
  <si>
    <t>RGS6</t>
  </si>
  <si>
    <t>RGS7</t>
  </si>
  <si>
    <t>RGS7BP</t>
  </si>
  <si>
    <t>RHOA</t>
  </si>
  <si>
    <t>RHOB</t>
  </si>
  <si>
    <t>RHOG</t>
  </si>
  <si>
    <t>RMDN3</t>
  </si>
  <si>
    <t>RNH1</t>
  </si>
  <si>
    <t>RNPEP</t>
  </si>
  <si>
    <t>ROCK2</t>
  </si>
  <si>
    <t>RP2</t>
  </si>
  <si>
    <t>RPH3A</t>
  </si>
  <si>
    <t>RPL10</t>
  </si>
  <si>
    <t>RPL10A</t>
  </si>
  <si>
    <t>RPL12</t>
  </si>
  <si>
    <t>RPL13</t>
  </si>
  <si>
    <t>RPL13a</t>
  </si>
  <si>
    <t>RPL14</t>
  </si>
  <si>
    <t>RPL15</t>
  </si>
  <si>
    <t>RPL17</t>
  </si>
  <si>
    <t>RPL18A</t>
  </si>
  <si>
    <t>RPL23A</t>
  </si>
  <si>
    <t>RPL3</t>
  </si>
  <si>
    <t>RPL4</t>
  </si>
  <si>
    <t>RPL5</t>
  </si>
  <si>
    <t>RPL6</t>
  </si>
  <si>
    <t>RPL7</t>
  </si>
  <si>
    <t>RPL7A</t>
  </si>
  <si>
    <t>RPL8</t>
  </si>
  <si>
    <t>RPLP0</t>
  </si>
  <si>
    <t>RPLP2</t>
  </si>
  <si>
    <t>RPN1</t>
  </si>
  <si>
    <t>RPN2</t>
  </si>
  <si>
    <t>RPS10-NUDT3</t>
  </si>
  <si>
    <t>RPS11</t>
  </si>
  <si>
    <t>RPS13</t>
  </si>
  <si>
    <t>RPS15A</t>
  </si>
  <si>
    <t>RPS16</t>
  </si>
  <si>
    <t>RPS17</t>
  </si>
  <si>
    <t>RPS18</t>
  </si>
  <si>
    <t>RPS19</t>
  </si>
  <si>
    <t>RPS2</t>
  </si>
  <si>
    <t>RPS27A</t>
  </si>
  <si>
    <t>RPS3</t>
  </si>
  <si>
    <t>RPS3A</t>
  </si>
  <si>
    <t>RPS4X</t>
  </si>
  <si>
    <t>RPS6</t>
  </si>
  <si>
    <t>RPS6KA2</t>
  </si>
  <si>
    <t>RPS7</t>
  </si>
  <si>
    <t>RPS8</t>
  </si>
  <si>
    <t>RPS9</t>
  </si>
  <si>
    <t>RPSA</t>
  </si>
  <si>
    <t>RRAS</t>
  </si>
  <si>
    <t>RRAS2</t>
  </si>
  <si>
    <t>RTCB</t>
  </si>
  <si>
    <t>RTN1</t>
  </si>
  <si>
    <t>RTN3</t>
  </si>
  <si>
    <t>RTN4</t>
  </si>
  <si>
    <t>RUFY3</t>
  </si>
  <si>
    <t>RUVBL1</t>
  </si>
  <si>
    <t>RUVBL2</t>
  </si>
  <si>
    <t>S100A1</t>
  </si>
  <si>
    <t>S100A11</t>
  </si>
  <si>
    <t>S100A13</t>
  </si>
  <si>
    <t>S100A16</t>
  </si>
  <si>
    <t>S100A7</t>
  </si>
  <si>
    <t>S100A8</t>
  </si>
  <si>
    <t>S100A9</t>
  </si>
  <si>
    <t>S100B</t>
  </si>
  <si>
    <t>SACM1L</t>
  </si>
  <si>
    <t>SAMM50</t>
  </si>
  <si>
    <t>SAR1A</t>
  </si>
  <si>
    <t>SARS</t>
  </si>
  <si>
    <t>SBDS</t>
  </si>
  <si>
    <t>SBF1</t>
  </si>
  <si>
    <t>SBSN</t>
  </si>
  <si>
    <t>SCAI</t>
  </si>
  <si>
    <t>SCAMP1</t>
  </si>
  <si>
    <t>SCARB2</t>
  </si>
  <si>
    <t>SCCPDH</t>
  </si>
  <si>
    <t>SCG3</t>
  </si>
  <si>
    <t>SCIN</t>
  </si>
  <si>
    <t>SCN2A</t>
  </si>
  <si>
    <t>SCN2B</t>
  </si>
  <si>
    <t>SCP2</t>
  </si>
  <si>
    <t>SCRN1</t>
  </si>
  <si>
    <t>SDCBP</t>
  </si>
  <si>
    <t>SDHA</t>
  </si>
  <si>
    <t>SDHB</t>
  </si>
  <si>
    <t>SEC13</t>
  </si>
  <si>
    <t>SEC14L2</t>
  </si>
  <si>
    <t>SEC22B</t>
  </si>
  <si>
    <t>SEC62</t>
  </si>
  <si>
    <t>SELENBP1</t>
  </si>
  <si>
    <t>SERPINA1</t>
  </si>
  <si>
    <t>SERPINA3</t>
  </si>
  <si>
    <t>SERPINB1</t>
  </si>
  <si>
    <t>SERPINB6</t>
  </si>
  <si>
    <t>SERPINB9</t>
  </si>
  <si>
    <t>SERPINH1</t>
  </si>
  <si>
    <t>SET</t>
  </si>
  <si>
    <t>SFN</t>
  </si>
  <si>
    <t>SFXN1</t>
  </si>
  <si>
    <t>SFXN3</t>
  </si>
  <si>
    <t>SFXN5</t>
  </si>
  <si>
    <t>SGCD</t>
  </si>
  <si>
    <t>SGIP1</t>
  </si>
  <si>
    <t>SGTA</t>
  </si>
  <si>
    <t>SGTB</t>
  </si>
  <si>
    <t>SH3BGRL</t>
  </si>
  <si>
    <t>SH3BGRL2</t>
  </si>
  <si>
    <t>SH3BGRL3</t>
  </si>
  <si>
    <t>SH3GL1</t>
  </si>
  <si>
    <t>SH3GL2</t>
  </si>
  <si>
    <t>SH3GL3</t>
  </si>
  <si>
    <t>SH3GLB1</t>
  </si>
  <si>
    <t>SH3GLB2</t>
  </si>
  <si>
    <t>SIAE</t>
  </si>
  <si>
    <t>SIRPA</t>
  </si>
  <si>
    <t>SIRT2</t>
  </si>
  <si>
    <t>SKP1</t>
  </si>
  <si>
    <t>SLC12A2</t>
  </si>
  <si>
    <t>SLC12A5</t>
  </si>
  <si>
    <t>SLC14A1</t>
  </si>
  <si>
    <t>SLC15A2</t>
  </si>
  <si>
    <t>SLC16A1</t>
  </si>
  <si>
    <t>SLC17A7</t>
  </si>
  <si>
    <t>SLC1A2</t>
  </si>
  <si>
    <t>SLC1A3</t>
  </si>
  <si>
    <t>SLC1A4</t>
  </si>
  <si>
    <t>SLC25A1</t>
  </si>
  <si>
    <t>SLC25A11</t>
  </si>
  <si>
    <t>SLC25A12</t>
  </si>
  <si>
    <t>SLC25A18</t>
  </si>
  <si>
    <t>SLC25A20</t>
  </si>
  <si>
    <t>SLC25A24</t>
  </si>
  <si>
    <t>SLC25A3</t>
  </si>
  <si>
    <t>SLC25A4</t>
  </si>
  <si>
    <t>SLC25A5</t>
  </si>
  <si>
    <t>SLC25A6</t>
  </si>
  <si>
    <t>SLC2A1</t>
  </si>
  <si>
    <t>SLC2A13</t>
  </si>
  <si>
    <t>SLC2A3</t>
  </si>
  <si>
    <t>SLC2A5</t>
  </si>
  <si>
    <t>SLC30A1</t>
  </si>
  <si>
    <t>SLC39A12</t>
  </si>
  <si>
    <t>SLC3A2</t>
  </si>
  <si>
    <t>SLC44A1</t>
  </si>
  <si>
    <t>SLC44A2</t>
  </si>
  <si>
    <t>SLC4A1</t>
  </si>
  <si>
    <t>SLC4A10</t>
  </si>
  <si>
    <t>SLC4A4</t>
  </si>
  <si>
    <t>SLC6A1</t>
  </si>
  <si>
    <t>SLC6A11</t>
  </si>
  <si>
    <t>SLC6A17</t>
  </si>
  <si>
    <t>SLC7A11</t>
  </si>
  <si>
    <t>SLC7A5</t>
  </si>
  <si>
    <t>SLC8A1</t>
  </si>
  <si>
    <t>SLC8A2</t>
  </si>
  <si>
    <t>SLC9A1</t>
  </si>
  <si>
    <t>SLC9A3R1</t>
  </si>
  <si>
    <t>SLC9A3R2</t>
  </si>
  <si>
    <t>SMPD3</t>
  </si>
  <si>
    <t>SMS</t>
  </si>
  <si>
    <t>SNAP23</t>
  </si>
  <si>
    <t>SNAP25</t>
  </si>
  <si>
    <t>SNAP91</t>
  </si>
  <si>
    <t>SNCA</t>
  </si>
  <si>
    <t>SNCG</t>
  </si>
  <si>
    <t>SND1</t>
  </si>
  <si>
    <t>SNTA1</t>
  </si>
  <si>
    <t>SNTB1</t>
  </si>
  <si>
    <t>SNX1</t>
  </si>
  <si>
    <t>SNX2</t>
  </si>
  <si>
    <t>SNX27</t>
  </si>
  <si>
    <t>SNX4</t>
  </si>
  <si>
    <t>SNX5</t>
  </si>
  <si>
    <t>SNX6</t>
  </si>
  <si>
    <t>SOD1</t>
  </si>
  <si>
    <t>SOD2</t>
  </si>
  <si>
    <t>SOGA3</t>
  </si>
  <si>
    <t>SORBS1</t>
  </si>
  <si>
    <t>SORCS2</t>
  </si>
  <si>
    <t>SORD</t>
  </si>
  <si>
    <t>SORL1</t>
  </si>
  <si>
    <t>SORT1</t>
  </si>
  <si>
    <t>SPARC</t>
  </si>
  <si>
    <t>SPARCL1</t>
  </si>
  <si>
    <t>SPG20</t>
  </si>
  <si>
    <t>SPR</t>
  </si>
  <si>
    <t>SPTAN1</t>
  </si>
  <si>
    <t>SPTBN1</t>
  </si>
  <si>
    <t>SPTBN2</t>
  </si>
  <si>
    <t>SQRDL</t>
  </si>
  <si>
    <t>SRCIN1</t>
  </si>
  <si>
    <t>SRGAP2</t>
  </si>
  <si>
    <t>SRGAP3</t>
  </si>
  <si>
    <t>SRI</t>
  </si>
  <si>
    <t>SRM</t>
  </si>
  <si>
    <t>SRR</t>
  </si>
  <si>
    <t>SSB</t>
  </si>
  <si>
    <t>SSBP1</t>
  </si>
  <si>
    <t>ST13</t>
  </si>
  <si>
    <t>STAB1</t>
  </si>
  <si>
    <t>STAM</t>
  </si>
  <si>
    <t>STAT1</t>
  </si>
  <si>
    <t>STAT3</t>
  </si>
  <si>
    <t>STIP1</t>
  </si>
  <si>
    <t>STK39</t>
  </si>
  <si>
    <t>STMN1</t>
  </si>
  <si>
    <t>STOM</t>
  </si>
  <si>
    <t>STOML2</t>
  </si>
  <si>
    <t>STON2</t>
  </si>
  <si>
    <t>STRAP</t>
  </si>
  <si>
    <t>STUB1</t>
  </si>
  <si>
    <t>STX12</t>
  </si>
  <si>
    <t>STX1A</t>
  </si>
  <si>
    <t>STX1B</t>
  </si>
  <si>
    <t>STX4</t>
  </si>
  <si>
    <t>STX7</t>
  </si>
  <si>
    <t>STXBP1</t>
  </si>
  <si>
    <t>STXBP3</t>
  </si>
  <si>
    <t>STXBP5</t>
  </si>
  <si>
    <t>STXBP5L</t>
  </si>
  <si>
    <t>SUGT1</t>
  </si>
  <si>
    <t>SULT4A1</t>
  </si>
  <si>
    <t>SUSD2</t>
  </si>
  <si>
    <t>SV2A</t>
  </si>
  <si>
    <t>SV2B</t>
  </si>
  <si>
    <t>SYN1</t>
  </si>
  <si>
    <t>SYN2</t>
  </si>
  <si>
    <t>SYN3</t>
  </si>
  <si>
    <t>SYNCRIP</t>
  </si>
  <si>
    <t>SYNJ1</t>
  </si>
  <si>
    <t>SYP</t>
  </si>
  <si>
    <t>SYT1</t>
  </si>
  <si>
    <t>SYT2</t>
  </si>
  <si>
    <t>SYT3</t>
  </si>
  <si>
    <t>SYT7</t>
  </si>
  <si>
    <t>TAGLN</t>
  </si>
  <si>
    <t>TAGLN2</t>
  </si>
  <si>
    <t>TAGLN3</t>
  </si>
  <si>
    <t>TALDO1</t>
  </si>
  <si>
    <t>TARS</t>
  </si>
  <si>
    <t>TBC1D24</t>
  </si>
  <si>
    <t>TBCA</t>
  </si>
  <si>
    <t>TBCB</t>
  </si>
  <si>
    <t>TBCD</t>
  </si>
  <si>
    <t>TBCE</t>
  </si>
  <si>
    <t>TCEAL5</t>
  </si>
  <si>
    <t>TCEB1</t>
  </si>
  <si>
    <t>TCEB2</t>
  </si>
  <si>
    <t>TCP1</t>
  </si>
  <si>
    <t>TESC</t>
  </si>
  <si>
    <t>TF</t>
  </si>
  <si>
    <t>TFG</t>
  </si>
  <si>
    <t>TGFBI</t>
  </si>
  <si>
    <t>TGM2</t>
  </si>
  <si>
    <t>TGOLN2</t>
  </si>
  <si>
    <t>THOP1</t>
  </si>
  <si>
    <t>THY1</t>
  </si>
  <si>
    <t>TINAGL1</t>
  </si>
  <si>
    <t>TIPRL</t>
  </si>
  <si>
    <t>TJP1</t>
  </si>
  <si>
    <t>TKT</t>
  </si>
  <si>
    <t>TLDC1</t>
  </si>
  <si>
    <t>TLN1</t>
  </si>
  <si>
    <t>TLN2</t>
  </si>
  <si>
    <t>TMED10</t>
  </si>
  <si>
    <t>TMED2</t>
  </si>
  <si>
    <t>TMED9</t>
  </si>
  <si>
    <t>TMEM30A</t>
  </si>
  <si>
    <t>TMEM43</t>
  </si>
  <si>
    <t>TMOD2</t>
  </si>
  <si>
    <t>TMSB4X</t>
  </si>
  <si>
    <t>TNC</t>
  </si>
  <si>
    <t>TNPO1</t>
  </si>
  <si>
    <t>TNPO2</t>
  </si>
  <si>
    <t>TNR</t>
  </si>
  <si>
    <t>TNS3</t>
  </si>
  <si>
    <t>TOLLIP</t>
  </si>
  <si>
    <t>TOM1</t>
  </si>
  <si>
    <t>TOM1L2</t>
  </si>
  <si>
    <t>TPBG</t>
  </si>
  <si>
    <t>TPD52</t>
  </si>
  <si>
    <t>TPI1</t>
  </si>
  <si>
    <t>TPM1</t>
  </si>
  <si>
    <t>TPM3</t>
  </si>
  <si>
    <t>TPM4</t>
  </si>
  <si>
    <t>TPP1</t>
  </si>
  <si>
    <t>TPP2</t>
  </si>
  <si>
    <t>TPPP</t>
  </si>
  <si>
    <t>TPPP3</t>
  </si>
  <si>
    <t>TPT1</t>
  </si>
  <si>
    <t>TRAPPC3</t>
  </si>
  <si>
    <t>TRIM2</t>
  </si>
  <si>
    <t>TROVE2</t>
  </si>
  <si>
    <t>TSC22D1</t>
  </si>
  <si>
    <t>TSG101</t>
  </si>
  <si>
    <t>TSN</t>
  </si>
  <si>
    <t>TSNAX</t>
  </si>
  <si>
    <t>TSPAN7</t>
  </si>
  <si>
    <t>TST</t>
  </si>
  <si>
    <t>TTC1</t>
  </si>
  <si>
    <t>TTC7B</t>
  </si>
  <si>
    <t>TTYH1</t>
  </si>
  <si>
    <t>TTYH2</t>
  </si>
  <si>
    <t>TTYH3</t>
  </si>
  <si>
    <t>TUBA1B</t>
  </si>
  <si>
    <t>TUBA4A</t>
  </si>
  <si>
    <t>TUBB</t>
  </si>
  <si>
    <t>TUBB2A</t>
  </si>
  <si>
    <t>TUBB3</t>
  </si>
  <si>
    <t>TUBB4A</t>
  </si>
  <si>
    <t>TUBB4B</t>
  </si>
  <si>
    <t>TUFM</t>
  </si>
  <si>
    <t>TWF2</t>
  </si>
  <si>
    <t>TXN</t>
  </si>
  <si>
    <t>TXNDC12</t>
  </si>
  <si>
    <t>TXNDC17</t>
  </si>
  <si>
    <t>TXNDC5</t>
  </si>
  <si>
    <t>TXNL1</t>
  </si>
  <si>
    <t>TXNRD1</t>
  </si>
  <si>
    <t>UBA1</t>
  </si>
  <si>
    <t>UBA3</t>
  </si>
  <si>
    <t>UBA6</t>
  </si>
  <si>
    <t>UBE2K</t>
  </si>
  <si>
    <t>UBE2L3</t>
  </si>
  <si>
    <t>UBE2M</t>
  </si>
  <si>
    <t>UBE2N</t>
  </si>
  <si>
    <t>UBE2O</t>
  </si>
  <si>
    <t>UBE2V2</t>
  </si>
  <si>
    <t>UBE2Z</t>
  </si>
  <si>
    <t>UBQLN1</t>
  </si>
  <si>
    <t>UBXN6</t>
  </si>
  <si>
    <t>UCHL1</t>
  </si>
  <si>
    <t>UFC1</t>
  </si>
  <si>
    <t>UGGT1</t>
  </si>
  <si>
    <t>UGP2</t>
  </si>
  <si>
    <t>UQCRB</t>
  </si>
  <si>
    <t>UQCRC1</t>
  </si>
  <si>
    <t>UQCRC2</t>
  </si>
  <si>
    <t>UQCRFS1</t>
  </si>
  <si>
    <t>USO1</t>
  </si>
  <si>
    <t>USP14</t>
  </si>
  <si>
    <t>USP15</t>
  </si>
  <si>
    <t>USP5</t>
  </si>
  <si>
    <t>USP7</t>
  </si>
  <si>
    <t>USP9X</t>
  </si>
  <si>
    <t>UTRN</t>
  </si>
  <si>
    <t>VAMP2</t>
  </si>
  <si>
    <t>VAPA</t>
  </si>
  <si>
    <t>VAPB</t>
  </si>
  <si>
    <t>VARS</t>
  </si>
  <si>
    <t>VASN</t>
  </si>
  <si>
    <t>VAT1</t>
  </si>
  <si>
    <t>VAT1L</t>
  </si>
  <si>
    <t>VBP1</t>
  </si>
  <si>
    <t>VCAN</t>
  </si>
  <si>
    <t>VCL</t>
  </si>
  <si>
    <t>VCP</t>
  </si>
  <si>
    <t>VDAC1</t>
  </si>
  <si>
    <t>VDAC2</t>
  </si>
  <si>
    <t>VDAC3</t>
  </si>
  <si>
    <t>VIM</t>
  </si>
  <si>
    <t>VPS25</t>
  </si>
  <si>
    <t>VPS26A</t>
  </si>
  <si>
    <t>VPS26B</t>
  </si>
  <si>
    <t>VPS29</t>
  </si>
  <si>
    <t>VPS35</t>
  </si>
  <si>
    <t>VPS45</t>
  </si>
  <si>
    <t>VPS4A</t>
  </si>
  <si>
    <t>VSNL1</t>
  </si>
  <si>
    <t>VTA1</t>
  </si>
  <si>
    <t>VWA5A</t>
  </si>
  <si>
    <t>WARS</t>
  </si>
  <si>
    <t>WASF1</t>
  </si>
  <si>
    <t>WASF3</t>
  </si>
  <si>
    <t>WASL</t>
  </si>
  <si>
    <t>WBP2</t>
  </si>
  <si>
    <t>WDR1</t>
  </si>
  <si>
    <t>WDR37</t>
  </si>
  <si>
    <t>WDR44</t>
  </si>
  <si>
    <t>WDR47</t>
  </si>
  <si>
    <t>WDR48</t>
  </si>
  <si>
    <t>WDR7</t>
  </si>
  <si>
    <t>WFS1</t>
  </si>
  <si>
    <t>XPNPEP1</t>
  </si>
  <si>
    <t>XPO1</t>
  </si>
  <si>
    <t>XPO7</t>
  </si>
  <si>
    <t>XPOT</t>
  </si>
  <si>
    <t>XRCC5</t>
  </si>
  <si>
    <t>XRCC6</t>
  </si>
  <si>
    <t>YARS</t>
  </si>
  <si>
    <t>YES1</t>
  </si>
  <si>
    <t>YKT6</t>
  </si>
  <si>
    <t>YWHAB</t>
  </si>
  <si>
    <t>YWHAE</t>
  </si>
  <si>
    <t>YWHAG</t>
  </si>
  <si>
    <t>YWHAH</t>
  </si>
  <si>
    <t>YWHAQ</t>
  </si>
  <si>
    <t>YWHAZ</t>
  </si>
  <si>
    <t>ZMPSTE24</t>
  </si>
  <si>
    <t>mitochondria</t>
  </si>
  <si>
    <t>PHB1</t>
  </si>
  <si>
    <t>NHERF2</t>
  </si>
  <si>
    <t>NHERF1</t>
  </si>
  <si>
    <t>GBA1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</si>
</sst>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ill="1" applyBorder="1"/>
    <xf numFmtId="0" fontId="0" fillId="0" borderId="10" xfId="0" applyBorder="1"/>
    <xf numFmtId="0" fontId="13" fillId="33" borderId="12" xfId="0" applyFont="1" applyFill="1" applyBorder="1"/>
    <xf numFmtId="17" fontId="0" fillId="0" borderId="10" xfId="0" applyNumberFormat="1" applyBorder="1"/>
    <xf numFmtId="17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829" totalsRowShown="0">
  <autoFilter ref="A1:T1829" xr:uid="{00000000-0009-0000-0100-000001000000}">
    <filterColumn colId="0">
      <filters>
        <filter val="AQP4"/>
      </filters>
    </filterColumn>
  </autoFilter>
  <tableColumns count="20">
    <tableColumn id="1" xr3:uid="{00000000-0010-0000-0000-000001000000}" name="Gene names"/>
    <tableColumn id="2" xr3:uid="{00000000-0010-0000-0000-000002000000}" name="riBAQ 17"/>
    <tableColumn id="3" xr3:uid="{00000000-0010-0000-0000-000003000000}" name="riBAQ 18"/>
    <tableColumn id="4" xr3:uid="{00000000-0010-0000-0000-000004000000}" name="riBAQ 35"/>
    <tableColumn id="5" xr3:uid="{00000000-0010-0000-0000-000005000000}" name="riBAQ 36"/>
    <tableColumn id="6" xr3:uid="{00000000-0010-0000-0000-000006000000}" name="riBAQ 19"/>
    <tableColumn id="7" xr3:uid="{00000000-0010-0000-0000-000007000000}" name="riBAQ 20"/>
    <tableColumn id="8" xr3:uid="{00000000-0010-0000-0000-000008000000}" name="riBAQ 21"/>
    <tableColumn id="9" xr3:uid="{00000000-0010-0000-0000-000009000000}" name="riBAQ 22"/>
    <tableColumn id="10" xr3:uid="{00000000-0010-0000-0000-00000A000000}" name="riBAQ 23"/>
    <tableColumn id="11" xr3:uid="{00000000-0010-0000-0000-00000B000000}" name="riBAQ 37"/>
    <tableColumn id="12" xr3:uid="{00000000-0010-0000-0000-00000C000000}" name="riBAQ 38"/>
    <tableColumn id="13" xr3:uid="{00000000-0010-0000-0000-00000D000000}" name="riBAQ 39"/>
    <tableColumn id="14" xr3:uid="{00000000-0010-0000-0000-00000E000000}" name="riBAQ 40"/>
    <tableColumn id="15" xr3:uid="{00000000-0010-0000-0000-00000F000000}" name="riBAQ 41"/>
    <tableColumn id="16" xr3:uid="{00000000-0010-0000-0000-000010000000}" name="riBAQ 24"/>
    <tableColumn id="17" xr3:uid="{00000000-0010-0000-0000-000011000000}" name="riBAQ 25"/>
    <tableColumn id="18" xr3:uid="{00000000-0010-0000-0000-000012000000}" name="riBAQ 26"/>
    <tableColumn id="19" xr3:uid="{00000000-0010-0000-0000-000013000000}" name="riBAQ 42"/>
    <tableColumn id="20" xr3:uid="{00000000-0010-0000-0000-000014000000}" name="riBAQ 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T529" totalsRowShown="0">
  <autoFilter ref="A1:T529" xr:uid="{00000000-0009-0000-0100-000003000000}"/>
  <tableColumns count="20">
    <tableColumn id="1" xr3:uid="{00000000-0010-0000-0100-000001000000}" name="Gene names"/>
    <tableColumn id="2" xr3:uid="{00000000-0010-0000-0100-000002000000}" name="riBAQ 17" dataDxfId="0">
      <calculatedColumnFormula array="1">INDEX(Table1[riBAQ 17], MATCH(1, (Table3[[#This Row],[Gene names]:[Gene names]] = Table1[[Gene names]:[Gene names]])*1, 0))</calculatedColumnFormula>
    </tableColumn>
    <tableColumn id="3" xr3:uid="{00000000-0010-0000-0100-000003000000}" name="riBAQ 18">
      <calculatedColumnFormula array="1">INDEX(Table1[riBAQ 18], MATCH(1, (Table3[[#This Row],[Gene names]:[Gene names]] = Table1[[Gene names]:[Gene names]])*1, 0))</calculatedColumnFormula>
    </tableColumn>
    <tableColumn id="4" xr3:uid="{00000000-0010-0000-0100-000004000000}" name="riBAQ 35">
      <calculatedColumnFormula array="1">INDEX(Table1[riBAQ 35], MATCH(1, (Table3[[#This Row],[Gene names]:[Gene names]] = Table1[[Gene names]:[Gene names]])*1, 0))</calculatedColumnFormula>
    </tableColumn>
    <tableColumn id="5" xr3:uid="{00000000-0010-0000-0100-000005000000}" name="riBAQ 36">
      <calculatedColumnFormula array="1">INDEX(Table1[riBAQ 36], MATCH(1, (Table3[[#This Row],[Gene names]:[Gene names]] = Table1[[Gene names]:[Gene names]])*1, 0))</calculatedColumnFormula>
    </tableColumn>
    <tableColumn id="6" xr3:uid="{00000000-0010-0000-0100-000006000000}" name="riBAQ 19">
      <calculatedColumnFormula array="1">INDEX(Table1[riBAQ 19], MATCH(1, (Table3[[#This Row],[Gene names]:[Gene names]] = Table1[[Gene names]:[Gene names]])*1, 0))</calculatedColumnFormula>
    </tableColumn>
    <tableColumn id="7" xr3:uid="{00000000-0010-0000-0100-000007000000}" name="riBAQ 20">
      <calculatedColumnFormula array="1">INDEX(Table1[riBAQ 20], MATCH(1, (Table3[[#This Row],[Gene names]:[Gene names]] = Table1[[Gene names]:[Gene names]])*1, 0))</calculatedColumnFormula>
    </tableColumn>
    <tableColumn id="8" xr3:uid="{00000000-0010-0000-0100-000008000000}" name="riBAQ 21">
      <calculatedColumnFormula array="1">INDEX(Table1[riBAQ 21], MATCH(1, (Table3[[#This Row],[Gene names]:[Gene names]] = Table1[[Gene names]:[Gene names]])*1, 0))</calculatedColumnFormula>
    </tableColumn>
    <tableColumn id="9" xr3:uid="{00000000-0010-0000-0100-000009000000}" name="riBAQ 22">
      <calculatedColumnFormula array="1">INDEX(Table1[riBAQ 22], MATCH(1, (Table3[[#This Row],[Gene names]:[Gene names]] = Table1[[Gene names]:[Gene names]])*1, 0))</calculatedColumnFormula>
    </tableColumn>
    <tableColumn id="10" xr3:uid="{00000000-0010-0000-0100-00000A000000}" name="riBAQ 23">
      <calculatedColumnFormula array="1">INDEX(Table1[riBAQ 23], MATCH(1, (Table3[[#This Row],[Gene names]:[Gene names]] = Table1[[Gene names]:[Gene names]])*1, 0))</calculatedColumnFormula>
    </tableColumn>
    <tableColumn id="11" xr3:uid="{00000000-0010-0000-0100-00000B000000}" name="riBAQ 37">
      <calculatedColumnFormula array="1">INDEX(Table1[riBAQ 37], MATCH(1, (Table3[[#This Row],[Gene names]:[Gene names]] = Table1[[Gene names]:[Gene names]])*1, 0))</calculatedColumnFormula>
    </tableColumn>
    <tableColumn id="12" xr3:uid="{00000000-0010-0000-0100-00000C000000}" name="riBAQ 38">
      <calculatedColumnFormula array="1">INDEX(Table1[riBAQ 38], MATCH(1, (Table3[[#This Row],[Gene names]:[Gene names]] = Table1[[Gene names]:[Gene names]])*1, 0))</calculatedColumnFormula>
    </tableColumn>
    <tableColumn id="13" xr3:uid="{00000000-0010-0000-0100-00000D000000}" name="riBAQ 39">
      <calculatedColumnFormula array="1">INDEX(Table1[riBAQ 39], MATCH(1, (Table3[[#This Row],[Gene names]:[Gene names]] = Table1[[Gene names]:[Gene names]])*1, 0))</calculatedColumnFormula>
    </tableColumn>
    <tableColumn id="14" xr3:uid="{00000000-0010-0000-0100-00000E000000}" name="riBAQ 40">
      <calculatedColumnFormula array="1">INDEX(Table1[riBAQ 40], MATCH(1, (Table3[[#This Row],[Gene names]:[Gene names]] = Table1[[Gene names]:[Gene names]])*1, 0))</calculatedColumnFormula>
    </tableColumn>
    <tableColumn id="15" xr3:uid="{00000000-0010-0000-0100-00000F000000}" name="riBAQ 41">
      <calculatedColumnFormula array="1">INDEX(Table1[riBAQ 41], MATCH(1, (Table3[[#This Row],[Gene names]:[Gene names]] = Table1[[Gene names]:[Gene names]])*1, 0))</calculatedColumnFormula>
    </tableColumn>
    <tableColumn id="16" xr3:uid="{00000000-0010-0000-0100-000010000000}" name="riBAQ 24">
      <calculatedColumnFormula array="1">INDEX(Table1[riBAQ 24], MATCH(1, (Table3[[#This Row],[Gene names]:[Gene names]] = Table1[[Gene names]:[Gene names]])*1, 0))</calculatedColumnFormula>
    </tableColumn>
    <tableColumn id="17" xr3:uid="{00000000-0010-0000-0100-000011000000}" name="riBAQ 25">
      <calculatedColumnFormula array="1">INDEX(Table1[riBAQ 25], MATCH(1, (Table3[[#This Row],[Gene names]:[Gene names]] = Table1[[Gene names]:[Gene names]])*1, 0))</calculatedColumnFormula>
    </tableColumn>
    <tableColumn id="18" xr3:uid="{00000000-0010-0000-0100-000012000000}" name="riBAQ 26">
      <calculatedColumnFormula array="1">INDEX(Table1[riBAQ 26], MATCH(1, (Table3[[#This Row],[Gene names]:[Gene names]] = Table1[[Gene names]:[Gene names]])*1, 0))</calculatedColumnFormula>
    </tableColumn>
    <tableColumn id="19" xr3:uid="{00000000-0010-0000-0100-000013000000}" name="riBAQ 42">
      <calculatedColumnFormula array="1">INDEX(Table1[riBAQ 42], MATCH(1, (Table3[[#This Row],[Gene names]:[Gene names]] = Table1[[Gene names]:[Gene names]])*1, 0))</calculatedColumnFormula>
    </tableColumn>
    <tableColumn id="20" xr3:uid="{00000000-0010-0000-0100-000014000000}" name="riBAQ 43">
      <calculatedColumnFormula array="1">INDEX(Table1[riBAQ 43], MATCH(1, (Table3[[#This Row],[Gene names]:[Gene names]] = Table1[[Gene names]:[Gene names]])*1,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29"/>
  <sheetViews>
    <sheetView tabSelected="1" workbookViewId="0">
      <selection activeCell="A650" sqref="A650:T650"/>
    </sheetView>
  </sheetViews>
  <sheetFormatPr defaultColWidth="11" defaultRowHeight="15.75" x14ac:dyDescent="0.25"/>
  <cols>
    <col min="1" max="1" width="13.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 t="s">
        <v>20</v>
      </c>
      <c r="B2" s="1">
        <v>6.0800000000000001E-5</v>
      </c>
      <c r="C2" s="1">
        <v>8.6200000000000005E-6</v>
      </c>
      <c r="D2" s="1">
        <v>1.8E-5</v>
      </c>
      <c r="E2" s="1">
        <v>6.0700000000000003E-6</v>
      </c>
      <c r="F2">
        <v>1.3678E-4</v>
      </c>
      <c r="G2" s="1">
        <v>9.6399999999999999E-5</v>
      </c>
      <c r="H2">
        <v>1.62344E-4</v>
      </c>
      <c r="I2">
        <v>1.1006999999999999E-4</v>
      </c>
      <c r="J2" s="1">
        <v>7.1699999999999995E-5</v>
      </c>
      <c r="K2" s="1">
        <v>6.5199999999999999E-5</v>
      </c>
      <c r="L2" s="1">
        <v>7.4800000000000002E-5</v>
      </c>
      <c r="M2">
        <v>1.0131100000000001E-4</v>
      </c>
      <c r="N2">
        <v>1.09355E-4</v>
      </c>
      <c r="O2" s="1">
        <v>9.9599999999999995E-5</v>
      </c>
      <c r="P2">
        <v>2.3930499999999999E-4</v>
      </c>
      <c r="Q2">
        <v>1.10982E-4</v>
      </c>
      <c r="R2">
        <v>2.01504E-4</v>
      </c>
      <c r="S2">
        <v>1.8798799999999999E-4</v>
      </c>
      <c r="T2" s="1">
        <v>9.2100000000000003E-5</v>
      </c>
    </row>
    <row r="3" spans="1:20" hidden="1" x14ac:dyDescent="0.25">
      <c r="A3" t="s">
        <v>21</v>
      </c>
      <c r="B3" s="1">
        <v>2.3099999999999999E-5</v>
      </c>
      <c r="C3" s="1">
        <v>7.4499999999999995E-5</v>
      </c>
      <c r="D3" s="1">
        <v>4.6199999999999998E-5</v>
      </c>
      <c r="E3" s="1">
        <v>6.5099999999999997E-5</v>
      </c>
      <c r="F3" s="1">
        <v>2.3600000000000001E-5</v>
      </c>
      <c r="G3" s="1">
        <v>3.8000000000000002E-5</v>
      </c>
      <c r="H3" s="1">
        <v>3.9499999999999998E-5</v>
      </c>
      <c r="I3" s="1">
        <v>1.8700000000000001E-5</v>
      </c>
      <c r="J3" s="1">
        <v>2.02E-5</v>
      </c>
      <c r="K3" s="1">
        <v>3.7100000000000001E-5</v>
      </c>
      <c r="L3" s="1">
        <v>4.8699999999999998E-5</v>
      </c>
      <c r="M3">
        <v>0</v>
      </c>
      <c r="N3">
        <v>0</v>
      </c>
      <c r="O3" s="1">
        <v>2.58E-5</v>
      </c>
      <c r="P3" s="1">
        <v>1.42E-5</v>
      </c>
      <c r="Q3">
        <v>0</v>
      </c>
      <c r="R3">
        <v>0</v>
      </c>
      <c r="S3">
        <v>0</v>
      </c>
      <c r="T3" s="1">
        <v>1.0900000000000001E-5</v>
      </c>
    </row>
    <row r="4" spans="1:20" hidden="1" x14ac:dyDescent="0.25">
      <c r="A4" t="s">
        <v>22</v>
      </c>
      <c r="B4" s="1">
        <v>3.1399999999999998E-5</v>
      </c>
      <c r="C4" s="1">
        <v>9.1600000000000004E-5</v>
      </c>
      <c r="D4" s="1">
        <v>9.0400000000000002E-5</v>
      </c>
      <c r="E4" s="1">
        <v>8.3300000000000005E-5</v>
      </c>
      <c r="F4" s="1">
        <v>4.07E-5</v>
      </c>
      <c r="G4" s="1">
        <v>9.3900000000000006E-5</v>
      </c>
      <c r="H4" s="1">
        <v>5.3999999999999998E-5</v>
      </c>
      <c r="I4" s="1">
        <v>5.1100000000000002E-5</v>
      </c>
      <c r="J4" s="1">
        <v>4.49E-5</v>
      </c>
      <c r="K4" s="1">
        <v>6.0399999999999998E-5</v>
      </c>
      <c r="L4" s="1">
        <v>9.3599999999999998E-5</v>
      </c>
      <c r="M4" s="1">
        <v>5.7099999999999999E-5</v>
      </c>
      <c r="N4" s="1">
        <v>5.0000000000000002E-5</v>
      </c>
      <c r="O4" s="1">
        <v>5.24E-5</v>
      </c>
      <c r="P4" s="1">
        <v>4.9299999999999999E-5</v>
      </c>
      <c r="Q4" s="1">
        <v>7.2200000000000007E-5</v>
      </c>
      <c r="R4" s="1">
        <v>7.5500000000000006E-5</v>
      </c>
      <c r="S4" s="1">
        <v>7.9599999999999997E-5</v>
      </c>
      <c r="T4" s="1">
        <v>5.2299999999999997E-5</v>
      </c>
    </row>
    <row r="5" spans="1:20" hidden="1" x14ac:dyDescent="0.25">
      <c r="A5" t="s">
        <v>23</v>
      </c>
      <c r="B5" s="1">
        <v>3.6900000000000002E-5</v>
      </c>
      <c r="C5" s="1">
        <v>5.02E-5</v>
      </c>
      <c r="D5" s="1">
        <v>6.97E-5</v>
      </c>
      <c r="E5" s="1">
        <v>6.0900000000000003E-5</v>
      </c>
      <c r="F5" s="1">
        <v>4.4400000000000002E-5</v>
      </c>
      <c r="G5" s="1">
        <v>4.5200000000000001E-5</v>
      </c>
      <c r="H5" s="1">
        <v>2.8099999999999999E-5</v>
      </c>
      <c r="I5" s="1">
        <v>4.4400000000000002E-5</v>
      </c>
      <c r="J5" s="1">
        <v>2.3799999999999999E-5</v>
      </c>
      <c r="K5" s="1">
        <v>3.0700000000000001E-5</v>
      </c>
      <c r="L5" s="1">
        <v>5.2800000000000003E-5</v>
      </c>
      <c r="M5">
        <v>0</v>
      </c>
      <c r="N5">
        <v>0</v>
      </c>
      <c r="O5" s="1">
        <v>4.57E-5</v>
      </c>
      <c r="P5" s="1">
        <v>2.5700000000000001E-5</v>
      </c>
      <c r="Q5" s="1">
        <v>1.9899999999999999E-5</v>
      </c>
      <c r="R5" s="1">
        <v>2.6299999999999999E-5</v>
      </c>
      <c r="S5" s="1">
        <v>1.8300000000000001E-5</v>
      </c>
      <c r="T5" s="1">
        <v>2.41E-5</v>
      </c>
    </row>
    <row r="6" spans="1:20" hidden="1" x14ac:dyDescent="0.25">
      <c r="A6" t="s">
        <v>24</v>
      </c>
      <c r="B6">
        <v>1.8140800000000001E-4</v>
      </c>
      <c r="C6" s="1">
        <v>4.0099999999999999E-5</v>
      </c>
      <c r="D6" s="1">
        <v>8.2600000000000002E-5</v>
      </c>
      <c r="E6" s="1">
        <v>7.1600000000000006E-5</v>
      </c>
      <c r="F6" s="1">
        <v>9.3300000000000005E-5</v>
      </c>
      <c r="G6" s="1">
        <v>4.71E-5</v>
      </c>
      <c r="H6">
        <v>1.5667799999999999E-4</v>
      </c>
      <c r="I6" s="1">
        <v>8.6000000000000003E-5</v>
      </c>
      <c r="J6">
        <v>1.2037200000000001E-4</v>
      </c>
      <c r="K6" s="1">
        <v>8.3499999999999997E-5</v>
      </c>
      <c r="L6" s="1">
        <v>5.1700000000000003E-5</v>
      </c>
      <c r="M6">
        <v>1.03349E-4</v>
      </c>
      <c r="N6">
        <v>1.19806E-4</v>
      </c>
      <c r="O6" s="1">
        <v>8.8900000000000006E-5</v>
      </c>
      <c r="P6">
        <v>1.5967800000000001E-4</v>
      </c>
      <c r="Q6">
        <v>1.63976E-4</v>
      </c>
      <c r="R6">
        <v>1.7327400000000001E-4</v>
      </c>
      <c r="S6" s="1">
        <v>8.1299999999999997E-5</v>
      </c>
      <c r="T6">
        <v>2.5642599999999997E-4</v>
      </c>
    </row>
    <row r="7" spans="1:20" hidden="1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1">
        <v>7.08E-6</v>
      </c>
      <c r="I7">
        <v>0</v>
      </c>
      <c r="J7" s="1">
        <v>6.7000000000000002E-6</v>
      </c>
      <c r="K7">
        <v>0</v>
      </c>
      <c r="L7" s="1">
        <v>9.1300000000000007E-6</v>
      </c>
      <c r="M7">
        <v>0</v>
      </c>
      <c r="N7">
        <v>0</v>
      </c>
      <c r="O7">
        <v>0</v>
      </c>
      <c r="P7">
        <v>0</v>
      </c>
      <c r="Q7" s="1">
        <v>6.4500000000000001E-6</v>
      </c>
      <c r="R7" s="1">
        <v>6.3300000000000004E-6</v>
      </c>
      <c r="S7" s="1">
        <v>8.8100000000000004E-6</v>
      </c>
      <c r="T7" s="1">
        <v>9.0499999999999997E-6</v>
      </c>
    </row>
    <row r="8" spans="1:20" hidden="1" x14ac:dyDescent="0.25">
      <c r="A8" t="s">
        <v>26</v>
      </c>
      <c r="B8" s="1">
        <v>1.3900000000000001E-5</v>
      </c>
      <c r="C8">
        <v>0</v>
      </c>
      <c r="D8" s="1">
        <v>5.5899999999999998E-6</v>
      </c>
      <c r="E8" s="1">
        <v>3.3299999999999999E-6</v>
      </c>
      <c r="F8">
        <v>0</v>
      </c>
      <c r="G8" s="1">
        <v>9.8200000000000008E-6</v>
      </c>
      <c r="H8" s="1">
        <v>6.0100000000000001E-6</v>
      </c>
      <c r="I8">
        <v>0</v>
      </c>
      <c r="J8" s="1">
        <v>6.0599999999999996E-6</v>
      </c>
      <c r="K8" s="1">
        <v>4.4700000000000004E-6</v>
      </c>
      <c r="L8" s="1">
        <v>1.4100000000000001E-5</v>
      </c>
      <c r="M8" s="1">
        <v>9.2699999999999993E-6</v>
      </c>
      <c r="N8" s="1">
        <v>4.5000000000000001E-6</v>
      </c>
      <c r="O8" s="1">
        <v>5.84E-6</v>
      </c>
      <c r="P8" s="1">
        <v>2.1100000000000001E-5</v>
      </c>
      <c r="Q8" s="1">
        <v>1.6799999999999998E-5</v>
      </c>
      <c r="R8" s="1">
        <v>1.22E-5</v>
      </c>
      <c r="S8" s="1">
        <v>5.6699999999999999E-6</v>
      </c>
      <c r="T8" s="1">
        <v>8.7199999999999995E-6</v>
      </c>
    </row>
    <row r="9" spans="1:20" hidden="1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1">
        <v>7.0500000000000003E-6</v>
      </c>
      <c r="I9">
        <v>0</v>
      </c>
      <c r="J9" s="1">
        <v>9.1500000000000005E-6</v>
      </c>
      <c r="K9">
        <v>0</v>
      </c>
      <c r="L9" s="1">
        <v>6.3199999999999996E-6</v>
      </c>
      <c r="M9">
        <v>0</v>
      </c>
      <c r="N9">
        <v>0</v>
      </c>
      <c r="O9">
        <v>0</v>
      </c>
      <c r="P9" s="1">
        <v>1.17E-5</v>
      </c>
      <c r="Q9" s="1">
        <v>1.5099999999999999E-5</v>
      </c>
      <c r="R9" s="1">
        <v>1.33E-5</v>
      </c>
      <c r="S9" s="1">
        <v>1.5099999999999999E-5</v>
      </c>
      <c r="T9" s="1">
        <v>2.0100000000000001E-5</v>
      </c>
    </row>
    <row r="10" spans="1:20" hidden="1" x14ac:dyDescent="0.25">
      <c r="A10" t="s">
        <v>28</v>
      </c>
      <c r="B10" s="1">
        <v>3.3000000000000003E-5</v>
      </c>
      <c r="C10">
        <v>0</v>
      </c>
      <c r="D10" s="1">
        <v>8.3999999999999992E-6</v>
      </c>
      <c r="E10">
        <v>0</v>
      </c>
      <c r="F10">
        <v>0</v>
      </c>
      <c r="G10">
        <v>0</v>
      </c>
      <c r="H10">
        <v>0</v>
      </c>
      <c r="I10">
        <v>0</v>
      </c>
      <c r="J10" s="1">
        <v>1.7399999999999999E-5</v>
      </c>
      <c r="K10" s="1">
        <v>1.11E-5</v>
      </c>
      <c r="L10">
        <v>0</v>
      </c>
      <c r="M10" s="1">
        <v>1.4E-5</v>
      </c>
      <c r="N10" s="1">
        <v>2.44E-5</v>
      </c>
      <c r="O10">
        <v>0</v>
      </c>
      <c r="P10" s="1">
        <v>3.54E-5</v>
      </c>
      <c r="Q10">
        <v>0</v>
      </c>
      <c r="R10" s="1">
        <v>6.1500000000000004E-5</v>
      </c>
      <c r="S10" s="1">
        <v>3.65E-5</v>
      </c>
      <c r="T10" s="1">
        <v>7.9099999999999998E-5</v>
      </c>
    </row>
    <row r="11" spans="1:20" hidden="1" x14ac:dyDescent="0.25">
      <c r="A11" t="s">
        <v>29</v>
      </c>
      <c r="B11">
        <v>0</v>
      </c>
      <c r="C11" s="1">
        <v>1.6799999999999998E-5</v>
      </c>
      <c r="D11">
        <v>0</v>
      </c>
      <c r="E11">
        <v>0</v>
      </c>
      <c r="F11">
        <v>0</v>
      </c>
      <c r="G11" s="1">
        <v>2.5199999999999999E-5</v>
      </c>
      <c r="H11">
        <v>0</v>
      </c>
      <c r="I11">
        <v>0</v>
      </c>
      <c r="J11">
        <v>0</v>
      </c>
      <c r="K11" s="1">
        <v>2.69E-5</v>
      </c>
      <c r="L11">
        <v>0</v>
      </c>
      <c r="M11">
        <v>0</v>
      </c>
      <c r="N11">
        <v>0</v>
      </c>
      <c r="O11">
        <v>0</v>
      </c>
      <c r="P11" s="1">
        <v>1.91E-5</v>
      </c>
      <c r="Q11" s="1">
        <v>2.3600000000000001E-5</v>
      </c>
      <c r="R11" s="1">
        <v>1.49E-5</v>
      </c>
      <c r="S11" s="1">
        <v>2.6999999999999999E-5</v>
      </c>
      <c r="T11" s="1">
        <v>2.9600000000000001E-5</v>
      </c>
    </row>
    <row r="12" spans="1:20" hidden="1" x14ac:dyDescent="0.25">
      <c r="A12" t="s">
        <v>30</v>
      </c>
      <c r="B12" s="1">
        <v>8.4099999999999998E-5</v>
      </c>
      <c r="C12" s="1">
        <v>8.4599999999999996E-5</v>
      </c>
      <c r="D12" s="1">
        <v>7.6100000000000007E-5</v>
      </c>
      <c r="E12" s="1">
        <v>9.1199999999999994E-5</v>
      </c>
      <c r="F12" s="1">
        <v>8.7999999999999998E-5</v>
      </c>
      <c r="G12">
        <v>1.21396E-4</v>
      </c>
      <c r="H12" s="1">
        <v>9.6299999999999996E-5</v>
      </c>
      <c r="I12">
        <v>1.211E-4</v>
      </c>
      <c r="J12">
        <v>1.03282E-4</v>
      </c>
      <c r="K12">
        <v>1.0980999999999999E-4</v>
      </c>
      <c r="L12">
        <v>1.19156E-4</v>
      </c>
      <c r="M12">
        <v>1.17395E-4</v>
      </c>
      <c r="N12">
        <v>1.17242E-4</v>
      </c>
      <c r="O12">
        <v>1.02546E-4</v>
      </c>
      <c r="P12">
        <v>1.7470699999999999E-4</v>
      </c>
      <c r="Q12">
        <v>2.2324000000000001E-4</v>
      </c>
      <c r="R12">
        <v>1.8357700000000001E-4</v>
      </c>
      <c r="S12">
        <v>2.8685599999999999E-4</v>
      </c>
      <c r="T12">
        <v>2.0912200000000001E-4</v>
      </c>
    </row>
    <row r="13" spans="1:20" hidden="1" x14ac:dyDescent="0.25">
      <c r="A13" t="s">
        <v>31</v>
      </c>
      <c r="B13" s="1">
        <v>4.6900000000000002E-5</v>
      </c>
      <c r="C13" s="1">
        <v>6.5300000000000002E-5</v>
      </c>
      <c r="D13" s="1">
        <v>4.6699999999999997E-5</v>
      </c>
      <c r="E13" s="1">
        <v>5.0800000000000002E-5</v>
      </c>
      <c r="F13" s="1">
        <v>9.1899999999999998E-5</v>
      </c>
      <c r="G13" s="1">
        <v>3.3000000000000003E-5</v>
      </c>
      <c r="H13">
        <v>0</v>
      </c>
      <c r="I13" s="1">
        <v>5.8199999999999998E-5</v>
      </c>
      <c r="J13" s="1">
        <v>3.2100000000000001E-5</v>
      </c>
      <c r="K13" s="1">
        <v>3.4700000000000003E-5</v>
      </c>
      <c r="L13" s="1">
        <v>4.7500000000000003E-5</v>
      </c>
      <c r="M13" s="1">
        <v>1.5299999999999999E-5</v>
      </c>
      <c r="N13" s="1">
        <v>2.3600000000000001E-5</v>
      </c>
      <c r="O13" s="1">
        <v>2.6800000000000001E-5</v>
      </c>
      <c r="P13">
        <v>0</v>
      </c>
      <c r="Q13" s="1">
        <v>3.6199999999999999E-5</v>
      </c>
      <c r="R13" s="1">
        <v>2.8E-5</v>
      </c>
      <c r="S13" s="1">
        <v>3.3800000000000002E-5</v>
      </c>
      <c r="T13" s="1">
        <v>4.21E-5</v>
      </c>
    </row>
    <row r="14" spans="1:20" hidden="1" x14ac:dyDescent="0.25">
      <c r="A14" t="s">
        <v>32</v>
      </c>
      <c r="B14">
        <v>1.1336999999999999E-4</v>
      </c>
      <c r="C14">
        <v>1.67586E-4</v>
      </c>
      <c r="D14">
        <v>2.0029100000000001E-4</v>
      </c>
      <c r="E14">
        <v>1.73282E-4</v>
      </c>
      <c r="F14">
        <v>2.1335399999999999E-4</v>
      </c>
      <c r="G14">
        <v>1.00795E-4</v>
      </c>
      <c r="H14">
        <v>1.01229E-4</v>
      </c>
      <c r="I14">
        <v>1.4110699999999999E-4</v>
      </c>
      <c r="J14" s="1">
        <v>9.2100000000000003E-5</v>
      </c>
      <c r="K14">
        <v>1.3515000000000001E-4</v>
      </c>
      <c r="L14">
        <v>1.1254100000000001E-4</v>
      </c>
      <c r="M14" s="1">
        <v>6.2600000000000004E-5</v>
      </c>
      <c r="N14" s="1">
        <v>8.7200000000000005E-5</v>
      </c>
      <c r="O14" s="1">
        <v>8.81E-5</v>
      </c>
      <c r="P14" s="1">
        <v>6.0300000000000002E-5</v>
      </c>
      <c r="Q14" s="1">
        <v>6.2500000000000001E-5</v>
      </c>
      <c r="R14" s="1">
        <v>4.2299999999999998E-5</v>
      </c>
      <c r="S14" s="1">
        <v>5.5999999999999999E-5</v>
      </c>
      <c r="T14" s="1">
        <v>4.5000000000000003E-5</v>
      </c>
    </row>
    <row r="15" spans="1:20" hidden="1" x14ac:dyDescent="0.25">
      <c r="A15" t="s">
        <v>33</v>
      </c>
      <c r="B15">
        <v>0</v>
      </c>
      <c r="C15" s="1">
        <v>1.0200000000000001E-5</v>
      </c>
      <c r="D15" s="1">
        <v>5.6999999999999996E-6</v>
      </c>
      <c r="E15" s="1">
        <v>1.01E-5</v>
      </c>
      <c r="F15" s="1">
        <v>7.1999999999999997E-6</v>
      </c>
      <c r="G15">
        <v>0</v>
      </c>
      <c r="H15">
        <v>0</v>
      </c>
      <c r="I15" s="1">
        <v>6.6599999999999998E-6</v>
      </c>
      <c r="J15">
        <v>0</v>
      </c>
      <c r="K15" s="1">
        <v>1.17E-5</v>
      </c>
      <c r="L15" s="1">
        <v>9.5599999999999999E-6</v>
      </c>
      <c r="M15" s="1">
        <v>1.1E-5</v>
      </c>
      <c r="N15" s="1">
        <v>1.2E-5</v>
      </c>
      <c r="O15" s="1">
        <v>5.49E-6</v>
      </c>
      <c r="P15" s="1">
        <v>5.8799999999999996E-6</v>
      </c>
      <c r="Q15" s="1">
        <v>7.5399999999999998E-6</v>
      </c>
      <c r="R15" s="1">
        <v>1.8199999999999999E-5</v>
      </c>
      <c r="S15" s="1">
        <v>1.4100000000000001E-5</v>
      </c>
      <c r="T15" s="1">
        <v>1.17E-5</v>
      </c>
    </row>
    <row r="16" spans="1:20" hidden="1" x14ac:dyDescent="0.25">
      <c r="A16" t="s">
        <v>34</v>
      </c>
      <c r="B16" s="1">
        <v>1.6699999999999999E-5</v>
      </c>
      <c r="C16" s="1">
        <v>3.0800000000000003E-5</v>
      </c>
      <c r="D16" s="1">
        <v>3.4400000000000003E-5</v>
      </c>
      <c r="E16" s="1">
        <v>2.7399999999999999E-5</v>
      </c>
      <c r="F16" s="1">
        <v>3.18E-5</v>
      </c>
      <c r="G16" s="1">
        <v>1.9700000000000001E-5</v>
      </c>
      <c r="H16" s="1">
        <v>2.3099999999999999E-5</v>
      </c>
      <c r="I16" s="1">
        <v>1.7200000000000001E-5</v>
      </c>
      <c r="J16" s="1">
        <v>1.7799999999999999E-5</v>
      </c>
      <c r="K16" s="1">
        <v>3.0000000000000001E-5</v>
      </c>
      <c r="L16" s="1">
        <v>3.0199999999999999E-5</v>
      </c>
      <c r="M16" s="1">
        <v>1.47E-5</v>
      </c>
      <c r="N16" s="1">
        <v>1.5400000000000002E-5</v>
      </c>
      <c r="O16" s="1">
        <v>1.73E-5</v>
      </c>
      <c r="P16" s="1">
        <v>1.7799999999999999E-5</v>
      </c>
      <c r="Q16" s="1">
        <v>3.68E-5</v>
      </c>
      <c r="R16" s="1">
        <v>3.82E-5</v>
      </c>
      <c r="S16" s="1">
        <v>2.09E-5</v>
      </c>
      <c r="T16" s="1">
        <v>2.3499999999999999E-5</v>
      </c>
    </row>
    <row r="17" spans="1:20" hidden="1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1">
        <v>1.77E-5</v>
      </c>
      <c r="R17" s="1">
        <v>2.69E-5</v>
      </c>
      <c r="S17" s="1">
        <v>4.7599999999999998E-5</v>
      </c>
      <c r="T17" s="1">
        <v>2.4499999999999999E-5</v>
      </c>
    </row>
    <row r="18" spans="1:20" hidden="1" x14ac:dyDescent="0.25">
      <c r="A18" t="s">
        <v>36</v>
      </c>
      <c r="B18" s="1">
        <v>3.3500000000000001E-5</v>
      </c>
      <c r="C18">
        <v>0</v>
      </c>
      <c r="D18" s="1">
        <v>2.97E-5</v>
      </c>
      <c r="E18" s="1">
        <v>3.4100000000000002E-5</v>
      </c>
      <c r="F18" s="1">
        <v>1.73E-5</v>
      </c>
      <c r="G18">
        <v>0</v>
      </c>
      <c r="H18" s="1">
        <v>5.4299999999999998E-5</v>
      </c>
      <c r="I18" s="1">
        <v>2.3600000000000001E-5</v>
      </c>
      <c r="J18" s="1">
        <v>6.05E-5</v>
      </c>
      <c r="K18" s="1">
        <v>4.7700000000000001E-5</v>
      </c>
      <c r="L18" s="1">
        <v>3.3800000000000002E-5</v>
      </c>
      <c r="M18" s="1">
        <v>3.4900000000000001E-5</v>
      </c>
      <c r="N18" s="1">
        <v>8.0900000000000001E-5</v>
      </c>
      <c r="O18" s="1">
        <v>3.6399999999999997E-5</v>
      </c>
      <c r="P18" s="1">
        <v>7.7899999999999996E-5</v>
      </c>
      <c r="Q18">
        <v>1.07212E-4</v>
      </c>
      <c r="R18">
        <v>1.3802500000000001E-4</v>
      </c>
      <c r="S18" s="1">
        <v>6.4800000000000003E-5</v>
      </c>
      <c r="T18">
        <v>1.50462E-4</v>
      </c>
    </row>
    <row r="19" spans="1:20" hidden="1" x14ac:dyDescent="0.25">
      <c r="A19" t="s">
        <v>37</v>
      </c>
      <c r="B19" s="1">
        <v>1.66E-5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>
        <v>1.7099999999999999E-5</v>
      </c>
      <c r="O19">
        <v>0</v>
      </c>
      <c r="P19" s="1">
        <v>1.6900000000000001E-5</v>
      </c>
      <c r="Q19" s="1">
        <v>3.2700000000000002E-5</v>
      </c>
      <c r="R19" s="1">
        <v>3.4499999999999998E-5</v>
      </c>
      <c r="S19">
        <v>0</v>
      </c>
      <c r="T19" s="1">
        <v>5.3399999999999997E-5</v>
      </c>
    </row>
    <row r="20" spans="1:20" hidden="1" x14ac:dyDescent="0.25">
      <c r="A20" t="s">
        <v>38</v>
      </c>
      <c r="B20" s="1">
        <v>1.5400000000000002E-5</v>
      </c>
      <c r="C20">
        <v>0</v>
      </c>
      <c r="D20">
        <v>0</v>
      </c>
      <c r="E20">
        <v>0</v>
      </c>
      <c r="F20" s="1">
        <v>2.1800000000000001E-5</v>
      </c>
      <c r="G20">
        <v>0</v>
      </c>
      <c r="H20" s="1">
        <v>1.29E-5</v>
      </c>
      <c r="I20">
        <v>0</v>
      </c>
      <c r="J20" s="1">
        <v>1.9000000000000001E-5</v>
      </c>
      <c r="K20" s="1">
        <v>7.8800000000000008E-6</v>
      </c>
      <c r="L20">
        <v>0</v>
      </c>
      <c r="M20">
        <v>0</v>
      </c>
      <c r="N20" s="1">
        <v>1.8700000000000001E-5</v>
      </c>
      <c r="O20" s="1">
        <v>4.6399999999999996E-6</v>
      </c>
      <c r="P20" s="1">
        <v>3.2299999999999999E-5</v>
      </c>
      <c r="Q20" s="1">
        <v>7.9900000000000004E-5</v>
      </c>
      <c r="R20" s="1">
        <v>7.7200000000000006E-5</v>
      </c>
      <c r="S20" s="1">
        <v>2.5999999999999998E-5</v>
      </c>
      <c r="T20">
        <v>1.041E-4</v>
      </c>
    </row>
    <row r="21" spans="1:20" hidden="1" x14ac:dyDescent="0.25">
      <c r="A21" t="s">
        <v>39</v>
      </c>
      <c r="B21">
        <v>8.8063400000000004E-4</v>
      </c>
      <c r="C21">
        <v>5.0063699999999996E-4</v>
      </c>
      <c r="D21">
        <v>2.3760900000000001E-4</v>
      </c>
      <c r="E21">
        <v>1.63845E-4</v>
      </c>
      <c r="F21">
        <v>4.4521799999999999E-4</v>
      </c>
      <c r="G21">
        <v>7.1133800000000005E-4</v>
      </c>
      <c r="H21">
        <v>9.4941000000000003E-4</v>
      </c>
      <c r="I21">
        <v>5.1559700000000002E-4</v>
      </c>
      <c r="J21">
        <v>6.5846000000000003E-4</v>
      </c>
      <c r="K21">
        <v>4.89223E-4</v>
      </c>
      <c r="L21">
        <v>6.9583899999999996E-4</v>
      </c>
      <c r="M21">
        <v>7.9136600000000005E-4</v>
      </c>
      <c r="N21">
        <v>8.5115199999999998E-4</v>
      </c>
      <c r="O21">
        <v>5.4289599999999996E-4</v>
      </c>
      <c r="P21">
        <v>1.1366320000000001E-3</v>
      </c>
      <c r="Q21">
        <v>9.3521000000000001E-4</v>
      </c>
      <c r="R21">
        <v>1.03506E-3</v>
      </c>
      <c r="S21">
        <v>2.61609E-4</v>
      </c>
      <c r="T21">
        <v>4.9335000000000004E-4</v>
      </c>
    </row>
    <row r="22" spans="1:20" hidden="1" x14ac:dyDescent="0.25">
      <c r="A22" t="s">
        <v>40</v>
      </c>
      <c r="B22" s="1">
        <v>7.7399999999999998E-5</v>
      </c>
      <c r="C22">
        <v>0</v>
      </c>
      <c r="D22" s="1">
        <v>3.5599999999999998E-5</v>
      </c>
      <c r="E22" s="1">
        <v>2.7100000000000001E-5</v>
      </c>
      <c r="F22" s="1">
        <v>4.1100000000000003E-5</v>
      </c>
      <c r="G22" s="1">
        <v>2.0400000000000001E-5</v>
      </c>
      <c r="H22" s="1">
        <v>7.9200000000000001E-5</v>
      </c>
      <c r="I22" s="1">
        <v>5.3199999999999999E-5</v>
      </c>
      <c r="J22" s="1">
        <v>8.7299999999999994E-5</v>
      </c>
      <c r="K22" s="1">
        <v>3.9900000000000001E-5</v>
      </c>
      <c r="L22" s="1">
        <v>2.26E-5</v>
      </c>
      <c r="M22" s="1">
        <v>5.77E-5</v>
      </c>
      <c r="N22" s="1">
        <v>8.9699999999999998E-5</v>
      </c>
      <c r="O22" s="1">
        <v>5.3699999999999997E-5</v>
      </c>
      <c r="P22" s="1">
        <v>9.5400000000000001E-5</v>
      </c>
      <c r="Q22">
        <v>1.29646E-4</v>
      </c>
      <c r="R22">
        <v>1.2663999999999999E-4</v>
      </c>
      <c r="S22" s="1">
        <v>6.3899999999999995E-5</v>
      </c>
      <c r="T22">
        <v>1.46422E-4</v>
      </c>
    </row>
    <row r="23" spans="1:20" hidden="1" x14ac:dyDescent="0.25">
      <c r="A23" t="s">
        <v>41</v>
      </c>
      <c r="B23">
        <v>1.5197799999999999E-4</v>
      </c>
      <c r="C23">
        <v>1.83487E-4</v>
      </c>
      <c r="D23">
        <v>1.8357399999999999E-4</v>
      </c>
      <c r="E23">
        <v>2.0321400000000001E-4</v>
      </c>
      <c r="F23">
        <v>1.2940599999999999E-4</v>
      </c>
      <c r="G23">
        <v>1.4932500000000001E-4</v>
      </c>
      <c r="H23">
        <v>1.5293300000000001E-4</v>
      </c>
      <c r="I23">
        <v>1.9064900000000001E-4</v>
      </c>
      <c r="J23">
        <v>1.7751299999999999E-4</v>
      </c>
      <c r="K23">
        <v>2.1424899999999999E-4</v>
      </c>
      <c r="L23">
        <v>1.4216700000000001E-4</v>
      </c>
      <c r="M23">
        <v>1.13855E-4</v>
      </c>
      <c r="N23">
        <v>1.7198100000000001E-4</v>
      </c>
      <c r="O23">
        <v>2.39306E-4</v>
      </c>
      <c r="P23">
        <v>1.09821E-4</v>
      </c>
      <c r="Q23" s="1">
        <v>8.9400000000000005E-5</v>
      </c>
      <c r="R23">
        <v>1.3269399999999999E-4</v>
      </c>
      <c r="S23" s="1">
        <v>8.1899999999999999E-5</v>
      </c>
      <c r="T23">
        <v>1.0691700000000001E-4</v>
      </c>
    </row>
    <row r="24" spans="1:20" hidden="1" x14ac:dyDescent="0.25">
      <c r="A24" t="s">
        <v>42</v>
      </c>
      <c r="B24">
        <v>2.9149699999999999E-4</v>
      </c>
      <c r="C24">
        <v>2.90458E-4</v>
      </c>
      <c r="D24">
        <v>2.61878E-4</v>
      </c>
      <c r="E24">
        <v>3.8047299999999999E-4</v>
      </c>
      <c r="F24">
        <v>2.24978E-4</v>
      </c>
      <c r="G24">
        <v>1.70765E-4</v>
      </c>
      <c r="H24">
        <v>2.03916E-4</v>
      </c>
      <c r="I24">
        <v>0</v>
      </c>
      <c r="J24">
        <v>2.0793600000000001E-4</v>
      </c>
      <c r="K24">
        <v>2.4669999999999998E-4</v>
      </c>
      <c r="L24">
        <v>0</v>
      </c>
      <c r="M24">
        <v>1.6060400000000001E-4</v>
      </c>
      <c r="N24">
        <v>2.9530399999999998E-4</v>
      </c>
      <c r="O24">
        <v>3.1391699999999998E-4</v>
      </c>
      <c r="P24">
        <v>1.08742E-4</v>
      </c>
      <c r="Q24">
        <v>1.2349099999999999E-4</v>
      </c>
      <c r="R24">
        <v>1.42414E-4</v>
      </c>
      <c r="S24">
        <v>2.50685E-4</v>
      </c>
      <c r="T24">
        <v>1.17519E-4</v>
      </c>
    </row>
    <row r="25" spans="1:20" hidden="1" x14ac:dyDescent="0.25">
      <c r="A25" t="s">
        <v>43</v>
      </c>
      <c r="B25" s="1">
        <v>3.8999999999999999E-5</v>
      </c>
      <c r="C25" s="1">
        <v>8.81E-5</v>
      </c>
      <c r="D25" s="1">
        <v>5.8499999999999999E-5</v>
      </c>
      <c r="E25" s="1">
        <v>7.2000000000000002E-5</v>
      </c>
      <c r="F25" s="1">
        <v>5.0599999999999997E-5</v>
      </c>
      <c r="G25" s="1">
        <v>7.0900000000000002E-5</v>
      </c>
      <c r="H25" s="1">
        <v>5.3499999999999999E-5</v>
      </c>
      <c r="I25" s="1">
        <v>6.4900000000000005E-5</v>
      </c>
      <c r="J25" s="1">
        <v>3.5899999999999998E-5</v>
      </c>
      <c r="K25" s="1">
        <v>8.42E-5</v>
      </c>
      <c r="L25" s="1">
        <v>7.9200000000000001E-5</v>
      </c>
      <c r="M25" s="1">
        <v>2.7100000000000001E-5</v>
      </c>
      <c r="N25" s="1">
        <v>1.56E-5</v>
      </c>
      <c r="O25" s="1">
        <v>4.1600000000000002E-5</v>
      </c>
      <c r="P25" s="1">
        <v>3.4199999999999998E-5</v>
      </c>
      <c r="Q25" s="1">
        <v>1.8499999999999999E-5</v>
      </c>
      <c r="R25" s="1">
        <v>2.8E-5</v>
      </c>
      <c r="S25" s="1">
        <v>2.5400000000000001E-5</v>
      </c>
      <c r="T25" s="1">
        <v>2.3300000000000001E-5</v>
      </c>
    </row>
    <row r="26" spans="1:20" hidden="1" x14ac:dyDescent="0.25">
      <c r="A26" t="s">
        <v>44</v>
      </c>
      <c r="B26" s="1">
        <v>7.9900000000000004E-5</v>
      </c>
      <c r="C26" s="1">
        <v>5.2899999999999998E-5</v>
      </c>
      <c r="D26" s="1">
        <v>5.0899999999999997E-5</v>
      </c>
      <c r="E26" s="1">
        <v>5.2099999999999999E-5</v>
      </c>
      <c r="F26" s="1">
        <v>5.8400000000000003E-5</v>
      </c>
      <c r="G26" s="1">
        <v>5.1900000000000001E-5</v>
      </c>
      <c r="H26" s="1">
        <v>4.9499999999999997E-5</v>
      </c>
      <c r="I26" s="1">
        <v>6.1600000000000007E-5</v>
      </c>
      <c r="J26" s="1">
        <v>5.3900000000000002E-5</v>
      </c>
      <c r="K26" s="1">
        <v>6.6299999999999999E-5</v>
      </c>
      <c r="L26" s="1">
        <v>4.8999999999999998E-5</v>
      </c>
      <c r="M26" s="1">
        <v>5.4700000000000001E-5</v>
      </c>
      <c r="N26" s="1">
        <v>4.6499999999999999E-5</v>
      </c>
      <c r="O26" s="1">
        <v>4.9599999999999999E-5</v>
      </c>
      <c r="P26" s="1">
        <v>5.0899999999999997E-5</v>
      </c>
      <c r="Q26" s="1">
        <v>6.7799999999999995E-5</v>
      </c>
      <c r="R26" s="1">
        <v>5.9700000000000001E-5</v>
      </c>
      <c r="S26" s="1">
        <v>5.5099999999999998E-5</v>
      </c>
      <c r="T26" s="1">
        <v>5.7800000000000002E-5</v>
      </c>
    </row>
    <row r="27" spans="1:20" hidden="1" x14ac:dyDescent="0.25">
      <c r="A27" t="s">
        <v>45</v>
      </c>
      <c r="B27">
        <v>5.1652700000000002E-4</v>
      </c>
      <c r="C27">
        <v>1.5043899999999999E-4</v>
      </c>
      <c r="D27">
        <v>3.2129000000000001E-4</v>
      </c>
      <c r="E27">
        <v>1.88844E-4</v>
      </c>
      <c r="F27">
        <v>3.6500900000000001E-4</v>
      </c>
      <c r="G27">
        <v>2.4028799999999999E-4</v>
      </c>
      <c r="H27">
        <v>4.8084799999999997E-4</v>
      </c>
      <c r="I27">
        <v>3.1241100000000001E-4</v>
      </c>
      <c r="J27">
        <v>4.46262E-4</v>
      </c>
      <c r="K27">
        <v>2.76624E-4</v>
      </c>
      <c r="L27">
        <v>2.0946499999999999E-4</v>
      </c>
      <c r="M27">
        <v>3.4516700000000001E-4</v>
      </c>
      <c r="N27">
        <v>5.56257E-4</v>
      </c>
      <c r="O27">
        <v>3.2741600000000002E-4</v>
      </c>
      <c r="P27">
        <v>5.7269500000000002E-4</v>
      </c>
      <c r="Q27">
        <v>7.5048599999999997E-4</v>
      </c>
      <c r="R27">
        <v>8.1216899999999996E-4</v>
      </c>
      <c r="S27">
        <v>4.0978999999999999E-4</v>
      </c>
      <c r="T27">
        <v>8.5793000000000002E-4</v>
      </c>
    </row>
    <row r="28" spans="1:20" hidden="1" x14ac:dyDescent="0.25">
      <c r="A28" t="s">
        <v>46</v>
      </c>
      <c r="B28" s="1">
        <v>2.3E-5</v>
      </c>
      <c r="C28">
        <v>0</v>
      </c>
      <c r="D28" s="1">
        <v>3.8899999999999997E-5</v>
      </c>
      <c r="E28" s="1">
        <v>2.2799999999999999E-5</v>
      </c>
      <c r="F28" s="1">
        <v>2.55E-5</v>
      </c>
      <c r="G28">
        <v>0</v>
      </c>
      <c r="H28">
        <v>0</v>
      </c>
      <c r="I28">
        <v>0</v>
      </c>
      <c r="J28" s="1">
        <v>3.8000000000000002E-5</v>
      </c>
      <c r="K28">
        <v>0</v>
      </c>
      <c r="L28" s="1">
        <v>2.8500000000000002E-5</v>
      </c>
      <c r="M28" s="1">
        <v>2.3300000000000001E-5</v>
      </c>
      <c r="N28" s="1">
        <v>4.1600000000000002E-5</v>
      </c>
      <c r="O28" s="1">
        <v>2.7800000000000001E-5</v>
      </c>
      <c r="P28">
        <v>0</v>
      </c>
      <c r="Q28" s="1">
        <v>5.7500000000000002E-5</v>
      </c>
      <c r="R28">
        <v>1.4308300000000001E-4</v>
      </c>
      <c r="S28" s="1">
        <v>6.6799999999999997E-5</v>
      </c>
      <c r="T28" s="1">
        <v>1.8199999999999999E-5</v>
      </c>
    </row>
    <row r="29" spans="1:20" hidden="1" x14ac:dyDescent="0.25">
      <c r="A29" t="s">
        <v>47</v>
      </c>
      <c r="B29">
        <v>3.9913299999999997E-4</v>
      </c>
      <c r="C29">
        <v>4.67112E-4</v>
      </c>
      <c r="D29">
        <v>4.7410200000000001E-4</v>
      </c>
      <c r="E29">
        <v>5.0012099999999996E-4</v>
      </c>
      <c r="F29">
        <v>4.00102E-4</v>
      </c>
      <c r="G29">
        <v>3.0676599999999998E-4</v>
      </c>
      <c r="H29">
        <v>3.1045900000000002E-4</v>
      </c>
      <c r="I29">
        <v>4.25208E-4</v>
      </c>
      <c r="J29">
        <v>3.4666299999999998E-4</v>
      </c>
      <c r="K29">
        <v>3.6067400000000001E-4</v>
      </c>
      <c r="L29">
        <v>3.5125899999999998E-4</v>
      </c>
      <c r="M29">
        <v>2.3761E-4</v>
      </c>
      <c r="N29">
        <v>2.7309399999999998E-4</v>
      </c>
      <c r="O29">
        <v>5.3567399999999998E-4</v>
      </c>
      <c r="P29">
        <v>2.2113999999999999E-4</v>
      </c>
      <c r="Q29" s="1">
        <v>7.3399999999999995E-5</v>
      </c>
      <c r="R29" s="1">
        <v>9.4900000000000003E-5</v>
      </c>
      <c r="S29" s="1">
        <v>7.4300000000000004E-5</v>
      </c>
      <c r="T29" s="1">
        <v>5.8499999999999999E-5</v>
      </c>
    </row>
    <row r="30" spans="1:20" hidden="1" x14ac:dyDescent="0.25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1">
        <v>2.0100000000000001E-5</v>
      </c>
      <c r="R30" s="1">
        <v>1.8300000000000001E-5</v>
      </c>
      <c r="S30" s="1">
        <v>3.3399999999999999E-5</v>
      </c>
      <c r="T30" s="1">
        <v>4.0399999999999999E-5</v>
      </c>
    </row>
    <row r="31" spans="1:20" hidden="1" x14ac:dyDescent="0.25">
      <c r="A31" t="s">
        <v>49</v>
      </c>
      <c r="B31">
        <v>1.0596599999999999E-4</v>
      </c>
      <c r="C31">
        <v>1.9598599999999999E-4</v>
      </c>
      <c r="D31">
        <v>1.46592E-4</v>
      </c>
      <c r="E31">
        <v>1.6923200000000001E-4</v>
      </c>
      <c r="F31">
        <v>1.8017900000000001E-4</v>
      </c>
      <c r="G31">
        <v>1.3597899999999999E-4</v>
      </c>
      <c r="H31">
        <v>1.3606100000000001E-4</v>
      </c>
      <c r="I31">
        <v>1.72931E-4</v>
      </c>
      <c r="J31">
        <v>1.0064E-4</v>
      </c>
      <c r="K31">
        <v>1.6701199999999999E-4</v>
      </c>
      <c r="L31">
        <v>1.8721300000000001E-4</v>
      </c>
      <c r="M31">
        <v>1.9723900000000001E-4</v>
      </c>
      <c r="N31">
        <v>1.9343799999999999E-4</v>
      </c>
      <c r="O31">
        <v>2.1802E-4</v>
      </c>
      <c r="P31">
        <v>1.5892099999999999E-4</v>
      </c>
      <c r="Q31" s="1">
        <v>8.1699999999999994E-5</v>
      </c>
      <c r="R31">
        <v>1.00895E-4</v>
      </c>
      <c r="S31">
        <v>1.4671700000000001E-4</v>
      </c>
      <c r="T31">
        <v>1.0687E-4</v>
      </c>
    </row>
    <row r="32" spans="1:20" hidden="1" x14ac:dyDescent="0.25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 s="1">
        <v>2.5299999999999998E-5</v>
      </c>
      <c r="H32" s="1">
        <v>2.9499999999999999E-5</v>
      </c>
      <c r="I32" s="1">
        <v>2.1999999999999999E-5</v>
      </c>
      <c r="J32">
        <v>0</v>
      </c>
      <c r="K32">
        <v>0</v>
      </c>
      <c r="L32">
        <v>0</v>
      </c>
      <c r="M32" s="1">
        <v>2.3099999999999999E-5</v>
      </c>
      <c r="N32">
        <v>0</v>
      </c>
      <c r="O32">
        <v>0</v>
      </c>
      <c r="P32" s="1">
        <v>3.43E-5</v>
      </c>
      <c r="Q32" s="1">
        <v>5.94E-5</v>
      </c>
      <c r="R32" s="1">
        <v>3.0499999999999999E-5</v>
      </c>
      <c r="S32" s="1">
        <v>2.41E-5</v>
      </c>
      <c r="T32" s="1">
        <v>4.6400000000000003E-5</v>
      </c>
    </row>
    <row r="33" spans="1:20" hidden="1" x14ac:dyDescent="0.25">
      <c r="A33" t="s">
        <v>51</v>
      </c>
      <c r="B33" s="1">
        <v>1.5400000000000002E-5</v>
      </c>
      <c r="C33" s="1">
        <v>1.01E-5</v>
      </c>
      <c r="D33" s="1">
        <v>1.22E-5</v>
      </c>
      <c r="E33" s="1">
        <v>2.4300000000000001E-5</v>
      </c>
      <c r="F33" s="1">
        <v>8.5399999999999996E-6</v>
      </c>
      <c r="G33">
        <v>0</v>
      </c>
      <c r="H33" s="1">
        <v>1.95E-5</v>
      </c>
      <c r="I33">
        <v>0</v>
      </c>
      <c r="J33">
        <v>0</v>
      </c>
      <c r="K33" s="1">
        <v>1.1E-5</v>
      </c>
      <c r="L33" s="1">
        <v>1.4100000000000001E-5</v>
      </c>
      <c r="M33" s="1">
        <v>6.6699999999999997E-6</v>
      </c>
      <c r="N33" s="1">
        <v>1.5699999999999999E-5</v>
      </c>
      <c r="O33" s="1">
        <v>1.03E-5</v>
      </c>
      <c r="P33" s="1">
        <v>9.6299999999999993E-6</v>
      </c>
      <c r="Q33">
        <v>0</v>
      </c>
      <c r="R33">
        <v>0</v>
      </c>
      <c r="S33">
        <v>0</v>
      </c>
      <c r="T33">
        <v>0</v>
      </c>
    </row>
    <row r="34" spans="1:20" hidden="1" x14ac:dyDescent="0.25">
      <c r="A34" t="s">
        <v>52</v>
      </c>
      <c r="B34" s="1">
        <v>1.6500000000000001E-5</v>
      </c>
      <c r="C34" s="1">
        <v>3.6300000000000001E-5</v>
      </c>
      <c r="D34" s="1">
        <v>3.01E-5</v>
      </c>
      <c r="E34" s="1">
        <v>1.7499999999999998E-5</v>
      </c>
      <c r="F34" s="1">
        <v>1.29E-5</v>
      </c>
      <c r="G34" s="1">
        <v>4.74E-5</v>
      </c>
      <c r="H34" s="1">
        <v>1.5400000000000002E-5</v>
      </c>
      <c r="I34" s="1">
        <v>1.13E-5</v>
      </c>
      <c r="J34" s="1">
        <v>1.03E-5</v>
      </c>
      <c r="K34" s="1">
        <v>2.94E-5</v>
      </c>
      <c r="L34" s="1">
        <v>3.2100000000000001E-5</v>
      </c>
      <c r="M34">
        <v>0</v>
      </c>
      <c r="N34" s="1">
        <v>8.6999999999999997E-6</v>
      </c>
      <c r="O34">
        <v>0</v>
      </c>
      <c r="P34" s="1">
        <v>2.7100000000000001E-5</v>
      </c>
      <c r="Q34" s="1">
        <v>2.6599999999999999E-5</v>
      </c>
      <c r="R34" s="1">
        <v>2.3200000000000001E-5</v>
      </c>
      <c r="S34" s="1">
        <v>4.5399999999999999E-5</v>
      </c>
      <c r="T34" s="1">
        <v>4.5899999999999998E-5</v>
      </c>
    </row>
    <row r="35" spans="1:20" hidden="1" x14ac:dyDescent="0.25">
      <c r="A35" t="s">
        <v>53</v>
      </c>
      <c r="B35">
        <v>0</v>
      </c>
      <c r="C35">
        <v>0</v>
      </c>
      <c r="D35">
        <v>0</v>
      </c>
      <c r="E35">
        <v>0</v>
      </c>
      <c r="F35" s="1">
        <v>1.1199999999999999E-5</v>
      </c>
      <c r="G35">
        <v>0</v>
      </c>
      <c r="H35">
        <v>0</v>
      </c>
      <c r="I35">
        <v>0</v>
      </c>
      <c r="J35">
        <v>0</v>
      </c>
      <c r="K35" s="1">
        <v>7.8099999999999998E-6</v>
      </c>
      <c r="L35" s="1">
        <v>1.03E-5</v>
      </c>
      <c r="M35">
        <v>0</v>
      </c>
      <c r="N35">
        <v>0</v>
      </c>
      <c r="O35">
        <v>0</v>
      </c>
      <c r="P35">
        <v>0</v>
      </c>
      <c r="Q35" s="1">
        <v>1.73E-5</v>
      </c>
      <c r="R35" s="1">
        <v>1.1800000000000001E-5</v>
      </c>
      <c r="S35" s="1">
        <v>9.3300000000000005E-6</v>
      </c>
      <c r="T35" s="1">
        <v>4.1600000000000002E-5</v>
      </c>
    </row>
    <row r="36" spans="1:20" hidden="1" x14ac:dyDescent="0.25">
      <c r="A36" t="s">
        <v>54</v>
      </c>
      <c r="B36">
        <v>0</v>
      </c>
      <c r="C36">
        <v>0</v>
      </c>
      <c r="D36">
        <v>0</v>
      </c>
      <c r="E36">
        <v>0</v>
      </c>
      <c r="F36" s="1">
        <v>3.3900000000000002E-6</v>
      </c>
      <c r="G36">
        <v>0</v>
      </c>
      <c r="H36" s="1">
        <v>2.7499999999999999E-6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1">
        <v>4.6199999999999998E-6</v>
      </c>
      <c r="Q36" s="1">
        <v>3.8500000000000004E-6</v>
      </c>
      <c r="R36" s="1">
        <v>8.1300000000000001E-6</v>
      </c>
      <c r="S36">
        <v>0</v>
      </c>
      <c r="T36" s="1">
        <v>8.3100000000000001E-6</v>
      </c>
    </row>
    <row r="37" spans="1:20" hidden="1" x14ac:dyDescent="0.25">
      <c r="A37" t="s">
        <v>55</v>
      </c>
      <c r="B37">
        <v>1.841222E-3</v>
      </c>
      <c r="C37">
        <v>1.9601039999999998E-3</v>
      </c>
      <c r="D37">
        <v>2.1010680000000002E-3</v>
      </c>
      <c r="E37">
        <v>2.1654320000000001E-3</v>
      </c>
      <c r="F37">
        <v>1.752857E-3</v>
      </c>
      <c r="G37">
        <v>2.33352E-3</v>
      </c>
      <c r="H37">
        <v>3.5375089999999999E-3</v>
      </c>
      <c r="I37">
        <v>2.4143329999999998E-3</v>
      </c>
      <c r="J37">
        <v>1.8799209999999999E-3</v>
      </c>
      <c r="K37">
        <v>2.0667099999999998E-3</v>
      </c>
      <c r="L37">
        <v>3.2044280000000001E-3</v>
      </c>
      <c r="M37">
        <v>2.6887230000000001E-3</v>
      </c>
      <c r="N37">
        <v>2.8722740000000002E-3</v>
      </c>
      <c r="O37">
        <v>2.697451E-3</v>
      </c>
      <c r="P37">
        <v>2.5869579999999999E-3</v>
      </c>
      <c r="Q37">
        <v>3.0373750000000001E-3</v>
      </c>
      <c r="R37">
        <v>1.2859060000000001E-3</v>
      </c>
      <c r="S37">
        <v>2.157127E-3</v>
      </c>
      <c r="T37">
        <v>2.3073730000000001E-3</v>
      </c>
    </row>
    <row r="38" spans="1:20" hidden="1" x14ac:dyDescent="0.25">
      <c r="A38" t="s">
        <v>56</v>
      </c>
      <c r="B38">
        <v>1.505196E-2</v>
      </c>
      <c r="C38">
        <v>1.5517980000000001E-2</v>
      </c>
      <c r="D38">
        <v>1.4047342000000001E-2</v>
      </c>
      <c r="E38">
        <v>1.4871723999999999E-2</v>
      </c>
      <c r="F38">
        <v>1.4834563E-2</v>
      </c>
      <c r="G38">
        <v>1.9377115E-2</v>
      </c>
      <c r="H38">
        <v>2.1484037000000001E-2</v>
      </c>
      <c r="I38">
        <v>1.4874179E-2</v>
      </c>
      <c r="J38">
        <v>1.5919123E-2</v>
      </c>
      <c r="K38">
        <v>1.530127E-2</v>
      </c>
      <c r="L38">
        <v>1.3099886999999999E-2</v>
      </c>
      <c r="M38">
        <v>1.5643985999999999E-2</v>
      </c>
      <c r="N38">
        <v>1.3152960999999999E-2</v>
      </c>
      <c r="O38">
        <v>1.4631363E-2</v>
      </c>
      <c r="P38">
        <v>1.9865213E-2</v>
      </c>
      <c r="Q38">
        <v>1.6212804000000001E-2</v>
      </c>
      <c r="R38">
        <v>1.9620556000000001E-2</v>
      </c>
      <c r="S38">
        <v>1.7499965999999999E-2</v>
      </c>
      <c r="T38">
        <v>1.359811E-2</v>
      </c>
    </row>
    <row r="39" spans="1:20" hidden="1" x14ac:dyDescent="0.25">
      <c r="A39" t="s">
        <v>57</v>
      </c>
      <c r="B39">
        <v>1.0404900000000001E-4</v>
      </c>
      <c r="C39" s="1">
        <v>5.5300000000000002E-5</v>
      </c>
      <c r="D39" s="1">
        <v>8.1699999999999994E-5</v>
      </c>
      <c r="E39" s="1">
        <v>7.1500000000000003E-5</v>
      </c>
      <c r="F39" s="1">
        <v>8.9400000000000005E-5</v>
      </c>
      <c r="G39" s="1">
        <v>4.8300000000000002E-5</v>
      </c>
      <c r="H39">
        <v>1.4817699999999999E-4</v>
      </c>
      <c r="I39" s="1">
        <v>6.8700000000000003E-5</v>
      </c>
      <c r="J39" s="1">
        <v>5.6400000000000002E-5</v>
      </c>
      <c r="K39" s="1">
        <v>7.9599999999999997E-5</v>
      </c>
      <c r="L39" s="1">
        <v>6.4599999999999998E-5</v>
      </c>
      <c r="M39" s="1">
        <v>9.3599999999999998E-5</v>
      </c>
      <c r="N39" s="1">
        <v>9.8599999999999998E-5</v>
      </c>
      <c r="O39" s="1">
        <v>5.1499999999999998E-5</v>
      </c>
      <c r="P39" s="1">
        <v>6.7700000000000006E-5</v>
      </c>
      <c r="Q39" s="1">
        <v>5.6499999999999998E-5</v>
      </c>
      <c r="R39" s="1">
        <v>6.69E-5</v>
      </c>
      <c r="S39" s="1">
        <v>5.0800000000000002E-5</v>
      </c>
      <c r="T39" s="1">
        <v>7.3499999999999998E-5</v>
      </c>
    </row>
    <row r="40" spans="1:20" hidden="1" x14ac:dyDescent="0.25">
      <c r="A40" t="s">
        <v>58</v>
      </c>
      <c r="B40">
        <v>2.1393599999999999E-4</v>
      </c>
      <c r="C40">
        <v>1.53184E-4</v>
      </c>
      <c r="D40">
        <v>1.7365699999999999E-4</v>
      </c>
      <c r="E40">
        <v>1.52025E-4</v>
      </c>
      <c r="F40">
        <v>2.0987999999999999E-4</v>
      </c>
      <c r="G40">
        <v>1.2291799999999999E-4</v>
      </c>
      <c r="H40">
        <v>3.0207299999999998E-4</v>
      </c>
      <c r="I40">
        <v>1.5077800000000001E-4</v>
      </c>
      <c r="J40">
        <v>1.49906E-4</v>
      </c>
      <c r="K40">
        <v>2.1460399999999999E-4</v>
      </c>
      <c r="L40">
        <v>1.81886E-4</v>
      </c>
      <c r="M40">
        <v>2.5004200000000002E-4</v>
      </c>
      <c r="N40">
        <v>2.30423E-4</v>
      </c>
      <c r="O40">
        <v>1.2696100000000001E-4</v>
      </c>
      <c r="P40">
        <v>1.9314899999999999E-4</v>
      </c>
      <c r="Q40">
        <v>2.2799300000000001E-4</v>
      </c>
      <c r="R40">
        <v>2.2077199999999999E-4</v>
      </c>
      <c r="S40">
        <v>1.9484099999999999E-4</v>
      </c>
      <c r="T40">
        <v>2.72527E-4</v>
      </c>
    </row>
    <row r="41" spans="1:20" hidden="1" x14ac:dyDescent="0.25">
      <c r="A41" t="s">
        <v>59</v>
      </c>
      <c r="B41">
        <v>1.4613000000000001E-4</v>
      </c>
      <c r="C41">
        <v>2.7650400000000001E-4</v>
      </c>
      <c r="D41">
        <v>2.18209E-4</v>
      </c>
      <c r="E41">
        <v>3.3678899999999999E-4</v>
      </c>
      <c r="F41">
        <v>1.8822500000000001E-4</v>
      </c>
      <c r="G41">
        <v>2.8951500000000001E-4</v>
      </c>
      <c r="H41">
        <v>4.5871699999999998E-4</v>
      </c>
      <c r="I41">
        <v>2.7750700000000002E-4</v>
      </c>
      <c r="J41">
        <v>1.85334E-4</v>
      </c>
      <c r="K41">
        <v>3.82078E-4</v>
      </c>
      <c r="L41">
        <v>3.6119599999999999E-4</v>
      </c>
      <c r="M41">
        <v>1.7516999999999999E-4</v>
      </c>
      <c r="N41">
        <v>1.0726900000000001E-4</v>
      </c>
      <c r="O41">
        <v>2.84963E-4</v>
      </c>
      <c r="P41">
        <v>1.61175E-4</v>
      </c>
      <c r="Q41">
        <v>1.6495E-4</v>
      </c>
      <c r="R41">
        <v>1.73702E-4</v>
      </c>
      <c r="S41">
        <v>1.8472200000000001E-4</v>
      </c>
      <c r="T41">
        <v>1.73525E-4</v>
      </c>
    </row>
    <row r="42" spans="1:20" hidden="1" x14ac:dyDescent="0.25">
      <c r="A42" t="s">
        <v>60</v>
      </c>
      <c r="B42" s="1">
        <v>3.26E-5</v>
      </c>
      <c r="C42" s="1">
        <v>5.3600000000000002E-5</v>
      </c>
      <c r="D42" s="1">
        <v>4.9400000000000001E-5</v>
      </c>
      <c r="E42" s="1">
        <v>6.1600000000000007E-5</v>
      </c>
      <c r="F42" s="1">
        <v>3.6900000000000002E-5</v>
      </c>
      <c r="G42" s="1">
        <v>4.9799999999999998E-5</v>
      </c>
      <c r="H42">
        <v>1.07679E-4</v>
      </c>
      <c r="I42" s="1">
        <v>6.6000000000000005E-5</v>
      </c>
      <c r="J42" s="1">
        <v>4.2500000000000003E-5</v>
      </c>
      <c r="K42" s="1">
        <v>8.5099999999999995E-5</v>
      </c>
      <c r="L42" s="1">
        <v>9.5600000000000006E-5</v>
      </c>
      <c r="M42" s="1">
        <v>2.94E-5</v>
      </c>
      <c r="N42" s="1">
        <v>1.73E-5</v>
      </c>
      <c r="O42" s="1">
        <v>6.3299999999999994E-5</v>
      </c>
      <c r="P42" s="1">
        <v>2.6699999999999998E-5</v>
      </c>
      <c r="Q42" s="1">
        <v>3.1699999999999998E-5</v>
      </c>
      <c r="R42" s="1">
        <v>3.3300000000000003E-5</v>
      </c>
      <c r="S42" s="1">
        <v>3.6600000000000002E-5</v>
      </c>
      <c r="T42" s="1">
        <v>3.3500000000000001E-5</v>
      </c>
    </row>
    <row r="43" spans="1:20" hidden="1" x14ac:dyDescent="0.25">
      <c r="A43" t="s">
        <v>61</v>
      </c>
      <c r="B43">
        <v>2.4772100000000001E-4</v>
      </c>
      <c r="C43">
        <v>2.7325199999999998E-4</v>
      </c>
      <c r="D43">
        <v>3.1823000000000002E-4</v>
      </c>
      <c r="E43">
        <v>3.5922699999999999E-4</v>
      </c>
      <c r="F43">
        <v>3.5870800000000001E-4</v>
      </c>
      <c r="G43">
        <v>2.77898E-4</v>
      </c>
      <c r="H43">
        <v>5.3118000000000002E-4</v>
      </c>
      <c r="I43">
        <v>3.8015E-4</v>
      </c>
      <c r="J43">
        <v>2.8173899999999998E-4</v>
      </c>
      <c r="K43">
        <v>3.4267299999999999E-4</v>
      </c>
      <c r="L43">
        <v>3.2620899999999999E-4</v>
      </c>
      <c r="M43">
        <v>2.43014E-4</v>
      </c>
      <c r="N43">
        <v>2.3543500000000001E-4</v>
      </c>
      <c r="O43">
        <v>2.96049E-4</v>
      </c>
      <c r="P43">
        <v>2.9995299999999999E-4</v>
      </c>
      <c r="Q43">
        <v>3.2041900000000001E-4</v>
      </c>
      <c r="R43">
        <v>5.2998599999999998E-4</v>
      </c>
      <c r="S43">
        <v>4.4397000000000002E-4</v>
      </c>
      <c r="T43">
        <v>2.8586099999999999E-4</v>
      </c>
    </row>
    <row r="44" spans="1:20" hidden="1" x14ac:dyDescent="0.25">
      <c r="A44" t="s">
        <v>62</v>
      </c>
      <c r="B44">
        <v>2.3885900000000001E-4</v>
      </c>
      <c r="C44">
        <v>2.4475499999999998E-4</v>
      </c>
      <c r="D44">
        <v>2.4815599999999997E-4</v>
      </c>
      <c r="E44">
        <v>2.84085E-4</v>
      </c>
      <c r="F44">
        <v>2.7598599999999998E-4</v>
      </c>
      <c r="G44">
        <v>2.9710499999999998E-4</v>
      </c>
      <c r="H44">
        <v>4.3721599999999998E-4</v>
      </c>
      <c r="I44">
        <v>3.0094200000000001E-4</v>
      </c>
      <c r="J44">
        <v>2.8135900000000001E-4</v>
      </c>
      <c r="K44">
        <v>2.9232699999999999E-4</v>
      </c>
      <c r="L44">
        <v>2.5712499999999998E-4</v>
      </c>
      <c r="M44">
        <v>2.5613099999999999E-4</v>
      </c>
      <c r="N44">
        <v>2.1405600000000001E-4</v>
      </c>
      <c r="O44">
        <v>2.62453E-4</v>
      </c>
      <c r="P44">
        <v>3.1768900000000001E-4</v>
      </c>
      <c r="Q44">
        <v>3.3069799999999998E-4</v>
      </c>
      <c r="R44">
        <v>5.5418399999999999E-4</v>
      </c>
      <c r="S44">
        <v>4.2111699999999999E-4</v>
      </c>
      <c r="T44">
        <v>2.8467E-4</v>
      </c>
    </row>
    <row r="45" spans="1:20" hidden="1" x14ac:dyDescent="0.25">
      <c r="A45" t="s">
        <v>63</v>
      </c>
      <c r="B45" s="1">
        <v>5.0699999999999999E-5</v>
      </c>
      <c r="C45" s="1">
        <v>6.3100000000000002E-5</v>
      </c>
      <c r="D45">
        <v>1.0420300000000001E-4</v>
      </c>
      <c r="E45" s="1">
        <v>8.2299999999999995E-5</v>
      </c>
      <c r="F45" s="1">
        <v>6.9599999999999998E-5</v>
      </c>
      <c r="G45" s="1">
        <v>6.2799999999999995E-5</v>
      </c>
      <c r="H45" s="1">
        <v>7.08E-5</v>
      </c>
      <c r="I45" s="1">
        <v>5.6100000000000002E-5</v>
      </c>
      <c r="J45" s="1">
        <v>3.4400000000000003E-5</v>
      </c>
      <c r="K45" s="1">
        <v>4.18E-5</v>
      </c>
      <c r="L45" s="1">
        <v>4.1699999999999997E-5</v>
      </c>
      <c r="M45">
        <v>0</v>
      </c>
      <c r="N45">
        <v>0</v>
      </c>
      <c r="O45" s="1">
        <v>3.4400000000000003E-5</v>
      </c>
      <c r="P45" s="1">
        <v>1.73E-5</v>
      </c>
      <c r="Q45">
        <v>0</v>
      </c>
      <c r="R45">
        <v>0</v>
      </c>
      <c r="S45">
        <v>0</v>
      </c>
      <c r="T45">
        <v>0</v>
      </c>
    </row>
    <row r="46" spans="1:20" hidden="1" x14ac:dyDescent="0.25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s="1">
        <v>7.9200000000000004E-6</v>
      </c>
      <c r="I46">
        <v>0</v>
      </c>
      <c r="J46" s="1">
        <v>1.0000000000000001E-5</v>
      </c>
      <c r="K46">
        <v>0</v>
      </c>
      <c r="L46">
        <v>0</v>
      </c>
      <c r="M46">
        <v>0</v>
      </c>
      <c r="N46" s="1">
        <v>2.9300000000000001E-5</v>
      </c>
      <c r="O46">
        <v>0</v>
      </c>
      <c r="P46">
        <v>0</v>
      </c>
      <c r="Q46" s="1">
        <v>1.9199999999999999E-5</v>
      </c>
      <c r="R46" s="1">
        <v>2.27E-5</v>
      </c>
      <c r="S46" s="1">
        <v>1.1199999999999999E-5</v>
      </c>
      <c r="T46" s="1">
        <v>2.5999999999999998E-5</v>
      </c>
    </row>
    <row r="47" spans="1:20" hidden="1" x14ac:dyDescent="0.25">
      <c r="A47" t="s">
        <v>65</v>
      </c>
      <c r="B47">
        <v>1.0336999999999999E-4</v>
      </c>
      <c r="C47">
        <v>0</v>
      </c>
      <c r="D47">
        <v>1.0666399999999999E-4</v>
      </c>
      <c r="E47">
        <v>1.29431E-4</v>
      </c>
      <c r="F47" s="1">
        <v>9.3399999999999993E-5</v>
      </c>
      <c r="G47">
        <v>0</v>
      </c>
      <c r="H47">
        <v>0</v>
      </c>
      <c r="I47">
        <v>0</v>
      </c>
      <c r="J47" s="1">
        <v>8.9400000000000005E-5</v>
      </c>
      <c r="K47" s="1">
        <v>8.4300000000000003E-5</v>
      </c>
      <c r="L47" s="1">
        <v>9.9300000000000001E-5</v>
      </c>
      <c r="M47">
        <v>0</v>
      </c>
      <c r="N47">
        <v>2.0497199999999999E-4</v>
      </c>
      <c r="O47">
        <v>1.3785800000000001E-4</v>
      </c>
      <c r="P47">
        <v>0</v>
      </c>
      <c r="Q47">
        <v>0</v>
      </c>
      <c r="R47">
        <v>0</v>
      </c>
      <c r="S47" s="1">
        <v>4.5800000000000002E-5</v>
      </c>
      <c r="T47">
        <v>0</v>
      </c>
    </row>
    <row r="48" spans="1:20" hidden="1" x14ac:dyDescent="0.25">
      <c r="A48" t="s">
        <v>66</v>
      </c>
      <c r="B48">
        <v>5.5643100000000003E-4</v>
      </c>
      <c r="C48">
        <v>5.85763E-4</v>
      </c>
      <c r="D48">
        <v>5.2032999999999995E-4</v>
      </c>
      <c r="E48">
        <v>5.0633299999999998E-4</v>
      </c>
      <c r="F48">
        <v>4.5429599999999998E-4</v>
      </c>
      <c r="G48">
        <v>4.8692100000000002E-4</v>
      </c>
      <c r="H48">
        <v>4.2037699999999999E-4</v>
      </c>
      <c r="I48">
        <v>5.8962499999999998E-4</v>
      </c>
      <c r="J48">
        <v>6.5439299999999997E-4</v>
      </c>
      <c r="K48">
        <v>3.8458299999999997E-4</v>
      </c>
      <c r="L48">
        <v>6.0612700000000003E-4</v>
      </c>
      <c r="M48">
        <v>6.6500000000000001E-4</v>
      </c>
      <c r="N48">
        <v>9.9438200000000003E-4</v>
      </c>
      <c r="O48">
        <v>5.8787200000000003E-4</v>
      </c>
      <c r="P48">
        <v>2.10399E-4</v>
      </c>
      <c r="Q48">
        <v>6.8638900000000003E-4</v>
      </c>
      <c r="R48">
        <v>4.25153E-4</v>
      </c>
      <c r="S48">
        <v>6.7470799999999999E-4</v>
      </c>
      <c r="T48">
        <v>4.2272099999999998E-4</v>
      </c>
    </row>
    <row r="49" spans="1:20" hidden="1" x14ac:dyDescent="0.25">
      <c r="A49" t="s">
        <v>67</v>
      </c>
      <c r="B49" s="1">
        <v>4.4700000000000002E-5</v>
      </c>
      <c r="C49" s="1">
        <v>3.93E-5</v>
      </c>
      <c r="D49" s="1">
        <v>3.0199999999999999E-5</v>
      </c>
      <c r="E49" s="1">
        <v>3.4499999999999998E-5</v>
      </c>
      <c r="F49" s="1">
        <v>7.2700000000000005E-5</v>
      </c>
      <c r="G49" s="1">
        <v>9.8300000000000004E-5</v>
      </c>
      <c r="H49" s="1">
        <v>8.6299999999999997E-5</v>
      </c>
      <c r="I49" s="1">
        <v>8.2100000000000003E-5</v>
      </c>
      <c r="J49" s="1">
        <v>6.3E-5</v>
      </c>
      <c r="K49" s="1">
        <v>7.4400000000000006E-5</v>
      </c>
      <c r="L49" s="1">
        <v>9.5799999999999998E-5</v>
      </c>
      <c r="M49">
        <v>1.0265899999999999E-4</v>
      </c>
      <c r="N49" s="1">
        <v>9.4599999999999996E-5</v>
      </c>
      <c r="O49" s="1">
        <v>7.2999999999999999E-5</v>
      </c>
      <c r="P49" s="1">
        <v>7.0699999999999997E-5</v>
      </c>
      <c r="Q49" s="1">
        <v>8.3100000000000001E-5</v>
      </c>
      <c r="R49">
        <v>1.06147E-4</v>
      </c>
      <c r="S49">
        <v>1.20148E-4</v>
      </c>
      <c r="T49">
        <v>1.03341E-4</v>
      </c>
    </row>
    <row r="50" spans="1:20" hidden="1" x14ac:dyDescent="0.25">
      <c r="A50" t="s">
        <v>68</v>
      </c>
      <c r="B50" s="1">
        <v>2.2900000000000001E-5</v>
      </c>
      <c r="C50" s="1">
        <v>3.6100000000000003E-5</v>
      </c>
      <c r="D50" s="1">
        <v>4.2599999999999999E-5</v>
      </c>
      <c r="E50" s="1">
        <v>3.0899999999999999E-5</v>
      </c>
      <c r="F50" s="1">
        <v>3.2199999999999997E-5</v>
      </c>
      <c r="G50" s="1">
        <v>2.4199999999999999E-5</v>
      </c>
      <c r="H50" s="1">
        <v>1.5500000000000001E-5</v>
      </c>
      <c r="I50" s="1">
        <v>1.66E-5</v>
      </c>
      <c r="J50" s="1">
        <v>1.77E-5</v>
      </c>
      <c r="K50" s="1">
        <v>3.4E-5</v>
      </c>
      <c r="L50" s="1">
        <v>4.0200000000000001E-5</v>
      </c>
      <c r="M50" s="1">
        <v>2.0400000000000001E-5</v>
      </c>
      <c r="N50" s="1">
        <v>1.9000000000000001E-5</v>
      </c>
      <c r="O50" s="1">
        <v>2.1299999999999999E-5</v>
      </c>
      <c r="P50">
        <v>0</v>
      </c>
      <c r="Q50" s="1">
        <v>6.9800000000000001E-6</v>
      </c>
      <c r="R50">
        <v>0</v>
      </c>
      <c r="S50">
        <v>0</v>
      </c>
      <c r="T50">
        <v>0</v>
      </c>
    </row>
    <row r="51" spans="1:20" hidden="1" x14ac:dyDescent="0.25">
      <c r="A51" t="s">
        <v>69</v>
      </c>
      <c r="B51" s="1">
        <v>1.9000000000000001E-5</v>
      </c>
      <c r="C51" s="1">
        <v>1.8499999999999999E-5</v>
      </c>
      <c r="D51" s="1">
        <v>1.04E-5</v>
      </c>
      <c r="E51">
        <v>0</v>
      </c>
      <c r="F51">
        <v>0</v>
      </c>
      <c r="G51" s="1">
        <v>1.06E-5</v>
      </c>
      <c r="H51" s="1">
        <v>4.71E-5</v>
      </c>
      <c r="I51">
        <v>0</v>
      </c>
      <c r="J51">
        <v>0</v>
      </c>
      <c r="K51" s="1">
        <v>8.9400000000000008E-6</v>
      </c>
      <c r="L51" s="1">
        <v>1.9300000000000002E-5</v>
      </c>
      <c r="M51" s="1">
        <v>8.9099999999999994E-6</v>
      </c>
      <c r="N51" s="1">
        <v>9.5899999999999997E-6</v>
      </c>
      <c r="O51">
        <v>0</v>
      </c>
      <c r="P51" s="1">
        <v>7.8599999999999993E-6</v>
      </c>
      <c r="Q51" s="1">
        <v>1.01E-5</v>
      </c>
      <c r="R51" s="1">
        <v>1.66E-5</v>
      </c>
      <c r="S51">
        <v>0</v>
      </c>
      <c r="T51" s="1">
        <v>1.6200000000000001E-5</v>
      </c>
    </row>
    <row r="52" spans="1:20" hidden="1" x14ac:dyDescent="0.25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v>7.1400000000000002E-6</v>
      </c>
      <c r="M52">
        <v>0</v>
      </c>
      <c r="N52">
        <v>0</v>
      </c>
      <c r="O52">
        <v>0</v>
      </c>
      <c r="P52" s="1">
        <v>7.3799999999999996E-6</v>
      </c>
      <c r="Q52" s="1">
        <v>1.01E-5</v>
      </c>
      <c r="R52" s="1">
        <v>1.4100000000000001E-5</v>
      </c>
      <c r="S52" s="1">
        <v>1.01E-5</v>
      </c>
      <c r="T52" s="1">
        <v>1.0699999999999999E-5</v>
      </c>
    </row>
    <row r="53" spans="1:20" hidden="1" x14ac:dyDescent="0.25">
      <c r="A53" t="s">
        <v>71</v>
      </c>
      <c r="B53">
        <v>0</v>
      </c>
      <c r="C53" s="1">
        <v>3.1000000000000001E-5</v>
      </c>
      <c r="D53" s="1">
        <v>3.0899999999999999E-5</v>
      </c>
      <c r="E53" s="1">
        <v>3.82E-5</v>
      </c>
      <c r="F53" s="1">
        <v>2.6400000000000001E-5</v>
      </c>
      <c r="G53">
        <v>0</v>
      </c>
      <c r="H53">
        <v>0</v>
      </c>
      <c r="I53">
        <v>0</v>
      </c>
      <c r="J53" s="1">
        <v>1.91E-5</v>
      </c>
      <c r="K53">
        <v>0</v>
      </c>
      <c r="L53" s="1">
        <v>1.03E-5</v>
      </c>
      <c r="M53">
        <v>0</v>
      </c>
      <c r="N53">
        <v>0</v>
      </c>
      <c r="O53" s="1">
        <v>1.29E-5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hidden="1" x14ac:dyDescent="0.25">
      <c r="A54" t="s">
        <v>72</v>
      </c>
      <c r="B54" s="1">
        <v>1.5E-5</v>
      </c>
      <c r="C54" s="1">
        <v>1.24E-5</v>
      </c>
      <c r="D54" s="1">
        <v>2.3E-5</v>
      </c>
      <c r="E54" s="1">
        <v>1.6200000000000001E-5</v>
      </c>
      <c r="F54">
        <v>0</v>
      </c>
      <c r="G54" s="1">
        <v>6.1099999999999999E-6</v>
      </c>
      <c r="H54">
        <v>0</v>
      </c>
      <c r="I54" s="1">
        <v>6.0599999999999996E-6</v>
      </c>
      <c r="J54" s="1">
        <v>1.29E-5</v>
      </c>
      <c r="K54" s="1">
        <v>2.3200000000000001E-5</v>
      </c>
      <c r="L54" s="1">
        <v>1.26E-5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hidden="1" x14ac:dyDescent="0.25">
      <c r="A55" t="s">
        <v>73</v>
      </c>
      <c r="B55" s="1">
        <v>1.34E-5</v>
      </c>
      <c r="C55" s="1">
        <v>1.06E-5</v>
      </c>
      <c r="D55" s="1">
        <v>1.2300000000000001E-5</v>
      </c>
      <c r="E55" s="1">
        <v>1.2E-5</v>
      </c>
      <c r="F55" s="1">
        <v>1.15E-5</v>
      </c>
      <c r="G55" s="1">
        <v>7.9300000000000003E-6</v>
      </c>
      <c r="H55" s="1">
        <v>1.45E-5</v>
      </c>
      <c r="I55" s="1">
        <v>9.6700000000000006E-6</v>
      </c>
      <c r="J55" s="1">
        <v>6.7900000000000002E-6</v>
      </c>
      <c r="K55" s="1">
        <v>1.2099999999999999E-5</v>
      </c>
      <c r="L55" s="1">
        <v>1.01E-5</v>
      </c>
      <c r="M55" s="1">
        <v>8.3999999999999992E-6</v>
      </c>
      <c r="N55" s="1">
        <v>7.2799999999999998E-6</v>
      </c>
      <c r="O55" s="1">
        <v>7.2400000000000001E-6</v>
      </c>
      <c r="P55" s="1">
        <v>8.6600000000000001E-6</v>
      </c>
      <c r="Q55" s="1">
        <v>1.03E-5</v>
      </c>
      <c r="R55" s="1">
        <v>7.9699999999999999E-6</v>
      </c>
      <c r="S55" s="1">
        <v>1.03E-5</v>
      </c>
      <c r="T55" s="1">
        <v>1.47E-5</v>
      </c>
    </row>
    <row r="56" spans="1:20" hidden="1" x14ac:dyDescent="0.25">
      <c r="A56" t="s">
        <v>74</v>
      </c>
      <c r="B56">
        <v>3.8111699999999999E-4</v>
      </c>
      <c r="C56">
        <v>3.2284399999999997E-4</v>
      </c>
      <c r="D56">
        <v>4.0726100000000002E-4</v>
      </c>
      <c r="E56">
        <v>3.94032E-4</v>
      </c>
      <c r="F56">
        <v>3.3814700000000001E-4</v>
      </c>
      <c r="G56">
        <v>2.4212300000000001E-4</v>
      </c>
      <c r="H56">
        <v>4.1808200000000001E-4</v>
      </c>
      <c r="I56">
        <v>3.8039399999999999E-4</v>
      </c>
      <c r="J56">
        <v>4.1453200000000001E-4</v>
      </c>
      <c r="K56">
        <v>5.3113300000000004E-4</v>
      </c>
      <c r="L56">
        <v>4.13392E-4</v>
      </c>
      <c r="M56">
        <v>3.8552999999999998E-4</v>
      </c>
      <c r="N56">
        <v>5.4199499999999998E-4</v>
      </c>
      <c r="O56">
        <v>4.26451E-4</v>
      </c>
      <c r="P56">
        <v>3.6572599999999997E-4</v>
      </c>
      <c r="Q56">
        <v>3.9619900000000002E-4</v>
      </c>
      <c r="R56">
        <v>3.2059200000000002E-4</v>
      </c>
      <c r="S56">
        <v>2.8702799999999999E-4</v>
      </c>
      <c r="T56">
        <v>3.8020099999999999E-4</v>
      </c>
    </row>
    <row r="57" spans="1:20" hidden="1" x14ac:dyDescent="0.25">
      <c r="A57" t="s">
        <v>75</v>
      </c>
      <c r="B57">
        <v>1.6992E-4</v>
      </c>
      <c r="C57">
        <v>3.18215E-4</v>
      </c>
      <c r="D57">
        <v>2.7255999999999998E-4</v>
      </c>
      <c r="E57">
        <v>2.8655299999999999E-4</v>
      </c>
      <c r="F57">
        <v>1.8499900000000001E-4</v>
      </c>
      <c r="G57">
        <v>1.93885E-4</v>
      </c>
      <c r="H57">
        <v>1.8219899999999999E-4</v>
      </c>
      <c r="I57">
        <v>2.2294599999999999E-4</v>
      </c>
      <c r="J57">
        <v>2.0509400000000001E-4</v>
      </c>
      <c r="K57">
        <v>2.89466E-4</v>
      </c>
      <c r="L57">
        <v>2.6562599999999998E-4</v>
      </c>
      <c r="M57">
        <v>1.5879300000000001E-4</v>
      </c>
      <c r="N57">
        <v>1.84725E-4</v>
      </c>
      <c r="O57">
        <v>1.9623500000000001E-4</v>
      </c>
      <c r="P57">
        <v>1.12827E-4</v>
      </c>
      <c r="Q57">
        <v>1.0679E-4</v>
      </c>
      <c r="R57" s="1">
        <v>8.0500000000000005E-5</v>
      </c>
      <c r="S57" s="1">
        <v>8.9499999999999994E-5</v>
      </c>
      <c r="T57">
        <v>1.00837E-4</v>
      </c>
    </row>
    <row r="58" spans="1:20" hidden="1" x14ac:dyDescent="0.25">
      <c r="A58" t="s">
        <v>76</v>
      </c>
      <c r="B58">
        <v>2.18474E-4</v>
      </c>
      <c r="C58">
        <v>1.52318E-4</v>
      </c>
      <c r="D58">
        <v>1.32819E-4</v>
      </c>
      <c r="E58">
        <v>1.51228E-4</v>
      </c>
      <c r="F58">
        <v>1.1359899999999999E-4</v>
      </c>
      <c r="G58">
        <v>1.29527E-4</v>
      </c>
      <c r="H58">
        <v>2.1134699999999999E-4</v>
      </c>
      <c r="I58">
        <v>2.13208E-4</v>
      </c>
      <c r="J58">
        <v>2.1138E-4</v>
      </c>
      <c r="K58">
        <v>1.7910300000000001E-4</v>
      </c>
      <c r="L58">
        <v>1.71046E-4</v>
      </c>
      <c r="M58">
        <v>2.2594299999999999E-4</v>
      </c>
      <c r="N58">
        <v>2.87125E-4</v>
      </c>
      <c r="O58">
        <v>2.0740999999999999E-4</v>
      </c>
      <c r="P58">
        <v>2.17868E-4</v>
      </c>
      <c r="Q58">
        <v>2.6363899999999997E-4</v>
      </c>
      <c r="R58">
        <v>3.1369299999999998E-4</v>
      </c>
      <c r="S58">
        <v>1.98834E-4</v>
      </c>
      <c r="T58">
        <v>2.43169E-4</v>
      </c>
    </row>
    <row r="59" spans="1:20" hidden="1" x14ac:dyDescent="0.25">
      <c r="A59" t="s">
        <v>77</v>
      </c>
      <c r="B59">
        <v>0</v>
      </c>
      <c r="C59" s="1">
        <v>4.2200000000000003E-6</v>
      </c>
      <c r="D59" s="1">
        <v>5.3600000000000004E-6</v>
      </c>
      <c r="E59" s="1">
        <v>7.5599999999999996E-6</v>
      </c>
      <c r="F59">
        <v>0</v>
      </c>
      <c r="G59">
        <v>0</v>
      </c>
      <c r="H59" s="1">
        <v>4.1300000000000003E-6</v>
      </c>
      <c r="I59" s="1">
        <v>5.1499999999999998E-6</v>
      </c>
      <c r="J59">
        <v>0</v>
      </c>
      <c r="K59" s="1">
        <v>4.34E-6</v>
      </c>
      <c r="L59">
        <v>0</v>
      </c>
      <c r="M59" s="1">
        <v>3.4000000000000001E-6</v>
      </c>
      <c r="N59" s="1">
        <v>3.7400000000000002E-6</v>
      </c>
      <c r="O59" s="1">
        <v>2.4499999999999998E-6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hidden="1" x14ac:dyDescent="0.25">
      <c r="A60" t="s">
        <v>78</v>
      </c>
      <c r="B60" s="1">
        <v>9.0500000000000004E-5</v>
      </c>
      <c r="C60">
        <v>1.2321700000000001E-4</v>
      </c>
      <c r="D60">
        <v>1.77345E-4</v>
      </c>
      <c r="E60">
        <v>1.8239299999999999E-4</v>
      </c>
      <c r="F60">
        <v>2.6691200000000001E-4</v>
      </c>
      <c r="G60">
        <v>1.6535899999999999E-4</v>
      </c>
      <c r="H60">
        <v>2.02528E-4</v>
      </c>
      <c r="I60">
        <v>2.17412E-4</v>
      </c>
      <c r="J60">
        <v>2.6582E-4</v>
      </c>
      <c r="K60">
        <v>2.2097299999999999E-4</v>
      </c>
      <c r="L60">
        <v>1.7354800000000001E-4</v>
      </c>
      <c r="M60">
        <v>2.1455899999999999E-4</v>
      </c>
      <c r="N60">
        <v>1.7913E-4</v>
      </c>
      <c r="O60">
        <v>2.4642400000000002E-4</v>
      </c>
      <c r="P60">
        <v>3.1133799999999998E-4</v>
      </c>
      <c r="Q60">
        <v>3.1779200000000001E-4</v>
      </c>
      <c r="R60">
        <v>4.2335000000000002E-4</v>
      </c>
      <c r="S60">
        <v>3.67287E-4</v>
      </c>
      <c r="T60">
        <v>3.32128E-4</v>
      </c>
    </row>
    <row r="61" spans="1:20" hidden="1" x14ac:dyDescent="0.25">
      <c r="A61" t="s">
        <v>79</v>
      </c>
      <c r="B61" s="1">
        <v>1.9199999999999999E-5</v>
      </c>
      <c r="C61">
        <v>0</v>
      </c>
      <c r="D61" s="1">
        <v>1.9000000000000001E-5</v>
      </c>
      <c r="E61" s="1">
        <v>2.0599999999999999E-5</v>
      </c>
      <c r="F61" s="1">
        <v>1.7499999999999998E-5</v>
      </c>
      <c r="G61">
        <v>0</v>
      </c>
      <c r="H61">
        <v>0</v>
      </c>
      <c r="I61" s="1">
        <v>2.0999999999999999E-5</v>
      </c>
      <c r="J61" s="1">
        <v>2.4700000000000001E-5</v>
      </c>
      <c r="K61">
        <v>0</v>
      </c>
      <c r="L61" s="1">
        <v>2.0599999999999999E-5</v>
      </c>
      <c r="M61" s="1">
        <v>2.3300000000000001E-5</v>
      </c>
      <c r="N61" s="1">
        <v>3.3699999999999999E-5</v>
      </c>
      <c r="O61" s="1">
        <v>1.8899999999999999E-5</v>
      </c>
      <c r="P61" s="1">
        <v>2.0299999999999999E-5</v>
      </c>
      <c r="Q61" s="1">
        <v>2.4700000000000001E-5</v>
      </c>
      <c r="R61" s="1">
        <v>2.1999999999999999E-5</v>
      </c>
      <c r="S61" s="1">
        <v>2.19E-5</v>
      </c>
      <c r="T61" s="1">
        <v>1.8099999999999999E-5</v>
      </c>
    </row>
    <row r="62" spans="1:20" hidden="1" x14ac:dyDescent="0.25">
      <c r="A62" t="s">
        <v>80</v>
      </c>
      <c r="B62" s="1">
        <v>7.9699999999999999E-6</v>
      </c>
      <c r="C62" s="1">
        <v>1.43E-5</v>
      </c>
      <c r="D62" s="1">
        <v>1.11E-5</v>
      </c>
      <c r="E62" s="1">
        <v>1.2E-5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8.32E-6</v>
      </c>
      <c r="L62" s="1">
        <v>7.8699999999999992E-6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hidden="1" x14ac:dyDescent="0.25">
      <c r="A63" t="s">
        <v>81</v>
      </c>
      <c r="B63" s="1">
        <v>2.3300000000000001E-5</v>
      </c>
      <c r="C63" s="1">
        <v>7.6100000000000007E-5</v>
      </c>
      <c r="D63" s="1">
        <v>8.4900000000000004E-5</v>
      </c>
      <c r="E63" s="1">
        <v>7.2999999999999999E-5</v>
      </c>
      <c r="F63" s="1">
        <v>4.3300000000000002E-5</v>
      </c>
      <c r="G63" s="1">
        <v>4.5399999999999999E-5</v>
      </c>
      <c r="H63" s="1">
        <v>6.7600000000000003E-5</v>
      </c>
      <c r="I63" s="1">
        <v>6.05E-5</v>
      </c>
      <c r="J63" s="1">
        <v>5.27E-5</v>
      </c>
      <c r="K63" s="1">
        <v>6.8899999999999994E-5</v>
      </c>
      <c r="L63" s="1">
        <v>7.2200000000000007E-5</v>
      </c>
      <c r="M63" s="1">
        <v>2.51E-5</v>
      </c>
      <c r="N63" s="1">
        <v>1.63E-5</v>
      </c>
      <c r="O63" s="1">
        <v>7.8100000000000001E-5</v>
      </c>
      <c r="P63" s="1">
        <v>1.9199999999999999E-5</v>
      </c>
      <c r="Q63">
        <v>0</v>
      </c>
      <c r="R63">
        <v>0</v>
      </c>
      <c r="S63">
        <v>0</v>
      </c>
      <c r="T63">
        <v>0</v>
      </c>
    </row>
    <row r="64" spans="1:20" hidden="1" x14ac:dyDescent="0.25">
      <c r="A64" t="s">
        <v>82</v>
      </c>
      <c r="B64" s="1">
        <v>3.8999999999999999E-5</v>
      </c>
      <c r="C64" s="1">
        <v>4.21E-5</v>
      </c>
      <c r="D64" s="1">
        <v>3.3500000000000001E-5</v>
      </c>
      <c r="E64" s="1">
        <v>4.4799999999999998E-5</v>
      </c>
      <c r="F64" s="1">
        <v>3.2700000000000002E-5</v>
      </c>
      <c r="G64" s="1">
        <v>3.6100000000000003E-5</v>
      </c>
      <c r="H64" s="1">
        <v>4.6699999999999997E-5</v>
      </c>
      <c r="I64" s="1">
        <v>1.8899999999999999E-5</v>
      </c>
      <c r="J64" s="1">
        <v>5.5899999999999997E-5</v>
      </c>
      <c r="K64" s="1">
        <v>4.4700000000000002E-5</v>
      </c>
      <c r="L64" s="1">
        <v>2.97E-5</v>
      </c>
      <c r="M64" s="1">
        <v>5.0500000000000001E-5</v>
      </c>
      <c r="N64" s="1">
        <v>2.8600000000000001E-5</v>
      </c>
      <c r="O64" s="1">
        <v>3.5500000000000002E-5</v>
      </c>
      <c r="P64" s="1">
        <v>4.0899999999999998E-5</v>
      </c>
      <c r="Q64" s="1">
        <v>2.72E-5</v>
      </c>
      <c r="R64" s="1">
        <v>2.0299999999999999E-5</v>
      </c>
      <c r="S64" s="1">
        <v>2.6999999999999999E-5</v>
      </c>
      <c r="T64" s="1">
        <v>6.2399999999999999E-5</v>
      </c>
    </row>
    <row r="65" spans="1:20" hidden="1" x14ac:dyDescent="0.25">
      <c r="A65" t="s">
        <v>83</v>
      </c>
      <c r="B65" s="1">
        <v>8.5599999999999994E-6</v>
      </c>
      <c r="C65">
        <v>0</v>
      </c>
      <c r="D65">
        <v>0</v>
      </c>
      <c r="E65">
        <v>0</v>
      </c>
      <c r="F65" s="1">
        <v>8.5299999999999996E-6</v>
      </c>
      <c r="G65" s="1">
        <v>8.0199999999999994E-6</v>
      </c>
      <c r="H65" s="1">
        <v>3.6000000000000001E-5</v>
      </c>
      <c r="I65" s="1">
        <v>4.0400000000000003E-6</v>
      </c>
      <c r="J65" s="1">
        <v>6.8399999999999997E-6</v>
      </c>
      <c r="K65" s="1">
        <v>1.2300000000000001E-5</v>
      </c>
      <c r="L65" s="1">
        <v>1.04E-5</v>
      </c>
      <c r="M65" s="1">
        <v>1.7E-5</v>
      </c>
      <c r="N65" s="1">
        <v>2.1500000000000001E-5</v>
      </c>
      <c r="O65" s="1">
        <v>6.8199999999999999E-6</v>
      </c>
      <c r="P65" s="1">
        <v>3.8300000000000003E-5</v>
      </c>
      <c r="Q65" s="1">
        <v>2.5599999999999999E-5</v>
      </c>
      <c r="R65" s="1">
        <v>2.5000000000000001E-5</v>
      </c>
      <c r="S65" s="1">
        <v>3.2400000000000001E-5</v>
      </c>
      <c r="T65" s="1">
        <v>3.68E-5</v>
      </c>
    </row>
    <row r="66" spans="1:20" hidden="1" x14ac:dyDescent="0.25">
      <c r="A66" t="s">
        <v>84</v>
      </c>
      <c r="B66">
        <v>0</v>
      </c>
      <c r="C66">
        <v>0</v>
      </c>
      <c r="D66">
        <v>0</v>
      </c>
      <c r="E66">
        <v>0</v>
      </c>
      <c r="F66" s="1">
        <v>2.3300000000000001E-5</v>
      </c>
      <c r="G66" s="1">
        <v>4.4700000000000002E-5</v>
      </c>
      <c r="H66" s="1">
        <v>2.1800000000000001E-5</v>
      </c>
      <c r="I66" s="1">
        <v>3.4799999999999999E-5</v>
      </c>
      <c r="J66" s="1">
        <v>4.32E-5</v>
      </c>
      <c r="K66" s="1">
        <v>1.52E-5</v>
      </c>
      <c r="L66" s="1">
        <v>1.8600000000000001E-5</v>
      </c>
      <c r="M66" s="1">
        <v>3.8999999999999999E-5</v>
      </c>
      <c r="N66" s="1">
        <v>4.1E-5</v>
      </c>
      <c r="O66" s="1">
        <v>3.65E-5</v>
      </c>
      <c r="P66" s="1">
        <v>5.1799999999999999E-5</v>
      </c>
      <c r="Q66" s="1">
        <v>6.9999999999999994E-5</v>
      </c>
      <c r="R66" s="1">
        <v>5.2800000000000003E-5</v>
      </c>
      <c r="S66" s="1">
        <v>3.79E-5</v>
      </c>
      <c r="T66" s="1">
        <v>6.0399999999999998E-5</v>
      </c>
    </row>
    <row r="67" spans="1:20" hidden="1" x14ac:dyDescent="0.25">
      <c r="A67" t="s">
        <v>85</v>
      </c>
      <c r="B67">
        <v>3.4330199999999997E-4</v>
      </c>
      <c r="C67">
        <v>2.5963400000000001E-4</v>
      </c>
      <c r="D67">
        <v>2.9555800000000002E-4</v>
      </c>
      <c r="E67">
        <v>3.0558700000000001E-4</v>
      </c>
      <c r="F67">
        <v>2.8290999999999999E-4</v>
      </c>
      <c r="G67">
        <v>2.9470800000000003E-4</v>
      </c>
      <c r="H67">
        <v>3.1531400000000002E-4</v>
      </c>
      <c r="I67">
        <v>3.5206499999999998E-4</v>
      </c>
      <c r="J67">
        <v>3.5297600000000002E-4</v>
      </c>
      <c r="K67">
        <v>2.79819E-4</v>
      </c>
      <c r="L67">
        <v>2.9844799999999999E-4</v>
      </c>
      <c r="M67">
        <v>3.2841000000000001E-4</v>
      </c>
      <c r="N67">
        <v>3.2819799999999998E-4</v>
      </c>
      <c r="O67">
        <v>3.4873700000000001E-4</v>
      </c>
      <c r="P67">
        <v>3.2195999999999999E-4</v>
      </c>
      <c r="Q67">
        <v>2.6033799999999999E-4</v>
      </c>
      <c r="R67">
        <v>2.7768900000000002E-4</v>
      </c>
      <c r="S67">
        <v>2.14365E-4</v>
      </c>
      <c r="T67">
        <v>2.36982E-4</v>
      </c>
    </row>
    <row r="68" spans="1:20" hidden="1" x14ac:dyDescent="0.25">
      <c r="A68" t="s">
        <v>86</v>
      </c>
      <c r="B68">
        <v>3.6315099999999998E-4</v>
      </c>
      <c r="C68">
        <v>3.5526399999999999E-4</v>
      </c>
      <c r="D68">
        <v>4.1470899999999998E-4</v>
      </c>
      <c r="E68">
        <v>4.1578900000000001E-4</v>
      </c>
      <c r="F68">
        <v>3.1135199999999998E-4</v>
      </c>
      <c r="G68">
        <v>3.6008299999999997E-4</v>
      </c>
      <c r="H68">
        <v>3.6799499999999998E-4</v>
      </c>
      <c r="I68">
        <v>3.1812000000000002E-4</v>
      </c>
      <c r="J68">
        <v>3.00635E-4</v>
      </c>
      <c r="K68">
        <v>4.03607E-4</v>
      </c>
      <c r="L68">
        <v>3.3995299999999999E-4</v>
      </c>
      <c r="M68">
        <v>4.8045E-4</v>
      </c>
      <c r="N68">
        <v>2.5612299999999997E-4</v>
      </c>
      <c r="O68">
        <v>3.4605600000000002E-4</v>
      </c>
      <c r="P68">
        <v>4.0323099999999999E-4</v>
      </c>
      <c r="Q68">
        <v>3.9281500000000003E-4</v>
      </c>
      <c r="R68">
        <v>5.9923500000000005E-4</v>
      </c>
      <c r="S68">
        <v>5.0761100000000004E-4</v>
      </c>
      <c r="T68">
        <v>3.2465400000000001E-4</v>
      </c>
    </row>
    <row r="69" spans="1:20" hidden="1" x14ac:dyDescent="0.25">
      <c r="A69" t="s">
        <v>87</v>
      </c>
      <c r="B69" s="1">
        <v>4.0200000000000001E-5</v>
      </c>
      <c r="C69" s="1">
        <v>4.0299999999999997E-5</v>
      </c>
      <c r="D69" s="1">
        <v>3.6199999999999999E-5</v>
      </c>
      <c r="E69" s="1">
        <v>4.1199999999999999E-5</v>
      </c>
      <c r="F69">
        <v>0</v>
      </c>
      <c r="G69" s="1">
        <v>2.4600000000000002E-5</v>
      </c>
      <c r="H69" s="1">
        <v>4.3300000000000002E-5</v>
      </c>
      <c r="I69" s="1">
        <v>4.1600000000000002E-5</v>
      </c>
      <c r="J69" s="1">
        <v>3.3200000000000001E-5</v>
      </c>
      <c r="K69" s="1">
        <v>3.8300000000000003E-5</v>
      </c>
      <c r="L69" s="1">
        <v>2.8200000000000001E-5</v>
      </c>
      <c r="M69" s="1">
        <v>4.8099999999999997E-5</v>
      </c>
      <c r="N69" s="1">
        <v>2.4499999999999999E-5</v>
      </c>
      <c r="O69" s="1">
        <v>2.8E-5</v>
      </c>
      <c r="P69" s="1">
        <v>3.6000000000000001E-5</v>
      </c>
      <c r="Q69" s="1">
        <v>3.0800000000000003E-5</v>
      </c>
      <c r="R69" s="1">
        <v>4.6199999999999998E-5</v>
      </c>
      <c r="S69" s="1">
        <v>5.02E-5</v>
      </c>
      <c r="T69" s="1">
        <v>3.3599999999999997E-5</v>
      </c>
    </row>
    <row r="70" spans="1:20" hidden="1" x14ac:dyDescent="0.25">
      <c r="A70" t="s">
        <v>88</v>
      </c>
      <c r="B70" s="1">
        <v>6.9200000000000002E-5</v>
      </c>
      <c r="C70" s="1">
        <v>2.41E-5</v>
      </c>
      <c r="D70" s="1">
        <v>1.9300000000000002E-5</v>
      </c>
      <c r="E70" s="1">
        <v>2.23E-5</v>
      </c>
      <c r="F70" s="1">
        <v>6.97E-5</v>
      </c>
      <c r="G70">
        <v>1.0798699999999999E-4</v>
      </c>
      <c r="H70" s="1">
        <v>5.5500000000000001E-5</v>
      </c>
      <c r="I70" s="1">
        <v>6.2100000000000005E-5</v>
      </c>
      <c r="J70">
        <v>1.2846999999999999E-4</v>
      </c>
      <c r="K70" s="1">
        <v>7.1500000000000003E-5</v>
      </c>
      <c r="L70" s="1">
        <v>4.6799999999999999E-5</v>
      </c>
      <c r="M70">
        <v>1.53502E-4</v>
      </c>
      <c r="N70" s="1">
        <v>8.2200000000000006E-5</v>
      </c>
      <c r="O70" s="1">
        <v>7.2600000000000003E-5</v>
      </c>
      <c r="P70">
        <v>2.31468E-4</v>
      </c>
      <c r="Q70">
        <v>2.0351000000000001E-4</v>
      </c>
      <c r="R70">
        <v>3.3279199999999999E-4</v>
      </c>
      <c r="S70">
        <v>4.70514E-4</v>
      </c>
      <c r="T70">
        <v>2.37328E-4</v>
      </c>
    </row>
    <row r="71" spans="1:20" hidden="1" x14ac:dyDescent="0.25">
      <c r="A71" t="s">
        <v>89</v>
      </c>
      <c r="B71" s="1">
        <v>3.1E-6</v>
      </c>
      <c r="C71" s="1">
        <v>2.7800000000000001E-6</v>
      </c>
      <c r="D71" s="1">
        <v>2.6400000000000001E-6</v>
      </c>
      <c r="E71" s="1">
        <v>2.2000000000000001E-6</v>
      </c>
      <c r="F71">
        <v>0</v>
      </c>
      <c r="G71" s="1">
        <v>3.8500000000000004E-6</v>
      </c>
      <c r="H71">
        <v>0</v>
      </c>
      <c r="I71" s="1">
        <v>4.7600000000000002E-6</v>
      </c>
      <c r="J71" s="1">
        <v>6.64E-6</v>
      </c>
      <c r="K71">
        <v>0</v>
      </c>
      <c r="L71" s="1">
        <v>2.7099999999999999E-6</v>
      </c>
      <c r="M71" s="1">
        <v>4.2799999999999997E-6</v>
      </c>
      <c r="N71" s="1">
        <v>3.63E-6</v>
      </c>
      <c r="O71" s="1">
        <v>4.42E-6</v>
      </c>
      <c r="P71" s="1">
        <v>3.6399999999999999E-6</v>
      </c>
      <c r="Q71" s="1">
        <v>4.3000000000000003E-6</v>
      </c>
      <c r="R71" s="1">
        <v>3.1099999999999999E-6</v>
      </c>
      <c r="S71" s="1">
        <v>3.2799999999999999E-6</v>
      </c>
      <c r="T71">
        <v>0</v>
      </c>
    </row>
    <row r="72" spans="1:20" hidden="1" x14ac:dyDescent="0.25">
      <c r="A72" t="s">
        <v>90</v>
      </c>
      <c r="B72" s="1">
        <v>3.65E-5</v>
      </c>
      <c r="C72">
        <v>1.02722E-4</v>
      </c>
      <c r="D72" s="1">
        <v>7.2299999999999996E-5</v>
      </c>
      <c r="E72" s="1">
        <v>8.5900000000000001E-5</v>
      </c>
      <c r="F72" s="1">
        <v>5.9299999999999998E-5</v>
      </c>
      <c r="G72">
        <v>1.0026099999999999E-4</v>
      </c>
      <c r="H72" s="1">
        <v>4.1199999999999999E-5</v>
      </c>
      <c r="I72" s="1">
        <v>2.6299999999999999E-5</v>
      </c>
      <c r="J72">
        <v>0</v>
      </c>
      <c r="K72" s="1">
        <v>6.9499999999999995E-5</v>
      </c>
      <c r="L72" s="1">
        <v>9.7399999999999996E-5</v>
      </c>
      <c r="M72" s="1">
        <v>3.6999999999999998E-5</v>
      </c>
      <c r="N72" s="1">
        <v>3.0599999999999998E-5</v>
      </c>
      <c r="O72" s="1">
        <v>4.5399999999999999E-5</v>
      </c>
      <c r="P72" s="1">
        <v>4.1199999999999999E-5</v>
      </c>
      <c r="Q72" s="1">
        <v>2.8200000000000001E-5</v>
      </c>
      <c r="R72" s="1">
        <v>3.2199999999999997E-5</v>
      </c>
      <c r="S72" s="1">
        <v>3.6999999999999998E-5</v>
      </c>
      <c r="T72" s="1">
        <v>4.3099999999999997E-5</v>
      </c>
    </row>
    <row r="73" spans="1:20" hidden="1" x14ac:dyDescent="0.25">
      <c r="A73" t="s">
        <v>91</v>
      </c>
      <c r="B73" s="1">
        <v>1.7499999999999998E-5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1">
        <v>8.3899999999999993E-6</v>
      </c>
      <c r="Q73" s="1">
        <v>4.46E-5</v>
      </c>
      <c r="R73" s="1">
        <v>2.7800000000000001E-5</v>
      </c>
      <c r="S73" s="1">
        <v>3.26E-5</v>
      </c>
      <c r="T73" s="1">
        <v>4.21E-5</v>
      </c>
    </row>
    <row r="74" spans="1:20" hidden="1" x14ac:dyDescent="0.25">
      <c r="A74" t="s">
        <v>92</v>
      </c>
      <c r="B74" s="1">
        <v>2.2099999999999998E-5</v>
      </c>
      <c r="C74" s="1">
        <v>2.4199999999999999E-5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">
        <v>1.56E-5</v>
      </c>
      <c r="O74">
        <v>0</v>
      </c>
      <c r="P74" s="1">
        <v>2.76E-5</v>
      </c>
      <c r="Q74" s="1">
        <v>2.6100000000000001E-5</v>
      </c>
      <c r="R74" s="1">
        <v>1.6500000000000001E-5</v>
      </c>
      <c r="S74" s="1">
        <v>3.0700000000000001E-5</v>
      </c>
      <c r="T74" s="1">
        <v>3.7400000000000001E-5</v>
      </c>
    </row>
    <row r="75" spans="1:20" hidden="1" x14ac:dyDescent="0.25">
      <c r="A75" t="s">
        <v>93</v>
      </c>
      <c r="B75">
        <v>7.6777099999999999E-4</v>
      </c>
      <c r="C75">
        <v>8.9370900000000002E-4</v>
      </c>
      <c r="D75">
        <v>9.5886599999999995E-4</v>
      </c>
      <c r="E75">
        <v>9.8220100000000004E-4</v>
      </c>
      <c r="F75">
        <v>1.1844710000000001E-3</v>
      </c>
      <c r="G75">
        <v>1.2294680000000001E-3</v>
      </c>
      <c r="H75">
        <v>9.940420000000001E-4</v>
      </c>
      <c r="I75">
        <v>9.60281E-4</v>
      </c>
      <c r="J75">
        <v>1.0915040000000001E-3</v>
      </c>
      <c r="K75">
        <v>9.0656999999999999E-4</v>
      </c>
      <c r="L75">
        <v>9.59847E-4</v>
      </c>
      <c r="M75">
        <v>8.08956E-4</v>
      </c>
      <c r="N75">
        <v>8.0215600000000005E-4</v>
      </c>
      <c r="O75">
        <v>1.0497429999999999E-3</v>
      </c>
      <c r="P75">
        <v>1.045722E-3</v>
      </c>
      <c r="Q75">
        <v>2.0893639999999998E-3</v>
      </c>
      <c r="R75">
        <v>1.94045E-3</v>
      </c>
      <c r="S75">
        <v>3.3819789999999998E-3</v>
      </c>
      <c r="T75">
        <v>1.9528799999999999E-3</v>
      </c>
    </row>
    <row r="76" spans="1:20" hidden="1" x14ac:dyDescent="0.25">
      <c r="A76" t="s">
        <v>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1">
        <v>1.7E-5</v>
      </c>
      <c r="J76" s="1">
        <v>2.6299999999999999E-5</v>
      </c>
      <c r="K76">
        <v>0</v>
      </c>
      <c r="L76" s="1">
        <v>1.3699999999999999E-5</v>
      </c>
      <c r="M76">
        <v>0</v>
      </c>
      <c r="N76" s="1">
        <v>3.65E-5</v>
      </c>
      <c r="O76" s="1">
        <v>2.16E-5</v>
      </c>
      <c r="P76" s="1">
        <v>4.0099999999999999E-5</v>
      </c>
      <c r="Q76" s="1">
        <v>7.86E-5</v>
      </c>
      <c r="R76" s="1">
        <v>6.8999999999999997E-5</v>
      </c>
      <c r="S76">
        <v>1.12817E-4</v>
      </c>
      <c r="T76" s="1">
        <v>8.0099999999999995E-5</v>
      </c>
    </row>
    <row r="77" spans="1:20" hidden="1" x14ac:dyDescent="0.25">
      <c r="A77" t="s">
        <v>95</v>
      </c>
      <c r="B77" s="1">
        <v>9.4500000000000007E-5</v>
      </c>
      <c r="C77" s="1">
        <v>3.8099999999999998E-5</v>
      </c>
      <c r="D77">
        <v>0</v>
      </c>
      <c r="E77" s="1">
        <v>5.2299999999999997E-5</v>
      </c>
      <c r="F77" s="1">
        <v>6.3700000000000003E-5</v>
      </c>
      <c r="G77" s="1">
        <v>3.6300000000000001E-5</v>
      </c>
      <c r="H77">
        <v>1.14289E-4</v>
      </c>
      <c r="I77" s="1">
        <v>4.7500000000000003E-5</v>
      </c>
      <c r="J77">
        <v>1.21002E-4</v>
      </c>
      <c r="K77" s="1">
        <v>5.5099999999999998E-5</v>
      </c>
      <c r="L77" s="1">
        <v>5.8699999999999997E-5</v>
      </c>
      <c r="M77" s="1">
        <v>8.4099999999999998E-5</v>
      </c>
      <c r="N77">
        <v>1.50972E-4</v>
      </c>
      <c r="O77" s="1">
        <v>8.2899999999999996E-5</v>
      </c>
      <c r="P77">
        <v>1.05697E-4</v>
      </c>
      <c r="Q77">
        <v>2.5530099999999999E-4</v>
      </c>
      <c r="R77">
        <v>1.81206E-4</v>
      </c>
      <c r="S77">
        <v>1.2764499999999999E-4</v>
      </c>
      <c r="T77">
        <v>3.1715999999999998E-4</v>
      </c>
    </row>
    <row r="78" spans="1:20" hidden="1" x14ac:dyDescent="0.25">
      <c r="A78" t="s">
        <v>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1">
        <v>7.1500000000000003E-5</v>
      </c>
      <c r="R78" s="1">
        <v>3.6600000000000002E-5</v>
      </c>
      <c r="S78" s="1">
        <v>5.1199999999999998E-5</v>
      </c>
      <c r="T78">
        <v>1.7751299999999999E-4</v>
      </c>
    </row>
    <row r="79" spans="1:20" hidden="1" x14ac:dyDescent="0.25">
      <c r="A79" t="s">
        <v>97</v>
      </c>
      <c r="B79" s="1">
        <v>7.9200000000000001E-5</v>
      </c>
      <c r="C79">
        <v>1.34991E-4</v>
      </c>
      <c r="D79">
        <v>1.10893E-4</v>
      </c>
      <c r="E79" s="1">
        <v>9.7999999999999997E-5</v>
      </c>
      <c r="F79">
        <v>1.00172E-4</v>
      </c>
      <c r="G79">
        <v>1.49467E-4</v>
      </c>
      <c r="H79" s="1">
        <v>7.2700000000000005E-5</v>
      </c>
      <c r="I79">
        <v>1.16802E-4</v>
      </c>
      <c r="J79">
        <v>1.23046E-4</v>
      </c>
      <c r="K79">
        <v>1.5286400000000001E-4</v>
      </c>
      <c r="L79">
        <v>1.37021E-4</v>
      </c>
      <c r="M79" s="1">
        <v>9.9900000000000002E-5</v>
      </c>
      <c r="N79">
        <v>1.21546E-4</v>
      </c>
      <c r="O79">
        <v>1.25847E-4</v>
      </c>
      <c r="P79" s="1">
        <v>7.7799999999999994E-5</v>
      </c>
      <c r="Q79" s="1">
        <v>5.5500000000000001E-5</v>
      </c>
      <c r="R79" s="1">
        <v>4.1900000000000002E-5</v>
      </c>
      <c r="S79" s="1">
        <v>8.5699999999999996E-5</v>
      </c>
      <c r="T79" s="1">
        <v>4.2400000000000001E-5</v>
      </c>
    </row>
    <row r="80" spans="1:20" hidden="1" x14ac:dyDescent="0.25">
      <c r="A80" t="s">
        <v>98</v>
      </c>
      <c r="B80">
        <v>1.5987E-4</v>
      </c>
      <c r="C80">
        <v>2.28839E-4</v>
      </c>
      <c r="D80">
        <v>2.17035E-4</v>
      </c>
      <c r="E80">
        <v>2.2568299999999999E-4</v>
      </c>
      <c r="F80">
        <v>2.3450899999999999E-4</v>
      </c>
      <c r="G80">
        <v>1.98829E-4</v>
      </c>
      <c r="H80">
        <v>2.1494400000000001E-4</v>
      </c>
      <c r="I80">
        <v>2.12924E-4</v>
      </c>
      <c r="J80">
        <v>2.1196E-4</v>
      </c>
      <c r="K80">
        <v>1.5342E-4</v>
      </c>
      <c r="L80">
        <v>2.8329100000000002E-4</v>
      </c>
      <c r="M80">
        <v>1.41817E-4</v>
      </c>
      <c r="N80">
        <v>1.22543E-4</v>
      </c>
      <c r="O80">
        <v>2.3995900000000001E-4</v>
      </c>
      <c r="P80">
        <v>2.11743E-4</v>
      </c>
      <c r="Q80">
        <v>1.9958399999999999E-4</v>
      </c>
      <c r="R80">
        <v>2.40122E-4</v>
      </c>
      <c r="S80">
        <v>2.98497E-4</v>
      </c>
      <c r="T80">
        <v>2.1196600000000001E-4</v>
      </c>
    </row>
    <row r="81" spans="1:20" hidden="1" x14ac:dyDescent="0.25">
      <c r="A81" t="s">
        <v>99</v>
      </c>
      <c r="B81">
        <v>5.4825299999999996E-4</v>
      </c>
      <c r="C81">
        <v>5.3480400000000005E-4</v>
      </c>
      <c r="D81">
        <v>5.0127699999999995E-4</v>
      </c>
      <c r="E81">
        <v>5.5756200000000005E-4</v>
      </c>
      <c r="F81">
        <v>7.0632500000000005E-4</v>
      </c>
      <c r="G81">
        <v>5.5950300000000004E-4</v>
      </c>
      <c r="H81">
        <v>5.5264400000000003E-4</v>
      </c>
      <c r="I81">
        <v>8.9031400000000001E-4</v>
      </c>
      <c r="J81">
        <v>7.08794E-4</v>
      </c>
      <c r="K81">
        <v>5.5959499999999997E-4</v>
      </c>
      <c r="L81">
        <v>6.1611000000000001E-4</v>
      </c>
      <c r="M81">
        <v>7.0699100000000002E-4</v>
      </c>
      <c r="N81">
        <v>1.0595820000000001E-3</v>
      </c>
      <c r="O81">
        <v>8.0628600000000003E-4</v>
      </c>
      <c r="P81">
        <v>5.3710499999999996E-4</v>
      </c>
      <c r="Q81">
        <v>4.1726600000000001E-4</v>
      </c>
      <c r="R81">
        <v>4.4893800000000002E-4</v>
      </c>
      <c r="S81">
        <v>4.52208E-4</v>
      </c>
      <c r="T81">
        <v>3.6711600000000001E-4</v>
      </c>
    </row>
    <row r="82" spans="1:20" hidden="1" x14ac:dyDescent="0.25">
      <c r="A82" t="s">
        <v>100</v>
      </c>
      <c r="B82" s="1">
        <v>2.5700000000000001E-5</v>
      </c>
      <c r="C82" s="1">
        <v>3.6300000000000001E-5</v>
      </c>
      <c r="D82">
        <v>0</v>
      </c>
      <c r="E82" s="1">
        <v>2.0599999999999999E-5</v>
      </c>
      <c r="F82">
        <v>0</v>
      </c>
      <c r="G82" s="1">
        <v>3.4400000000000003E-5</v>
      </c>
      <c r="H82" s="1">
        <v>4.4299999999999999E-5</v>
      </c>
      <c r="I82" s="1">
        <v>5.0300000000000003E-5</v>
      </c>
      <c r="J82" s="1">
        <v>2.3099999999999999E-5</v>
      </c>
      <c r="K82">
        <v>0</v>
      </c>
      <c r="L82" s="1">
        <v>4.7700000000000001E-5</v>
      </c>
      <c r="M82" s="1">
        <v>3.8500000000000001E-5</v>
      </c>
      <c r="N82" s="1">
        <v>4.35E-5</v>
      </c>
      <c r="O82" s="1">
        <v>2.8900000000000001E-5</v>
      </c>
      <c r="P82" s="1">
        <v>4.6199999999999998E-5</v>
      </c>
      <c r="Q82">
        <v>1.26859E-4</v>
      </c>
      <c r="R82">
        <v>1.07395E-4</v>
      </c>
      <c r="S82">
        <v>1.1447600000000001E-4</v>
      </c>
      <c r="T82">
        <v>1.2336199999999999E-4</v>
      </c>
    </row>
    <row r="83" spans="1:20" hidden="1" x14ac:dyDescent="0.25">
      <c r="A83" t="s">
        <v>101</v>
      </c>
      <c r="B83">
        <v>1.48224E-4</v>
      </c>
      <c r="C83">
        <v>1.1955699999999999E-4</v>
      </c>
      <c r="D83">
        <v>1.4930499999999999E-4</v>
      </c>
      <c r="E83">
        <v>1.16593E-4</v>
      </c>
      <c r="F83">
        <v>1.7369299999999999E-4</v>
      </c>
      <c r="G83">
        <v>1.2757099999999999E-4</v>
      </c>
      <c r="H83">
        <v>1.47904E-4</v>
      </c>
      <c r="I83">
        <v>1.5816499999999999E-4</v>
      </c>
      <c r="J83">
        <v>1.47009E-4</v>
      </c>
      <c r="K83">
        <v>1.44368E-4</v>
      </c>
      <c r="L83">
        <v>1.57591E-4</v>
      </c>
      <c r="M83">
        <v>1.89247E-4</v>
      </c>
      <c r="N83">
        <v>2.21256E-4</v>
      </c>
      <c r="O83">
        <v>1.32764E-4</v>
      </c>
      <c r="P83">
        <v>2.1708799999999999E-4</v>
      </c>
      <c r="Q83">
        <v>3.2485599999999999E-4</v>
      </c>
      <c r="R83">
        <v>2.82563E-4</v>
      </c>
      <c r="S83">
        <v>3.8753700000000003E-4</v>
      </c>
      <c r="T83">
        <v>4.0740699999999998E-4</v>
      </c>
    </row>
    <row r="84" spans="1:20" hidden="1" x14ac:dyDescent="0.25">
      <c r="A84" t="s">
        <v>102</v>
      </c>
      <c r="B84">
        <v>1.6213600000000001E-4</v>
      </c>
      <c r="C84" s="1">
        <v>7.8800000000000004E-5</v>
      </c>
      <c r="D84" s="1">
        <v>9.1899999999999998E-5</v>
      </c>
      <c r="E84" s="1">
        <v>9.7399999999999996E-5</v>
      </c>
      <c r="F84">
        <v>1.99767E-4</v>
      </c>
      <c r="G84">
        <v>1.2546500000000001E-4</v>
      </c>
      <c r="H84">
        <v>1.3841099999999999E-4</v>
      </c>
      <c r="I84">
        <v>1.3393899999999999E-4</v>
      </c>
      <c r="J84">
        <v>2.2960999999999999E-4</v>
      </c>
      <c r="K84">
        <v>1.5271800000000001E-4</v>
      </c>
      <c r="L84">
        <v>1.5720600000000001E-4</v>
      </c>
      <c r="M84">
        <v>1.83778E-4</v>
      </c>
      <c r="N84">
        <v>2.5586700000000001E-4</v>
      </c>
      <c r="O84">
        <v>2.17338E-4</v>
      </c>
      <c r="P84">
        <v>1.8049299999999999E-4</v>
      </c>
      <c r="Q84">
        <v>4.4628199999999999E-4</v>
      </c>
      <c r="R84">
        <v>5.2833199999999996E-4</v>
      </c>
      <c r="S84">
        <v>4.6570900000000002E-4</v>
      </c>
      <c r="T84">
        <v>4.2946500000000002E-4</v>
      </c>
    </row>
    <row r="85" spans="1:20" hidden="1" x14ac:dyDescent="0.25">
      <c r="A85" t="s">
        <v>103</v>
      </c>
      <c r="B85">
        <v>1.74747E-4</v>
      </c>
      <c r="C85">
        <v>1.7293000000000001E-4</v>
      </c>
      <c r="D85">
        <v>1.8713099999999999E-4</v>
      </c>
      <c r="E85">
        <v>1.83003E-4</v>
      </c>
      <c r="F85">
        <v>2.2959900000000001E-4</v>
      </c>
      <c r="G85">
        <v>2.6987400000000003E-4</v>
      </c>
      <c r="H85">
        <v>3.42815E-4</v>
      </c>
      <c r="I85">
        <v>2.4978499999999998E-4</v>
      </c>
      <c r="J85">
        <v>1.7556599999999999E-4</v>
      </c>
      <c r="K85">
        <v>1.5635200000000001E-4</v>
      </c>
      <c r="L85">
        <v>2.0492700000000001E-4</v>
      </c>
      <c r="M85">
        <v>2.1085799999999999E-4</v>
      </c>
      <c r="N85">
        <v>2.1499900000000001E-4</v>
      </c>
      <c r="O85">
        <v>1.5793599999999999E-4</v>
      </c>
      <c r="P85">
        <v>3.6509299999999998E-4</v>
      </c>
      <c r="Q85">
        <v>6.0729000000000002E-4</v>
      </c>
      <c r="R85">
        <v>4.0899600000000001E-4</v>
      </c>
      <c r="S85">
        <v>4.059E-4</v>
      </c>
      <c r="T85">
        <v>5.2816500000000004E-4</v>
      </c>
    </row>
    <row r="86" spans="1:20" hidden="1" x14ac:dyDescent="0.25">
      <c r="A86" t="s">
        <v>104</v>
      </c>
      <c r="B86">
        <v>1.61569E-4</v>
      </c>
      <c r="C86">
        <v>1.3558E-4</v>
      </c>
      <c r="D86">
        <v>2.0718099999999999E-4</v>
      </c>
      <c r="E86">
        <v>1.53301E-4</v>
      </c>
      <c r="F86">
        <v>1.5187800000000001E-4</v>
      </c>
      <c r="G86">
        <v>1.9813200000000001E-4</v>
      </c>
      <c r="H86">
        <v>1.27923E-4</v>
      </c>
      <c r="I86">
        <v>1.40347E-4</v>
      </c>
      <c r="J86">
        <v>2.54386E-4</v>
      </c>
      <c r="K86">
        <v>1.4609000000000001E-4</v>
      </c>
      <c r="L86">
        <v>2.5206499999999999E-4</v>
      </c>
      <c r="M86">
        <v>2.0011599999999999E-4</v>
      </c>
      <c r="N86">
        <v>3.9452200000000002E-4</v>
      </c>
      <c r="O86">
        <v>2.21972E-4</v>
      </c>
      <c r="P86">
        <v>4.12407E-4</v>
      </c>
      <c r="Q86">
        <v>4.0175299999999997E-4</v>
      </c>
      <c r="R86">
        <v>2.99971E-4</v>
      </c>
      <c r="S86">
        <v>2.67266E-4</v>
      </c>
      <c r="T86">
        <v>3.5174499999999999E-4</v>
      </c>
    </row>
    <row r="87" spans="1:20" hidden="1" x14ac:dyDescent="0.25">
      <c r="A87" t="s">
        <v>105</v>
      </c>
      <c r="B87">
        <v>1.03281E-4</v>
      </c>
      <c r="C87" s="1">
        <v>7.9800000000000002E-5</v>
      </c>
      <c r="D87" s="1">
        <v>8.6600000000000004E-5</v>
      </c>
      <c r="E87">
        <v>1.1767100000000001E-4</v>
      </c>
      <c r="F87">
        <v>2.1718700000000001E-4</v>
      </c>
      <c r="G87">
        <v>1.23495E-4</v>
      </c>
      <c r="H87">
        <v>1.5918E-4</v>
      </c>
      <c r="I87">
        <v>1.60137E-4</v>
      </c>
      <c r="J87">
        <v>1.9987600000000001E-4</v>
      </c>
      <c r="K87">
        <v>1.4326700000000001E-4</v>
      </c>
      <c r="L87" s="1">
        <v>9.1600000000000004E-5</v>
      </c>
      <c r="M87">
        <v>1.85458E-4</v>
      </c>
      <c r="N87">
        <v>1.3465300000000001E-4</v>
      </c>
      <c r="O87">
        <v>1.2740900000000001E-4</v>
      </c>
      <c r="P87">
        <v>2.06059E-4</v>
      </c>
      <c r="Q87">
        <v>1.16453E-4</v>
      </c>
      <c r="R87">
        <v>2.0141700000000001E-4</v>
      </c>
      <c r="S87">
        <v>2.3073500000000001E-4</v>
      </c>
      <c r="T87">
        <v>1.4525000000000001E-4</v>
      </c>
    </row>
    <row r="88" spans="1:20" hidden="1" x14ac:dyDescent="0.25">
      <c r="A88" t="s">
        <v>106</v>
      </c>
      <c r="B88">
        <v>4.06227E-4</v>
      </c>
      <c r="C88">
        <v>1.33764E-4</v>
      </c>
      <c r="D88">
        <v>3.2140499999999998E-4</v>
      </c>
      <c r="E88">
        <v>3.7593499999999998E-4</v>
      </c>
      <c r="F88">
        <v>4.0787199999999999E-4</v>
      </c>
      <c r="G88">
        <v>2.50268E-4</v>
      </c>
      <c r="H88">
        <v>4.29333E-4</v>
      </c>
      <c r="I88">
        <v>2.2233299999999999E-4</v>
      </c>
      <c r="J88">
        <v>4.77541E-4</v>
      </c>
      <c r="K88">
        <v>3.0122299999999999E-4</v>
      </c>
      <c r="L88">
        <v>2.1849799999999999E-4</v>
      </c>
      <c r="M88">
        <v>4.2681799999999998E-4</v>
      </c>
      <c r="N88">
        <v>8.1424600000000002E-4</v>
      </c>
      <c r="O88">
        <v>3.09659E-4</v>
      </c>
      <c r="P88">
        <v>7.13552E-4</v>
      </c>
      <c r="Q88">
        <v>6.4808400000000005E-4</v>
      </c>
      <c r="R88">
        <v>7.0496899999999995E-4</v>
      </c>
      <c r="S88">
        <v>4.8961999999999996E-4</v>
      </c>
      <c r="T88">
        <v>6.9007900000000002E-4</v>
      </c>
    </row>
    <row r="89" spans="1:20" hidden="1" x14ac:dyDescent="0.25">
      <c r="A89" t="s">
        <v>107</v>
      </c>
      <c r="B89">
        <v>0</v>
      </c>
      <c r="C89">
        <v>0</v>
      </c>
      <c r="D89">
        <v>0</v>
      </c>
      <c r="E89">
        <v>0</v>
      </c>
      <c r="F89" s="1">
        <v>2.0400000000000001E-5</v>
      </c>
      <c r="G89" s="1">
        <v>8.53E-5</v>
      </c>
      <c r="H89" s="1">
        <v>1.9199999999999999E-5</v>
      </c>
      <c r="I89">
        <v>0</v>
      </c>
      <c r="J89" s="1">
        <v>3.9700000000000003E-5</v>
      </c>
      <c r="K89" s="1">
        <v>3.7100000000000001E-5</v>
      </c>
      <c r="L89" s="1">
        <v>3.1399999999999998E-5</v>
      </c>
      <c r="M89" s="1">
        <v>1.6799999999999998E-5</v>
      </c>
      <c r="N89">
        <v>0</v>
      </c>
      <c r="O89">
        <v>0</v>
      </c>
      <c r="P89" s="1">
        <v>4.3000000000000002E-5</v>
      </c>
      <c r="Q89" s="1">
        <v>9.8300000000000004E-5</v>
      </c>
      <c r="R89">
        <v>1.0416000000000001E-4</v>
      </c>
      <c r="S89">
        <v>2.06646E-4</v>
      </c>
      <c r="T89" s="1">
        <v>7.0699999999999997E-5</v>
      </c>
    </row>
    <row r="90" spans="1:20" hidden="1" x14ac:dyDescent="0.25">
      <c r="A90" t="s">
        <v>108</v>
      </c>
      <c r="B90">
        <v>1.5140600000000001E-4</v>
      </c>
      <c r="C90" s="1">
        <v>5.4700000000000001E-5</v>
      </c>
      <c r="D90" s="1">
        <v>6.5199999999999999E-5</v>
      </c>
      <c r="E90" s="1">
        <v>4.6199999999999998E-5</v>
      </c>
      <c r="F90" s="1">
        <v>8.5900000000000001E-5</v>
      </c>
      <c r="G90" s="1">
        <v>9.7E-5</v>
      </c>
      <c r="H90">
        <v>2.25336E-4</v>
      </c>
      <c r="I90" s="1">
        <v>7.7000000000000001E-5</v>
      </c>
      <c r="J90">
        <v>1.42762E-4</v>
      </c>
      <c r="K90" s="1">
        <v>6.3899999999999995E-5</v>
      </c>
      <c r="L90" s="1">
        <v>5.5399999999999998E-5</v>
      </c>
      <c r="M90" s="1">
        <v>7.3899999999999994E-5</v>
      </c>
      <c r="N90">
        <v>1.36074E-4</v>
      </c>
      <c r="O90" s="1">
        <v>8.2100000000000003E-5</v>
      </c>
      <c r="P90">
        <v>2.0718399999999999E-4</v>
      </c>
      <c r="Q90">
        <v>1.05689E-4</v>
      </c>
      <c r="R90">
        <v>2.1704800000000001E-4</v>
      </c>
      <c r="S90" s="1">
        <v>4.7200000000000002E-5</v>
      </c>
      <c r="T90">
        <v>1.89889E-4</v>
      </c>
    </row>
    <row r="91" spans="1:20" hidden="1" x14ac:dyDescent="0.25">
      <c r="A91" t="s">
        <v>109</v>
      </c>
      <c r="B91">
        <v>1.1432100000000001E-4</v>
      </c>
      <c r="C91">
        <v>0</v>
      </c>
      <c r="D91" s="1">
        <v>5.1600000000000001E-5</v>
      </c>
      <c r="E91" s="1">
        <v>3.3699999999999999E-5</v>
      </c>
      <c r="F91" s="1">
        <v>5.6700000000000003E-5</v>
      </c>
      <c r="G91" s="1">
        <v>2.83E-5</v>
      </c>
      <c r="H91" s="1">
        <v>9.4500000000000007E-5</v>
      </c>
      <c r="I91" s="1">
        <v>3.7799999999999997E-5</v>
      </c>
      <c r="J91" s="1">
        <v>4.8000000000000001E-5</v>
      </c>
      <c r="K91" s="1">
        <v>5.7099999999999999E-5</v>
      </c>
      <c r="L91" s="1">
        <v>4.4400000000000002E-5</v>
      </c>
      <c r="M91" s="1">
        <v>7.3999999999999996E-5</v>
      </c>
      <c r="N91" s="1">
        <v>7.9099999999999998E-5</v>
      </c>
      <c r="O91" s="1">
        <v>5.3100000000000003E-5</v>
      </c>
      <c r="P91" s="1">
        <v>8.5000000000000006E-5</v>
      </c>
      <c r="Q91">
        <v>1.4132500000000001E-4</v>
      </c>
      <c r="R91">
        <v>1.3216399999999999E-4</v>
      </c>
      <c r="S91" s="1">
        <v>6.3600000000000001E-5</v>
      </c>
      <c r="T91">
        <v>1.7713700000000001E-4</v>
      </c>
    </row>
    <row r="92" spans="1:20" hidden="1" x14ac:dyDescent="0.25">
      <c r="A92" t="s">
        <v>110</v>
      </c>
      <c r="B92">
        <v>3.5509099999999998E-4</v>
      </c>
      <c r="C92">
        <v>1.4478399999999999E-4</v>
      </c>
      <c r="D92">
        <v>2.3239300000000001E-4</v>
      </c>
      <c r="E92">
        <v>2.2478900000000001E-4</v>
      </c>
      <c r="F92">
        <v>2.5362200000000001E-4</v>
      </c>
      <c r="G92">
        <v>2.20433E-4</v>
      </c>
      <c r="H92">
        <v>3.56745E-4</v>
      </c>
      <c r="I92">
        <v>1.9955400000000001E-4</v>
      </c>
      <c r="J92">
        <v>2.86777E-4</v>
      </c>
      <c r="K92">
        <v>1.9477000000000001E-4</v>
      </c>
      <c r="L92">
        <v>1.75828E-4</v>
      </c>
      <c r="M92">
        <v>3.6768599999999999E-4</v>
      </c>
      <c r="N92">
        <v>1.6942500000000001E-4</v>
      </c>
      <c r="O92">
        <v>3.0786399999999998E-4</v>
      </c>
      <c r="P92">
        <v>4.9227099999999996E-4</v>
      </c>
      <c r="Q92">
        <v>3.7854700000000002E-4</v>
      </c>
      <c r="R92">
        <v>4.6047299999999998E-4</v>
      </c>
      <c r="S92">
        <v>2.6970899999999998E-4</v>
      </c>
      <c r="T92">
        <v>6.2461799999999996E-4</v>
      </c>
    </row>
    <row r="93" spans="1:20" hidden="1" x14ac:dyDescent="0.25">
      <c r="A93" t="s">
        <v>111</v>
      </c>
      <c r="B93">
        <v>3.7229899999999998E-4</v>
      </c>
      <c r="C93">
        <v>2.2515499999999999E-4</v>
      </c>
      <c r="D93">
        <v>2.8510800000000001E-4</v>
      </c>
      <c r="E93">
        <v>2.6492399999999999E-4</v>
      </c>
      <c r="F93">
        <v>4.5082999999999999E-4</v>
      </c>
      <c r="G93">
        <v>5.7839700000000003E-4</v>
      </c>
      <c r="H93">
        <v>4.5564599999999998E-4</v>
      </c>
      <c r="I93">
        <v>4.2548199999999998E-4</v>
      </c>
      <c r="J93">
        <v>6.3942299999999997E-4</v>
      </c>
      <c r="K93">
        <v>3.0462600000000001E-4</v>
      </c>
      <c r="L93">
        <v>3.1383300000000002E-4</v>
      </c>
      <c r="M93">
        <v>7.5902100000000002E-4</v>
      </c>
      <c r="N93">
        <v>9.3546999999999999E-4</v>
      </c>
      <c r="O93">
        <v>6.3824200000000002E-4</v>
      </c>
      <c r="P93">
        <v>7.7073099999999998E-4</v>
      </c>
      <c r="Q93">
        <v>1.119456E-3</v>
      </c>
      <c r="R93">
        <v>8.4181499999999999E-4</v>
      </c>
      <c r="S93">
        <v>8.0347700000000003E-4</v>
      </c>
      <c r="T93">
        <v>6.8016500000000004E-4</v>
      </c>
    </row>
    <row r="94" spans="1:20" hidden="1" x14ac:dyDescent="0.25">
      <c r="A94" t="s">
        <v>112</v>
      </c>
      <c r="B94">
        <v>3.2135099999999999E-4</v>
      </c>
      <c r="C94">
        <v>2.0848500000000001E-4</v>
      </c>
      <c r="D94">
        <v>2.3056500000000001E-4</v>
      </c>
      <c r="E94">
        <v>2.5623900000000001E-4</v>
      </c>
      <c r="F94">
        <v>4.7307000000000002E-4</v>
      </c>
      <c r="G94">
        <v>2.9766699999999999E-4</v>
      </c>
      <c r="H94">
        <v>2.43677E-4</v>
      </c>
      <c r="I94">
        <v>2.8908299999999998E-4</v>
      </c>
      <c r="J94">
        <v>4.1741700000000001E-4</v>
      </c>
      <c r="K94">
        <v>2.5473899999999997E-4</v>
      </c>
      <c r="L94">
        <v>2.6961500000000001E-4</v>
      </c>
      <c r="M94">
        <v>3.6481000000000003E-4</v>
      </c>
      <c r="N94">
        <v>5.6466600000000002E-4</v>
      </c>
      <c r="O94">
        <v>3.2703700000000002E-4</v>
      </c>
      <c r="P94">
        <v>6.14223E-4</v>
      </c>
      <c r="Q94">
        <v>7.6047699999999996E-4</v>
      </c>
      <c r="R94">
        <v>6.7757799999999997E-4</v>
      </c>
      <c r="S94">
        <v>7.7490299999999996E-4</v>
      </c>
      <c r="T94">
        <v>8.6021600000000002E-4</v>
      </c>
    </row>
    <row r="95" spans="1:20" hidden="1" x14ac:dyDescent="0.25">
      <c r="A95" t="s">
        <v>113</v>
      </c>
      <c r="B95">
        <v>1.4032207E-2</v>
      </c>
      <c r="C95">
        <v>1.5005955E-2</v>
      </c>
      <c r="D95">
        <v>1.4255197000000001E-2</v>
      </c>
      <c r="E95">
        <v>1.5694336999999999E-2</v>
      </c>
      <c r="F95">
        <v>1.3603301E-2</v>
      </c>
      <c r="G95">
        <v>1.2145998999999999E-2</v>
      </c>
      <c r="H95">
        <v>1.1580996E-2</v>
      </c>
      <c r="I95">
        <v>1.6105934999999998E-2</v>
      </c>
      <c r="J95">
        <v>1.5144591000000001E-2</v>
      </c>
      <c r="K95">
        <v>1.264738E-2</v>
      </c>
      <c r="L95">
        <v>1.3207468999999999E-2</v>
      </c>
      <c r="M95">
        <v>1.4199623E-2</v>
      </c>
      <c r="N95">
        <v>1.8194136999999999E-2</v>
      </c>
      <c r="O95">
        <v>1.4744591E-2</v>
      </c>
      <c r="P95">
        <v>1.0821086000000001E-2</v>
      </c>
      <c r="Q95">
        <v>6.2890009999999998E-3</v>
      </c>
      <c r="R95">
        <v>6.5522089999999998E-3</v>
      </c>
      <c r="S95">
        <v>5.3629990000000002E-3</v>
      </c>
      <c r="T95">
        <v>5.7727550000000001E-3</v>
      </c>
    </row>
    <row r="96" spans="1:20" hidden="1" x14ac:dyDescent="0.25">
      <c r="A96" t="s">
        <v>114</v>
      </c>
      <c r="B96">
        <v>4.4117899999999996E-3</v>
      </c>
      <c r="C96">
        <v>4.1698940000000004E-3</v>
      </c>
      <c r="D96">
        <v>3.6122509999999999E-3</v>
      </c>
      <c r="E96">
        <v>3.4073229999999999E-3</v>
      </c>
      <c r="F96">
        <v>3.2943690000000001E-3</v>
      </c>
      <c r="G96">
        <v>3.3584679999999999E-3</v>
      </c>
      <c r="H96">
        <v>3.1297149999999999E-3</v>
      </c>
      <c r="I96">
        <v>3.8881969999999999E-3</v>
      </c>
      <c r="J96">
        <v>4.202323E-3</v>
      </c>
      <c r="K96">
        <v>3.8130490000000002E-3</v>
      </c>
      <c r="L96">
        <v>4.0393260000000002E-3</v>
      </c>
      <c r="M96">
        <v>3.9179799999999997E-3</v>
      </c>
      <c r="N96">
        <v>5.7023769999999998E-3</v>
      </c>
      <c r="O96">
        <v>3.7579800000000002E-3</v>
      </c>
      <c r="P96">
        <v>3.7163019999999999E-3</v>
      </c>
      <c r="Q96">
        <v>2.3040309999999998E-3</v>
      </c>
      <c r="R96">
        <v>2.8426100000000002E-3</v>
      </c>
      <c r="S96">
        <v>2.4652630000000001E-3</v>
      </c>
      <c r="T96">
        <v>2.4359120000000001E-3</v>
      </c>
    </row>
    <row r="97" spans="1:20" hidden="1" x14ac:dyDescent="0.25">
      <c r="A97" t="s">
        <v>115</v>
      </c>
      <c r="B97" s="1">
        <v>4.2400000000000001E-5</v>
      </c>
      <c r="C97">
        <v>0</v>
      </c>
      <c r="D97" s="1">
        <v>7.8800000000000008E-6</v>
      </c>
      <c r="E97" s="1">
        <v>1.33E-5</v>
      </c>
      <c r="F97">
        <v>0</v>
      </c>
      <c r="G97" s="1">
        <v>2.37E-5</v>
      </c>
      <c r="H97" s="1">
        <v>4.8399999999999997E-5</v>
      </c>
      <c r="I97" s="1">
        <v>1.3699999999999999E-5</v>
      </c>
      <c r="J97" s="1">
        <v>2.1699999999999999E-5</v>
      </c>
      <c r="K97" s="1">
        <v>2.1299999999999999E-5</v>
      </c>
      <c r="L97" s="1">
        <v>2.0800000000000001E-5</v>
      </c>
      <c r="M97">
        <v>0</v>
      </c>
      <c r="N97" s="1">
        <v>2.8399999999999999E-5</v>
      </c>
      <c r="O97" s="1">
        <v>2.48E-5</v>
      </c>
      <c r="P97" s="1">
        <v>6.41E-5</v>
      </c>
      <c r="Q97" s="1">
        <v>5.5999999999999999E-5</v>
      </c>
      <c r="R97" s="1">
        <v>6.58E-5</v>
      </c>
      <c r="S97" s="1">
        <v>7.7000000000000001E-5</v>
      </c>
      <c r="T97" s="1">
        <v>3.29E-5</v>
      </c>
    </row>
    <row r="98" spans="1:20" hidden="1" x14ac:dyDescent="0.25">
      <c r="A98" t="s">
        <v>116</v>
      </c>
      <c r="B98">
        <v>0</v>
      </c>
      <c r="C98">
        <v>0</v>
      </c>
      <c r="D98" s="1">
        <v>1.9700000000000001E-5</v>
      </c>
      <c r="E98" s="1">
        <v>2.6400000000000001E-5</v>
      </c>
      <c r="F98" s="1">
        <v>1.9000000000000001E-5</v>
      </c>
      <c r="G98">
        <v>0</v>
      </c>
      <c r="H98" s="1">
        <v>2.7699999999999999E-5</v>
      </c>
      <c r="I98" s="1">
        <v>2.9799999999999999E-5</v>
      </c>
      <c r="J98" s="1">
        <v>1.29E-5</v>
      </c>
      <c r="K98" s="1">
        <v>1.43E-5</v>
      </c>
      <c r="L98" s="1">
        <v>1.6500000000000001E-5</v>
      </c>
      <c r="M98">
        <v>0</v>
      </c>
      <c r="N98" s="1">
        <v>9.3100000000000006E-6</v>
      </c>
      <c r="O98" s="1">
        <v>7.6000000000000001E-6</v>
      </c>
      <c r="P98" s="1">
        <v>1.63E-5</v>
      </c>
      <c r="Q98" s="1">
        <v>1.4100000000000001E-5</v>
      </c>
      <c r="R98" s="1">
        <v>2.3900000000000002E-5</v>
      </c>
      <c r="S98" s="1">
        <v>4.0599999999999998E-5</v>
      </c>
      <c r="T98" s="1">
        <v>1.5400000000000002E-5</v>
      </c>
    </row>
    <row r="99" spans="1:20" hidden="1" x14ac:dyDescent="0.25">
      <c r="A99" t="s">
        <v>117</v>
      </c>
      <c r="B99">
        <v>5.0076299999999999E-4</v>
      </c>
      <c r="C99">
        <v>6.8388499999999996E-4</v>
      </c>
      <c r="D99">
        <v>8.1044199999999998E-4</v>
      </c>
      <c r="E99">
        <v>7.53855E-4</v>
      </c>
      <c r="F99">
        <v>6.6353600000000005E-4</v>
      </c>
      <c r="G99">
        <v>5.4196699999999997E-4</v>
      </c>
      <c r="H99">
        <v>4.8103300000000001E-4</v>
      </c>
      <c r="I99">
        <v>6.2482200000000003E-4</v>
      </c>
      <c r="J99">
        <v>6.0546899999999997E-4</v>
      </c>
      <c r="K99">
        <v>8.6635200000000003E-4</v>
      </c>
      <c r="L99">
        <v>8.4216800000000002E-4</v>
      </c>
      <c r="M99">
        <v>5.2689299999999996E-4</v>
      </c>
      <c r="N99">
        <v>6.2938000000000002E-4</v>
      </c>
      <c r="O99">
        <v>6.1651100000000003E-4</v>
      </c>
      <c r="P99">
        <v>3.0276700000000001E-4</v>
      </c>
      <c r="Q99">
        <v>1.3045E-4</v>
      </c>
      <c r="R99">
        <v>1.17596E-4</v>
      </c>
      <c r="S99">
        <v>1.13996E-4</v>
      </c>
      <c r="T99">
        <v>1.2870500000000001E-4</v>
      </c>
    </row>
    <row r="100" spans="1:20" hidden="1" x14ac:dyDescent="0.25">
      <c r="A100" t="s">
        <v>118</v>
      </c>
      <c r="B100">
        <v>1.4793299999999999E-4</v>
      </c>
      <c r="C100">
        <v>2.24401E-4</v>
      </c>
      <c r="D100">
        <v>1.9573E-4</v>
      </c>
      <c r="E100">
        <v>2.29526E-4</v>
      </c>
      <c r="F100">
        <v>1.3311599999999999E-4</v>
      </c>
      <c r="G100">
        <v>1.07638E-4</v>
      </c>
      <c r="H100">
        <v>1.53373E-4</v>
      </c>
      <c r="I100">
        <v>1.3441899999999999E-4</v>
      </c>
      <c r="J100">
        <v>1.3184899999999999E-4</v>
      </c>
      <c r="K100">
        <v>1.93451E-4</v>
      </c>
      <c r="L100">
        <v>1.6725099999999999E-4</v>
      </c>
      <c r="M100">
        <v>1.2880500000000001E-4</v>
      </c>
      <c r="N100">
        <v>1.35532E-4</v>
      </c>
      <c r="O100" s="1">
        <v>9.9199999999999999E-5</v>
      </c>
      <c r="P100" s="1">
        <v>9.6100000000000005E-5</v>
      </c>
      <c r="Q100">
        <v>1.4728500000000001E-4</v>
      </c>
      <c r="R100">
        <v>1.20133E-4</v>
      </c>
      <c r="S100">
        <v>1.3067999999999999E-4</v>
      </c>
      <c r="T100">
        <v>1.10012E-4</v>
      </c>
    </row>
    <row r="101" spans="1:20" hidden="1" x14ac:dyDescent="0.25">
      <c r="A101" t="s">
        <v>119</v>
      </c>
      <c r="B101" s="1">
        <v>4.0199999999999996E-6</v>
      </c>
      <c r="C101" s="1">
        <v>7.79E-6</v>
      </c>
      <c r="D101" s="1">
        <v>6.46E-6</v>
      </c>
      <c r="E101" s="1">
        <v>4.9200000000000003E-6</v>
      </c>
      <c r="F101" s="1">
        <v>4.0199999999999996E-6</v>
      </c>
      <c r="G101" s="1">
        <v>4.2100000000000003E-6</v>
      </c>
      <c r="H101" s="1">
        <v>3.5700000000000001E-6</v>
      </c>
      <c r="I101" s="1">
        <v>3.7100000000000001E-6</v>
      </c>
      <c r="J101" s="1">
        <v>4.0400000000000003E-6</v>
      </c>
      <c r="K101" s="1">
        <v>6.1099999999999999E-6</v>
      </c>
      <c r="L101" s="1">
        <v>5.9499999999999998E-6</v>
      </c>
      <c r="M101" s="1">
        <v>3.0800000000000002E-6</v>
      </c>
      <c r="N101" s="1">
        <v>2.0499999999999999E-6</v>
      </c>
      <c r="O101" s="1">
        <v>2.8899999999999999E-6</v>
      </c>
      <c r="P101">
        <v>0</v>
      </c>
      <c r="Q101">
        <v>0</v>
      </c>
      <c r="R101">
        <v>0</v>
      </c>
      <c r="S101">
        <v>0</v>
      </c>
      <c r="T101" s="1">
        <v>1.2500000000000001E-6</v>
      </c>
    </row>
    <row r="102" spans="1:20" hidden="1" x14ac:dyDescent="0.25">
      <c r="A102" t="s">
        <v>120</v>
      </c>
      <c r="B102" s="1">
        <v>1.42E-5</v>
      </c>
      <c r="C102" s="1">
        <v>1.03E-5</v>
      </c>
      <c r="D102" s="1">
        <v>1.0699999999999999E-5</v>
      </c>
      <c r="E102" s="1">
        <v>1.5299999999999999E-5</v>
      </c>
      <c r="F102" s="1">
        <v>6.3400000000000003E-6</v>
      </c>
      <c r="G102">
        <v>0</v>
      </c>
      <c r="H102" s="1">
        <v>1.2799999999999999E-5</v>
      </c>
      <c r="I102" s="1">
        <v>1.4399999999999999E-5</v>
      </c>
      <c r="J102" s="1">
        <v>1.4E-5</v>
      </c>
      <c r="K102" s="1">
        <v>1.27E-5</v>
      </c>
      <c r="L102" s="1">
        <v>9.1200000000000008E-6</v>
      </c>
      <c r="M102" s="1">
        <v>1.8199999999999999E-5</v>
      </c>
      <c r="N102" s="1">
        <v>6.7900000000000002E-6</v>
      </c>
      <c r="O102" s="1">
        <v>9.3100000000000006E-6</v>
      </c>
      <c r="P102" s="1">
        <v>1.17E-5</v>
      </c>
      <c r="Q102" s="1">
        <v>2.9099999999999999E-5</v>
      </c>
      <c r="R102" s="1">
        <v>2.2200000000000001E-5</v>
      </c>
      <c r="S102" s="1">
        <v>2.1500000000000001E-5</v>
      </c>
      <c r="T102" s="1">
        <v>3.3699999999999999E-5</v>
      </c>
    </row>
    <row r="103" spans="1:20" hidden="1" x14ac:dyDescent="0.25">
      <c r="A103" t="s">
        <v>121</v>
      </c>
      <c r="B103" s="1">
        <v>2.4600000000000002E-5</v>
      </c>
      <c r="C103" s="1">
        <v>1.6399999999999999E-5</v>
      </c>
      <c r="D103">
        <v>0</v>
      </c>
      <c r="E103">
        <v>0</v>
      </c>
      <c r="F103" s="1">
        <v>4.2200000000000003E-5</v>
      </c>
      <c r="G103" s="1">
        <v>3.3200000000000001E-5</v>
      </c>
      <c r="H103" s="1">
        <v>3.26E-5</v>
      </c>
      <c r="I103" s="1">
        <v>4.0899999999999998E-5</v>
      </c>
      <c r="J103" s="1">
        <v>4.74E-5</v>
      </c>
      <c r="K103" s="1">
        <v>3.4999999999999997E-5</v>
      </c>
      <c r="L103" s="1">
        <v>2.94E-5</v>
      </c>
      <c r="M103" s="1">
        <v>3.4700000000000003E-5</v>
      </c>
      <c r="N103" s="1">
        <v>1.8600000000000001E-5</v>
      </c>
      <c r="O103" s="1">
        <v>1.26E-5</v>
      </c>
      <c r="P103" s="1">
        <v>7.8999999999999996E-5</v>
      </c>
      <c r="Q103">
        <v>1.4024600000000001E-4</v>
      </c>
      <c r="R103">
        <v>1.7537100000000001E-4</v>
      </c>
      <c r="S103" s="1">
        <v>9.9400000000000004E-5</v>
      </c>
      <c r="T103">
        <v>1.0609E-4</v>
      </c>
    </row>
    <row r="104" spans="1:20" hidden="1" x14ac:dyDescent="0.25">
      <c r="A104" t="s">
        <v>122</v>
      </c>
      <c r="B104">
        <v>1.1256699999999999E-4</v>
      </c>
      <c r="C104">
        <v>1.86047E-4</v>
      </c>
      <c r="D104">
        <v>1.80559E-4</v>
      </c>
      <c r="E104">
        <v>1.1588599999999999E-4</v>
      </c>
      <c r="F104">
        <v>1.6980200000000001E-4</v>
      </c>
      <c r="G104">
        <v>2.1341200000000001E-4</v>
      </c>
      <c r="H104">
        <v>1.91566E-4</v>
      </c>
      <c r="I104">
        <v>2.48247E-4</v>
      </c>
      <c r="J104">
        <v>2.3586899999999999E-4</v>
      </c>
      <c r="K104">
        <v>1.5012099999999999E-4</v>
      </c>
      <c r="L104">
        <v>2.1004899999999999E-4</v>
      </c>
      <c r="M104">
        <v>1.1314E-4</v>
      </c>
      <c r="N104">
        <v>3.46268E-4</v>
      </c>
      <c r="O104">
        <v>1.73315E-4</v>
      </c>
      <c r="P104">
        <v>1.9666900000000001E-4</v>
      </c>
      <c r="Q104">
        <v>1.5352200000000001E-4</v>
      </c>
      <c r="R104">
        <v>2.1149799999999999E-4</v>
      </c>
      <c r="S104">
        <v>1.92416E-4</v>
      </c>
      <c r="T104">
        <v>1.5749500000000001E-4</v>
      </c>
    </row>
    <row r="105" spans="1:20" hidden="1" x14ac:dyDescent="0.25">
      <c r="A105" t="s">
        <v>123</v>
      </c>
      <c r="B105" s="1">
        <v>1.38E-5</v>
      </c>
      <c r="C105">
        <v>0</v>
      </c>
      <c r="D105" s="1">
        <v>1.4E-5</v>
      </c>
      <c r="E105">
        <v>0</v>
      </c>
      <c r="F105" s="1">
        <v>1.6900000000000001E-5</v>
      </c>
      <c r="G105">
        <v>0</v>
      </c>
      <c r="H105">
        <v>0</v>
      </c>
      <c r="I105">
        <v>0</v>
      </c>
      <c r="J105" s="1">
        <v>1.2500000000000001E-5</v>
      </c>
      <c r="K105" s="1">
        <v>1.3499999999999999E-5</v>
      </c>
      <c r="L105">
        <v>0</v>
      </c>
      <c r="M105">
        <v>0</v>
      </c>
      <c r="N105">
        <v>0</v>
      </c>
      <c r="O105">
        <v>0</v>
      </c>
      <c r="P105">
        <v>0</v>
      </c>
      <c r="Q105" s="1">
        <v>3.0700000000000001E-5</v>
      </c>
      <c r="R105" s="1">
        <v>3.6600000000000002E-5</v>
      </c>
      <c r="S105" s="1">
        <v>2.3900000000000002E-5</v>
      </c>
      <c r="T105" s="1">
        <v>3.4999999999999997E-5</v>
      </c>
    </row>
    <row r="106" spans="1:20" hidden="1" x14ac:dyDescent="0.25">
      <c r="A106" t="s">
        <v>124</v>
      </c>
      <c r="B106">
        <v>6.8564899999999998E-4</v>
      </c>
      <c r="C106">
        <v>3.33157E-4</v>
      </c>
      <c r="D106">
        <v>4.22003E-4</v>
      </c>
      <c r="E106">
        <v>3.1443699999999998E-4</v>
      </c>
      <c r="F106">
        <v>1.2446720000000001E-3</v>
      </c>
      <c r="G106">
        <v>1.1853619999999999E-3</v>
      </c>
      <c r="H106">
        <v>6.2051800000000002E-4</v>
      </c>
      <c r="I106">
        <v>6.64965E-4</v>
      </c>
      <c r="J106">
        <v>1.659385E-3</v>
      </c>
      <c r="K106">
        <v>1.007221E-3</v>
      </c>
      <c r="L106">
        <v>6.8079600000000001E-4</v>
      </c>
      <c r="M106">
        <v>9.4077799999999997E-4</v>
      </c>
      <c r="N106">
        <v>1.307833E-3</v>
      </c>
      <c r="O106">
        <v>5.47533E-4</v>
      </c>
      <c r="P106">
        <v>3.9573919999999997E-3</v>
      </c>
      <c r="Q106">
        <v>5.7323060000000004E-3</v>
      </c>
      <c r="R106">
        <v>9.7170940000000008E-3</v>
      </c>
      <c r="S106">
        <v>1.264352E-2</v>
      </c>
      <c r="T106">
        <v>7.3984259999999996E-3</v>
      </c>
    </row>
    <row r="107" spans="1:20" hidden="1" x14ac:dyDescent="0.25">
      <c r="A107" t="s">
        <v>125</v>
      </c>
      <c r="B107">
        <v>6.2081799999999998E-4</v>
      </c>
      <c r="C107">
        <v>7.7495000000000005E-4</v>
      </c>
      <c r="D107">
        <v>5.9750600000000004E-4</v>
      </c>
      <c r="E107">
        <v>6.1982499999999995E-4</v>
      </c>
      <c r="F107">
        <v>7.9058299999999998E-4</v>
      </c>
      <c r="G107">
        <v>1.2165209999999999E-3</v>
      </c>
      <c r="H107">
        <v>1.103438E-3</v>
      </c>
      <c r="I107">
        <v>9.8390900000000004E-4</v>
      </c>
      <c r="J107">
        <v>6.6838599999999998E-4</v>
      </c>
      <c r="K107">
        <v>7.63633E-4</v>
      </c>
      <c r="L107">
        <v>8.0677099999999996E-4</v>
      </c>
      <c r="M107">
        <v>6.7844400000000005E-4</v>
      </c>
      <c r="N107">
        <v>6.1261400000000004E-4</v>
      </c>
      <c r="O107">
        <v>3.7709100000000003E-4</v>
      </c>
      <c r="P107">
        <v>5.6879599999999999E-4</v>
      </c>
      <c r="Q107">
        <v>1.542149E-3</v>
      </c>
      <c r="R107">
        <v>9.9635799999999992E-4</v>
      </c>
      <c r="S107">
        <v>2.6593319999999999E-3</v>
      </c>
      <c r="T107">
        <v>1.625191E-3</v>
      </c>
    </row>
    <row r="108" spans="1:20" hidden="1" x14ac:dyDescent="0.25">
      <c r="A108" t="s">
        <v>126</v>
      </c>
      <c r="B108">
        <v>1.7507250000000001E-3</v>
      </c>
      <c r="C108">
        <v>7.5557900000000004E-4</v>
      </c>
      <c r="D108">
        <v>8.6032700000000003E-4</v>
      </c>
      <c r="E108">
        <v>6.0411099999999995E-4</v>
      </c>
      <c r="F108">
        <v>2.8430439999999999E-3</v>
      </c>
      <c r="G108">
        <v>2.8356789999999998E-3</v>
      </c>
      <c r="H108">
        <v>1.5358800000000001E-3</v>
      </c>
      <c r="I108">
        <v>1.3650660000000001E-3</v>
      </c>
      <c r="J108">
        <v>3.0554409999999999E-3</v>
      </c>
      <c r="K108">
        <v>2.6639139999999999E-3</v>
      </c>
      <c r="L108">
        <v>1.2811789999999999E-3</v>
      </c>
      <c r="M108">
        <v>2.9562939999999999E-3</v>
      </c>
      <c r="N108">
        <v>2.434379E-3</v>
      </c>
      <c r="O108">
        <v>1.3132899999999999E-3</v>
      </c>
      <c r="P108">
        <v>7.7592929999999996E-3</v>
      </c>
      <c r="Q108">
        <v>1.0569876000000001E-2</v>
      </c>
      <c r="R108">
        <v>1.4284252000000001E-2</v>
      </c>
      <c r="S108">
        <v>1.4472087999999999E-2</v>
      </c>
      <c r="T108">
        <v>1.213441E-2</v>
      </c>
    </row>
    <row r="109" spans="1:20" hidden="1" x14ac:dyDescent="0.25">
      <c r="A109" t="s">
        <v>127</v>
      </c>
      <c r="B109">
        <v>1.37317E-4</v>
      </c>
      <c r="C109" s="1">
        <v>8.7100000000000003E-5</v>
      </c>
      <c r="D109" s="1">
        <v>1.38E-5</v>
      </c>
      <c r="E109" s="1">
        <v>4.1100000000000003E-5</v>
      </c>
      <c r="F109">
        <v>1.01856E-4</v>
      </c>
      <c r="G109">
        <v>1.8413199999999999E-4</v>
      </c>
      <c r="H109" s="1">
        <v>9.1199999999999994E-5</v>
      </c>
      <c r="I109">
        <v>1.02637E-4</v>
      </c>
      <c r="J109">
        <v>1.1496499999999999E-4</v>
      </c>
      <c r="K109">
        <v>1.7268399999999999E-4</v>
      </c>
      <c r="L109">
        <v>1.09957E-4</v>
      </c>
      <c r="M109">
        <v>2.39819E-4</v>
      </c>
      <c r="N109">
        <v>3.43865E-4</v>
      </c>
      <c r="O109" s="1">
        <v>5.8199999999999998E-5</v>
      </c>
      <c r="P109">
        <v>2.3562600000000001E-4</v>
      </c>
      <c r="Q109">
        <v>2.5958200000000001E-4</v>
      </c>
      <c r="R109">
        <v>1.02247E-4</v>
      </c>
      <c r="S109">
        <v>2.4626299999999998E-4</v>
      </c>
      <c r="T109">
        <v>3.9732E-4</v>
      </c>
    </row>
    <row r="110" spans="1:20" hidden="1" x14ac:dyDescent="0.25">
      <c r="A110" t="s">
        <v>128</v>
      </c>
      <c r="B110">
        <v>4.0101399999999999E-4</v>
      </c>
      <c r="C110">
        <v>3.6618600000000001E-4</v>
      </c>
      <c r="D110">
        <v>1.96596E-4</v>
      </c>
      <c r="E110">
        <v>1.9609099999999999E-4</v>
      </c>
      <c r="F110">
        <v>5.1503400000000004E-4</v>
      </c>
      <c r="G110">
        <v>5.9551999999999999E-4</v>
      </c>
      <c r="H110">
        <v>4.0050300000000002E-4</v>
      </c>
      <c r="I110">
        <v>3.5154700000000001E-4</v>
      </c>
      <c r="J110">
        <v>5.8664800000000005E-4</v>
      </c>
      <c r="K110">
        <v>4.9951800000000001E-4</v>
      </c>
      <c r="L110">
        <v>4.5273200000000002E-4</v>
      </c>
      <c r="M110">
        <v>7.2597899999999997E-4</v>
      </c>
      <c r="N110">
        <v>6.2600700000000004E-4</v>
      </c>
      <c r="O110">
        <v>2.9703999999999999E-4</v>
      </c>
      <c r="P110">
        <v>1.1086640000000001E-3</v>
      </c>
      <c r="Q110">
        <v>1.2764740000000001E-3</v>
      </c>
      <c r="R110">
        <v>1.4430420000000001E-3</v>
      </c>
      <c r="S110">
        <v>2.0637110000000002E-3</v>
      </c>
      <c r="T110">
        <v>1.9056909999999999E-3</v>
      </c>
    </row>
    <row r="111" spans="1:20" hidden="1" x14ac:dyDescent="0.25">
      <c r="A111" t="s">
        <v>129</v>
      </c>
      <c r="B111">
        <v>3.6637240000000001E-3</v>
      </c>
      <c r="C111">
        <v>2.0132050000000001E-3</v>
      </c>
      <c r="D111">
        <v>1.8204440000000001E-3</v>
      </c>
      <c r="E111">
        <v>1.9878890000000001E-3</v>
      </c>
      <c r="F111">
        <v>6.4009949999999996E-3</v>
      </c>
      <c r="G111">
        <v>5.4082920000000003E-3</v>
      </c>
      <c r="H111">
        <v>2.573999E-3</v>
      </c>
      <c r="I111">
        <v>1.895653E-3</v>
      </c>
      <c r="J111">
        <v>4.2016179999999998E-3</v>
      </c>
      <c r="K111">
        <v>3.5440900000000002E-3</v>
      </c>
      <c r="L111">
        <v>3.146079E-3</v>
      </c>
      <c r="M111">
        <v>5.0441380000000001E-3</v>
      </c>
      <c r="N111">
        <v>3.1475399999999999E-3</v>
      </c>
      <c r="O111">
        <v>3.0224689999999999E-3</v>
      </c>
      <c r="P111">
        <v>8.9119149999999994E-3</v>
      </c>
      <c r="Q111">
        <v>8.9933170000000007E-3</v>
      </c>
      <c r="R111">
        <v>9.7103299999999997E-3</v>
      </c>
      <c r="S111">
        <v>1.2357778999999999E-2</v>
      </c>
      <c r="T111">
        <v>9.9375160000000004E-3</v>
      </c>
    </row>
    <row r="112" spans="1:20" hidden="1" x14ac:dyDescent="0.25">
      <c r="A112" t="s">
        <v>130</v>
      </c>
      <c r="B112">
        <v>9.7058890000000005E-3</v>
      </c>
      <c r="C112">
        <v>8.5569619999999996E-3</v>
      </c>
      <c r="D112">
        <v>6.888084E-3</v>
      </c>
      <c r="E112">
        <v>6.3298720000000003E-3</v>
      </c>
      <c r="F112">
        <v>8.3791019999999994E-3</v>
      </c>
      <c r="G112">
        <v>5.9350640000000003E-3</v>
      </c>
      <c r="H112">
        <v>4.1353029999999999E-3</v>
      </c>
      <c r="I112">
        <v>5.0616469999999998E-3</v>
      </c>
      <c r="J112">
        <v>7.6520269999999996E-3</v>
      </c>
      <c r="K112">
        <v>6.5692620000000002E-3</v>
      </c>
      <c r="L112">
        <v>8.1408750000000005E-3</v>
      </c>
      <c r="M112">
        <v>6.679249E-3</v>
      </c>
      <c r="N112">
        <v>5.1206630000000001E-3</v>
      </c>
      <c r="O112">
        <v>5.4207639999999998E-3</v>
      </c>
      <c r="P112">
        <v>6.950197E-3</v>
      </c>
      <c r="Q112">
        <v>6.2679340000000002E-3</v>
      </c>
      <c r="R112">
        <v>7.6692940000000001E-3</v>
      </c>
      <c r="S112">
        <v>6.483651E-3</v>
      </c>
      <c r="T112">
        <v>6.1335879999999997E-3</v>
      </c>
    </row>
    <row r="113" spans="1:20" hidden="1" x14ac:dyDescent="0.25">
      <c r="A113" t="s">
        <v>131</v>
      </c>
      <c r="B113">
        <v>7.7678600000000001E-4</v>
      </c>
      <c r="C113">
        <v>9.8784000000000003E-4</v>
      </c>
      <c r="D113">
        <v>6.73951E-4</v>
      </c>
      <c r="E113">
        <v>1.0435570000000001E-3</v>
      </c>
      <c r="F113">
        <v>1.360165E-3</v>
      </c>
      <c r="G113">
        <v>1.5995950000000001E-3</v>
      </c>
      <c r="H113">
        <v>1.472929E-3</v>
      </c>
      <c r="I113">
        <v>9.2789200000000004E-4</v>
      </c>
      <c r="J113">
        <v>7.4925600000000001E-4</v>
      </c>
      <c r="K113">
        <v>1.0390460000000001E-3</v>
      </c>
      <c r="L113">
        <v>1.0872810000000001E-3</v>
      </c>
      <c r="M113">
        <v>1.000098E-3</v>
      </c>
      <c r="N113">
        <v>9.1655700000000003E-4</v>
      </c>
      <c r="O113">
        <v>7.0967899999999995E-4</v>
      </c>
      <c r="P113">
        <v>9.2447099999999995E-4</v>
      </c>
      <c r="Q113">
        <v>1.2381689999999999E-3</v>
      </c>
      <c r="R113">
        <v>1.325847E-3</v>
      </c>
      <c r="S113">
        <v>2.6122810000000002E-3</v>
      </c>
      <c r="T113">
        <v>1.861288E-3</v>
      </c>
    </row>
    <row r="114" spans="1:20" hidden="1" x14ac:dyDescent="0.25">
      <c r="A114" t="s">
        <v>132</v>
      </c>
      <c r="B114" s="1">
        <v>1.5800000000000001E-5</v>
      </c>
      <c r="C114">
        <v>0</v>
      </c>
      <c r="D114" s="1">
        <v>1.0200000000000001E-5</v>
      </c>
      <c r="E114" s="1">
        <v>1.49E-5</v>
      </c>
      <c r="F114">
        <v>0</v>
      </c>
      <c r="G114" s="1">
        <v>1.9400000000000001E-5</v>
      </c>
      <c r="H114" s="1">
        <v>3.5500000000000002E-5</v>
      </c>
      <c r="I114">
        <v>0</v>
      </c>
      <c r="J114">
        <v>0</v>
      </c>
      <c r="K114" s="1">
        <v>4.21E-5</v>
      </c>
      <c r="L114">
        <v>0</v>
      </c>
      <c r="M114">
        <v>0</v>
      </c>
      <c r="N114">
        <v>0</v>
      </c>
      <c r="O114">
        <v>0</v>
      </c>
      <c r="P114" s="1">
        <v>4.7899999999999999E-5</v>
      </c>
      <c r="Q114">
        <v>1.21254E-4</v>
      </c>
      <c r="R114" s="1">
        <v>3.3300000000000003E-5</v>
      </c>
      <c r="S114" s="1">
        <v>3.79E-5</v>
      </c>
      <c r="T114">
        <v>2.33081E-4</v>
      </c>
    </row>
    <row r="115" spans="1:20" hidden="1" x14ac:dyDescent="0.25">
      <c r="A115" t="s">
        <v>133</v>
      </c>
      <c r="B115" s="1">
        <v>3.3500000000000001E-5</v>
      </c>
      <c r="C115" s="1">
        <v>6.3200000000000005E-5</v>
      </c>
      <c r="D115" s="1">
        <v>5.3699999999999997E-5</v>
      </c>
      <c r="E115" s="1">
        <v>5.3000000000000001E-5</v>
      </c>
      <c r="F115" s="1">
        <v>2.6299999999999999E-5</v>
      </c>
      <c r="G115" s="1">
        <v>4.6499999999999999E-5</v>
      </c>
      <c r="H115" s="1">
        <v>4.5500000000000001E-5</v>
      </c>
      <c r="I115" s="1">
        <v>4.2899999999999999E-5</v>
      </c>
      <c r="J115" s="1">
        <v>3.68E-5</v>
      </c>
      <c r="K115" s="1">
        <v>4.1999999999999998E-5</v>
      </c>
      <c r="L115" s="1">
        <v>5.6400000000000002E-5</v>
      </c>
      <c r="M115" s="1">
        <v>3.26E-5</v>
      </c>
      <c r="N115" s="1">
        <v>3.0000000000000001E-5</v>
      </c>
      <c r="O115" s="1">
        <v>4.1399999999999997E-5</v>
      </c>
      <c r="P115" s="1">
        <v>2.3900000000000002E-5</v>
      </c>
      <c r="Q115" s="1">
        <v>1.7200000000000001E-5</v>
      </c>
      <c r="R115" s="1">
        <v>1.5699999999999999E-5</v>
      </c>
      <c r="S115" s="1">
        <v>1.9599999999999999E-5</v>
      </c>
      <c r="T115" s="1">
        <v>2.0800000000000001E-5</v>
      </c>
    </row>
    <row r="116" spans="1:20" hidden="1" x14ac:dyDescent="0.25">
      <c r="A116" t="s">
        <v>134</v>
      </c>
      <c r="B116" s="1">
        <v>2.1500000000000001E-5</v>
      </c>
      <c r="C116" s="1">
        <v>4.5800000000000002E-5</v>
      </c>
      <c r="D116" s="1">
        <v>3.7299999999999999E-5</v>
      </c>
      <c r="E116" s="1">
        <v>4.3600000000000003E-5</v>
      </c>
      <c r="F116" s="1">
        <v>2.62E-5</v>
      </c>
      <c r="G116" s="1">
        <v>3.9100000000000002E-5</v>
      </c>
      <c r="H116" s="1">
        <v>3.4199999999999998E-5</v>
      </c>
      <c r="I116" s="1">
        <v>2.5899999999999999E-5</v>
      </c>
      <c r="J116" s="1">
        <v>2.69E-5</v>
      </c>
      <c r="K116" s="1">
        <v>3.3000000000000003E-5</v>
      </c>
      <c r="L116" s="1">
        <v>2.7800000000000001E-5</v>
      </c>
      <c r="M116" s="1">
        <v>1.6200000000000001E-5</v>
      </c>
      <c r="N116">
        <v>0</v>
      </c>
      <c r="O116" s="1">
        <v>2.41E-5</v>
      </c>
      <c r="P116" s="1">
        <v>1.4E-5</v>
      </c>
      <c r="Q116" s="1">
        <v>2.1100000000000001E-5</v>
      </c>
      <c r="R116" s="1">
        <v>2.4199999999999999E-5</v>
      </c>
      <c r="S116">
        <v>0</v>
      </c>
      <c r="T116" s="1">
        <v>2.1299999999999999E-5</v>
      </c>
    </row>
    <row r="117" spans="1:20" hidden="1" x14ac:dyDescent="0.25">
      <c r="A117" t="s">
        <v>135</v>
      </c>
      <c r="B117">
        <v>2.9272800000000002E-4</v>
      </c>
      <c r="C117">
        <v>5.1397300000000003E-4</v>
      </c>
      <c r="D117">
        <v>4.9219300000000004E-4</v>
      </c>
      <c r="E117">
        <v>5.0485799999999996E-4</v>
      </c>
      <c r="F117">
        <v>3.09177E-4</v>
      </c>
      <c r="G117">
        <v>3.3837899999999998E-4</v>
      </c>
      <c r="H117">
        <v>2.8737700000000001E-4</v>
      </c>
      <c r="I117">
        <v>3.1805899999999998E-4</v>
      </c>
      <c r="J117">
        <v>2.7180699999999999E-4</v>
      </c>
      <c r="K117">
        <v>4.24447E-4</v>
      </c>
      <c r="L117">
        <v>3.6972099999999999E-4</v>
      </c>
      <c r="M117">
        <v>1.829E-4</v>
      </c>
      <c r="N117">
        <v>1.45444E-4</v>
      </c>
      <c r="O117">
        <v>2.4976499999999999E-4</v>
      </c>
      <c r="P117">
        <v>1.5160400000000001E-4</v>
      </c>
      <c r="Q117">
        <v>1.4810499999999999E-4</v>
      </c>
      <c r="R117">
        <v>1.28639E-4</v>
      </c>
      <c r="S117" s="1">
        <v>8.6600000000000004E-5</v>
      </c>
      <c r="T117">
        <v>1.14644E-4</v>
      </c>
    </row>
    <row r="118" spans="1:20" hidden="1" x14ac:dyDescent="0.25">
      <c r="A118" t="s">
        <v>136</v>
      </c>
      <c r="B118">
        <v>1.62993E-4</v>
      </c>
      <c r="C118">
        <v>3.0943499999999999E-4</v>
      </c>
      <c r="D118">
        <v>2.43902E-4</v>
      </c>
      <c r="E118">
        <v>2.3785200000000001E-4</v>
      </c>
      <c r="F118">
        <v>1.7396100000000001E-4</v>
      </c>
      <c r="G118">
        <v>1.6755700000000001E-4</v>
      </c>
      <c r="H118">
        <v>1.8540000000000001E-4</v>
      </c>
      <c r="I118">
        <v>1.99309E-4</v>
      </c>
      <c r="J118">
        <v>1.68276E-4</v>
      </c>
      <c r="K118">
        <v>2.21182E-4</v>
      </c>
      <c r="L118">
        <v>2.0447999999999999E-4</v>
      </c>
      <c r="M118">
        <v>1.08185E-4</v>
      </c>
      <c r="N118" s="1">
        <v>8.92E-5</v>
      </c>
      <c r="O118">
        <v>1.63213E-4</v>
      </c>
      <c r="P118" s="1">
        <v>8.7999999999999998E-5</v>
      </c>
      <c r="Q118" s="1">
        <v>9.3700000000000001E-5</v>
      </c>
      <c r="R118" s="1">
        <v>8.0400000000000003E-5</v>
      </c>
      <c r="S118" s="1">
        <v>6.0800000000000001E-5</v>
      </c>
      <c r="T118" s="1">
        <v>8.3399999999999994E-5</v>
      </c>
    </row>
    <row r="119" spans="1:20" hidden="1" x14ac:dyDescent="0.25">
      <c r="A119" t="s">
        <v>137</v>
      </c>
      <c r="B119">
        <v>4.44509E-4</v>
      </c>
      <c r="C119">
        <v>8.4747100000000003E-4</v>
      </c>
      <c r="D119">
        <v>7.1305800000000003E-4</v>
      </c>
      <c r="E119">
        <v>7.3723199999999999E-4</v>
      </c>
      <c r="F119">
        <v>5.1458000000000005E-4</v>
      </c>
      <c r="G119">
        <v>5.2158599999999999E-4</v>
      </c>
      <c r="H119">
        <v>4.9010000000000004E-4</v>
      </c>
      <c r="I119">
        <v>5.73782E-4</v>
      </c>
      <c r="J119">
        <v>4.5014000000000002E-4</v>
      </c>
      <c r="K119">
        <v>6.0545200000000003E-4</v>
      </c>
      <c r="L119">
        <v>6.2137499999999997E-4</v>
      </c>
      <c r="M119">
        <v>3.3772499999999998E-4</v>
      </c>
      <c r="N119">
        <v>3.4890000000000002E-4</v>
      </c>
      <c r="O119">
        <v>4.2099500000000002E-4</v>
      </c>
      <c r="P119">
        <v>2.5470100000000003E-4</v>
      </c>
      <c r="Q119">
        <v>2.17035E-4</v>
      </c>
      <c r="R119">
        <v>1.7181999999999999E-4</v>
      </c>
      <c r="S119">
        <v>1.5085899999999999E-4</v>
      </c>
      <c r="T119">
        <v>1.9409700000000001E-4</v>
      </c>
    </row>
    <row r="120" spans="1:20" hidden="1" x14ac:dyDescent="0.25">
      <c r="A120" t="s">
        <v>138</v>
      </c>
      <c r="B120">
        <v>2.6042099999999999E-4</v>
      </c>
      <c r="C120">
        <v>5.2862299999999998E-4</v>
      </c>
      <c r="D120">
        <v>4.13939E-4</v>
      </c>
      <c r="E120">
        <v>4.6384099999999999E-4</v>
      </c>
      <c r="F120">
        <v>2.35665E-4</v>
      </c>
      <c r="G120">
        <v>3.4796099999999998E-4</v>
      </c>
      <c r="H120">
        <v>3.64853E-4</v>
      </c>
      <c r="I120">
        <v>2.8780400000000001E-4</v>
      </c>
      <c r="J120">
        <v>2.19998E-4</v>
      </c>
      <c r="K120">
        <v>3.69966E-4</v>
      </c>
      <c r="L120">
        <v>3.3796999999999999E-4</v>
      </c>
      <c r="M120">
        <v>1.7836499999999999E-4</v>
      </c>
      <c r="N120">
        <v>1.4726100000000001E-4</v>
      </c>
      <c r="O120">
        <v>2.13408E-4</v>
      </c>
      <c r="P120">
        <v>1.3339299999999999E-4</v>
      </c>
      <c r="Q120">
        <v>1.58307E-4</v>
      </c>
      <c r="R120">
        <v>1.17773E-4</v>
      </c>
      <c r="S120">
        <v>1.5289599999999999E-4</v>
      </c>
      <c r="T120">
        <v>2.2658699999999999E-4</v>
      </c>
    </row>
    <row r="121" spans="1:20" hidden="1" x14ac:dyDescent="0.25">
      <c r="A121" t="s">
        <v>139</v>
      </c>
      <c r="B121" s="1">
        <v>1.8300000000000001E-5</v>
      </c>
      <c r="C121" s="1">
        <v>5.3999999999999998E-5</v>
      </c>
      <c r="D121" s="1">
        <v>5.2099999999999999E-5</v>
      </c>
      <c r="E121" s="1">
        <v>6.8300000000000007E-5</v>
      </c>
      <c r="F121" s="1">
        <v>2.0699999999999998E-5</v>
      </c>
      <c r="G121" s="1">
        <v>2.69E-5</v>
      </c>
      <c r="H121" s="1">
        <v>2.9099999999999999E-5</v>
      </c>
      <c r="I121" s="1">
        <v>1.8899999999999999E-5</v>
      </c>
      <c r="J121" s="1">
        <v>1.8099999999999999E-5</v>
      </c>
      <c r="K121" s="1">
        <v>3.6300000000000001E-5</v>
      </c>
      <c r="L121" s="1">
        <v>3.2100000000000001E-5</v>
      </c>
      <c r="M121" s="1">
        <v>1.24E-5</v>
      </c>
      <c r="N121">
        <v>0</v>
      </c>
      <c r="O121" s="1">
        <v>1.8199999999999999E-5</v>
      </c>
      <c r="P121" s="1">
        <v>8.0499999999999992E-6</v>
      </c>
      <c r="Q121">
        <v>0</v>
      </c>
      <c r="R121">
        <v>0</v>
      </c>
      <c r="S121">
        <v>0</v>
      </c>
      <c r="T121" s="1">
        <v>8.8599999999999999E-6</v>
      </c>
    </row>
    <row r="122" spans="1:20" hidden="1" x14ac:dyDescent="0.25">
      <c r="A122" t="s">
        <v>140</v>
      </c>
      <c r="B122" s="1">
        <v>1.6200000000000001E-5</v>
      </c>
      <c r="C122" s="1">
        <v>4.6499999999999999E-5</v>
      </c>
      <c r="D122" s="1">
        <v>4.9299999999999999E-5</v>
      </c>
      <c r="E122" s="1">
        <v>5.7500000000000002E-5</v>
      </c>
      <c r="F122" s="1">
        <v>1.8099999999999999E-5</v>
      </c>
      <c r="G122" s="1">
        <v>2.58E-5</v>
      </c>
      <c r="H122" s="1">
        <v>2.0999999999999999E-5</v>
      </c>
      <c r="I122" s="1">
        <v>1.9599999999999999E-5</v>
      </c>
      <c r="J122" s="1">
        <v>1.56E-5</v>
      </c>
      <c r="K122" s="1">
        <v>3.4199999999999998E-5</v>
      </c>
      <c r="L122" s="1">
        <v>3.57E-5</v>
      </c>
      <c r="M122" s="1">
        <v>1.66E-5</v>
      </c>
      <c r="N122" s="1">
        <v>9.3400000000000004E-6</v>
      </c>
      <c r="O122" s="1">
        <v>1.7900000000000001E-5</v>
      </c>
      <c r="P122" s="1">
        <v>8.6200000000000005E-6</v>
      </c>
      <c r="Q122" s="1">
        <v>9.5300000000000002E-6</v>
      </c>
      <c r="R122" s="1">
        <v>1.17E-5</v>
      </c>
      <c r="S122" s="1">
        <v>7.2099999999999996E-6</v>
      </c>
      <c r="T122" s="1">
        <v>9.3200000000000006E-6</v>
      </c>
    </row>
    <row r="123" spans="1:20" hidden="1" x14ac:dyDescent="0.25">
      <c r="A123" t="s">
        <v>141</v>
      </c>
      <c r="B123">
        <v>0</v>
      </c>
      <c r="C123" s="1">
        <v>5.27E-5</v>
      </c>
      <c r="D123" s="1">
        <v>4.7899999999999999E-5</v>
      </c>
      <c r="E123" s="1">
        <v>7.4099999999999999E-5</v>
      </c>
      <c r="F123">
        <v>0</v>
      </c>
      <c r="G123">
        <v>0</v>
      </c>
      <c r="H123">
        <v>0</v>
      </c>
      <c r="I123">
        <v>0</v>
      </c>
      <c r="J123">
        <v>0</v>
      </c>
      <c r="K123" s="1">
        <v>2.8799999999999999E-5</v>
      </c>
      <c r="L123" s="1">
        <v>4.0200000000000001E-5</v>
      </c>
      <c r="M123" s="1">
        <v>1.91E-5</v>
      </c>
      <c r="N123">
        <v>0</v>
      </c>
      <c r="O123" s="1">
        <v>2.58E-5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hidden="1" x14ac:dyDescent="0.25">
      <c r="A124" t="s">
        <v>142</v>
      </c>
      <c r="B124">
        <v>0</v>
      </c>
      <c r="C124" s="1">
        <v>9.2499999999999995E-6</v>
      </c>
      <c r="D124" s="1">
        <v>3.4199999999999999E-6</v>
      </c>
      <c r="E124" s="1">
        <v>5.3499999999999996E-6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hidden="1" x14ac:dyDescent="0.25">
      <c r="A125" t="s">
        <v>143</v>
      </c>
      <c r="B125" s="1">
        <v>8.6199999999999995E-5</v>
      </c>
      <c r="C125" s="1">
        <v>5.4200000000000003E-5</v>
      </c>
      <c r="D125" s="1">
        <v>8.0799999999999999E-5</v>
      </c>
      <c r="E125" s="1">
        <v>6.0300000000000002E-5</v>
      </c>
      <c r="F125" s="1">
        <v>7.0099999999999996E-5</v>
      </c>
      <c r="G125" s="1">
        <v>7.0699999999999997E-5</v>
      </c>
      <c r="H125" s="1">
        <v>4.9100000000000001E-5</v>
      </c>
      <c r="I125" s="1">
        <v>9.9599999999999995E-5</v>
      </c>
      <c r="J125" s="1">
        <v>8.3100000000000001E-5</v>
      </c>
      <c r="K125" s="1">
        <v>6.4700000000000001E-5</v>
      </c>
      <c r="L125" s="1">
        <v>6.2299999999999996E-5</v>
      </c>
      <c r="M125" s="1">
        <v>7.0900000000000002E-5</v>
      </c>
      <c r="N125" s="1">
        <v>8.9699999999999998E-5</v>
      </c>
      <c r="O125" s="1">
        <v>7.8499999999999997E-5</v>
      </c>
      <c r="P125" s="1">
        <v>7.2600000000000003E-5</v>
      </c>
      <c r="Q125" s="1">
        <v>3.8099999999999998E-5</v>
      </c>
      <c r="R125" s="1">
        <v>5.8900000000000002E-5</v>
      </c>
      <c r="S125" s="1">
        <v>3.9100000000000002E-5</v>
      </c>
      <c r="T125" s="1">
        <v>6.7899999999999997E-5</v>
      </c>
    </row>
    <row r="126" spans="1:20" hidden="1" x14ac:dyDescent="0.25">
      <c r="A126" t="s">
        <v>144</v>
      </c>
      <c r="B126" s="1">
        <v>4.6699999999999997E-5</v>
      </c>
      <c r="C126" s="1">
        <v>6.8300000000000007E-5</v>
      </c>
      <c r="D126" s="1">
        <v>3.8999999999999999E-5</v>
      </c>
      <c r="E126" s="1">
        <v>2.58E-5</v>
      </c>
      <c r="F126" s="1">
        <v>7.4800000000000002E-5</v>
      </c>
      <c r="G126" s="1">
        <v>7.4300000000000004E-5</v>
      </c>
      <c r="H126" s="1">
        <v>5.24E-5</v>
      </c>
      <c r="I126">
        <v>1.12519E-4</v>
      </c>
      <c r="J126" s="1">
        <v>7.5599999999999994E-5</v>
      </c>
      <c r="K126" s="1">
        <v>4.5399999999999999E-5</v>
      </c>
      <c r="L126" s="1">
        <v>5.3199999999999999E-5</v>
      </c>
      <c r="M126" s="1">
        <v>6.9400000000000006E-5</v>
      </c>
      <c r="N126">
        <v>1.09534E-4</v>
      </c>
      <c r="O126" s="1">
        <v>7.0099999999999996E-5</v>
      </c>
      <c r="P126" s="1">
        <v>8.5099999999999995E-5</v>
      </c>
      <c r="Q126" s="1">
        <v>7.4800000000000002E-5</v>
      </c>
      <c r="R126" s="1">
        <v>6.2199999999999994E-5</v>
      </c>
      <c r="S126" s="1">
        <v>8.7399999999999997E-5</v>
      </c>
      <c r="T126" s="1">
        <v>5.02E-5</v>
      </c>
    </row>
    <row r="127" spans="1:20" hidden="1" x14ac:dyDescent="0.25">
      <c r="A127" t="s">
        <v>145</v>
      </c>
      <c r="B127" s="1">
        <v>2.5299999999999998E-5</v>
      </c>
      <c r="C127" s="1">
        <v>4.5500000000000001E-5</v>
      </c>
      <c r="D127" s="1">
        <v>2.87E-5</v>
      </c>
      <c r="E127" s="1">
        <v>3.1000000000000001E-5</v>
      </c>
      <c r="F127" s="1">
        <v>4.4100000000000001E-5</v>
      </c>
      <c r="G127">
        <v>1.2224299999999999E-4</v>
      </c>
      <c r="H127" s="1">
        <v>8.9699999999999998E-5</v>
      </c>
      <c r="I127" s="1">
        <v>6.8899999999999994E-5</v>
      </c>
      <c r="J127" s="1">
        <v>5.5600000000000003E-5</v>
      </c>
      <c r="K127" s="1">
        <v>6.4399999999999993E-5</v>
      </c>
      <c r="L127" s="1">
        <v>6.7000000000000002E-5</v>
      </c>
      <c r="M127" s="1">
        <v>3.5299999999999997E-5</v>
      </c>
      <c r="N127" s="1">
        <v>2.58E-5</v>
      </c>
      <c r="O127" s="1">
        <v>1.5099999999999999E-5</v>
      </c>
      <c r="P127" s="1">
        <v>7.9300000000000003E-5</v>
      </c>
      <c r="Q127">
        <v>1.2664800000000001E-4</v>
      </c>
      <c r="R127" s="1">
        <v>8.6299999999999997E-5</v>
      </c>
      <c r="S127">
        <v>2.0651999999999999E-4</v>
      </c>
      <c r="T127">
        <v>1.7389E-4</v>
      </c>
    </row>
    <row r="128" spans="1:20" hidden="1" x14ac:dyDescent="0.25">
      <c r="A128" t="s">
        <v>146</v>
      </c>
      <c r="B128">
        <v>1.94773E-4</v>
      </c>
      <c r="C128">
        <v>0</v>
      </c>
      <c r="D128">
        <v>2.3310599999999999E-4</v>
      </c>
      <c r="E128">
        <v>2.18469E-4</v>
      </c>
      <c r="F128" s="1">
        <v>9.0699999999999996E-5</v>
      </c>
      <c r="G128">
        <v>2.77557E-4</v>
      </c>
      <c r="H128">
        <v>3.67759E-4</v>
      </c>
      <c r="I128" s="1">
        <v>8.4599999999999996E-5</v>
      </c>
      <c r="J128">
        <v>1.1618E-4</v>
      </c>
      <c r="K128">
        <v>2.15627E-4</v>
      </c>
      <c r="L128">
        <v>2.7367199999999998E-4</v>
      </c>
      <c r="M128">
        <v>1.3392499999999999E-4</v>
      </c>
      <c r="N128" s="1">
        <v>7.3399999999999995E-5</v>
      </c>
      <c r="O128">
        <v>2.6935700000000002E-4</v>
      </c>
      <c r="P128">
        <v>1.13731E-4</v>
      </c>
      <c r="Q128" s="1">
        <v>9.7100000000000002E-5</v>
      </c>
      <c r="R128" s="1">
        <v>4.8999999999999998E-5</v>
      </c>
      <c r="S128">
        <v>3.6231000000000002E-4</v>
      </c>
      <c r="T128" s="1">
        <v>7.6299999999999998E-5</v>
      </c>
    </row>
    <row r="129" spans="1:20" hidden="1" x14ac:dyDescent="0.25">
      <c r="A129" t="s">
        <v>147</v>
      </c>
      <c r="B129">
        <v>2.02404E-4</v>
      </c>
      <c r="C129">
        <v>1.004E-4</v>
      </c>
      <c r="D129">
        <v>1.23872E-4</v>
      </c>
      <c r="E129">
        <v>1.3212900000000001E-4</v>
      </c>
      <c r="F129">
        <v>1.48684E-4</v>
      </c>
      <c r="G129">
        <v>1.35232E-4</v>
      </c>
      <c r="H129">
        <v>1.12831E-4</v>
      </c>
      <c r="I129">
        <v>1.4393699999999999E-4</v>
      </c>
      <c r="J129">
        <v>1.42084E-4</v>
      </c>
      <c r="K129">
        <v>1.3378199999999999E-4</v>
      </c>
      <c r="L129">
        <v>1.61669E-4</v>
      </c>
      <c r="M129" s="1">
        <v>9.0299999999999999E-5</v>
      </c>
      <c r="N129">
        <v>1.9698299999999999E-4</v>
      </c>
      <c r="O129">
        <v>1.79424E-4</v>
      </c>
      <c r="P129">
        <v>1.75312E-4</v>
      </c>
      <c r="Q129">
        <v>1.66026E-4</v>
      </c>
      <c r="R129">
        <v>1.5974300000000001E-4</v>
      </c>
      <c r="S129">
        <v>1.32187E-4</v>
      </c>
      <c r="T129">
        <v>1.5474299999999999E-4</v>
      </c>
    </row>
    <row r="130" spans="1:20" hidden="1" x14ac:dyDescent="0.25">
      <c r="A130" t="s">
        <v>148</v>
      </c>
      <c r="B130" s="1">
        <v>1.22E-5</v>
      </c>
      <c r="C130" s="1">
        <v>7.0199999999999997E-6</v>
      </c>
      <c r="D130">
        <v>0</v>
      </c>
      <c r="E130">
        <v>0</v>
      </c>
      <c r="F130" s="1">
        <v>4.5399999999999997E-6</v>
      </c>
      <c r="G130" s="1">
        <v>6.9E-6</v>
      </c>
      <c r="H130" s="1">
        <v>3.3899999999999997E-5</v>
      </c>
      <c r="I130" s="1">
        <v>7.9999999999999996E-6</v>
      </c>
      <c r="J130" s="1">
        <v>3.5099999999999999E-6</v>
      </c>
      <c r="K130" s="1">
        <v>3.3299999999999999E-6</v>
      </c>
      <c r="L130" s="1">
        <v>7.5299999999999999E-6</v>
      </c>
      <c r="M130" s="1">
        <v>6.7800000000000003E-6</v>
      </c>
      <c r="N130" s="1">
        <v>6.02E-6</v>
      </c>
      <c r="O130">
        <v>0</v>
      </c>
      <c r="P130" s="1">
        <v>2.7399999999999999E-5</v>
      </c>
      <c r="Q130" s="1">
        <v>3.6799999999999999E-6</v>
      </c>
      <c r="R130" s="1">
        <v>5.4199999999999998E-6</v>
      </c>
      <c r="S130" s="1">
        <v>4.3699999999999998E-5</v>
      </c>
      <c r="T130" s="1">
        <v>9.5899999999999997E-6</v>
      </c>
    </row>
    <row r="131" spans="1:20" hidden="1" x14ac:dyDescent="0.25">
      <c r="A131" t="s">
        <v>149</v>
      </c>
      <c r="B131">
        <v>2.5790399999999999E-4</v>
      </c>
      <c r="C131">
        <v>2.5504400000000001E-4</v>
      </c>
      <c r="D131">
        <v>2.1740099999999999E-4</v>
      </c>
      <c r="E131">
        <v>1.2070000000000001E-4</v>
      </c>
      <c r="F131">
        <v>3.1962100000000002E-4</v>
      </c>
      <c r="G131">
        <v>6.0301699999999996E-4</v>
      </c>
      <c r="H131">
        <v>6.7303199999999995E-4</v>
      </c>
      <c r="I131">
        <v>4.2877900000000001E-4</v>
      </c>
      <c r="J131">
        <v>4.09694E-4</v>
      </c>
      <c r="K131">
        <v>4.5418299999999998E-4</v>
      </c>
      <c r="L131">
        <v>3.2691600000000001E-4</v>
      </c>
      <c r="M131">
        <v>7.3357399999999997E-4</v>
      </c>
      <c r="N131">
        <v>5.1224500000000004E-4</v>
      </c>
      <c r="O131">
        <v>3.8958100000000001E-4</v>
      </c>
      <c r="P131">
        <v>1.505358E-3</v>
      </c>
      <c r="Q131">
        <v>2.5504260000000002E-3</v>
      </c>
      <c r="R131">
        <v>2.218425E-3</v>
      </c>
      <c r="S131">
        <v>4.059E-4</v>
      </c>
      <c r="T131">
        <v>2.1909379999999999E-3</v>
      </c>
    </row>
    <row r="132" spans="1:20" hidden="1" x14ac:dyDescent="0.25">
      <c r="A132" t="s">
        <v>150</v>
      </c>
      <c r="B132">
        <v>2.3740100000000001E-4</v>
      </c>
      <c r="C132">
        <v>2.1016900000000001E-4</v>
      </c>
      <c r="D132">
        <v>2.2677400000000001E-4</v>
      </c>
      <c r="E132">
        <v>2.2562600000000001E-4</v>
      </c>
      <c r="F132">
        <v>5.5646099999999996E-4</v>
      </c>
      <c r="G132">
        <v>3.5190999999999998E-4</v>
      </c>
      <c r="H132">
        <v>8.05892E-4</v>
      </c>
      <c r="I132">
        <v>3.1100700000000003E-4</v>
      </c>
      <c r="J132">
        <v>1.8804600000000001E-4</v>
      </c>
      <c r="K132">
        <v>2.80821E-4</v>
      </c>
      <c r="L132">
        <v>1.91917E-4</v>
      </c>
      <c r="M132">
        <v>3.9735500000000001E-4</v>
      </c>
      <c r="N132">
        <v>4.1788300000000002E-4</v>
      </c>
      <c r="O132">
        <v>3.1143099999999998E-4</v>
      </c>
      <c r="P132">
        <v>3.3239000000000001E-4</v>
      </c>
      <c r="Q132">
        <v>2.0561399999999999E-4</v>
      </c>
      <c r="R132">
        <v>2.0374299999999999E-4</v>
      </c>
      <c r="S132">
        <v>5.1773699999999999E-4</v>
      </c>
      <c r="T132">
        <v>3.7364899999999999E-4</v>
      </c>
    </row>
    <row r="133" spans="1:20" hidden="1" x14ac:dyDescent="0.25">
      <c r="A133" t="s">
        <v>151</v>
      </c>
      <c r="B133" s="1">
        <v>4.3999999999999999E-5</v>
      </c>
      <c r="C133">
        <v>0</v>
      </c>
      <c r="D133">
        <v>0</v>
      </c>
      <c r="E133">
        <v>0</v>
      </c>
      <c r="F133">
        <v>0</v>
      </c>
      <c r="G133">
        <v>0</v>
      </c>
      <c r="H133" s="1">
        <v>2.3200000000000001E-5</v>
      </c>
      <c r="I133" s="1">
        <v>3.9400000000000002E-5</v>
      </c>
      <c r="J133" s="1">
        <v>2.51E-5</v>
      </c>
      <c r="K133" s="1">
        <v>2.3200000000000001E-5</v>
      </c>
      <c r="L133" s="1">
        <v>2.1299999999999999E-5</v>
      </c>
      <c r="M133" s="1">
        <v>5.3600000000000002E-5</v>
      </c>
      <c r="N133" s="1">
        <v>2.2500000000000001E-5</v>
      </c>
      <c r="O133" s="1">
        <v>3.79E-5</v>
      </c>
      <c r="P133" s="1">
        <v>5.0599999999999997E-5</v>
      </c>
      <c r="Q133" s="1">
        <v>5.6799999999999998E-5</v>
      </c>
      <c r="R133">
        <v>0</v>
      </c>
      <c r="S133">
        <v>1.7802900000000001E-4</v>
      </c>
      <c r="T133" s="1">
        <v>4.3900000000000003E-5</v>
      </c>
    </row>
    <row r="134" spans="1:20" hidden="1" x14ac:dyDescent="0.25">
      <c r="A134" t="s">
        <v>152</v>
      </c>
      <c r="B134">
        <v>0</v>
      </c>
      <c r="C134" s="1">
        <v>1.3499999999999999E-5</v>
      </c>
      <c r="D134">
        <v>0</v>
      </c>
      <c r="E134">
        <v>0</v>
      </c>
      <c r="F134">
        <v>5.86252E-4</v>
      </c>
      <c r="G134" s="1">
        <v>5.8199999999999998E-5</v>
      </c>
      <c r="H134" s="1">
        <v>3.4700000000000003E-5</v>
      </c>
      <c r="I134">
        <v>1.5702700000000001E-4</v>
      </c>
      <c r="J134">
        <v>1.0198E-4</v>
      </c>
      <c r="K134">
        <v>0</v>
      </c>
      <c r="L134" s="1">
        <v>1.9899999999999999E-5</v>
      </c>
      <c r="M134" s="1">
        <v>6.6699999999999995E-5</v>
      </c>
      <c r="N134" s="1">
        <v>2.58E-5</v>
      </c>
      <c r="O134">
        <v>0</v>
      </c>
      <c r="P134" s="1">
        <v>2.05E-5</v>
      </c>
      <c r="Q134" s="1">
        <v>2.6400000000000001E-5</v>
      </c>
      <c r="R134" s="1">
        <v>1.8899999999999999E-5</v>
      </c>
      <c r="S134" s="1">
        <v>9.6399999999999999E-5</v>
      </c>
      <c r="T134" s="1">
        <v>8.8599999999999999E-5</v>
      </c>
    </row>
    <row r="135" spans="1:20" hidden="1" x14ac:dyDescent="0.25">
      <c r="A135" t="s">
        <v>153</v>
      </c>
      <c r="B135" s="1">
        <v>3.4700000000000003E-5</v>
      </c>
      <c r="C135" s="1">
        <v>2.9499999999999999E-5</v>
      </c>
      <c r="D135" s="1">
        <v>5.1999999999999997E-5</v>
      </c>
      <c r="E135" s="1">
        <v>3.79E-5</v>
      </c>
      <c r="F135" s="1">
        <v>3.3200000000000001E-5</v>
      </c>
      <c r="G135" s="1">
        <v>4.1600000000000002E-5</v>
      </c>
      <c r="H135" s="1">
        <v>2.8399999999999999E-5</v>
      </c>
      <c r="I135" s="1">
        <v>2.19E-5</v>
      </c>
      <c r="J135" s="1">
        <v>2.9899999999999998E-5</v>
      </c>
      <c r="K135" s="1">
        <v>3.5099999999999999E-5</v>
      </c>
      <c r="L135" s="1">
        <v>3.6399999999999997E-5</v>
      </c>
      <c r="M135" s="1">
        <v>3.1999999999999999E-5</v>
      </c>
      <c r="N135" s="1">
        <v>1.2799999999999999E-5</v>
      </c>
      <c r="O135" s="1">
        <v>3.7100000000000001E-5</v>
      </c>
      <c r="P135" s="1">
        <v>2.4499999999999999E-5</v>
      </c>
      <c r="Q135" s="1">
        <v>2.26E-5</v>
      </c>
      <c r="R135" s="1">
        <v>2.9200000000000002E-5</v>
      </c>
      <c r="S135" s="1">
        <v>2.3799999999999999E-5</v>
      </c>
      <c r="T135" s="1">
        <v>2.3600000000000001E-5</v>
      </c>
    </row>
    <row r="136" spans="1:20" hidden="1" x14ac:dyDescent="0.25">
      <c r="A136" t="s">
        <v>154</v>
      </c>
      <c r="B136" s="1">
        <v>1.2E-5</v>
      </c>
      <c r="C136">
        <v>0</v>
      </c>
      <c r="D136" s="1">
        <v>8.3100000000000001E-6</v>
      </c>
      <c r="E136">
        <v>0</v>
      </c>
      <c r="F136">
        <v>0</v>
      </c>
      <c r="G136">
        <v>0</v>
      </c>
      <c r="H136" s="1">
        <v>8.4300000000000006E-6</v>
      </c>
      <c r="I136">
        <v>0</v>
      </c>
      <c r="J136" s="1">
        <v>9.0000000000000002E-6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1">
        <v>1.2099999999999999E-5</v>
      </c>
      <c r="R136" s="1">
        <v>1.33E-5</v>
      </c>
      <c r="S136" s="1">
        <v>1.3200000000000001E-5</v>
      </c>
      <c r="T136" s="1">
        <v>1.88E-5</v>
      </c>
    </row>
    <row r="137" spans="1:20" hidden="1" x14ac:dyDescent="0.25">
      <c r="A137" t="s">
        <v>155</v>
      </c>
      <c r="B137">
        <v>0</v>
      </c>
      <c r="C137">
        <v>1.0519899999999999E-4</v>
      </c>
      <c r="D137" s="1">
        <v>6.4800000000000003E-5</v>
      </c>
      <c r="E137" s="1">
        <v>7.0199999999999999E-5</v>
      </c>
      <c r="F137" s="1">
        <v>7.5799999999999999E-5</v>
      </c>
      <c r="G137" s="1">
        <v>6.3999999999999997E-5</v>
      </c>
      <c r="H137" s="1">
        <v>5.1700000000000003E-5</v>
      </c>
      <c r="I137" s="1">
        <v>6.7399999999999998E-5</v>
      </c>
      <c r="J137" s="1">
        <v>9.1000000000000003E-5</v>
      </c>
      <c r="K137" s="1">
        <v>5.0000000000000002E-5</v>
      </c>
      <c r="L137" s="1">
        <v>5.6400000000000002E-5</v>
      </c>
      <c r="M137" s="1">
        <v>4.5800000000000002E-5</v>
      </c>
      <c r="N137" s="1">
        <v>7.6899999999999999E-5</v>
      </c>
      <c r="O137" s="1">
        <v>6.6500000000000004E-5</v>
      </c>
      <c r="P137">
        <v>1.1077E-4</v>
      </c>
      <c r="Q137">
        <v>1.2112000000000001E-4</v>
      </c>
      <c r="R137" s="1">
        <v>9.4500000000000007E-5</v>
      </c>
      <c r="S137">
        <v>1.17234E-4</v>
      </c>
      <c r="T137">
        <v>1.23974E-4</v>
      </c>
    </row>
    <row r="138" spans="1:20" x14ac:dyDescent="0.25">
      <c r="A138" t="s">
        <v>156</v>
      </c>
      <c r="B138">
        <v>1.5077580000000001E-3</v>
      </c>
      <c r="C138">
        <v>1.622226E-3</v>
      </c>
      <c r="D138">
        <v>1.1230330000000001E-3</v>
      </c>
      <c r="E138">
        <v>1.2506279999999999E-3</v>
      </c>
      <c r="F138">
        <v>5.5856550000000001E-3</v>
      </c>
      <c r="G138">
        <v>8.0299889999999995E-3</v>
      </c>
      <c r="H138">
        <v>2.7513419999999999E-3</v>
      </c>
      <c r="I138">
        <v>6.0821579999999998E-3</v>
      </c>
      <c r="J138">
        <v>5.206123E-3</v>
      </c>
      <c r="K138">
        <v>2.261936E-3</v>
      </c>
      <c r="L138">
        <v>3.794988E-3</v>
      </c>
      <c r="M138">
        <v>3.9453489999999999E-3</v>
      </c>
      <c r="N138">
        <v>3.199169E-3</v>
      </c>
      <c r="O138">
        <v>2.1513999999999999E-3</v>
      </c>
      <c r="P138">
        <v>8.1598850000000004E-3</v>
      </c>
      <c r="Q138">
        <v>8.2668029999999997E-3</v>
      </c>
      <c r="R138">
        <v>7.5911390000000002E-3</v>
      </c>
      <c r="S138">
        <v>7.9403849999999995E-3</v>
      </c>
      <c r="T138">
        <v>6.4417759999999998E-3</v>
      </c>
    </row>
    <row r="139" spans="1:20" hidden="1" x14ac:dyDescent="0.25">
      <c r="A139" t="s">
        <v>157</v>
      </c>
      <c r="B139">
        <v>2.6655479999999998E-3</v>
      </c>
      <c r="C139">
        <v>2.4501789999999998E-3</v>
      </c>
      <c r="D139">
        <v>2.9555829999999999E-3</v>
      </c>
      <c r="E139">
        <v>3.257551E-3</v>
      </c>
      <c r="F139">
        <v>2.7512349999999999E-3</v>
      </c>
      <c r="G139">
        <v>1.711352E-3</v>
      </c>
      <c r="H139">
        <v>1.902817E-3</v>
      </c>
      <c r="I139">
        <v>1.8857310000000001E-3</v>
      </c>
      <c r="J139">
        <v>1.883663E-3</v>
      </c>
      <c r="K139">
        <v>2.4772290000000001E-3</v>
      </c>
      <c r="L139">
        <v>2.466172E-3</v>
      </c>
      <c r="M139">
        <v>1.8393470000000001E-3</v>
      </c>
      <c r="N139">
        <v>1.5919420000000001E-3</v>
      </c>
      <c r="O139">
        <v>2.5664020000000002E-3</v>
      </c>
      <c r="P139">
        <v>1.5682999999999999E-3</v>
      </c>
      <c r="Q139">
        <v>1.0237899999999999E-3</v>
      </c>
      <c r="R139">
        <v>1.062489E-3</v>
      </c>
      <c r="S139">
        <v>1.2348630000000001E-3</v>
      </c>
      <c r="T139">
        <v>1.4512679999999999E-3</v>
      </c>
    </row>
    <row r="140" spans="1:20" hidden="1" x14ac:dyDescent="0.25">
      <c r="A140" t="s">
        <v>158</v>
      </c>
      <c r="B140">
        <v>0</v>
      </c>
      <c r="C140">
        <v>1.21197E-4</v>
      </c>
      <c r="D140" s="1">
        <v>7.2200000000000007E-5</v>
      </c>
      <c r="E140" s="1">
        <v>8.7800000000000006E-5</v>
      </c>
      <c r="F140">
        <v>0</v>
      </c>
      <c r="G140" s="1">
        <v>9.7200000000000004E-5</v>
      </c>
      <c r="H140">
        <v>1.19163E-4</v>
      </c>
      <c r="I140" s="1">
        <v>8.9300000000000002E-5</v>
      </c>
      <c r="J140" s="1">
        <v>7.0099999999999996E-5</v>
      </c>
      <c r="K140">
        <v>0</v>
      </c>
      <c r="L140" s="1">
        <v>7.8100000000000001E-5</v>
      </c>
      <c r="M140">
        <v>0</v>
      </c>
      <c r="N140" s="1">
        <v>5.8199999999999998E-5</v>
      </c>
      <c r="O140">
        <v>0</v>
      </c>
      <c r="P140" s="1">
        <v>6.7700000000000006E-5</v>
      </c>
      <c r="Q140">
        <v>1.3308300000000001E-4</v>
      </c>
      <c r="R140" s="1">
        <v>9.8599999999999998E-5</v>
      </c>
      <c r="S140" s="1">
        <v>8.3700000000000002E-5</v>
      </c>
      <c r="T140" s="1">
        <v>9.7100000000000002E-5</v>
      </c>
    </row>
    <row r="141" spans="1:20" hidden="1" x14ac:dyDescent="0.25">
      <c r="A141" t="s">
        <v>159</v>
      </c>
      <c r="B141">
        <v>1.5054900000000001E-4</v>
      </c>
      <c r="C141">
        <v>1.26697E-4</v>
      </c>
      <c r="D141">
        <v>1.4608899999999999E-4</v>
      </c>
      <c r="E141">
        <v>1.5210399999999999E-4</v>
      </c>
      <c r="F141">
        <v>1.29386E-4</v>
      </c>
      <c r="G141">
        <v>1.0087299999999999E-4</v>
      </c>
      <c r="H141" s="1">
        <v>6.0399999999999998E-5</v>
      </c>
      <c r="I141" s="1">
        <v>4.5000000000000003E-5</v>
      </c>
      <c r="J141">
        <v>0</v>
      </c>
      <c r="K141">
        <v>1.1906899999999999E-4</v>
      </c>
      <c r="L141">
        <v>1.16165E-4</v>
      </c>
      <c r="M141" s="1">
        <v>6.9499999999999995E-5</v>
      </c>
      <c r="N141">
        <v>0</v>
      </c>
      <c r="O141" s="1">
        <v>8.6199999999999995E-5</v>
      </c>
      <c r="P141">
        <v>0</v>
      </c>
      <c r="Q141" s="1">
        <v>3.3000000000000003E-5</v>
      </c>
      <c r="R141" s="1">
        <v>8.6500000000000002E-5</v>
      </c>
      <c r="S141" s="1">
        <v>6.7299999999999996E-5</v>
      </c>
      <c r="T141">
        <v>0</v>
      </c>
    </row>
    <row r="142" spans="1:20" hidden="1" x14ac:dyDescent="0.25">
      <c r="A142" t="s">
        <v>160</v>
      </c>
      <c r="B142" s="1">
        <v>6.0699999999999998E-5</v>
      </c>
      <c r="C142" s="1">
        <v>9.2399999999999996E-5</v>
      </c>
      <c r="D142" s="1">
        <v>7.25E-5</v>
      </c>
      <c r="E142" s="1">
        <v>9.4900000000000003E-5</v>
      </c>
      <c r="F142" s="1">
        <v>7.5199999999999998E-5</v>
      </c>
      <c r="G142">
        <v>1.01214E-4</v>
      </c>
      <c r="H142">
        <v>1.08031E-4</v>
      </c>
      <c r="I142" s="1">
        <v>5.77E-5</v>
      </c>
      <c r="J142" s="1">
        <v>6.8899999999999994E-5</v>
      </c>
      <c r="K142" s="1">
        <v>7.9300000000000003E-5</v>
      </c>
      <c r="L142" s="1">
        <v>8.9499999999999994E-5</v>
      </c>
      <c r="M142" s="1">
        <v>3.5899999999999998E-5</v>
      </c>
      <c r="N142" s="1">
        <v>2.7800000000000001E-5</v>
      </c>
      <c r="O142" s="1">
        <v>5.5699999999999999E-5</v>
      </c>
      <c r="P142" s="1">
        <v>5.6400000000000002E-5</v>
      </c>
      <c r="Q142" s="1">
        <v>6.2799999999999995E-5</v>
      </c>
      <c r="R142" s="1">
        <v>5.8799999999999999E-5</v>
      </c>
      <c r="S142" s="1">
        <v>7.4900000000000005E-5</v>
      </c>
      <c r="T142" s="1">
        <v>6.4900000000000005E-5</v>
      </c>
    </row>
    <row r="143" spans="1:20" hidden="1" x14ac:dyDescent="0.25">
      <c r="A143" t="s">
        <v>161</v>
      </c>
      <c r="B143">
        <v>0</v>
      </c>
      <c r="C143" s="1">
        <v>5.5799999999999999E-6</v>
      </c>
      <c r="D143" s="1">
        <v>4.1999999999999996E-6</v>
      </c>
      <c r="E143" s="1">
        <v>7.6000000000000001E-6</v>
      </c>
      <c r="F143">
        <v>0</v>
      </c>
      <c r="G143">
        <v>0</v>
      </c>
      <c r="H143" s="1">
        <v>3.0599999999999999E-6</v>
      </c>
      <c r="I143" s="1">
        <v>6.8299999999999998E-6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hidden="1" x14ac:dyDescent="0.25">
      <c r="A144" t="s">
        <v>162</v>
      </c>
      <c r="B144" s="1">
        <v>2.5000000000000001E-5</v>
      </c>
      <c r="C144" s="1">
        <v>1.6099999999999998E-5</v>
      </c>
      <c r="D144" s="1">
        <v>1.52E-5</v>
      </c>
      <c r="E144" s="1">
        <v>1.26E-5</v>
      </c>
      <c r="F144">
        <v>0</v>
      </c>
      <c r="G144">
        <v>0</v>
      </c>
      <c r="H144" s="1">
        <v>2.23E-5</v>
      </c>
      <c r="I144" s="1">
        <v>6.4200000000000004E-6</v>
      </c>
      <c r="J144">
        <v>0</v>
      </c>
      <c r="K144" s="1">
        <v>4.1799999999999998E-6</v>
      </c>
      <c r="L144" s="1">
        <v>3.3500000000000001E-6</v>
      </c>
      <c r="M144" s="1">
        <v>1.19E-5</v>
      </c>
      <c r="N144" s="1">
        <v>1.3900000000000001E-5</v>
      </c>
      <c r="O144">
        <v>0</v>
      </c>
      <c r="P144" s="1">
        <v>3.3200000000000001E-5</v>
      </c>
      <c r="Q144" s="1">
        <v>3.0900000000000001E-6</v>
      </c>
      <c r="R144" s="1">
        <v>1.43E-5</v>
      </c>
      <c r="S144" s="1">
        <v>8.5699999999999993E-6</v>
      </c>
      <c r="T144" s="1">
        <v>1.33E-5</v>
      </c>
    </row>
    <row r="145" spans="1:20" hidden="1" x14ac:dyDescent="0.25">
      <c r="A145" t="s">
        <v>163</v>
      </c>
      <c r="B145">
        <v>1.3374540000000001E-3</v>
      </c>
      <c r="C145">
        <v>1.908999E-3</v>
      </c>
      <c r="D145">
        <v>1.768288E-3</v>
      </c>
      <c r="E145">
        <v>1.5700009999999999E-3</v>
      </c>
      <c r="F145">
        <v>1.5551289999999999E-3</v>
      </c>
      <c r="G145">
        <v>1.2608389999999999E-3</v>
      </c>
      <c r="H145">
        <v>1.1315279999999999E-3</v>
      </c>
      <c r="I145">
        <v>1.3063630000000001E-3</v>
      </c>
      <c r="J145">
        <v>1.21148E-3</v>
      </c>
      <c r="K145">
        <v>1.2152479999999999E-3</v>
      </c>
      <c r="L145">
        <v>1.4243630000000001E-3</v>
      </c>
      <c r="M145">
        <v>1.1083480000000001E-3</v>
      </c>
      <c r="N145">
        <v>1.1721419999999999E-3</v>
      </c>
      <c r="O145">
        <v>1.5913780000000001E-3</v>
      </c>
      <c r="P145">
        <v>8.5768599999999997E-4</v>
      </c>
      <c r="Q145">
        <v>8.4292799999999995E-4</v>
      </c>
      <c r="R145">
        <v>8.8179399999999998E-4</v>
      </c>
      <c r="S145">
        <v>7.1649699999999997E-4</v>
      </c>
      <c r="T145">
        <v>6.3547400000000002E-4</v>
      </c>
    </row>
    <row r="146" spans="1:20" hidden="1" x14ac:dyDescent="0.25">
      <c r="A146" t="s">
        <v>164</v>
      </c>
      <c r="B146">
        <v>0</v>
      </c>
      <c r="C146">
        <v>0</v>
      </c>
      <c r="D146">
        <v>0</v>
      </c>
      <c r="E146" s="1">
        <v>4.2200000000000003E-5</v>
      </c>
      <c r="F146">
        <v>0</v>
      </c>
      <c r="G146" s="1">
        <v>3.6000000000000001E-5</v>
      </c>
      <c r="H146">
        <v>0</v>
      </c>
      <c r="I146">
        <v>0</v>
      </c>
      <c r="J146">
        <v>0</v>
      </c>
      <c r="K146">
        <v>0</v>
      </c>
      <c r="L146" s="1">
        <v>4.18E-5</v>
      </c>
      <c r="M146">
        <v>0</v>
      </c>
      <c r="N146" s="1">
        <v>4.32E-5</v>
      </c>
      <c r="O146" s="1">
        <v>5.8799999999999999E-5</v>
      </c>
      <c r="P146" s="1">
        <v>5.8699999999999997E-5</v>
      </c>
      <c r="Q146" s="1">
        <v>5.5899999999999997E-5</v>
      </c>
      <c r="R146" s="1">
        <v>5.8600000000000001E-5</v>
      </c>
      <c r="S146" s="1">
        <v>6.8300000000000007E-5</v>
      </c>
      <c r="T146" s="1">
        <v>5.27E-5</v>
      </c>
    </row>
    <row r="147" spans="1:20" hidden="1" x14ac:dyDescent="0.25">
      <c r="A147" t="s">
        <v>165</v>
      </c>
      <c r="B147" s="1">
        <v>3.7900000000000001E-6</v>
      </c>
      <c r="C147" s="1">
        <v>5.2000000000000002E-6</v>
      </c>
      <c r="D147" s="1">
        <v>4.6099999999999999E-6</v>
      </c>
      <c r="E147" s="1">
        <v>4.34E-6</v>
      </c>
      <c r="F147">
        <v>0</v>
      </c>
      <c r="G147">
        <v>0</v>
      </c>
      <c r="H147" s="1">
        <v>2.8600000000000001E-6</v>
      </c>
      <c r="I147">
        <v>0</v>
      </c>
      <c r="J147">
        <v>0</v>
      </c>
      <c r="K147">
        <v>0</v>
      </c>
      <c r="L147">
        <v>0</v>
      </c>
      <c r="M147" s="1">
        <v>2.83E-6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hidden="1" x14ac:dyDescent="0.25">
      <c r="A148" t="s">
        <v>166</v>
      </c>
      <c r="B148">
        <v>0</v>
      </c>
      <c r="C148" s="1">
        <v>8.5099999999999998E-6</v>
      </c>
      <c r="D148" s="1">
        <v>8.1200000000000002E-6</v>
      </c>
      <c r="E148" s="1">
        <v>6.6100000000000002E-6</v>
      </c>
      <c r="F148">
        <v>0</v>
      </c>
      <c r="G148" s="1">
        <v>6.0299999999999999E-6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hidden="1" x14ac:dyDescent="0.25">
      <c r="A149" t="s">
        <v>167</v>
      </c>
      <c r="B149">
        <v>0</v>
      </c>
      <c r="C149" s="1">
        <v>2.55E-5</v>
      </c>
      <c r="D149" s="1">
        <v>2.7399999999999999E-5</v>
      </c>
      <c r="E149" s="1">
        <v>2.4199999999999999E-5</v>
      </c>
      <c r="F149">
        <v>0</v>
      </c>
      <c r="G149">
        <v>0</v>
      </c>
      <c r="H149">
        <v>0</v>
      </c>
      <c r="I149" s="1">
        <v>6.4699999999999999E-6</v>
      </c>
      <c r="J149" s="1">
        <v>7.3000000000000004E-6</v>
      </c>
      <c r="K149" s="1">
        <v>1.6399999999999999E-5</v>
      </c>
      <c r="L149" s="1">
        <v>1.8499999999999999E-5</v>
      </c>
      <c r="M149">
        <v>0</v>
      </c>
      <c r="N149">
        <v>0</v>
      </c>
      <c r="O149" s="1">
        <v>5.5999999999999997E-6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hidden="1" x14ac:dyDescent="0.25">
      <c r="A150" t="s">
        <v>168</v>
      </c>
      <c r="B150">
        <v>1.60249E-4</v>
      </c>
      <c r="C150">
        <v>2.0719999999999999E-4</v>
      </c>
      <c r="D150">
        <v>1.93883E-4</v>
      </c>
      <c r="E150">
        <v>2.0659500000000001E-4</v>
      </c>
      <c r="F150">
        <v>1.6646E-4</v>
      </c>
      <c r="G150">
        <v>2.0444199999999999E-4</v>
      </c>
      <c r="H150">
        <v>2.00714E-4</v>
      </c>
      <c r="I150">
        <v>1.0060699999999999E-4</v>
      </c>
      <c r="J150">
        <v>1.68276E-4</v>
      </c>
      <c r="K150">
        <v>2.1214000000000001E-4</v>
      </c>
      <c r="L150">
        <v>1.8973800000000001E-4</v>
      </c>
      <c r="M150">
        <v>1.39307E-4</v>
      </c>
      <c r="N150">
        <v>1.3636E-4</v>
      </c>
      <c r="O150">
        <v>1.7212600000000001E-4</v>
      </c>
      <c r="P150">
        <v>1.7213100000000001E-4</v>
      </c>
      <c r="Q150">
        <v>1.9502899999999999E-4</v>
      </c>
      <c r="R150">
        <v>1.9717899999999999E-4</v>
      </c>
      <c r="S150">
        <v>1.79999E-4</v>
      </c>
      <c r="T150">
        <v>1.6776200000000001E-4</v>
      </c>
    </row>
    <row r="151" spans="1:20" hidden="1" x14ac:dyDescent="0.25">
      <c r="A151" t="s">
        <v>169</v>
      </c>
      <c r="B151">
        <v>1.90955E-4</v>
      </c>
      <c r="C151">
        <v>3.0292699999999998E-4</v>
      </c>
      <c r="D151">
        <v>2.0866299999999999E-4</v>
      </c>
      <c r="E151">
        <v>2.1817399999999999E-4</v>
      </c>
      <c r="F151">
        <v>2.8640499999999999E-4</v>
      </c>
      <c r="G151">
        <v>2.7441999999999999E-4</v>
      </c>
      <c r="H151">
        <v>3.6763600000000002E-4</v>
      </c>
      <c r="I151">
        <v>2.4078599999999999E-4</v>
      </c>
      <c r="J151">
        <v>1.9885599999999999E-4</v>
      </c>
      <c r="K151">
        <v>2.77292E-4</v>
      </c>
      <c r="L151">
        <v>2.6138700000000002E-4</v>
      </c>
      <c r="M151">
        <v>2.15567E-4</v>
      </c>
      <c r="N151">
        <v>1.66601E-4</v>
      </c>
      <c r="O151">
        <v>1.7466500000000001E-4</v>
      </c>
      <c r="P151">
        <v>2.3578499999999999E-4</v>
      </c>
      <c r="Q151">
        <v>2.7671400000000001E-4</v>
      </c>
      <c r="R151">
        <v>2.32036E-4</v>
      </c>
      <c r="S151">
        <v>3.2166600000000002E-4</v>
      </c>
      <c r="T151">
        <v>2.7823399999999998E-4</v>
      </c>
    </row>
    <row r="152" spans="1:20" hidden="1" x14ac:dyDescent="0.25">
      <c r="A152" t="s">
        <v>170</v>
      </c>
      <c r="B152" s="1">
        <v>2.7399999999999999E-5</v>
      </c>
      <c r="C152" s="1">
        <v>4.6199999999999998E-5</v>
      </c>
      <c r="D152" s="1">
        <v>3.3099999999999998E-5</v>
      </c>
      <c r="E152" s="1">
        <v>2.8500000000000002E-5</v>
      </c>
      <c r="F152" s="1">
        <v>3.4E-5</v>
      </c>
      <c r="G152" s="1">
        <v>3.5899999999999998E-5</v>
      </c>
      <c r="H152" s="1">
        <v>2.4899999999999999E-5</v>
      </c>
      <c r="I152" s="1">
        <v>1.9400000000000001E-5</v>
      </c>
      <c r="J152" s="1">
        <v>3.3099999999999998E-5</v>
      </c>
      <c r="K152" s="1">
        <v>2.8799999999999999E-5</v>
      </c>
      <c r="L152" s="1">
        <v>3.8399999999999998E-5</v>
      </c>
      <c r="M152" s="1">
        <v>2.1999999999999999E-5</v>
      </c>
      <c r="N152" s="1">
        <v>7.7300000000000005E-6</v>
      </c>
      <c r="O152" s="1">
        <v>3.0300000000000001E-5</v>
      </c>
      <c r="P152" s="1">
        <v>2.3799999999999999E-5</v>
      </c>
      <c r="Q152" s="1">
        <v>1.5699999999999999E-5</v>
      </c>
      <c r="R152" s="1">
        <v>1.8E-5</v>
      </c>
      <c r="S152" s="1">
        <v>1.4800000000000001E-5</v>
      </c>
      <c r="T152" s="1">
        <v>1.4399999999999999E-5</v>
      </c>
    </row>
    <row r="153" spans="1:20" hidden="1" x14ac:dyDescent="0.25">
      <c r="A153" t="s">
        <v>171</v>
      </c>
      <c r="B153">
        <v>2.2802099999999999E-4</v>
      </c>
      <c r="C153">
        <v>2.2522800000000001E-4</v>
      </c>
      <c r="D153">
        <v>2.22463E-4</v>
      </c>
      <c r="E153">
        <v>2.0315200000000001E-4</v>
      </c>
      <c r="F153">
        <v>2.5552799999999998E-4</v>
      </c>
      <c r="G153">
        <v>2.27462E-4</v>
      </c>
      <c r="H153">
        <v>4.0875599999999997E-4</v>
      </c>
      <c r="I153">
        <v>2.3658899999999999E-4</v>
      </c>
      <c r="J153">
        <v>2.03005E-4</v>
      </c>
      <c r="K153">
        <v>2.1197300000000001E-4</v>
      </c>
      <c r="L153">
        <v>1.9681500000000001E-4</v>
      </c>
      <c r="M153">
        <v>1.4405599999999999E-4</v>
      </c>
      <c r="N153">
        <v>1.5266100000000001E-4</v>
      </c>
      <c r="O153">
        <v>1.98481E-4</v>
      </c>
      <c r="P153">
        <v>1.72277E-4</v>
      </c>
      <c r="Q153">
        <v>1.84699E-4</v>
      </c>
      <c r="R153">
        <v>2.5769999999999998E-4</v>
      </c>
      <c r="S153">
        <v>2.07092E-4</v>
      </c>
      <c r="T153">
        <v>1.5819200000000001E-4</v>
      </c>
    </row>
    <row r="154" spans="1:20" hidden="1" x14ac:dyDescent="0.25">
      <c r="A154" t="s">
        <v>172</v>
      </c>
      <c r="B154">
        <v>2.80353E-4</v>
      </c>
      <c r="C154">
        <v>3.0560899999999998E-4</v>
      </c>
      <c r="D154">
        <v>3.2388799999999999E-4</v>
      </c>
      <c r="E154">
        <v>2.7228199999999999E-4</v>
      </c>
      <c r="F154">
        <v>3.9931800000000001E-4</v>
      </c>
      <c r="G154">
        <v>2.7909300000000001E-4</v>
      </c>
      <c r="H154">
        <v>6.0578800000000001E-4</v>
      </c>
      <c r="I154">
        <v>3.9303199999999997E-4</v>
      </c>
      <c r="J154">
        <v>3.1446099999999998E-4</v>
      </c>
      <c r="K154">
        <v>2.7280199999999999E-4</v>
      </c>
      <c r="L154">
        <v>2.9869899999999998E-4</v>
      </c>
      <c r="M154">
        <v>2.0692900000000001E-4</v>
      </c>
      <c r="N154">
        <v>2.0019800000000001E-4</v>
      </c>
      <c r="O154">
        <v>2.3802900000000001E-4</v>
      </c>
      <c r="P154">
        <v>2.3509E-4</v>
      </c>
      <c r="Q154">
        <v>2.8568000000000002E-4</v>
      </c>
      <c r="R154">
        <v>3.81417E-4</v>
      </c>
      <c r="S154">
        <v>4.3344500000000002E-4</v>
      </c>
      <c r="T154">
        <v>2.91818E-4</v>
      </c>
    </row>
    <row r="155" spans="1:20" hidden="1" x14ac:dyDescent="0.25">
      <c r="A155" t="s">
        <v>173</v>
      </c>
      <c r="B155">
        <v>2.94004E-4</v>
      </c>
      <c r="C155">
        <v>2.4010700000000001E-4</v>
      </c>
      <c r="D155">
        <v>3.7554400000000001E-4</v>
      </c>
      <c r="E155">
        <v>2.8010300000000003E-4</v>
      </c>
      <c r="F155">
        <v>2.8854599999999998E-4</v>
      </c>
      <c r="G155">
        <v>2.4033799999999999E-4</v>
      </c>
      <c r="H155">
        <v>4.3218299999999999E-4</v>
      </c>
      <c r="I155">
        <v>2.7133399999999997E-4</v>
      </c>
      <c r="J155">
        <v>2.4733999999999997E-4</v>
      </c>
      <c r="K155">
        <v>3.5787500000000001E-4</v>
      </c>
      <c r="L155">
        <v>2.7736500000000001E-4</v>
      </c>
      <c r="M155">
        <v>2.3601300000000001E-4</v>
      </c>
      <c r="N155">
        <v>2.3219500000000001E-4</v>
      </c>
      <c r="O155">
        <v>2.8479900000000002E-4</v>
      </c>
      <c r="P155">
        <v>2.6614299999999999E-4</v>
      </c>
      <c r="Q155">
        <v>1.8169200000000001E-4</v>
      </c>
      <c r="R155">
        <v>4.3702699999999999E-4</v>
      </c>
      <c r="S155">
        <v>3.9757699999999998E-4</v>
      </c>
      <c r="T155">
        <v>2.0159E-4</v>
      </c>
    </row>
    <row r="156" spans="1:20" hidden="1" x14ac:dyDescent="0.25">
      <c r="A156" t="s">
        <v>174</v>
      </c>
      <c r="B156">
        <v>2.5560399999999999E-4</v>
      </c>
      <c r="C156">
        <v>2.2355899999999999E-4</v>
      </c>
      <c r="D156">
        <v>2.5856799999999998E-4</v>
      </c>
      <c r="E156">
        <v>2.6027199999999998E-4</v>
      </c>
      <c r="F156">
        <v>2.4002999999999999E-4</v>
      </c>
      <c r="G156">
        <v>4.54952E-4</v>
      </c>
      <c r="H156">
        <v>9.1569500000000001E-4</v>
      </c>
      <c r="I156">
        <v>2.32162E-4</v>
      </c>
      <c r="J156">
        <v>3.2002000000000002E-4</v>
      </c>
      <c r="K156">
        <v>1.70524E-4</v>
      </c>
      <c r="L156">
        <v>2.1016000000000001E-4</v>
      </c>
      <c r="M156">
        <v>1.6036800000000001E-4</v>
      </c>
      <c r="N156">
        <v>1.65267E-4</v>
      </c>
      <c r="O156">
        <v>2.4292399999999999E-4</v>
      </c>
      <c r="P156">
        <v>1.9324500000000001E-4</v>
      </c>
      <c r="Q156">
        <v>1.6307299999999999E-4</v>
      </c>
      <c r="R156">
        <v>0</v>
      </c>
      <c r="S156">
        <v>1.5342200000000001E-4</v>
      </c>
      <c r="T156">
        <v>0</v>
      </c>
    </row>
    <row r="157" spans="1:20" hidden="1" x14ac:dyDescent="0.25">
      <c r="A157" t="s">
        <v>175</v>
      </c>
      <c r="B157">
        <v>0</v>
      </c>
      <c r="C157" s="1">
        <v>8.25E-5</v>
      </c>
      <c r="D157">
        <v>1.0460500000000001E-4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9.4599999999999996E-5</v>
      </c>
      <c r="L157">
        <v>0</v>
      </c>
      <c r="M157">
        <v>0</v>
      </c>
      <c r="N157">
        <v>1.1593400000000001E-4</v>
      </c>
      <c r="O157">
        <v>0</v>
      </c>
      <c r="P157" s="1">
        <v>8.42E-5</v>
      </c>
      <c r="Q157">
        <v>1.20871E-4</v>
      </c>
      <c r="R157">
        <v>2.3035699999999999E-4</v>
      </c>
      <c r="S157">
        <v>2.5735500000000002E-4</v>
      </c>
      <c r="T157">
        <v>1.78639E-4</v>
      </c>
    </row>
    <row r="158" spans="1:20" hidden="1" x14ac:dyDescent="0.25">
      <c r="A158" t="s">
        <v>176</v>
      </c>
      <c r="B158">
        <v>1.6341199999999999E-4</v>
      </c>
      <c r="C158">
        <v>0</v>
      </c>
      <c r="D158">
        <v>2.8535799999999999E-4</v>
      </c>
      <c r="E158">
        <v>1.8425700000000001E-4</v>
      </c>
      <c r="F158">
        <v>1.4865500000000001E-4</v>
      </c>
      <c r="G158">
        <v>0</v>
      </c>
      <c r="H158">
        <v>1.85341E-4</v>
      </c>
      <c r="I158">
        <v>0</v>
      </c>
      <c r="J158">
        <v>0</v>
      </c>
      <c r="K158">
        <v>2.5354899999999999E-4</v>
      </c>
      <c r="L158">
        <v>0</v>
      </c>
      <c r="M158">
        <v>0</v>
      </c>
      <c r="N158">
        <v>1.50791E-4</v>
      </c>
      <c r="O158">
        <v>0</v>
      </c>
      <c r="P158">
        <v>0</v>
      </c>
      <c r="Q158">
        <v>0</v>
      </c>
      <c r="R158">
        <v>1.5075900000000001E-4</v>
      </c>
      <c r="S158">
        <v>1.27708E-4</v>
      </c>
      <c r="T158">
        <v>0</v>
      </c>
    </row>
    <row r="159" spans="1:20" hidden="1" x14ac:dyDescent="0.25">
      <c r="A159" t="s">
        <v>177</v>
      </c>
      <c r="B159">
        <v>1.3199699999999999E-4</v>
      </c>
      <c r="C159">
        <v>0</v>
      </c>
      <c r="D159" s="1">
        <v>9.5400000000000001E-5</v>
      </c>
      <c r="E159">
        <v>1.64687E-4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1.5345100000000001E-4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hidden="1" x14ac:dyDescent="0.25">
      <c r="A160" t="s">
        <v>178</v>
      </c>
      <c r="B160" s="1">
        <v>3.5800000000000003E-5</v>
      </c>
      <c r="C160">
        <v>0</v>
      </c>
      <c r="D160" s="1">
        <v>1.84E-5</v>
      </c>
      <c r="E160" s="1">
        <v>4.1399999999999997E-5</v>
      </c>
      <c r="F160" s="1">
        <v>5.6400000000000002E-5</v>
      </c>
      <c r="G160" s="1">
        <v>5.3499999999999999E-5</v>
      </c>
      <c r="H160" s="1">
        <v>4.4400000000000002E-5</v>
      </c>
      <c r="I160" s="1">
        <v>7.75E-5</v>
      </c>
      <c r="J160" s="1">
        <v>5.1499999999999998E-5</v>
      </c>
      <c r="K160" s="1">
        <v>3.1999999999999999E-5</v>
      </c>
      <c r="L160" s="1">
        <v>2.7699999999999999E-5</v>
      </c>
      <c r="M160" s="1">
        <v>2.5899999999999999E-5</v>
      </c>
      <c r="N160" s="1">
        <v>2.6699999999999998E-5</v>
      </c>
      <c r="O160" s="1">
        <v>2.41E-5</v>
      </c>
      <c r="P160" s="1">
        <v>4.2400000000000001E-5</v>
      </c>
      <c r="Q160" s="1">
        <v>4.85E-5</v>
      </c>
      <c r="R160" s="1">
        <v>3.6900000000000002E-5</v>
      </c>
      <c r="S160" s="1">
        <v>5.1700000000000003E-5</v>
      </c>
      <c r="T160" s="1">
        <v>6.05E-5</v>
      </c>
    </row>
    <row r="161" spans="1:20" hidden="1" x14ac:dyDescent="0.25">
      <c r="A161" t="s">
        <v>179</v>
      </c>
      <c r="B161" s="1">
        <v>4.6800000000000001E-6</v>
      </c>
      <c r="C161">
        <v>0</v>
      </c>
      <c r="D161">
        <v>0</v>
      </c>
      <c r="E161">
        <v>0</v>
      </c>
      <c r="F161">
        <v>0</v>
      </c>
      <c r="G161">
        <v>0</v>
      </c>
      <c r="H161" s="1">
        <v>3.9700000000000001E-6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1">
        <v>4.5299999999999998E-6</v>
      </c>
      <c r="Q161" s="1">
        <v>1.03E-5</v>
      </c>
      <c r="R161" s="1">
        <v>1.2099999999999999E-5</v>
      </c>
      <c r="S161" s="1">
        <v>9.38E-6</v>
      </c>
      <c r="T161" s="1">
        <v>9.6199999999999994E-6</v>
      </c>
    </row>
    <row r="162" spans="1:20" hidden="1" x14ac:dyDescent="0.25">
      <c r="A162" t="s">
        <v>180</v>
      </c>
      <c r="B162">
        <v>1.5213999999999999E-4</v>
      </c>
      <c r="C162" s="1">
        <v>6.9999999999999994E-5</v>
      </c>
      <c r="D162" s="1">
        <v>4.0099999999999999E-5</v>
      </c>
      <c r="E162" s="1">
        <v>2.73E-5</v>
      </c>
      <c r="F162">
        <v>1.96734E-4</v>
      </c>
      <c r="G162">
        <v>1.9047000000000001E-4</v>
      </c>
      <c r="H162">
        <v>2.00526E-4</v>
      </c>
      <c r="I162">
        <v>1.59741E-4</v>
      </c>
      <c r="J162">
        <v>1.7195900000000001E-4</v>
      </c>
      <c r="K162" s="1">
        <v>9.2800000000000006E-5</v>
      </c>
      <c r="L162" s="1">
        <v>6.0000000000000002E-5</v>
      </c>
      <c r="M162">
        <v>2.18173E-4</v>
      </c>
      <c r="N162">
        <v>1.9299000000000001E-4</v>
      </c>
      <c r="O162">
        <v>1.04722E-4</v>
      </c>
      <c r="P162">
        <v>3.3222599999999997E-4</v>
      </c>
      <c r="Q162">
        <v>8.8611699999999996E-4</v>
      </c>
      <c r="R162">
        <v>5.5099000000000001E-4</v>
      </c>
      <c r="S162">
        <v>2.71356E-4</v>
      </c>
      <c r="T162">
        <v>6.9893699999999995E-4</v>
      </c>
    </row>
    <row r="163" spans="1:20" hidden="1" x14ac:dyDescent="0.25">
      <c r="A163" t="s">
        <v>181</v>
      </c>
      <c r="B163">
        <v>0</v>
      </c>
      <c r="C163">
        <v>0</v>
      </c>
      <c r="D163">
        <v>0</v>
      </c>
      <c r="E163" s="1">
        <v>2.6299999999999999E-5</v>
      </c>
      <c r="F163">
        <v>0</v>
      </c>
      <c r="G163" s="1">
        <v>3.65E-5</v>
      </c>
      <c r="H163" s="1">
        <v>3.01E-5</v>
      </c>
      <c r="I163" s="1">
        <v>1.9199999999999999E-5</v>
      </c>
      <c r="J163" s="1">
        <v>1.22E-5</v>
      </c>
      <c r="K163" s="1">
        <v>1.3699999999999999E-5</v>
      </c>
      <c r="L163" s="1">
        <v>1.2500000000000001E-5</v>
      </c>
      <c r="M163">
        <v>0</v>
      </c>
      <c r="N163" s="1">
        <v>1.29E-5</v>
      </c>
      <c r="O163" s="1">
        <v>1.8300000000000001E-5</v>
      </c>
      <c r="P163">
        <v>0</v>
      </c>
      <c r="Q163">
        <v>0</v>
      </c>
      <c r="R163" s="1">
        <v>1.4100000000000001E-5</v>
      </c>
      <c r="S163" s="1">
        <v>1.8600000000000001E-5</v>
      </c>
      <c r="T163">
        <v>0</v>
      </c>
    </row>
    <row r="164" spans="1:20" hidden="1" x14ac:dyDescent="0.25">
      <c r="A164" t="s">
        <v>182</v>
      </c>
      <c r="B164" s="1">
        <v>5.0599999999999997E-5</v>
      </c>
      <c r="C164" s="1">
        <v>9.2899999999999995E-5</v>
      </c>
      <c r="D164" s="1">
        <v>8.6899999999999998E-5</v>
      </c>
      <c r="E164" s="1">
        <v>8.7499999999999999E-5</v>
      </c>
      <c r="F164" s="1">
        <v>7.0099999999999996E-5</v>
      </c>
      <c r="G164">
        <v>1.21076E-4</v>
      </c>
      <c r="H164">
        <v>1.0877100000000001E-4</v>
      </c>
      <c r="I164" s="1">
        <v>6.4599999999999998E-5</v>
      </c>
      <c r="J164" s="1">
        <v>6.0900000000000003E-5</v>
      </c>
      <c r="K164" s="1">
        <v>9.4900000000000003E-5</v>
      </c>
      <c r="L164">
        <v>1.08051E-4</v>
      </c>
      <c r="M164" s="1">
        <v>5.2099999999999999E-5</v>
      </c>
      <c r="N164" s="1">
        <v>3.8399999999999998E-5</v>
      </c>
      <c r="O164" s="1">
        <v>3.9700000000000003E-5</v>
      </c>
      <c r="P164" s="1">
        <v>6.2199999999999994E-5</v>
      </c>
      <c r="Q164" s="1">
        <v>8.9099999999999997E-5</v>
      </c>
      <c r="R164" s="1">
        <v>6.2199999999999994E-5</v>
      </c>
      <c r="S164">
        <v>1.63401E-4</v>
      </c>
      <c r="T164">
        <v>1.13269E-4</v>
      </c>
    </row>
    <row r="165" spans="1:20" hidden="1" x14ac:dyDescent="0.25">
      <c r="A165" t="s">
        <v>183</v>
      </c>
      <c r="B165" s="1">
        <v>2.7399999999999999E-5</v>
      </c>
      <c r="C165" s="1">
        <v>4.9200000000000003E-5</v>
      </c>
      <c r="D165" s="1">
        <v>2.4499999999999999E-5</v>
      </c>
      <c r="E165">
        <v>0</v>
      </c>
      <c r="F165" s="1">
        <v>4.3000000000000002E-5</v>
      </c>
      <c r="G165" s="1">
        <v>6.3800000000000006E-5</v>
      </c>
      <c r="H165">
        <v>1.16006E-4</v>
      </c>
      <c r="I165" s="1">
        <v>6.0000000000000002E-5</v>
      </c>
      <c r="J165">
        <v>0</v>
      </c>
      <c r="K165" s="1">
        <v>4.9299999999999999E-5</v>
      </c>
      <c r="L165" s="1">
        <v>5.8100000000000003E-5</v>
      </c>
      <c r="M165" s="1">
        <v>3.4499999999999998E-5</v>
      </c>
      <c r="N165">
        <v>1.29393E-4</v>
      </c>
      <c r="O165" s="1">
        <v>7.9599999999999997E-5</v>
      </c>
      <c r="P165" s="1">
        <v>7.4499999999999995E-5</v>
      </c>
      <c r="Q165" s="1">
        <v>8.9300000000000002E-5</v>
      </c>
      <c r="R165" s="1">
        <v>6.2799999999999995E-5</v>
      </c>
      <c r="S165" s="1">
        <v>6.7899999999999997E-5</v>
      </c>
      <c r="T165" s="1">
        <v>8.7299999999999994E-5</v>
      </c>
    </row>
    <row r="166" spans="1:20" hidden="1" x14ac:dyDescent="0.25">
      <c r="A166" t="s">
        <v>184</v>
      </c>
      <c r="B166">
        <v>0</v>
      </c>
      <c r="C166">
        <v>0</v>
      </c>
      <c r="D166">
        <v>0</v>
      </c>
      <c r="E166">
        <v>0</v>
      </c>
      <c r="F166">
        <v>0</v>
      </c>
      <c r="G166" s="1">
        <v>2.44E-5</v>
      </c>
      <c r="H166">
        <v>0</v>
      </c>
      <c r="I166">
        <v>0</v>
      </c>
      <c r="J166">
        <v>0</v>
      </c>
      <c r="K166" s="1">
        <v>8.9400000000000008E-6</v>
      </c>
      <c r="L166">
        <v>0</v>
      </c>
      <c r="M166">
        <v>0</v>
      </c>
      <c r="N166">
        <v>0</v>
      </c>
      <c r="O166">
        <v>0</v>
      </c>
      <c r="P166" s="1">
        <v>1.19E-5</v>
      </c>
      <c r="Q166" s="1">
        <v>4.6699999999999997E-5</v>
      </c>
      <c r="R166" s="1">
        <v>3.8500000000000001E-5</v>
      </c>
      <c r="S166">
        <v>1.3652900000000001E-4</v>
      </c>
      <c r="T166" s="1">
        <v>8.2999999999999998E-5</v>
      </c>
    </row>
    <row r="167" spans="1:20" hidden="1" x14ac:dyDescent="0.25">
      <c r="A167" t="s">
        <v>185</v>
      </c>
      <c r="B167">
        <v>2.1061100000000001E-4</v>
      </c>
      <c r="C167">
        <v>2.0663999999999999E-4</v>
      </c>
      <c r="D167">
        <v>1.8024100000000001E-4</v>
      </c>
      <c r="E167">
        <v>1.70726E-4</v>
      </c>
      <c r="F167" s="1">
        <v>9.8800000000000003E-5</v>
      </c>
      <c r="G167" s="1">
        <v>8.14E-5</v>
      </c>
      <c r="H167">
        <v>1.68813E-4</v>
      </c>
      <c r="I167">
        <v>1.7284599999999999E-4</v>
      </c>
      <c r="J167">
        <v>1.9296E-4</v>
      </c>
      <c r="K167">
        <v>1.0226300000000001E-4</v>
      </c>
      <c r="L167">
        <v>1.0956E-4</v>
      </c>
      <c r="M167">
        <v>1.45117E-4</v>
      </c>
      <c r="N167">
        <v>2.1358299999999999E-4</v>
      </c>
      <c r="O167">
        <v>1.63859E-4</v>
      </c>
      <c r="P167">
        <v>2.33852E-4</v>
      </c>
      <c r="Q167">
        <v>1.25742E-4</v>
      </c>
      <c r="R167">
        <v>1.6463200000000001E-4</v>
      </c>
      <c r="S167">
        <v>1.66799E-4</v>
      </c>
      <c r="T167">
        <v>1.9185799999999999E-4</v>
      </c>
    </row>
    <row r="168" spans="1:20" hidden="1" x14ac:dyDescent="0.25">
      <c r="A168" t="s">
        <v>186</v>
      </c>
      <c r="B168" s="1">
        <v>4.2299999999999998E-5</v>
      </c>
      <c r="C168" s="1">
        <v>7.2200000000000007E-5</v>
      </c>
      <c r="D168" s="1">
        <v>4.4100000000000001E-5</v>
      </c>
      <c r="E168" s="1">
        <v>5.49E-5</v>
      </c>
      <c r="F168">
        <v>0</v>
      </c>
      <c r="G168" s="1">
        <v>8.0199999999999998E-5</v>
      </c>
      <c r="H168">
        <v>1.12587E-4</v>
      </c>
      <c r="I168" s="1">
        <v>4.8900000000000003E-5</v>
      </c>
      <c r="J168">
        <v>1.34914E-4</v>
      </c>
      <c r="K168" s="1">
        <v>8.1699999999999994E-5</v>
      </c>
      <c r="L168" s="1">
        <v>3.5299999999999997E-5</v>
      </c>
      <c r="M168" s="1">
        <v>6.1400000000000002E-5</v>
      </c>
      <c r="N168" s="1">
        <v>7.5500000000000006E-5</v>
      </c>
      <c r="O168" s="1">
        <v>6.5500000000000006E-5</v>
      </c>
      <c r="P168">
        <v>1.3867600000000001E-4</v>
      </c>
      <c r="Q168">
        <v>1.61643E-4</v>
      </c>
      <c r="R168">
        <v>1.32352E-4</v>
      </c>
      <c r="S168">
        <v>1.57987E-4</v>
      </c>
      <c r="T168">
        <v>1.1104599999999999E-4</v>
      </c>
    </row>
    <row r="169" spans="1:20" hidden="1" x14ac:dyDescent="0.25">
      <c r="A169" t="s">
        <v>187</v>
      </c>
      <c r="B169">
        <v>0</v>
      </c>
      <c r="C169" s="1">
        <v>7.9400000000000006E-5</v>
      </c>
      <c r="D169" s="1">
        <v>5.3900000000000002E-5</v>
      </c>
      <c r="E169" s="1">
        <v>8.5400000000000002E-5</v>
      </c>
      <c r="F169">
        <v>0</v>
      </c>
      <c r="G169">
        <v>0</v>
      </c>
      <c r="H169">
        <v>0</v>
      </c>
      <c r="I169" s="1">
        <v>3.6399999999999997E-5</v>
      </c>
      <c r="J169">
        <v>0</v>
      </c>
      <c r="K169" s="1">
        <v>7.3200000000000004E-5</v>
      </c>
      <c r="L169" s="1">
        <v>4.7200000000000002E-5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hidden="1" x14ac:dyDescent="0.25">
      <c r="A170" t="s">
        <v>188</v>
      </c>
      <c r="B170" s="1">
        <v>1.8199999999999999E-5</v>
      </c>
      <c r="C170" s="1">
        <v>2.05E-5</v>
      </c>
      <c r="D170" s="1">
        <v>1.9000000000000001E-5</v>
      </c>
      <c r="E170" s="1">
        <v>2.3200000000000001E-5</v>
      </c>
      <c r="F170" s="1">
        <v>1.7200000000000001E-5</v>
      </c>
      <c r="G170" s="1">
        <v>1.38E-5</v>
      </c>
      <c r="H170" s="1">
        <v>1.5999999999999999E-5</v>
      </c>
      <c r="I170" s="1">
        <v>1.6699999999999999E-5</v>
      </c>
      <c r="J170" s="1">
        <v>2.37E-5</v>
      </c>
      <c r="K170" s="1">
        <v>2.4000000000000001E-5</v>
      </c>
      <c r="L170" s="1">
        <v>2.1299999999999999E-5</v>
      </c>
      <c r="M170" s="1">
        <v>1.36E-5</v>
      </c>
      <c r="N170" s="1">
        <v>1.22E-5</v>
      </c>
      <c r="O170" s="1">
        <v>1.9899999999999999E-5</v>
      </c>
      <c r="P170" s="1">
        <v>1.4600000000000001E-5</v>
      </c>
      <c r="Q170" s="1">
        <v>1.13E-5</v>
      </c>
      <c r="R170" s="1">
        <v>1.38E-5</v>
      </c>
      <c r="S170" s="1">
        <v>1.3699999999999999E-5</v>
      </c>
      <c r="T170" s="1">
        <v>1.42E-5</v>
      </c>
    </row>
    <row r="171" spans="1:20" hidden="1" x14ac:dyDescent="0.25">
      <c r="A171" t="s">
        <v>189</v>
      </c>
      <c r="B171" s="1">
        <v>3.8899999999999997E-5</v>
      </c>
      <c r="C171" s="1">
        <v>7.0099999999999996E-5</v>
      </c>
      <c r="D171" s="1">
        <v>5.8100000000000003E-5</v>
      </c>
      <c r="E171" s="1">
        <v>9.7299999999999993E-5</v>
      </c>
      <c r="F171" s="1">
        <v>4.4100000000000001E-5</v>
      </c>
      <c r="G171" s="1">
        <v>8.3800000000000004E-5</v>
      </c>
      <c r="H171" s="1">
        <v>7.5500000000000006E-5</v>
      </c>
      <c r="I171" s="1">
        <v>6.4499999999999996E-5</v>
      </c>
      <c r="J171" s="1">
        <v>3.5899999999999998E-5</v>
      </c>
      <c r="K171" s="1">
        <v>6.3600000000000001E-5</v>
      </c>
      <c r="L171" s="1">
        <v>6.3899999999999995E-5</v>
      </c>
      <c r="M171" s="1">
        <v>5.1E-5</v>
      </c>
      <c r="N171" s="1">
        <v>4.46E-5</v>
      </c>
      <c r="O171" s="1">
        <v>5.1499999999999998E-5</v>
      </c>
      <c r="P171" s="1">
        <v>4.0800000000000002E-5</v>
      </c>
      <c r="Q171" s="1">
        <v>6.3499999999999999E-5</v>
      </c>
      <c r="R171" s="1">
        <v>6.0000000000000002E-5</v>
      </c>
      <c r="S171" s="1">
        <v>8.3599999999999999E-5</v>
      </c>
      <c r="T171" s="1">
        <v>6.3600000000000001E-5</v>
      </c>
    </row>
    <row r="172" spans="1:20" hidden="1" x14ac:dyDescent="0.25">
      <c r="A172" t="s">
        <v>190</v>
      </c>
      <c r="B172" s="1">
        <v>6.1600000000000007E-5</v>
      </c>
      <c r="C172">
        <v>2.4833199999999998E-4</v>
      </c>
      <c r="D172">
        <v>1.85878E-4</v>
      </c>
      <c r="E172">
        <v>1.9474100000000001E-4</v>
      </c>
      <c r="F172" s="1">
        <v>8.5599999999999994E-5</v>
      </c>
      <c r="G172">
        <v>1.5890699999999999E-4</v>
      </c>
      <c r="H172">
        <v>1.20321E-4</v>
      </c>
      <c r="I172" s="1">
        <v>9.4400000000000004E-5</v>
      </c>
      <c r="J172" s="1">
        <v>7.7700000000000005E-5</v>
      </c>
      <c r="K172">
        <v>1.9710300000000001E-4</v>
      </c>
      <c r="L172">
        <v>1.81824E-4</v>
      </c>
      <c r="M172" s="1">
        <v>3.3599999999999997E-5</v>
      </c>
      <c r="N172" s="1">
        <v>4.8300000000000002E-5</v>
      </c>
      <c r="O172" s="1">
        <v>6.1799999999999998E-5</v>
      </c>
      <c r="P172" s="1">
        <v>3.8399999999999998E-5</v>
      </c>
      <c r="Q172" s="1">
        <v>5.3600000000000002E-5</v>
      </c>
      <c r="R172" s="1">
        <v>3.0000000000000001E-5</v>
      </c>
      <c r="S172" s="1">
        <v>3.68E-5</v>
      </c>
      <c r="T172" s="1">
        <v>4.8699999999999998E-5</v>
      </c>
    </row>
    <row r="173" spans="1:20" hidden="1" x14ac:dyDescent="0.25">
      <c r="A173" t="s">
        <v>191</v>
      </c>
      <c r="B173">
        <v>0</v>
      </c>
      <c r="C173">
        <v>0</v>
      </c>
      <c r="D173">
        <v>0</v>
      </c>
      <c r="E173">
        <v>0</v>
      </c>
      <c r="F173">
        <v>0</v>
      </c>
      <c r="G173" s="1">
        <v>1.9300000000000002E-5</v>
      </c>
      <c r="H173">
        <v>0</v>
      </c>
      <c r="I173">
        <v>0</v>
      </c>
      <c r="J173">
        <v>0</v>
      </c>
      <c r="K173" s="1">
        <v>1.9000000000000001E-5</v>
      </c>
      <c r="L173">
        <v>0</v>
      </c>
      <c r="M173">
        <v>0</v>
      </c>
      <c r="N173">
        <v>0</v>
      </c>
      <c r="O173">
        <v>0</v>
      </c>
      <c r="P173">
        <v>0</v>
      </c>
      <c r="Q173" s="1">
        <v>1.9000000000000001E-5</v>
      </c>
      <c r="R173" s="1">
        <v>1.1600000000000001E-5</v>
      </c>
      <c r="S173" s="1">
        <v>3.68E-5</v>
      </c>
      <c r="T173" s="1">
        <v>2.3600000000000001E-5</v>
      </c>
    </row>
    <row r="174" spans="1:20" hidden="1" x14ac:dyDescent="0.25">
      <c r="A174" t="s">
        <v>192</v>
      </c>
      <c r="B174">
        <v>0</v>
      </c>
      <c r="C174">
        <v>7.5343700000000003E-4</v>
      </c>
      <c r="D174">
        <v>7.9506499999999996E-4</v>
      </c>
      <c r="E174">
        <v>9.1695899999999996E-4</v>
      </c>
      <c r="F174">
        <v>7.5427199999999995E-4</v>
      </c>
      <c r="G174">
        <v>6.6859199999999997E-4</v>
      </c>
      <c r="H174">
        <v>0</v>
      </c>
      <c r="I174">
        <v>6.0452200000000002E-4</v>
      </c>
      <c r="J174">
        <v>0</v>
      </c>
      <c r="K174">
        <v>5.9298599999999999E-4</v>
      </c>
      <c r="L174">
        <v>6.8227700000000001E-4</v>
      </c>
      <c r="M174">
        <v>5.0257999999999998E-4</v>
      </c>
      <c r="N174">
        <v>9.1336200000000003E-4</v>
      </c>
      <c r="O174">
        <v>8.45238E-4</v>
      </c>
      <c r="P174">
        <v>0</v>
      </c>
      <c r="Q174">
        <v>0</v>
      </c>
      <c r="R174">
        <v>4.8745199999999998E-4</v>
      </c>
      <c r="S174">
        <v>6.6564100000000002E-4</v>
      </c>
      <c r="T174">
        <v>3.6252399999999997E-4</v>
      </c>
    </row>
    <row r="175" spans="1:20" hidden="1" x14ac:dyDescent="0.25">
      <c r="A175" t="s">
        <v>193</v>
      </c>
      <c r="B175">
        <v>3.845654E-3</v>
      </c>
      <c r="C175">
        <v>2.9115859999999999E-3</v>
      </c>
      <c r="D175">
        <v>3.4511630000000001E-3</v>
      </c>
      <c r="E175">
        <v>2.5311539999999999E-3</v>
      </c>
      <c r="F175">
        <v>2.0298500000000001E-3</v>
      </c>
      <c r="G175">
        <v>2.4893820000000001E-3</v>
      </c>
      <c r="H175">
        <v>2.6324349999999998E-3</v>
      </c>
      <c r="I175">
        <v>1.918517E-3</v>
      </c>
      <c r="J175">
        <v>2.8735240000000001E-3</v>
      </c>
      <c r="K175">
        <v>3.0366569999999999E-3</v>
      </c>
      <c r="L175">
        <v>3.3416399999999999E-3</v>
      </c>
      <c r="M175">
        <v>2.6694729999999999E-3</v>
      </c>
      <c r="N175">
        <v>2.123612E-3</v>
      </c>
      <c r="O175">
        <v>2.0359330000000002E-3</v>
      </c>
      <c r="P175">
        <v>2.140374E-3</v>
      </c>
      <c r="Q175">
        <v>1.9974649999999999E-3</v>
      </c>
      <c r="R175">
        <v>1.780083E-3</v>
      </c>
      <c r="S175">
        <v>9.2947199999999998E-4</v>
      </c>
      <c r="T175">
        <v>2.0053340000000001E-3</v>
      </c>
    </row>
    <row r="176" spans="1:20" hidden="1" x14ac:dyDescent="0.25">
      <c r="A176" t="s">
        <v>194</v>
      </c>
      <c r="B176">
        <v>1.0037432000000001E-2</v>
      </c>
      <c r="C176">
        <v>8.3807699999999992E-3</v>
      </c>
      <c r="D176">
        <v>7.1375099999999997E-3</v>
      </c>
      <c r="E176">
        <v>7.7175359999999997E-3</v>
      </c>
      <c r="F176">
        <v>5.9256550000000002E-3</v>
      </c>
      <c r="G176">
        <v>8.1167770000000004E-3</v>
      </c>
      <c r="H176">
        <v>6.1296789999999999E-3</v>
      </c>
      <c r="I176">
        <v>7.0461940000000004E-3</v>
      </c>
      <c r="J176">
        <v>7.7930480000000003E-3</v>
      </c>
      <c r="K176">
        <v>6.9781310000000003E-3</v>
      </c>
      <c r="L176">
        <v>7.9519240000000008E-3</v>
      </c>
      <c r="M176">
        <v>7.7015199999999999E-3</v>
      </c>
      <c r="N176">
        <v>5.5170769999999996E-3</v>
      </c>
      <c r="O176">
        <v>5.5163299999999998E-3</v>
      </c>
      <c r="P176">
        <v>7.8327440000000009E-3</v>
      </c>
      <c r="Q176">
        <v>7.0739289999999996E-3</v>
      </c>
      <c r="R176">
        <v>8.0886229999999996E-3</v>
      </c>
      <c r="S176">
        <v>6.2668430000000002E-3</v>
      </c>
      <c r="T176">
        <v>7.395736E-3</v>
      </c>
    </row>
    <row r="177" spans="1:20" hidden="1" x14ac:dyDescent="0.25">
      <c r="A177" t="s">
        <v>195</v>
      </c>
      <c r="B177">
        <v>4.8657529999999996E-3</v>
      </c>
      <c r="C177">
        <v>3.7546770000000001E-3</v>
      </c>
      <c r="D177">
        <v>3.698472E-3</v>
      </c>
      <c r="E177">
        <v>3.622905E-3</v>
      </c>
      <c r="F177">
        <v>3.3678570000000001E-3</v>
      </c>
      <c r="G177">
        <v>3.9845480000000001E-3</v>
      </c>
      <c r="H177">
        <v>4.2274540000000003E-3</v>
      </c>
      <c r="I177">
        <v>3.3530629999999999E-3</v>
      </c>
      <c r="J177">
        <v>3.56507E-3</v>
      </c>
      <c r="K177">
        <v>3.499402E-3</v>
      </c>
      <c r="L177">
        <v>4.1991019999999997E-3</v>
      </c>
      <c r="M177">
        <v>3.4818340000000001E-3</v>
      </c>
      <c r="N177">
        <v>3.0767429999999998E-3</v>
      </c>
      <c r="O177">
        <v>2.8719290000000001E-3</v>
      </c>
      <c r="P177">
        <v>2.9584530000000002E-3</v>
      </c>
      <c r="Q177">
        <v>3.3660299999999999E-3</v>
      </c>
      <c r="R177">
        <v>2.91618E-3</v>
      </c>
      <c r="S177">
        <v>1.5342750000000001E-3</v>
      </c>
      <c r="T177">
        <v>2.9268219999999999E-3</v>
      </c>
    </row>
    <row r="178" spans="1:20" hidden="1" x14ac:dyDescent="0.25">
      <c r="A178" t="s">
        <v>196</v>
      </c>
      <c r="B178">
        <v>1.2976982999999999E-2</v>
      </c>
      <c r="C178">
        <v>1.0642542E-2</v>
      </c>
      <c r="D178">
        <v>1.2111596000000001E-2</v>
      </c>
      <c r="E178">
        <v>8.7276490000000005E-3</v>
      </c>
      <c r="F178">
        <v>9.0479610000000002E-3</v>
      </c>
      <c r="G178">
        <v>1.1618158999999999E-2</v>
      </c>
      <c r="H178">
        <v>9.1240169999999999E-3</v>
      </c>
      <c r="I178">
        <v>6.9164550000000002E-3</v>
      </c>
      <c r="J178">
        <v>1.1600078E-2</v>
      </c>
      <c r="K178">
        <v>1.0732293E-2</v>
      </c>
      <c r="L178">
        <v>1.2601866E-2</v>
      </c>
      <c r="M178">
        <v>1.0867419E-2</v>
      </c>
      <c r="N178">
        <v>7.9402870000000007E-3</v>
      </c>
      <c r="O178">
        <v>8.4788729999999996E-3</v>
      </c>
      <c r="P178">
        <v>7.7400819999999997E-3</v>
      </c>
      <c r="Q178">
        <v>9.3434859999999998E-3</v>
      </c>
      <c r="R178">
        <v>6.3774890000000001E-3</v>
      </c>
      <c r="S178">
        <v>3.2435419999999999E-3</v>
      </c>
      <c r="T178">
        <v>7.1501849999999999E-3</v>
      </c>
    </row>
    <row r="179" spans="1:20" hidden="1" x14ac:dyDescent="0.25">
      <c r="A179" t="s">
        <v>197</v>
      </c>
      <c r="B179">
        <v>2.8538330000000001E-3</v>
      </c>
      <c r="C179">
        <v>2.852402E-3</v>
      </c>
      <c r="D179">
        <v>2.0267789999999998E-3</v>
      </c>
      <c r="E179">
        <v>2.0996510000000001E-3</v>
      </c>
      <c r="F179">
        <v>2.1671699999999999E-3</v>
      </c>
      <c r="G179">
        <v>2.7202939999999998E-3</v>
      </c>
      <c r="H179">
        <v>2.1374860000000001E-3</v>
      </c>
      <c r="I179">
        <v>2.7474420000000001E-3</v>
      </c>
      <c r="J179">
        <v>2.6440930000000001E-3</v>
      </c>
      <c r="K179">
        <v>2.5189930000000002E-3</v>
      </c>
      <c r="L179">
        <v>2.6868059999999999E-3</v>
      </c>
      <c r="M179">
        <v>2.59217E-3</v>
      </c>
      <c r="N179">
        <v>1.701307E-3</v>
      </c>
      <c r="O179">
        <v>1.8079940000000001E-3</v>
      </c>
      <c r="P179">
        <v>2.316036E-3</v>
      </c>
      <c r="Q179">
        <v>2.4518230000000001E-3</v>
      </c>
      <c r="R179">
        <v>2.8542200000000002E-3</v>
      </c>
      <c r="S179">
        <v>1.7365530000000001E-3</v>
      </c>
      <c r="T179">
        <v>2.1169650000000002E-3</v>
      </c>
    </row>
    <row r="180" spans="1:20" hidden="1" x14ac:dyDescent="0.25">
      <c r="A180" t="s">
        <v>198</v>
      </c>
      <c r="B180">
        <v>7.1382800000000001E-4</v>
      </c>
      <c r="C180">
        <v>3.4603100000000001E-4</v>
      </c>
      <c r="D180">
        <v>2.7371399999999999E-4</v>
      </c>
      <c r="E180">
        <v>1.6750700000000001E-4</v>
      </c>
      <c r="F180">
        <v>4.5829900000000001E-4</v>
      </c>
      <c r="G180">
        <v>8.2946199999999999E-4</v>
      </c>
      <c r="H180">
        <v>6.4857000000000001E-4</v>
      </c>
      <c r="I180">
        <v>6.4353499999999998E-4</v>
      </c>
      <c r="J180">
        <v>7.0971599999999999E-4</v>
      </c>
      <c r="K180">
        <v>7.8207199999999998E-4</v>
      </c>
      <c r="L180">
        <v>4.1418899999999997E-4</v>
      </c>
      <c r="M180">
        <v>6.9040400000000004E-4</v>
      </c>
      <c r="N180">
        <v>1.8895000000000001E-4</v>
      </c>
      <c r="O180">
        <v>3.2129700000000001E-4</v>
      </c>
      <c r="P180">
        <v>1.0425580000000001E-3</v>
      </c>
      <c r="Q180">
        <v>1.541862E-3</v>
      </c>
      <c r="R180">
        <v>7.85792E-4</v>
      </c>
      <c r="S180">
        <v>1.349617E-3</v>
      </c>
      <c r="T180">
        <v>1.4223319999999999E-3</v>
      </c>
    </row>
    <row r="181" spans="1:20" hidden="1" x14ac:dyDescent="0.25">
      <c r="A181" t="s">
        <v>199</v>
      </c>
      <c r="B181" s="1">
        <v>6.86E-5</v>
      </c>
      <c r="C181">
        <v>1.29462E-4</v>
      </c>
      <c r="D181" s="1">
        <v>9.9199999999999999E-5</v>
      </c>
      <c r="E181" s="1">
        <v>8.6399999999999999E-5</v>
      </c>
      <c r="F181" s="1">
        <v>8.6899999999999998E-5</v>
      </c>
      <c r="G181">
        <v>2.6143E-4</v>
      </c>
      <c r="H181">
        <v>1.3578700000000001E-4</v>
      </c>
      <c r="I181" s="1">
        <v>9.7E-5</v>
      </c>
      <c r="J181" s="1">
        <v>7.2299999999999996E-5</v>
      </c>
      <c r="K181">
        <v>1.0838800000000001E-4</v>
      </c>
      <c r="L181">
        <v>1.47214E-4</v>
      </c>
      <c r="M181" s="1">
        <v>5.9599999999999999E-5</v>
      </c>
      <c r="N181" s="1">
        <v>4.3300000000000002E-5</v>
      </c>
      <c r="O181" s="1">
        <v>3.1000000000000001E-5</v>
      </c>
      <c r="P181" s="1">
        <v>9.3800000000000003E-5</v>
      </c>
      <c r="Q181">
        <v>1.22259E-4</v>
      </c>
      <c r="R181">
        <v>1.07166E-4</v>
      </c>
      <c r="S181">
        <v>2.1887600000000001E-4</v>
      </c>
      <c r="T181">
        <v>1.3270900000000001E-4</v>
      </c>
    </row>
    <row r="182" spans="1:20" hidden="1" x14ac:dyDescent="0.25">
      <c r="A182" t="s">
        <v>200</v>
      </c>
      <c r="B182">
        <v>3.4336099999999998E-4</v>
      </c>
      <c r="C182">
        <v>3.3445700000000003E-4</v>
      </c>
      <c r="D182">
        <v>4.92597E-4</v>
      </c>
      <c r="E182">
        <v>3.4756899999999999E-4</v>
      </c>
      <c r="F182">
        <v>2.6569499999999998E-4</v>
      </c>
      <c r="G182">
        <v>2.7453299999999998E-4</v>
      </c>
      <c r="H182">
        <v>2.17316E-4</v>
      </c>
      <c r="I182">
        <v>2.4128100000000001E-4</v>
      </c>
      <c r="J182">
        <v>3.5654000000000003E-4</v>
      </c>
      <c r="K182">
        <v>2.8618799999999999E-4</v>
      </c>
      <c r="L182">
        <v>3.5691100000000001E-4</v>
      </c>
      <c r="M182">
        <v>2.9376100000000002E-4</v>
      </c>
      <c r="N182">
        <v>1.44327E-4</v>
      </c>
      <c r="O182">
        <v>2.75078E-4</v>
      </c>
      <c r="P182">
        <v>1.5762099999999999E-4</v>
      </c>
      <c r="Q182" s="1">
        <v>9.5000000000000005E-5</v>
      </c>
      <c r="R182">
        <v>1.22793E-4</v>
      </c>
      <c r="S182">
        <v>1.1340699999999999E-4</v>
      </c>
      <c r="T182" s="1">
        <v>8.4900000000000004E-5</v>
      </c>
    </row>
    <row r="183" spans="1:20" hidden="1" x14ac:dyDescent="0.25">
      <c r="A183" t="s">
        <v>201</v>
      </c>
      <c r="B183">
        <v>6.1658199999999996E-4</v>
      </c>
      <c r="C183">
        <v>5.29547E-4</v>
      </c>
      <c r="D183">
        <v>7.9123500000000005E-4</v>
      </c>
      <c r="E183">
        <v>5.2848700000000001E-4</v>
      </c>
      <c r="F183">
        <v>2.6904199999999999E-4</v>
      </c>
      <c r="G183">
        <v>3.6543300000000002E-4</v>
      </c>
      <c r="H183">
        <v>2.5482E-4</v>
      </c>
      <c r="I183">
        <v>3.0941999999999998E-4</v>
      </c>
      <c r="J183">
        <v>4.2078599999999998E-4</v>
      </c>
      <c r="K183">
        <v>3.9583899999999999E-4</v>
      </c>
      <c r="L183">
        <v>5.7505999999999996E-4</v>
      </c>
      <c r="M183">
        <v>3.6547700000000001E-4</v>
      </c>
      <c r="N183">
        <v>3.3770600000000001E-4</v>
      </c>
      <c r="O183">
        <v>3.64065E-4</v>
      </c>
      <c r="P183">
        <v>2.43525E-4</v>
      </c>
      <c r="Q183">
        <v>1.94074E-4</v>
      </c>
      <c r="R183">
        <v>1.42452E-4</v>
      </c>
      <c r="S183">
        <v>1.4304199999999999E-4</v>
      </c>
      <c r="T183">
        <v>2.2633700000000001E-4</v>
      </c>
    </row>
    <row r="184" spans="1:20" hidden="1" x14ac:dyDescent="0.25">
      <c r="A184" t="s">
        <v>202</v>
      </c>
      <c r="B184">
        <v>1.9531E-4</v>
      </c>
      <c r="C184">
        <v>1.6082600000000001E-4</v>
      </c>
      <c r="D184">
        <v>2.3052700000000001E-4</v>
      </c>
      <c r="E184">
        <v>1.9956299999999999E-4</v>
      </c>
      <c r="F184">
        <v>1.3283500000000001E-4</v>
      </c>
      <c r="G184" s="1">
        <v>9.4199999999999999E-5</v>
      </c>
      <c r="H184" s="1">
        <v>7.5599999999999994E-5</v>
      </c>
      <c r="I184">
        <v>1.0110799999999999E-4</v>
      </c>
      <c r="J184">
        <v>1.70478E-4</v>
      </c>
      <c r="K184">
        <v>1.86942E-4</v>
      </c>
      <c r="L184">
        <v>1.8981099999999999E-4</v>
      </c>
      <c r="M184">
        <v>1.40128E-4</v>
      </c>
      <c r="N184" s="1">
        <v>6.86E-5</v>
      </c>
      <c r="O184">
        <v>1.3461199999999999E-4</v>
      </c>
      <c r="P184" s="1">
        <v>8.1199999999999995E-5</v>
      </c>
      <c r="Q184" s="1">
        <v>3.9199999999999997E-5</v>
      </c>
      <c r="R184" s="1">
        <v>4.6100000000000002E-5</v>
      </c>
      <c r="S184" s="1">
        <v>2.5899999999999999E-5</v>
      </c>
      <c r="T184" s="1">
        <v>4.7500000000000003E-5</v>
      </c>
    </row>
    <row r="185" spans="1:20" hidden="1" x14ac:dyDescent="0.25">
      <c r="A185" t="s">
        <v>203</v>
      </c>
      <c r="B185">
        <v>7.7264800000000002E-4</v>
      </c>
      <c r="C185">
        <v>7.9943199999999999E-4</v>
      </c>
      <c r="D185">
        <v>9.7420500000000001E-4</v>
      </c>
      <c r="E185">
        <v>9.6867000000000003E-4</v>
      </c>
      <c r="F185">
        <v>1.0048570000000001E-3</v>
      </c>
      <c r="G185">
        <v>6.9141299999999999E-4</v>
      </c>
      <c r="H185">
        <v>7.2343799999999997E-4</v>
      </c>
      <c r="I185">
        <v>8.23582E-4</v>
      </c>
      <c r="J185">
        <v>9.8720300000000008E-4</v>
      </c>
      <c r="K185">
        <v>7.8184200000000004E-4</v>
      </c>
      <c r="L185">
        <v>8.3505700000000005E-4</v>
      </c>
      <c r="M185">
        <v>8.05334E-4</v>
      </c>
      <c r="N185">
        <v>5.7578399999999997E-4</v>
      </c>
      <c r="O185">
        <v>8.4618400000000004E-4</v>
      </c>
      <c r="P185">
        <v>5.1192200000000005E-4</v>
      </c>
      <c r="Q185">
        <v>5.1944399999999998E-4</v>
      </c>
      <c r="R185">
        <v>5.1431700000000003E-4</v>
      </c>
      <c r="S185">
        <v>4.8015299999999998E-4</v>
      </c>
      <c r="T185">
        <v>5.9706600000000005E-4</v>
      </c>
    </row>
    <row r="186" spans="1:20" hidden="1" x14ac:dyDescent="0.25">
      <c r="A186" t="s">
        <v>204</v>
      </c>
      <c r="B186">
        <v>1.61077E-4</v>
      </c>
      <c r="C186" s="1">
        <v>7.75E-5</v>
      </c>
      <c r="D186" s="1">
        <v>8.0699999999999996E-5</v>
      </c>
      <c r="E186" s="1">
        <v>8.8800000000000004E-5</v>
      </c>
      <c r="F186">
        <v>2.1685300000000001E-4</v>
      </c>
      <c r="G186">
        <v>3.3129399999999999E-4</v>
      </c>
      <c r="H186">
        <v>2.2896599999999999E-4</v>
      </c>
      <c r="I186">
        <v>2.4189700000000001E-4</v>
      </c>
      <c r="J186">
        <v>1.97918E-4</v>
      </c>
      <c r="K186">
        <v>1.9458499999999999E-4</v>
      </c>
      <c r="L186">
        <v>1.52693E-4</v>
      </c>
      <c r="M186">
        <v>1.6781899999999999E-4</v>
      </c>
      <c r="N186">
        <v>1.5648800000000001E-4</v>
      </c>
      <c r="O186" s="1">
        <v>9.9500000000000006E-5</v>
      </c>
      <c r="P186">
        <v>4.5969799999999998E-4</v>
      </c>
      <c r="Q186">
        <v>1.07464E-3</v>
      </c>
      <c r="R186">
        <v>7.4577499999999995E-4</v>
      </c>
      <c r="S186">
        <v>5.8927199999999995E-4</v>
      </c>
      <c r="T186">
        <v>1.8630560000000001E-3</v>
      </c>
    </row>
    <row r="187" spans="1:20" hidden="1" x14ac:dyDescent="0.25">
      <c r="A187" t="s">
        <v>205</v>
      </c>
      <c r="B187">
        <v>2.22962E-4</v>
      </c>
      <c r="C187">
        <v>1.1853000000000001E-4</v>
      </c>
      <c r="D187">
        <v>1.21274E-4</v>
      </c>
      <c r="E187">
        <v>1.06965E-4</v>
      </c>
      <c r="F187">
        <v>3.91116E-4</v>
      </c>
      <c r="G187">
        <v>5.0540299999999997E-4</v>
      </c>
      <c r="H187">
        <v>4.1338200000000001E-4</v>
      </c>
      <c r="I187">
        <v>3.6613800000000001E-4</v>
      </c>
      <c r="J187">
        <v>3.0902600000000001E-4</v>
      </c>
      <c r="K187">
        <v>3.36659E-4</v>
      </c>
      <c r="L187">
        <v>2.1415400000000001E-4</v>
      </c>
      <c r="M187">
        <v>1.85441E-4</v>
      </c>
      <c r="N187">
        <v>3.6827399999999998E-4</v>
      </c>
      <c r="O187">
        <v>1.4121399999999999E-4</v>
      </c>
      <c r="P187">
        <v>6.9733600000000001E-4</v>
      </c>
      <c r="Q187">
        <v>1.925675E-3</v>
      </c>
      <c r="R187">
        <v>1.4942180000000001E-3</v>
      </c>
      <c r="S187">
        <v>1.4051059999999999E-3</v>
      </c>
      <c r="T187">
        <v>3.445208E-3</v>
      </c>
    </row>
    <row r="188" spans="1:20" hidden="1" x14ac:dyDescent="0.25">
      <c r="A188" t="s">
        <v>206</v>
      </c>
      <c r="B188" s="1">
        <v>2.9499999999999999E-5</v>
      </c>
      <c r="C188">
        <v>0</v>
      </c>
      <c r="D188">
        <v>0</v>
      </c>
      <c r="E188">
        <v>0</v>
      </c>
      <c r="F188" s="1">
        <v>5.3699999999999997E-5</v>
      </c>
      <c r="G188">
        <v>1.10796E-4</v>
      </c>
      <c r="H188">
        <v>0</v>
      </c>
      <c r="I188" s="1">
        <v>6.1699999999999995E-5</v>
      </c>
      <c r="J188" s="1">
        <v>4.8399999999999997E-5</v>
      </c>
      <c r="K188" s="1">
        <v>6.1799999999999998E-5</v>
      </c>
      <c r="L188">
        <v>0</v>
      </c>
      <c r="M188">
        <v>0</v>
      </c>
      <c r="N188">
        <v>0</v>
      </c>
      <c r="O188">
        <v>0</v>
      </c>
      <c r="P188">
        <v>1.27071E-4</v>
      </c>
      <c r="Q188">
        <v>3.5926699999999997E-4</v>
      </c>
      <c r="R188">
        <v>1.8253599999999999E-4</v>
      </c>
      <c r="S188">
        <v>1.87768E-4</v>
      </c>
      <c r="T188">
        <v>5.9170499999999999E-4</v>
      </c>
    </row>
    <row r="189" spans="1:20" hidden="1" x14ac:dyDescent="0.25">
      <c r="A189" t="s">
        <v>207</v>
      </c>
      <c r="B189" s="1">
        <v>4.9700000000000002E-5</v>
      </c>
      <c r="C189" s="1">
        <v>4.7599999999999998E-5</v>
      </c>
      <c r="D189" s="1">
        <v>2.9E-5</v>
      </c>
      <c r="E189" s="1">
        <v>3.0499999999999999E-5</v>
      </c>
      <c r="F189">
        <v>1.1347499999999999E-4</v>
      </c>
      <c r="G189">
        <v>1.83485E-4</v>
      </c>
      <c r="H189" s="1">
        <v>8.1299999999999997E-5</v>
      </c>
      <c r="I189" s="1">
        <v>9.7299999999999993E-5</v>
      </c>
      <c r="J189" s="1">
        <v>7.9599999999999997E-5</v>
      </c>
      <c r="K189" s="1">
        <v>9.3300000000000005E-5</v>
      </c>
      <c r="L189" s="1">
        <v>6.8499999999999998E-5</v>
      </c>
      <c r="M189" s="1">
        <v>6.5300000000000002E-5</v>
      </c>
      <c r="N189" s="1">
        <v>4.2799999999999997E-5</v>
      </c>
      <c r="O189" s="1">
        <v>4.6999999999999997E-5</v>
      </c>
      <c r="P189">
        <v>1.7680899999999999E-4</v>
      </c>
      <c r="Q189">
        <v>4.8905599999999997E-4</v>
      </c>
      <c r="R189">
        <v>2.81792E-4</v>
      </c>
      <c r="S189">
        <v>1.9973500000000001E-4</v>
      </c>
      <c r="T189">
        <v>5.3266100000000003E-4</v>
      </c>
    </row>
    <row r="190" spans="1:20" hidden="1" x14ac:dyDescent="0.25">
      <c r="A190" t="s">
        <v>208</v>
      </c>
      <c r="B190">
        <v>1.3050900000000001E-4</v>
      </c>
      <c r="C190">
        <v>0</v>
      </c>
      <c r="D190">
        <v>0</v>
      </c>
      <c r="E190">
        <v>0</v>
      </c>
      <c r="F190">
        <v>1.9667999999999999E-4</v>
      </c>
      <c r="G190">
        <v>3.5124100000000002E-4</v>
      </c>
      <c r="H190">
        <v>0</v>
      </c>
      <c r="I190">
        <v>2.4771899999999998E-4</v>
      </c>
      <c r="J190">
        <v>1.9764699999999999E-4</v>
      </c>
      <c r="K190">
        <v>2.03461E-4</v>
      </c>
      <c r="L190">
        <v>1.0124999999999999E-4</v>
      </c>
      <c r="M190">
        <v>1.3097E-4</v>
      </c>
      <c r="N190">
        <v>1.49932E-4</v>
      </c>
      <c r="O190" s="1">
        <v>7.2299999999999996E-5</v>
      </c>
      <c r="P190">
        <v>4.1540199999999999E-4</v>
      </c>
      <c r="Q190">
        <v>1.1232550000000001E-3</v>
      </c>
      <c r="R190">
        <v>8.2483100000000005E-4</v>
      </c>
      <c r="S190">
        <v>6.1461399999999998E-4</v>
      </c>
      <c r="T190">
        <v>2.0043729999999998E-3</v>
      </c>
    </row>
    <row r="191" spans="1:20" hidden="1" x14ac:dyDescent="0.25">
      <c r="A191" t="s">
        <v>209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1.0001900000000001E-4</v>
      </c>
      <c r="H191">
        <v>0</v>
      </c>
      <c r="I191" s="1">
        <v>9.6000000000000002E-5</v>
      </c>
      <c r="J191" s="1">
        <v>6.7299999999999996E-5</v>
      </c>
      <c r="K191" s="1">
        <v>5.6400000000000002E-5</v>
      </c>
      <c r="L191">
        <v>0</v>
      </c>
      <c r="M191">
        <v>0</v>
      </c>
      <c r="N191">
        <v>0</v>
      </c>
      <c r="O191">
        <v>0</v>
      </c>
      <c r="P191">
        <v>1.07889E-4</v>
      </c>
      <c r="Q191">
        <v>2.6945799999999998E-4</v>
      </c>
      <c r="R191">
        <v>2.4640900000000001E-4</v>
      </c>
      <c r="S191">
        <v>1.44046E-4</v>
      </c>
      <c r="T191">
        <v>4.45604E-4</v>
      </c>
    </row>
    <row r="192" spans="1:20" hidden="1" x14ac:dyDescent="0.25">
      <c r="A192" t="s">
        <v>210</v>
      </c>
      <c r="B192">
        <v>4.8121999999999998E-4</v>
      </c>
      <c r="C192">
        <v>8.9122599999999995E-4</v>
      </c>
      <c r="D192">
        <v>9.5846199999999999E-4</v>
      </c>
      <c r="E192">
        <v>9.4966500000000004E-4</v>
      </c>
      <c r="F192">
        <v>7.5010400000000003E-4</v>
      </c>
      <c r="G192">
        <v>8.7484800000000001E-4</v>
      </c>
      <c r="H192">
        <v>1.6178900000000001E-3</v>
      </c>
      <c r="I192">
        <v>6.7134499999999995E-4</v>
      </c>
      <c r="J192">
        <v>5.8404500000000005E-4</v>
      </c>
      <c r="K192">
        <v>7.4784600000000004E-4</v>
      </c>
      <c r="L192">
        <v>6.9918900000000002E-4</v>
      </c>
      <c r="M192">
        <v>3.4241700000000003E-4</v>
      </c>
      <c r="N192">
        <v>3.4887500000000001E-4</v>
      </c>
      <c r="O192">
        <v>3.5804100000000002E-4</v>
      </c>
      <c r="P192">
        <v>3.87208E-4</v>
      </c>
      <c r="Q192">
        <v>5.4146999999999995E-4</v>
      </c>
      <c r="R192">
        <v>3.0640700000000002E-4</v>
      </c>
      <c r="S192">
        <v>3.1820500000000001E-4</v>
      </c>
      <c r="T192">
        <v>5.5341199999999998E-4</v>
      </c>
    </row>
    <row r="193" spans="1:20" hidden="1" x14ac:dyDescent="0.25">
      <c r="A193" t="s">
        <v>211</v>
      </c>
      <c r="B193">
        <v>6.1756699999999996E-4</v>
      </c>
      <c r="C193">
        <v>1.1433940000000001E-3</v>
      </c>
      <c r="D193">
        <v>1.072705E-3</v>
      </c>
      <c r="E193">
        <v>1.0826449999999999E-3</v>
      </c>
      <c r="F193">
        <v>1.0103860000000001E-3</v>
      </c>
      <c r="G193">
        <v>1.215596E-3</v>
      </c>
      <c r="H193">
        <v>1.9002629999999999E-3</v>
      </c>
      <c r="I193">
        <v>7.1102999999999997E-4</v>
      </c>
      <c r="J193">
        <v>7.1812299999999998E-4</v>
      </c>
      <c r="K193">
        <v>9.2916500000000003E-4</v>
      </c>
      <c r="L193">
        <v>1.0474169999999999E-3</v>
      </c>
      <c r="M193">
        <v>4.65959E-4</v>
      </c>
      <c r="N193">
        <v>4.5686000000000001E-4</v>
      </c>
      <c r="O193">
        <v>5.1075700000000003E-4</v>
      </c>
      <c r="P193">
        <v>4.4590100000000001E-4</v>
      </c>
      <c r="Q193">
        <v>4.8158599999999999E-4</v>
      </c>
      <c r="R193">
        <v>3.7279000000000001E-4</v>
      </c>
      <c r="S193">
        <v>5.3055099999999998E-4</v>
      </c>
      <c r="T193">
        <v>7.3325199999999999E-4</v>
      </c>
    </row>
    <row r="194" spans="1:20" hidden="1" x14ac:dyDescent="0.25">
      <c r="A194" t="s">
        <v>212</v>
      </c>
      <c r="B194">
        <v>8.9575799999999997E-4</v>
      </c>
      <c r="C194">
        <v>1.2720819999999999E-3</v>
      </c>
      <c r="D194">
        <v>1.0809229999999999E-3</v>
      </c>
      <c r="E194">
        <v>1.2377499999999999E-3</v>
      </c>
      <c r="F194">
        <v>8.6332800000000001E-4</v>
      </c>
      <c r="G194">
        <v>1.0888289999999999E-3</v>
      </c>
      <c r="H194">
        <v>1.763555E-3</v>
      </c>
      <c r="I194">
        <v>1.0631869999999999E-3</v>
      </c>
      <c r="J194">
        <v>1.034716E-3</v>
      </c>
      <c r="K194">
        <v>1.3052280000000001E-3</v>
      </c>
      <c r="L194">
        <v>1.2816349999999999E-3</v>
      </c>
      <c r="M194">
        <v>7.3318099999999996E-4</v>
      </c>
      <c r="N194">
        <v>7.5449000000000002E-4</v>
      </c>
      <c r="O194">
        <v>1.1041810000000001E-3</v>
      </c>
      <c r="P194">
        <v>6.2128599999999997E-4</v>
      </c>
      <c r="Q194">
        <v>4.9812100000000002E-4</v>
      </c>
      <c r="R194">
        <v>6.1629399999999998E-4</v>
      </c>
      <c r="S194">
        <v>5.2646099999999999E-4</v>
      </c>
      <c r="T194">
        <v>6.6035599999999996E-4</v>
      </c>
    </row>
    <row r="195" spans="1:20" hidden="1" x14ac:dyDescent="0.25">
      <c r="A195" t="s">
        <v>213</v>
      </c>
      <c r="B195">
        <v>8.5486899999999996E-4</v>
      </c>
      <c r="C195">
        <v>1.1884160000000001E-3</v>
      </c>
      <c r="D195">
        <v>1.0289019999999999E-3</v>
      </c>
      <c r="E195">
        <v>1.166154E-3</v>
      </c>
      <c r="F195">
        <v>7.5823299999999998E-4</v>
      </c>
      <c r="G195">
        <v>1.1741939999999999E-3</v>
      </c>
      <c r="H195">
        <v>1.933127E-3</v>
      </c>
      <c r="I195">
        <v>1.2381060000000001E-3</v>
      </c>
      <c r="J195">
        <v>1.118895E-3</v>
      </c>
      <c r="K195">
        <v>1.293806E-3</v>
      </c>
      <c r="L195">
        <v>1.3593349999999999E-3</v>
      </c>
      <c r="M195">
        <v>6.9498800000000001E-4</v>
      </c>
      <c r="N195">
        <v>8.2515900000000001E-4</v>
      </c>
      <c r="O195">
        <v>1.165463E-3</v>
      </c>
      <c r="P195">
        <v>6.8807000000000004E-4</v>
      </c>
      <c r="Q195">
        <v>5.3709600000000004E-4</v>
      </c>
      <c r="R195">
        <v>4.8222899999999998E-4</v>
      </c>
      <c r="S195">
        <v>4.9837299999999998E-4</v>
      </c>
      <c r="T195">
        <v>6.3510900000000002E-4</v>
      </c>
    </row>
    <row r="196" spans="1:20" hidden="1" x14ac:dyDescent="0.25">
      <c r="A196" t="s">
        <v>214</v>
      </c>
      <c r="B196">
        <v>3.3497699999999997E-4</v>
      </c>
      <c r="C196">
        <v>5.3684800000000003E-4</v>
      </c>
      <c r="D196">
        <v>5.2729700000000003E-4</v>
      </c>
      <c r="E196">
        <v>4.5371400000000003E-4</v>
      </c>
      <c r="F196">
        <v>4.2834200000000001E-4</v>
      </c>
      <c r="G196">
        <v>5.5247399999999996E-4</v>
      </c>
      <c r="H196">
        <v>8.7868699999999996E-4</v>
      </c>
      <c r="I196">
        <v>5.6770699999999998E-4</v>
      </c>
      <c r="J196">
        <v>4.7029999999999999E-4</v>
      </c>
      <c r="K196">
        <v>4.3720599999999999E-4</v>
      </c>
      <c r="L196">
        <v>5.7225699999999995E-4</v>
      </c>
      <c r="M196">
        <v>2.69125E-4</v>
      </c>
      <c r="N196">
        <v>2.8431399999999998E-4</v>
      </c>
      <c r="O196">
        <v>4.16074E-4</v>
      </c>
      <c r="P196">
        <v>2.4283599999999999E-4</v>
      </c>
      <c r="Q196">
        <v>2.3434199999999999E-4</v>
      </c>
      <c r="R196">
        <v>2.2334500000000001E-4</v>
      </c>
      <c r="S196">
        <v>1.6971999999999999E-4</v>
      </c>
      <c r="T196">
        <v>2.3438800000000001E-4</v>
      </c>
    </row>
    <row r="197" spans="1:20" hidden="1" x14ac:dyDescent="0.25">
      <c r="A197" t="s">
        <v>215</v>
      </c>
      <c r="B197">
        <v>4.9293000000000004E-4</v>
      </c>
      <c r="C197">
        <v>4.4430899999999999E-4</v>
      </c>
      <c r="D197">
        <v>2.4626999999999999E-4</v>
      </c>
      <c r="E197">
        <v>1.98607E-4</v>
      </c>
      <c r="F197">
        <v>5.0228399999999998E-4</v>
      </c>
      <c r="G197">
        <v>2.5479300000000001E-4</v>
      </c>
      <c r="H197">
        <v>3.615E-4</v>
      </c>
      <c r="I197">
        <v>2.29745E-4</v>
      </c>
      <c r="J197">
        <v>6.4620200000000002E-4</v>
      </c>
      <c r="K197">
        <v>2.6593199999999997E-4</v>
      </c>
      <c r="L197">
        <v>2.5596199999999999E-4</v>
      </c>
      <c r="M197" s="1">
        <v>9.4500000000000007E-5</v>
      </c>
      <c r="N197">
        <v>1.12954E-4</v>
      </c>
      <c r="O197">
        <v>1.37773E-4</v>
      </c>
      <c r="P197">
        <v>5.8162199999999996E-4</v>
      </c>
      <c r="Q197">
        <v>1.0251310000000001E-3</v>
      </c>
      <c r="R197">
        <v>1.03739E-4</v>
      </c>
      <c r="S197" s="1">
        <v>6.8200000000000004E-5</v>
      </c>
      <c r="T197">
        <v>9.6389399999999997E-4</v>
      </c>
    </row>
    <row r="198" spans="1:20" hidden="1" x14ac:dyDescent="0.25">
      <c r="A198" t="s">
        <v>216</v>
      </c>
      <c r="B198">
        <v>7.0993599999999999E-4</v>
      </c>
      <c r="C198">
        <v>1.458738E-3</v>
      </c>
      <c r="D198">
        <v>1.0205870000000001E-3</v>
      </c>
      <c r="E198">
        <v>8.9559999999999998E-4</v>
      </c>
      <c r="F198">
        <v>8.9922600000000004E-4</v>
      </c>
      <c r="G198">
        <v>1.084347E-3</v>
      </c>
      <c r="H198">
        <v>1.513564E-3</v>
      </c>
      <c r="I198">
        <v>1.092768E-3</v>
      </c>
      <c r="J198">
        <v>1.0288039999999999E-3</v>
      </c>
      <c r="K198">
        <v>1.205266E-3</v>
      </c>
      <c r="L198">
        <v>1.2250169999999999E-3</v>
      </c>
      <c r="M198">
        <v>4.9494199999999995E-4</v>
      </c>
      <c r="N198">
        <v>7.8232300000000002E-4</v>
      </c>
      <c r="O198">
        <v>6.32691E-4</v>
      </c>
      <c r="P198">
        <v>4.8745199999999998E-4</v>
      </c>
      <c r="Q198">
        <v>6.4291299999999995E-4</v>
      </c>
      <c r="R198">
        <v>4.6592200000000002E-4</v>
      </c>
      <c r="S198">
        <v>3.6840199999999999E-4</v>
      </c>
      <c r="T198">
        <v>1.051604E-3</v>
      </c>
    </row>
    <row r="199" spans="1:20" hidden="1" x14ac:dyDescent="0.25">
      <c r="A199" t="s">
        <v>217</v>
      </c>
      <c r="B199">
        <v>3.2452300000000001E-4</v>
      </c>
      <c r="C199">
        <v>6.2173199999999995E-4</v>
      </c>
      <c r="D199">
        <v>3.24061E-4</v>
      </c>
      <c r="E199">
        <v>5.0275899999999998E-4</v>
      </c>
      <c r="F199">
        <v>2.9191699999999999E-4</v>
      </c>
      <c r="G199">
        <v>5.4712499999999998E-4</v>
      </c>
      <c r="H199">
        <v>1.0382670000000001E-3</v>
      </c>
      <c r="I199">
        <v>5.8480200000000004E-4</v>
      </c>
      <c r="J199">
        <v>5.6072200000000004E-4</v>
      </c>
      <c r="K199">
        <v>4.36935E-4</v>
      </c>
      <c r="L199">
        <v>5.8442800000000001E-4</v>
      </c>
      <c r="M199">
        <v>3.0514099999999998E-4</v>
      </c>
      <c r="N199">
        <v>5.5219299999999998E-4</v>
      </c>
      <c r="O199">
        <v>5.4788000000000005E-4</v>
      </c>
      <c r="P199">
        <v>2.6463399999999997E-4</v>
      </c>
      <c r="Q199">
        <v>2.1237099999999999E-4</v>
      </c>
      <c r="R199">
        <v>1.97164E-4</v>
      </c>
      <c r="S199">
        <v>2.3986799999999999E-4</v>
      </c>
      <c r="T199">
        <v>2.7777200000000002E-4</v>
      </c>
    </row>
    <row r="200" spans="1:20" hidden="1" x14ac:dyDescent="0.25">
      <c r="A200" t="s">
        <v>218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1.3286299999999999E-4</v>
      </c>
      <c r="I200">
        <v>1.00769E-4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s="1">
        <v>7.8200000000000003E-5</v>
      </c>
      <c r="Q200" s="1">
        <v>7.8100000000000001E-5</v>
      </c>
      <c r="R200" s="1">
        <v>7.1600000000000006E-5</v>
      </c>
      <c r="S200">
        <v>1.56754E-4</v>
      </c>
      <c r="T200">
        <v>1.51865E-4</v>
      </c>
    </row>
    <row r="201" spans="1:20" hidden="1" x14ac:dyDescent="0.25">
      <c r="A201" t="s">
        <v>219</v>
      </c>
      <c r="B201">
        <v>3.5790399999999998E-4</v>
      </c>
      <c r="C201">
        <v>8.7102800000000004E-4</v>
      </c>
      <c r="D201">
        <v>7.1169199999999999E-4</v>
      </c>
      <c r="E201">
        <v>5.7821200000000004E-4</v>
      </c>
      <c r="F201">
        <v>5.0735899999999998E-4</v>
      </c>
      <c r="G201">
        <v>5.9896299999999999E-4</v>
      </c>
      <c r="H201">
        <v>1.1829690000000001E-3</v>
      </c>
      <c r="I201">
        <v>7.70863E-4</v>
      </c>
      <c r="J201">
        <v>5.4190599999999998E-4</v>
      </c>
      <c r="K201">
        <v>5.8361000000000003E-4</v>
      </c>
      <c r="L201">
        <v>6.9330900000000003E-4</v>
      </c>
      <c r="M201">
        <v>3.0677299999999998E-4</v>
      </c>
      <c r="N201">
        <v>5.66813E-4</v>
      </c>
      <c r="O201">
        <v>4.1907100000000003E-4</v>
      </c>
      <c r="P201">
        <v>2.74448E-4</v>
      </c>
      <c r="Q201">
        <v>2.4389299999999999E-4</v>
      </c>
      <c r="R201">
        <v>2.7116999999999999E-4</v>
      </c>
      <c r="S201">
        <v>2.19543E-4</v>
      </c>
      <c r="T201">
        <v>3.00387E-4</v>
      </c>
    </row>
    <row r="202" spans="1:20" hidden="1" x14ac:dyDescent="0.25">
      <c r="A202" t="s">
        <v>220</v>
      </c>
      <c r="B202">
        <v>2.45923E-4</v>
      </c>
      <c r="C202">
        <v>3.8675500000000002E-4</v>
      </c>
      <c r="D202">
        <v>3.0310299999999999E-4</v>
      </c>
      <c r="E202">
        <v>2.9687799999999999E-4</v>
      </c>
      <c r="F202">
        <v>2.57199E-4</v>
      </c>
      <c r="G202">
        <v>3.3696399999999998E-4</v>
      </c>
      <c r="H202">
        <v>5.0557E-4</v>
      </c>
      <c r="I202">
        <v>3.3472599999999998E-4</v>
      </c>
      <c r="J202">
        <v>3.4124999999999997E-4</v>
      </c>
      <c r="K202">
        <v>3.3548999999999997E-4</v>
      </c>
      <c r="L202">
        <v>3.5606800000000002E-4</v>
      </c>
      <c r="M202">
        <v>1.7775399999999999E-4</v>
      </c>
      <c r="N202">
        <v>1.36327E-4</v>
      </c>
      <c r="O202">
        <v>3.06426E-4</v>
      </c>
      <c r="P202">
        <v>1.6002799999999999E-4</v>
      </c>
      <c r="Q202">
        <v>1.2810999999999999E-4</v>
      </c>
      <c r="R202">
        <v>1.0155200000000001E-4</v>
      </c>
      <c r="S202" s="1">
        <v>5.8999999999999998E-5</v>
      </c>
      <c r="T202">
        <v>1.1975499999999999E-4</v>
      </c>
    </row>
    <row r="203" spans="1:20" hidden="1" x14ac:dyDescent="0.25">
      <c r="A203" t="s">
        <v>221</v>
      </c>
      <c r="B203" s="1">
        <v>4.4199999999999997E-5</v>
      </c>
      <c r="C203" s="1">
        <v>7.1400000000000001E-5</v>
      </c>
      <c r="D203" s="1">
        <v>6.2500000000000001E-5</v>
      </c>
      <c r="E203">
        <v>1.20402E-4</v>
      </c>
      <c r="F203">
        <v>1.4931499999999999E-4</v>
      </c>
      <c r="G203" s="1">
        <v>6.7100000000000005E-5</v>
      </c>
      <c r="H203">
        <v>1.6801399999999999E-4</v>
      </c>
      <c r="I203" s="1">
        <v>7.9200000000000001E-5</v>
      </c>
      <c r="J203" s="1">
        <v>6.1099999999999994E-5</v>
      </c>
      <c r="K203" s="1">
        <v>8.9300000000000002E-5</v>
      </c>
      <c r="L203" s="1">
        <v>5.6900000000000001E-5</v>
      </c>
      <c r="M203" s="1">
        <v>3.9199999999999997E-5</v>
      </c>
      <c r="N203" s="1">
        <v>2.3499999999999999E-5</v>
      </c>
      <c r="O203" s="1">
        <v>4.8600000000000002E-5</v>
      </c>
      <c r="P203" s="1">
        <v>2.4600000000000002E-5</v>
      </c>
      <c r="Q203" s="1">
        <v>2.2900000000000001E-5</v>
      </c>
      <c r="R203" s="1">
        <v>2.1100000000000001E-5</v>
      </c>
      <c r="S203" s="1">
        <v>5.38E-5</v>
      </c>
      <c r="T203" s="1">
        <v>2.9899999999999998E-5</v>
      </c>
    </row>
    <row r="204" spans="1:20" hidden="1" x14ac:dyDescent="0.25">
      <c r="A204" t="s">
        <v>222</v>
      </c>
      <c r="B204" s="1">
        <v>1.1199999999999999E-5</v>
      </c>
      <c r="C204" s="1">
        <v>1.3200000000000001E-5</v>
      </c>
      <c r="D204" s="1">
        <v>1.03E-5</v>
      </c>
      <c r="E204" s="1">
        <v>1.04E-5</v>
      </c>
      <c r="F204" s="1">
        <v>1.73E-5</v>
      </c>
      <c r="G204" s="1">
        <v>2.16E-5</v>
      </c>
      <c r="H204" s="1">
        <v>1.8099999999999999E-5</v>
      </c>
      <c r="I204" s="1">
        <v>1.5999999999999999E-5</v>
      </c>
      <c r="J204" s="1">
        <v>1.1600000000000001E-5</v>
      </c>
      <c r="K204" s="1">
        <v>1.1E-5</v>
      </c>
      <c r="L204" s="1">
        <v>1.0699999999999999E-5</v>
      </c>
      <c r="M204" s="1">
        <v>1.24E-5</v>
      </c>
      <c r="N204">
        <v>0</v>
      </c>
      <c r="O204">
        <v>0</v>
      </c>
      <c r="P204" s="1">
        <v>1.49E-5</v>
      </c>
      <c r="Q204" s="1">
        <v>1.4600000000000001E-5</v>
      </c>
      <c r="R204" s="1">
        <v>1.5299999999999999E-5</v>
      </c>
      <c r="S204" s="1">
        <v>1.4600000000000001E-5</v>
      </c>
      <c r="T204" s="1">
        <v>1.9000000000000001E-5</v>
      </c>
    </row>
    <row r="205" spans="1:20" hidden="1" x14ac:dyDescent="0.25">
      <c r="A205" t="s">
        <v>223</v>
      </c>
      <c r="B205" s="1">
        <v>6.0100000000000001E-6</v>
      </c>
      <c r="C205" s="1">
        <v>6.4200000000000004E-6</v>
      </c>
      <c r="D205" s="1">
        <v>7.3100000000000003E-6</v>
      </c>
      <c r="E205" s="1">
        <v>6.7599999999999997E-6</v>
      </c>
      <c r="F205" s="1">
        <v>8.2199999999999992E-6</v>
      </c>
      <c r="G205" s="1">
        <v>6.4300000000000003E-6</v>
      </c>
      <c r="H205" s="1">
        <v>7.3000000000000004E-6</v>
      </c>
      <c r="I205" s="1">
        <v>5.3700000000000003E-6</v>
      </c>
      <c r="J205" s="1">
        <v>5.4500000000000003E-6</v>
      </c>
      <c r="K205" s="1">
        <v>5.5199999999999997E-6</v>
      </c>
      <c r="L205" s="1">
        <v>6.0900000000000001E-6</v>
      </c>
      <c r="M205" s="1">
        <v>6.0000000000000002E-6</v>
      </c>
      <c r="N205">
        <v>0</v>
      </c>
      <c r="O205" s="1">
        <v>5.4E-6</v>
      </c>
      <c r="P205">
        <v>0</v>
      </c>
      <c r="Q205">
        <v>0</v>
      </c>
      <c r="R205" s="1">
        <v>5.5899999999999998E-6</v>
      </c>
      <c r="S205" s="1">
        <v>4.2100000000000003E-6</v>
      </c>
      <c r="T205" s="1">
        <v>3.3500000000000001E-6</v>
      </c>
    </row>
    <row r="206" spans="1:20" hidden="1" x14ac:dyDescent="0.25">
      <c r="A206" t="s">
        <v>224</v>
      </c>
      <c r="B206">
        <v>0</v>
      </c>
      <c r="C206">
        <v>0</v>
      </c>
      <c r="D206" s="1">
        <v>2.9200000000000002E-5</v>
      </c>
      <c r="E206" s="1">
        <v>2.73E-5</v>
      </c>
      <c r="F206" s="1">
        <v>1.91E-5</v>
      </c>
      <c r="G206">
        <v>0</v>
      </c>
      <c r="H206">
        <v>0</v>
      </c>
      <c r="I206" s="1">
        <v>1.3499999999999999E-5</v>
      </c>
      <c r="J206" s="1">
        <v>1.6799999999999998E-5</v>
      </c>
      <c r="K206" s="1">
        <v>1.88E-5</v>
      </c>
      <c r="L206" s="1">
        <v>1.6399999999999999E-5</v>
      </c>
      <c r="M206" s="1">
        <v>8.4100000000000008E-6</v>
      </c>
      <c r="N206">
        <v>0</v>
      </c>
      <c r="O206" s="1">
        <v>1.6799999999999998E-5</v>
      </c>
      <c r="P206">
        <v>0</v>
      </c>
      <c r="Q206" s="1">
        <v>1.84E-5</v>
      </c>
      <c r="R206" s="1">
        <v>2.0100000000000001E-5</v>
      </c>
      <c r="S206" s="1">
        <v>2.05E-5</v>
      </c>
      <c r="T206" s="1">
        <v>3.2700000000000002E-5</v>
      </c>
    </row>
    <row r="207" spans="1:20" hidden="1" x14ac:dyDescent="0.25">
      <c r="A207" t="s">
        <v>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s="1">
        <v>6.05E-5</v>
      </c>
      <c r="R207" s="1">
        <v>3.1300000000000002E-5</v>
      </c>
      <c r="S207" s="1">
        <v>7.4499999999999995E-5</v>
      </c>
      <c r="T207" s="1">
        <v>2.3600000000000001E-5</v>
      </c>
    </row>
    <row r="208" spans="1:20" hidden="1" x14ac:dyDescent="0.25">
      <c r="A208" t="s">
        <v>226</v>
      </c>
      <c r="B208">
        <v>0</v>
      </c>
      <c r="C208">
        <v>0</v>
      </c>
      <c r="D208">
        <v>0</v>
      </c>
      <c r="E208">
        <v>0</v>
      </c>
      <c r="F208" s="1">
        <v>3.43E-5</v>
      </c>
      <c r="G208" s="1">
        <v>4.5599999999999997E-5</v>
      </c>
      <c r="H208" s="1">
        <v>2.97E-5</v>
      </c>
      <c r="I208">
        <v>0</v>
      </c>
      <c r="J208">
        <v>0</v>
      </c>
      <c r="K208">
        <v>0</v>
      </c>
      <c r="L208">
        <v>0</v>
      </c>
      <c r="M208">
        <v>0</v>
      </c>
      <c r="N208" s="1">
        <v>1.95E-5</v>
      </c>
      <c r="O208">
        <v>0</v>
      </c>
      <c r="P208">
        <v>0</v>
      </c>
      <c r="Q208" s="1">
        <v>3.3099999999999998E-5</v>
      </c>
      <c r="R208" s="1">
        <v>1.7200000000000001E-5</v>
      </c>
      <c r="S208" s="1">
        <v>4.6999999999999997E-5</v>
      </c>
      <c r="T208" s="1">
        <v>2.72E-5</v>
      </c>
    </row>
    <row r="209" spans="1:20" hidden="1" x14ac:dyDescent="0.25">
      <c r="A209" t="s">
        <v>227</v>
      </c>
      <c r="B209" s="1">
        <v>1.7099999999999999E-5</v>
      </c>
      <c r="C209" s="1">
        <v>1.7399999999999999E-5</v>
      </c>
      <c r="D209">
        <v>0</v>
      </c>
      <c r="E209" s="1">
        <v>1.0900000000000001E-5</v>
      </c>
      <c r="F209" s="1">
        <v>1.7099999999999999E-5</v>
      </c>
      <c r="G209" s="1">
        <v>2.16E-5</v>
      </c>
      <c r="H209" s="1">
        <v>1.63E-5</v>
      </c>
      <c r="I209" s="1">
        <v>3.3500000000000001E-5</v>
      </c>
      <c r="J209" s="1">
        <v>3.2799999999999998E-5</v>
      </c>
      <c r="K209">
        <v>0</v>
      </c>
      <c r="L209" s="1">
        <v>1.66E-5</v>
      </c>
      <c r="M209" s="1">
        <v>2.5899999999999999E-5</v>
      </c>
      <c r="N209" s="1">
        <v>3.4600000000000001E-5</v>
      </c>
      <c r="O209" s="1">
        <v>1.6799999999999998E-5</v>
      </c>
      <c r="P209" s="1">
        <v>4.7700000000000001E-5</v>
      </c>
      <c r="Q209" s="1">
        <v>5.0699999999999999E-5</v>
      </c>
      <c r="R209" s="1">
        <v>7.1600000000000006E-5</v>
      </c>
      <c r="S209" s="1">
        <v>3.9900000000000001E-5</v>
      </c>
      <c r="T209" s="1">
        <v>4.7899999999999999E-5</v>
      </c>
    </row>
    <row r="210" spans="1:20" hidden="1" x14ac:dyDescent="0.25">
      <c r="A210" t="s">
        <v>228</v>
      </c>
      <c r="B210">
        <v>0</v>
      </c>
      <c r="C210" s="1">
        <v>1.4600000000000001E-5</v>
      </c>
      <c r="D210" s="1">
        <v>1.15E-5</v>
      </c>
      <c r="E210" s="1">
        <v>1.1800000000000001E-5</v>
      </c>
      <c r="F210" s="1">
        <v>8.8799999999999997E-6</v>
      </c>
      <c r="G210">
        <v>0</v>
      </c>
      <c r="H210">
        <v>0</v>
      </c>
      <c r="I210" s="1">
        <v>8.6200000000000005E-6</v>
      </c>
      <c r="J210">
        <v>0</v>
      </c>
      <c r="K210" s="1">
        <v>9.3899999999999999E-6</v>
      </c>
      <c r="L210" s="1">
        <v>1.24E-5</v>
      </c>
      <c r="M210">
        <v>0</v>
      </c>
      <c r="N210">
        <v>0</v>
      </c>
      <c r="O210" s="1">
        <v>6.9999999999999999E-6</v>
      </c>
      <c r="P210">
        <v>0</v>
      </c>
      <c r="Q210">
        <v>0</v>
      </c>
      <c r="R210" s="1">
        <v>5.5999999999999997E-6</v>
      </c>
      <c r="S210">
        <v>0</v>
      </c>
      <c r="T210">
        <v>0</v>
      </c>
    </row>
    <row r="211" spans="1:20" hidden="1" x14ac:dyDescent="0.25">
      <c r="A211" t="s">
        <v>229</v>
      </c>
      <c r="B211" s="1">
        <v>7.0099999999999996E-5</v>
      </c>
      <c r="C211" s="1">
        <v>9.6600000000000003E-5</v>
      </c>
      <c r="D211">
        <v>1.20408E-4</v>
      </c>
      <c r="E211">
        <v>1.5120800000000001E-4</v>
      </c>
      <c r="F211" s="1">
        <v>9.2499999999999999E-5</v>
      </c>
      <c r="G211" s="1">
        <v>4.6199999999999998E-5</v>
      </c>
      <c r="H211" s="1">
        <v>6.86E-5</v>
      </c>
      <c r="I211" s="1">
        <v>4.1900000000000002E-5</v>
      </c>
      <c r="J211" s="1">
        <v>6.0699999999999998E-5</v>
      </c>
      <c r="K211" s="1">
        <v>9.1299999999999997E-5</v>
      </c>
      <c r="L211" s="1">
        <v>7.75E-5</v>
      </c>
      <c r="M211" s="1">
        <v>5.5300000000000002E-5</v>
      </c>
      <c r="N211" s="1">
        <v>4.9599999999999999E-5</v>
      </c>
      <c r="O211" s="1">
        <v>7.3999999999999996E-5</v>
      </c>
      <c r="P211" s="1">
        <v>2.0299999999999999E-5</v>
      </c>
      <c r="Q211" s="1">
        <v>1.6200000000000001E-5</v>
      </c>
      <c r="R211" s="1">
        <v>1.7E-5</v>
      </c>
      <c r="S211" s="1">
        <v>1.77E-5</v>
      </c>
      <c r="T211" s="1">
        <v>1.8199999999999999E-5</v>
      </c>
    </row>
    <row r="212" spans="1:20" hidden="1" x14ac:dyDescent="0.25">
      <c r="A212" t="s">
        <v>230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1.8435200000000001E-4</v>
      </c>
      <c r="Q212">
        <v>3.6220300000000001E-4</v>
      </c>
      <c r="R212">
        <v>2.0697399999999999E-4</v>
      </c>
      <c r="S212">
        <v>0</v>
      </c>
      <c r="T212">
        <v>2.1926700000000001E-4</v>
      </c>
    </row>
    <row r="213" spans="1:20" hidden="1" x14ac:dyDescent="0.25">
      <c r="A213" t="s">
        <v>231</v>
      </c>
      <c r="B213">
        <v>2.9634932999999999E-2</v>
      </c>
      <c r="C213">
        <v>2.5836369000000001E-2</v>
      </c>
      <c r="D213">
        <v>2.3091152E-2</v>
      </c>
      <c r="E213">
        <v>2.5059087000000001E-2</v>
      </c>
      <c r="F213">
        <v>2.6612427000000001E-2</v>
      </c>
      <c r="G213">
        <v>1.8202637000000001E-2</v>
      </c>
      <c r="H213">
        <v>1.3025798E-2</v>
      </c>
      <c r="I213">
        <v>1.6824229999999999E-2</v>
      </c>
      <c r="J213">
        <v>2.5773250000000001E-2</v>
      </c>
      <c r="K213">
        <v>1.8483474999999999E-2</v>
      </c>
      <c r="L213">
        <v>1.520639E-2</v>
      </c>
      <c r="M213">
        <v>1.8366405999999998E-2</v>
      </c>
      <c r="N213">
        <v>1.5619876E-2</v>
      </c>
      <c r="O213">
        <v>1.5220528000000001E-2</v>
      </c>
      <c r="P213">
        <v>1.3027453E-2</v>
      </c>
      <c r="Q213">
        <v>6.7422740000000004E-3</v>
      </c>
      <c r="R213">
        <v>6.8366470000000004E-3</v>
      </c>
      <c r="S213">
        <v>3.406863E-3</v>
      </c>
      <c r="T213">
        <v>6.0498169999999999E-3</v>
      </c>
    </row>
    <row r="214" spans="1:20" hidden="1" x14ac:dyDescent="0.25">
      <c r="A214" t="s">
        <v>232</v>
      </c>
      <c r="B214" s="1">
        <v>1.36E-5</v>
      </c>
      <c r="C214">
        <v>0</v>
      </c>
      <c r="D214">
        <v>0</v>
      </c>
      <c r="E214" s="1">
        <v>1.8199999999999999E-5</v>
      </c>
      <c r="F214" s="1">
        <v>1.59E-5</v>
      </c>
      <c r="G214">
        <v>0</v>
      </c>
      <c r="H214" s="1">
        <v>1.08E-5</v>
      </c>
      <c r="I214">
        <v>0</v>
      </c>
      <c r="J214" s="1">
        <v>2.12E-5</v>
      </c>
      <c r="K214" s="1">
        <v>1.29E-5</v>
      </c>
      <c r="L214" s="1">
        <v>1.24E-5</v>
      </c>
      <c r="M214" s="1">
        <v>1.0200000000000001E-5</v>
      </c>
      <c r="N214" s="1">
        <v>9.9000000000000001E-6</v>
      </c>
      <c r="O214" s="1">
        <v>6.5900000000000003E-5</v>
      </c>
      <c r="P214" s="1">
        <v>1.9300000000000002E-5</v>
      </c>
      <c r="Q214" s="1">
        <v>4.4100000000000001E-5</v>
      </c>
      <c r="R214" s="1">
        <v>5.3100000000000003E-5</v>
      </c>
      <c r="S214" s="1">
        <v>3.2499999999999997E-5</v>
      </c>
      <c r="T214" s="1">
        <v>2.8600000000000001E-5</v>
      </c>
    </row>
    <row r="215" spans="1:20" hidden="1" x14ac:dyDescent="0.25">
      <c r="A215" t="s">
        <v>233</v>
      </c>
      <c r="B215" s="1">
        <v>1.66E-5</v>
      </c>
      <c r="C215">
        <v>0</v>
      </c>
      <c r="D215" s="1">
        <v>1.8499999999999999E-5</v>
      </c>
      <c r="E215" s="1">
        <v>1.9000000000000001E-5</v>
      </c>
      <c r="F215" s="1">
        <v>1.8300000000000001E-5</v>
      </c>
      <c r="G215" s="1">
        <v>2.27E-5</v>
      </c>
      <c r="H215" s="1">
        <v>2.69E-5</v>
      </c>
      <c r="I215" s="1">
        <v>1.3900000000000001E-5</v>
      </c>
      <c r="J215" s="1">
        <v>1.7900000000000001E-5</v>
      </c>
      <c r="K215" s="1">
        <v>2.8E-5</v>
      </c>
      <c r="L215" s="1">
        <v>1.0499999999999999E-5</v>
      </c>
      <c r="M215" s="1">
        <v>3.2499999999999997E-5</v>
      </c>
      <c r="N215" s="1">
        <v>1.9599999999999999E-5</v>
      </c>
      <c r="O215" s="1">
        <v>1.3699999999999999E-5</v>
      </c>
      <c r="P215" s="1">
        <v>3.4400000000000003E-5</v>
      </c>
      <c r="Q215" s="1">
        <v>5.8400000000000003E-5</v>
      </c>
      <c r="R215" s="1">
        <v>4.7299999999999998E-5</v>
      </c>
      <c r="S215" s="1">
        <v>6.8200000000000004E-5</v>
      </c>
      <c r="T215">
        <v>1.13649E-4</v>
      </c>
    </row>
    <row r="216" spans="1:20" hidden="1" x14ac:dyDescent="0.25">
      <c r="A216" t="s">
        <v>234</v>
      </c>
      <c r="B216">
        <v>1.7679180000000001E-3</v>
      </c>
      <c r="C216">
        <v>1.2773389999999999E-3</v>
      </c>
      <c r="D216">
        <v>7.9827900000000005E-4</v>
      </c>
      <c r="E216">
        <v>7.8644700000000001E-4</v>
      </c>
      <c r="F216">
        <v>1.076282E-3</v>
      </c>
      <c r="G216">
        <v>1.4948100000000001E-3</v>
      </c>
      <c r="H216">
        <v>3.9461909999999999E-3</v>
      </c>
      <c r="I216">
        <v>1.0324469999999999E-3</v>
      </c>
      <c r="J216">
        <v>1.183602E-3</v>
      </c>
      <c r="K216">
        <v>1.1161210000000001E-3</v>
      </c>
      <c r="L216">
        <v>1.016966E-3</v>
      </c>
      <c r="M216">
        <v>1.901242E-3</v>
      </c>
      <c r="N216">
        <v>1.8802179999999999E-3</v>
      </c>
      <c r="O216">
        <v>1.510951E-3</v>
      </c>
      <c r="P216">
        <v>2.543961E-3</v>
      </c>
      <c r="Q216">
        <v>1.909364E-3</v>
      </c>
      <c r="R216">
        <v>1.1932480000000001E-3</v>
      </c>
      <c r="S216">
        <v>1.4971489999999999E-3</v>
      </c>
      <c r="T216">
        <v>1.3542199999999999E-3</v>
      </c>
    </row>
    <row r="217" spans="1:20" hidden="1" x14ac:dyDescent="0.25">
      <c r="A217" t="s">
        <v>235</v>
      </c>
      <c r="B217">
        <v>0</v>
      </c>
      <c r="C217" s="1">
        <v>7.5900000000000002E-5</v>
      </c>
      <c r="D217" s="1">
        <v>6.8700000000000003E-5</v>
      </c>
      <c r="E217" s="1">
        <v>7.5500000000000006E-5</v>
      </c>
      <c r="F217">
        <v>0</v>
      </c>
      <c r="G217" s="1">
        <v>6.2500000000000001E-5</v>
      </c>
      <c r="H217" s="1">
        <v>5.1900000000000001E-5</v>
      </c>
      <c r="I217">
        <v>0</v>
      </c>
      <c r="J217" s="1">
        <v>4.6400000000000003E-5</v>
      </c>
      <c r="K217" s="1">
        <v>8.42E-5</v>
      </c>
      <c r="L217" s="1">
        <v>6.69E-5</v>
      </c>
      <c r="M217" s="1">
        <v>3.8000000000000002E-5</v>
      </c>
      <c r="N217">
        <v>0</v>
      </c>
      <c r="O217">
        <v>0</v>
      </c>
      <c r="P217" s="1">
        <v>5.7399999999999999E-5</v>
      </c>
      <c r="Q217" s="1">
        <v>8.1299999999999997E-5</v>
      </c>
      <c r="R217" s="1">
        <v>9.0199999999999997E-5</v>
      </c>
      <c r="S217">
        <v>1.49097E-4</v>
      </c>
      <c r="T217">
        <v>1.09664E-4</v>
      </c>
    </row>
    <row r="218" spans="1:20" hidden="1" x14ac:dyDescent="0.25">
      <c r="A218" t="s">
        <v>236</v>
      </c>
      <c r="B218">
        <v>0</v>
      </c>
      <c r="C218" s="1">
        <v>1.5699999999999999E-5</v>
      </c>
      <c r="D218">
        <v>0</v>
      </c>
      <c r="E218">
        <v>0</v>
      </c>
      <c r="F218">
        <v>0</v>
      </c>
      <c r="G218">
        <v>3.2135600000000002E-4</v>
      </c>
      <c r="H218">
        <v>2.7033100000000001E-4</v>
      </c>
      <c r="I218" s="1">
        <v>2.0400000000000001E-5</v>
      </c>
      <c r="J218">
        <v>0</v>
      </c>
      <c r="K218" s="1">
        <v>2.0100000000000001E-5</v>
      </c>
      <c r="L218" s="1">
        <v>3.4799999999999999E-5</v>
      </c>
      <c r="M218" s="1">
        <v>1.5400000000000002E-5</v>
      </c>
      <c r="N218" s="1">
        <v>3.8300000000000003E-5</v>
      </c>
      <c r="O218" s="1">
        <v>2.44E-5</v>
      </c>
      <c r="P218">
        <v>2.6981500000000002E-4</v>
      </c>
      <c r="Q218" s="1">
        <v>1.9400000000000001E-5</v>
      </c>
      <c r="R218" s="1">
        <v>1.6699999999999999E-5</v>
      </c>
      <c r="S218">
        <v>0</v>
      </c>
      <c r="T218">
        <v>0</v>
      </c>
    </row>
    <row r="219" spans="1:20" hidden="1" x14ac:dyDescent="0.25">
      <c r="A219" t="s">
        <v>237</v>
      </c>
      <c r="B219" s="1">
        <v>8.14E-5</v>
      </c>
      <c r="C219" s="1">
        <v>6.1099999999999994E-5</v>
      </c>
      <c r="D219" s="1">
        <v>5.7599999999999997E-5</v>
      </c>
      <c r="E219" s="1">
        <v>4.7800000000000003E-5</v>
      </c>
      <c r="F219" s="1">
        <v>9.4900000000000003E-5</v>
      </c>
      <c r="G219">
        <v>1.03967E-4</v>
      </c>
      <c r="H219" s="1">
        <v>8.8900000000000006E-5</v>
      </c>
      <c r="I219">
        <v>1.03651E-4</v>
      </c>
      <c r="J219">
        <v>1.0039099999999999E-4</v>
      </c>
      <c r="K219" s="1">
        <v>7.4200000000000001E-5</v>
      </c>
      <c r="L219" s="1">
        <v>7.2000000000000002E-5</v>
      </c>
      <c r="M219" s="1">
        <v>9.9300000000000001E-5</v>
      </c>
      <c r="N219">
        <v>1.77164E-4</v>
      </c>
      <c r="O219">
        <v>1.2312900000000001E-4</v>
      </c>
      <c r="P219">
        <v>1.29173E-4</v>
      </c>
      <c r="Q219">
        <v>1.5061400000000001E-4</v>
      </c>
      <c r="R219">
        <v>1.2990199999999999E-4</v>
      </c>
      <c r="S219">
        <v>2.3759900000000001E-4</v>
      </c>
      <c r="T219">
        <v>1.26649E-4</v>
      </c>
    </row>
    <row r="220" spans="1:20" hidden="1" x14ac:dyDescent="0.25">
      <c r="A220" t="s">
        <v>238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s="1">
        <v>1.19E-5</v>
      </c>
      <c r="Q220" s="1">
        <v>5.8499999999999999E-5</v>
      </c>
      <c r="R220">
        <v>0</v>
      </c>
      <c r="S220" s="1">
        <v>2.6800000000000001E-5</v>
      </c>
      <c r="T220">
        <v>1.51371E-4</v>
      </c>
    </row>
    <row r="221" spans="1:20" hidden="1" x14ac:dyDescent="0.25">
      <c r="A221" t="s">
        <v>239</v>
      </c>
      <c r="B221">
        <v>3.9826100000000001E-4</v>
      </c>
      <c r="C221">
        <v>6.3725800000000003E-4</v>
      </c>
      <c r="D221">
        <v>6.3055100000000003E-4</v>
      </c>
      <c r="E221">
        <v>6.1942799999999999E-4</v>
      </c>
      <c r="F221">
        <v>4.8285E-4</v>
      </c>
      <c r="G221">
        <v>7.1493100000000003E-4</v>
      </c>
      <c r="H221">
        <v>6.6759199999999995E-4</v>
      </c>
      <c r="I221">
        <v>5.61174E-4</v>
      </c>
      <c r="J221">
        <v>5.0278400000000004E-4</v>
      </c>
      <c r="K221">
        <v>5.8200199999999998E-4</v>
      </c>
      <c r="L221">
        <v>6.7935999999999995E-4</v>
      </c>
      <c r="M221">
        <v>4.3305600000000002E-4</v>
      </c>
      <c r="N221">
        <v>5.7989900000000004E-4</v>
      </c>
      <c r="O221">
        <v>7.6320299999999995E-4</v>
      </c>
      <c r="P221">
        <v>4.5897000000000001E-4</v>
      </c>
      <c r="Q221">
        <v>2.08333E-4</v>
      </c>
      <c r="R221">
        <v>2.9870800000000001E-4</v>
      </c>
      <c r="S221">
        <v>1.5435399999999999E-4</v>
      </c>
      <c r="T221">
        <v>1.86171E-4</v>
      </c>
    </row>
    <row r="222" spans="1:20" hidden="1" x14ac:dyDescent="0.25">
      <c r="A222" t="s">
        <v>240</v>
      </c>
      <c r="B222" s="1">
        <v>3.1099999999999997E-5</v>
      </c>
      <c r="C222" s="1">
        <v>1.88E-5</v>
      </c>
      <c r="D222" s="1">
        <v>3.7200000000000003E-5</v>
      </c>
      <c r="E222" s="1">
        <v>2.1800000000000001E-5</v>
      </c>
      <c r="F222" s="1">
        <v>2.69E-5</v>
      </c>
      <c r="G222">
        <v>0</v>
      </c>
      <c r="H222">
        <v>0</v>
      </c>
      <c r="I222" s="1">
        <v>2.0100000000000001E-5</v>
      </c>
      <c r="J222" s="1">
        <v>2.6999999999999999E-5</v>
      </c>
      <c r="K222" s="1">
        <v>3.6900000000000002E-5</v>
      </c>
      <c r="L222" s="1">
        <v>2.7399999999999999E-5</v>
      </c>
      <c r="M222" s="1">
        <v>3.3200000000000001E-5</v>
      </c>
      <c r="N222" s="1">
        <v>4.3000000000000002E-5</v>
      </c>
      <c r="O222" s="1">
        <v>3.7299999999999999E-5</v>
      </c>
      <c r="P222" s="1">
        <v>3.4E-5</v>
      </c>
      <c r="Q222">
        <v>0</v>
      </c>
      <c r="R222" s="1">
        <v>2.6100000000000001E-5</v>
      </c>
      <c r="S222" s="1">
        <v>2.37E-5</v>
      </c>
      <c r="T222" s="1">
        <v>2.8600000000000001E-5</v>
      </c>
    </row>
    <row r="223" spans="1:20" hidden="1" x14ac:dyDescent="0.25">
      <c r="A223" t="s">
        <v>241</v>
      </c>
      <c r="B223">
        <v>1.1832600000000001E-4</v>
      </c>
      <c r="C223">
        <v>1.1158E-4</v>
      </c>
      <c r="D223">
        <v>1.21191E-4</v>
      </c>
      <c r="E223">
        <v>1.2184900000000001E-4</v>
      </c>
      <c r="F223">
        <v>1.5910699999999999E-4</v>
      </c>
      <c r="G223" s="1">
        <v>9.9599999999999995E-5</v>
      </c>
      <c r="H223">
        <v>1.13837E-4</v>
      </c>
      <c r="I223">
        <v>1.3953199999999999E-4</v>
      </c>
      <c r="J223">
        <v>1.27169E-4</v>
      </c>
      <c r="K223">
        <v>1.25411E-4</v>
      </c>
      <c r="L223">
        <v>1.2472199999999999E-4</v>
      </c>
      <c r="M223" s="1">
        <v>8.8999999999999995E-5</v>
      </c>
      <c r="N223">
        <v>1.21513E-4</v>
      </c>
      <c r="O223">
        <v>1.2558599999999999E-4</v>
      </c>
      <c r="P223">
        <v>1.18861E-4</v>
      </c>
      <c r="Q223" s="1">
        <v>9.98E-5</v>
      </c>
      <c r="R223" s="1">
        <v>7.8800000000000004E-5</v>
      </c>
      <c r="S223">
        <v>1.18918E-4</v>
      </c>
      <c r="T223" s="1">
        <v>9.5699999999999995E-5</v>
      </c>
    </row>
    <row r="224" spans="1:20" hidden="1" x14ac:dyDescent="0.25">
      <c r="A224" t="s">
        <v>242</v>
      </c>
      <c r="B224">
        <v>1.59801E-4</v>
      </c>
      <c r="C224">
        <v>1.8448E-4</v>
      </c>
      <c r="D224">
        <v>1.5782700000000001E-4</v>
      </c>
      <c r="E224">
        <v>1.9731699999999999E-4</v>
      </c>
      <c r="F224">
        <v>2.0652100000000001E-4</v>
      </c>
      <c r="G224">
        <v>2.2568299999999999E-4</v>
      </c>
      <c r="H224">
        <v>2.2612399999999999E-4</v>
      </c>
      <c r="I224">
        <v>1.67207E-4</v>
      </c>
      <c r="J224">
        <v>1.9288399999999999E-4</v>
      </c>
      <c r="K224">
        <v>1.9856499999999999E-4</v>
      </c>
      <c r="L224">
        <v>2.2831500000000001E-4</v>
      </c>
      <c r="M224">
        <v>1.5448E-4</v>
      </c>
      <c r="N224">
        <v>1.8507199999999999E-4</v>
      </c>
      <c r="O224">
        <v>2.0182699999999999E-4</v>
      </c>
      <c r="P224">
        <v>2.45107E-4</v>
      </c>
      <c r="Q224">
        <v>3.0568099999999998E-4</v>
      </c>
      <c r="R224">
        <v>3.3203699999999998E-4</v>
      </c>
      <c r="S224">
        <v>5.0180500000000002E-4</v>
      </c>
      <c r="T224">
        <v>2.7642699999999999E-4</v>
      </c>
    </row>
    <row r="225" spans="1:20" hidden="1" x14ac:dyDescent="0.25">
      <c r="A225" t="s">
        <v>243</v>
      </c>
      <c r="B225">
        <v>0</v>
      </c>
      <c r="C225" s="1">
        <v>3.26E-5</v>
      </c>
      <c r="D225" s="1">
        <v>3.5099999999999999E-5</v>
      </c>
      <c r="E225" s="1">
        <v>3.7700000000000002E-5</v>
      </c>
      <c r="F225" s="1">
        <v>4.6699999999999997E-5</v>
      </c>
      <c r="G225" s="1">
        <v>3.79E-5</v>
      </c>
      <c r="H225" s="1">
        <v>4.5200000000000001E-5</v>
      </c>
      <c r="I225" s="1">
        <v>4.6400000000000003E-5</v>
      </c>
      <c r="J225" s="1">
        <v>4.9200000000000003E-5</v>
      </c>
      <c r="K225" s="1">
        <v>3.3500000000000001E-5</v>
      </c>
      <c r="L225">
        <v>0</v>
      </c>
      <c r="M225">
        <v>0</v>
      </c>
      <c r="N225" s="1">
        <v>3.93E-5</v>
      </c>
      <c r="O225" s="1">
        <v>3.7100000000000001E-5</v>
      </c>
      <c r="P225" s="1">
        <v>4.2799999999999997E-5</v>
      </c>
      <c r="Q225" s="1">
        <v>5.0599999999999997E-5</v>
      </c>
      <c r="R225">
        <v>0</v>
      </c>
      <c r="S225" s="1">
        <v>3.7200000000000003E-5</v>
      </c>
      <c r="T225" s="1">
        <v>2.2799999999999999E-5</v>
      </c>
    </row>
    <row r="226" spans="1:20" hidden="1" x14ac:dyDescent="0.25">
      <c r="A226" t="s">
        <v>244</v>
      </c>
      <c r="B226">
        <v>3.8914199999999998E-4</v>
      </c>
      <c r="C226">
        <v>9.1454000000000004E-4</v>
      </c>
      <c r="D226">
        <v>1.1264389999999999E-3</v>
      </c>
      <c r="E226">
        <v>9.9437000000000006E-4</v>
      </c>
      <c r="F226">
        <v>2.1743909999999999E-3</v>
      </c>
      <c r="G226">
        <v>1.681332E-3</v>
      </c>
      <c r="H226">
        <v>3.1760499999999999E-4</v>
      </c>
      <c r="I226">
        <v>8.2098800000000003E-4</v>
      </c>
      <c r="J226">
        <v>2.3936699999999999E-4</v>
      </c>
      <c r="K226">
        <v>1.1452299999999999E-3</v>
      </c>
      <c r="L226">
        <v>2.5609899999999998E-4</v>
      </c>
      <c r="M226">
        <v>1.556804E-3</v>
      </c>
      <c r="N226">
        <v>2.33501E-4</v>
      </c>
      <c r="O226">
        <v>1.055231E-3</v>
      </c>
      <c r="P226">
        <v>2.24055E-4</v>
      </c>
      <c r="Q226">
        <v>2.0601899999999999E-4</v>
      </c>
      <c r="R226">
        <v>1.74506E-4</v>
      </c>
      <c r="S226">
        <v>2.4633499999999998E-4</v>
      </c>
      <c r="T226">
        <v>2.8367099999999999E-4</v>
      </c>
    </row>
    <row r="227" spans="1:20" hidden="1" x14ac:dyDescent="0.25">
      <c r="A227" t="s">
        <v>245</v>
      </c>
      <c r="B227">
        <v>9.1605400000000002E-4</v>
      </c>
      <c r="C227">
        <v>8.6917799999999996E-4</v>
      </c>
      <c r="D227">
        <v>1.1374480000000001E-3</v>
      </c>
      <c r="E227">
        <v>1.02943E-3</v>
      </c>
      <c r="F227">
        <v>9.8633000000000011E-4</v>
      </c>
      <c r="G227">
        <v>9.6547699999999996E-4</v>
      </c>
      <c r="H227">
        <v>1.104105E-3</v>
      </c>
      <c r="I227">
        <v>9.31525E-4</v>
      </c>
      <c r="J227">
        <v>9.56232E-4</v>
      </c>
      <c r="K227">
        <v>8.7230300000000005E-4</v>
      </c>
      <c r="L227">
        <v>1.1139940000000001E-3</v>
      </c>
      <c r="M227">
        <v>1.1991829999999999E-3</v>
      </c>
      <c r="N227">
        <v>8.6201500000000005E-4</v>
      </c>
      <c r="O227">
        <v>8.9128600000000003E-4</v>
      </c>
      <c r="P227">
        <v>1.1896299999999999E-3</v>
      </c>
      <c r="Q227">
        <v>1.9189400000000001E-3</v>
      </c>
      <c r="R227">
        <v>1.8383609999999999E-3</v>
      </c>
      <c r="S227">
        <v>1.3008200000000001E-3</v>
      </c>
      <c r="T227">
        <v>1.7754610000000001E-3</v>
      </c>
    </row>
    <row r="228" spans="1:20" hidden="1" x14ac:dyDescent="0.25">
      <c r="A228" t="s">
        <v>246</v>
      </c>
      <c r="B228" s="1">
        <v>1.1800000000000001E-5</v>
      </c>
      <c r="C228" s="1">
        <v>1.3200000000000001E-5</v>
      </c>
      <c r="D228" s="1">
        <v>1.88E-5</v>
      </c>
      <c r="E228" s="1">
        <v>2.3799999999999999E-5</v>
      </c>
      <c r="F228" s="1">
        <v>1.04E-5</v>
      </c>
      <c r="G228" s="1">
        <v>4.1999999999999996E-6</v>
      </c>
      <c r="H228" s="1">
        <v>4.7999999999999998E-6</v>
      </c>
      <c r="I228" s="1">
        <v>1.1800000000000001E-5</v>
      </c>
      <c r="J228" s="1">
        <v>8.5599999999999994E-6</v>
      </c>
      <c r="K228" s="1">
        <v>1.0699999999999999E-5</v>
      </c>
      <c r="L228" s="1">
        <v>1.0200000000000001E-5</v>
      </c>
      <c r="M228" s="1">
        <v>6.3300000000000004E-6</v>
      </c>
      <c r="N228" s="1">
        <v>7.6299999999999998E-6</v>
      </c>
      <c r="O228" s="1">
        <v>1.13E-5</v>
      </c>
      <c r="P228" s="1">
        <v>3.2899999999999998E-6</v>
      </c>
      <c r="Q228">
        <v>0</v>
      </c>
      <c r="R228">
        <v>0</v>
      </c>
      <c r="S228">
        <v>0</v>
      </c>
      <c r="T228">
        <v>0</v>
      </c>
    </row>
    <row r="229" spans="1:20" hidden="1" x14ac:dyDescent="0.25">
      <c r="A229" t="s">
        <v>247</v>
      </c>
      <c r="B229" s="1">
        <v>2.23E-5</v>
      </c>
      <c r="C229" s="1">
        <v>1.5400000000000002E-5</v>
      </c>
      <c r="D229">
        <v>0</v>
      </c>
      <c r="E229">
        <v>0</v>
      </c>
      <c r="F229">
        <v>0</v>
      </c>
      <c r="G229" s="1">
        <v>5.6499999999999998E-5</v>
      </c>
      <c r="H229" s="1">
        <v>2.23E-5</v>
      </c>
      <c r="I229" s="1">
        <v>1.8099999999999999E-5</v>
      </c>
      <c r="J229" s="1">
        <v>2.87E-5</v>
      </c>
      <c r="K229" s="1">
        <v>4.4100000000000001E-5</v>
      </c>
      <c r="L229" s="1">
        <v>1.7600000000000001E-5</v>
      </c>
      <c r="M229" s="1">
        <v>3.4199999999999998E-5</v>
      </c>
      <c r="N229" s="1">
        <v>1.38E-5</v>
      </c>
      <c r="O229" s="1">
        <v>2.1399999999999998E-5</v>
      </c>
      <c r="P229" s="1">
        <v>7.1899999999999999E-5</v>
      </c>
      <c r="Q229">
        <v>1.26993E-4</v>
      </c>
      <c r="R229" s="1">
        <v>4.5200000000000001E-5</v>
      </c>
      <c r="S229" s="1">
        <v>5.0399999999999999E-5</v>
      </c>
      <c r="T229" s="1">
        <v>8.1299999999999997E-5</v>
      </c>
    </row>
    <row r="230" spans="1:20" hidden="1" x14ac:dyDescent="0.25">
      <c r="A230" t="s">
        <v>248</v>
      </c>
      <c r="B230">
        <v>0</v>
      </c>
      <c r="C230" s="1">
        <v>2.4000000000000001E-5</v>
      </c>
      <c r="D230" s="1">
        <v>1.1399999999999999E-5</v>
      </c>
      <c r="E230" s="1">
        <v>1.6200000000000001E-5</v>
      </c>
      <c r="F230" s="1">
        <v>1.0200000000000001E-5</v>
      </c>
      <c r="G230" s="1">
        <v>3.3399999999999999E-5</v>
      </c>
      <c r="H230">
        <v>0</v>
      </c>
      <c r="I230" s="1">
        <v>1.0000000000000001E-5</v>
      </c>
      <c r="J230">
        <v>0</v>
      </c>
      <c r="K230" s="1">
        <v>2.3799999999999999E-5</v>
      </c>
      <c r="L230">
        <v>0</v>
      </c>
      <c r="M230">
        <v>0</v>
      </c>
      <c r="N230">
        <v>0</v>
      </c>
      <c r="O230">
        <v>0</v>
      </c>
      <c r="P230" s="1">
        <v>1.04E-5</v>
      </c>
      <c r="Q230" s="1">
        <v>2.0400000000000001E-5</v>
      </c>
      <c r="R230" s="1">
        <v>1.8600000000000001E-5</v>
      </c>
      <c r="S230" s="1">
        <v>2.3E-5</v>
      </c>
      <c r="T230" s="1">
        <v>2.0400000000000001E-5</v>
      </c>
    </row>
    <row r="231" spans="1:20" hidden="1" x14ac:dyDescent="0.25">
      <c r="A231" t="s">
        <v>249</v>
      </c>
      <c r="B231" s="1">
        <v>3.2499999999999997E-5</v>
      </c>
      <c r="C231" s="1">
        <v>4.0200000000000001E-5</v>
      </c>
      <c r="D231">
        <v>0</v>
      </c>
      <c r="E231" s="1">
        <v>3.68E-5</v>
      </c>
      <c r="F231" s="1">
        <v>4.5500000000000001E-5</v>
      </c>
      <c r="G231" s="1">
        <v>4.4700000000000002E-5</v>
      </c>
      <c r="H231">
        <v>0</v>
      </c>
      <c r="I231" s="1">
        <v>5.7599999999999997E-5</v>
      </c>
      <c r="J231">
        <v>0</v>
      </c>
      <c r="K231" s="1">
        <v>5.24E-5</v>
      </c>
      <c r="L231" s="1">
        <v>6.41E-5</v>
      </c>
      <c r="M231" s="1">
        <v>7.25E-5</v>
      </c>
      <c r="N231" s="1">
        <v>8.3399999999999994E-5</v>
      </c>
      <c r="O231" s="1">
        <v>5.3499999999999999E-5</v>
      </c>
      <c r="P231" s="1">
        <v>7.9099999999999998E-5</v>
      </c>
      <c r="Q231" s="1">
        <v>3.6399999999999997E-5</v>
      </c>
      <c r="R231" s="1">
        <v>7.2999999999999999E-5</v>
      </c>
      <c r="S231">
        <v>1.21644E-4</v>
      </c>
      <c r="T231" s="1">
        <v>9.1399999999999999E-5</v>
      </c>
    </row>
    <row r="232" spans="1:20" hidden="1" x14ac:dyDescent="0.25">
      <c r="A232" t="s">
        <v>250</v>
      </c>
      <c r="B232" s="1">
        <v>2.0999999999999999E-5</v>
      </c>
      <c r="C232" s="1">
        <v>6.8999999999999997E-5</v>
      </c>
      <c r="D232" s="1">
        <v>3.8699999999999999E-5</v>
      </c>
      <c r="E232" s="1">
        <v>3.8500000000000001E-5</v>
      </c>
      <c r="F232">
        <v>0</v>
      </c>
      <c r="G232">
        <v>0</v>
      </c>
      <c r="H232" s="1">
        <v>2.9E-5</v>
      </c>
      <c r="I232" s="1">
        <v>3.1300000000000002E-5</v>
      </c>
      <c r="J232" s="1">
        <v>6.0399999999999998E-5</v>
      </c>
      <c r="K232" s="1">
        <v>3.9799999999999998E-5</v>
      </c>
      <c r="L232" s="1">
        <v>3.6100000000000003E-5</v>
      </c>
      <c r="M232" s="1">
        <v>1.6200000000000001E-5</v>
      </c>
      <c r="N232" s="1">
        <v>2.7699999999999999E-5</v>
      </c>
      <c r="O232" s="1">
        <v>3.5099999999999999E-5</v>
      </c>
      <c r="P232" s="1">
        <v>1.7600000000000001E-5</v>
      </c>
      <c r="Q232">
        <v>0</v>
      </c>
      <c r="R232">
        <v>0</v>
      </c>
      <c r="S232">
        <v>0</v>
      </c>
      <c r="T232" s="1">
        <v>1.77E-5</v>
      </c>
    </row>
    <row r="233" spans="1:20" hidden="1" x14ac:dyDescent="0.25">
      <c r="A233" t="s">
        <v>251</v>
      </c>
      <c r="B233">
        <v>0</v>
      </c>
      <c r="C233" s="1">
        <v>5.6400000000000002E-5</v>
      </c>
      <c r="D233" s="1">
        <v>4.35E-5</v>
      </c>
      <c r="E233" s="1">
        <v>4.6600000000000001E-5</v>
      </c>
      <c r="F233" s="1">
        <v>1.88E-5</v>
      </c>
      <c r="G233" s="1">
        <v>4.7899999999999999E-5</v>
      </c>
      <c r="H233" s="1">
        <v>3.7799999999999997E-5</v>
      </c>
      <c r="I233" s="1">
        <v>5.0500000000000001E-5</v>
      </c>
      <c r="J233" s="1">
        <v>2.6100000000000001E-5</v>
      </c>
      <c r="K233" s="1">
        <v>4.5599999999999997E-5</v>
      </c>
      <c r="L233" s="1">
        <v>5.5399999999999998E-5</v>
      </c>
      <c r="M233">
        <v>0</v>
      </c>
      <c r="N233" s="1">
        <v>3.1000000000000001E-5</v>
      </c>
      <c r="O233">
        <v>0</v>
      </c>
      <c r="P233" s="1">
        <v>2.05E-5</v>
      </c>
      <c r="Q233" s="1">
        <v>2.44E-5</v>
      </c>
      <c r="R233" s="1">
        <v>3.4600000000000001E-5</v>
      </c>
      <c r="S233" s="1">
        <v>2.2200000000000001E-5</v>
      </c>
      <c r="T233" s="1">
        <v>2.3600000000000001E-5</v>
      </c>
    </row>
    <row r="234" spans="1:20" hidden="1" x14ac:dyDescent="0.25">
      <c r="A234" t="s">
        <v>252</v>
      </c>
      <c r="B234" s="1">
        <v>2.5000000000000001E-5</v>
      </c>
      <c r="C234" s="1">
        <v>3.1999999999999999E-5</v>
      </c>
      <c r="D234" s="1">
        <v>3.1199999999999999E-5</v>
      </c>
      <c r="E234" s="1">
        <v>2.3799999999999999E-5</v>
      </c>
      <c r="F234" s="1">
        <v>3.3300000000000003E-5</v>
      </c>
      <c r="G234">
        <v>0</v>
      </c>
      <c r="H234">
        <v>0</v>
      </c>
      <c r="I234">
        <v>0</v>
      </c>
      <c r="J234" s="1">
        <v>3.1099999999999997E-5</v>
      </c>
      <c r="K234" s="1">
        <v>3.26E-5</v>
      </c>
      <c r="L234" s="1">
        <v>3.3599999999999997E-5</v>
      </c>
      <c r="M234" s="1">
        <v>1.6900000000000001E-5</v>
      </c>
      <c r="N234" s="1">
        <v>1.63E-5</v>
      </c>
      <c r="O234" s="1">
        <v>2.5899999999999999E-5</v>
      </c>
      <c r="P234" s="1">
        <v>2.3900000000000002E-5</v>
      </c>
      <c r="Q234">
        <v>0</v>
      </c>
      <c r="R234">
        <v>0</v>
      </c>
      <c r="S234">
        <v>0</v>
      </c>
      <c r="T234" s="1">
        <v>1.5800000000000001E-5</v>
      </c>
    </row>
    <row r="235" spans="1:20" hidden="1" x14ac:dyDescent="0.25">
      <c r="A235" t="s">
        <v>253</v>
      </c>
      <c r="B235" s="1">
        <v>9.3399999999999993E-5</v>
      </c>
      <c r="C235">
        <v>0</v>
      </c>
      <c r="D235">
        <v>0</v>
      </c>
      <c r="E235">
        <v>0</v>
      </c>
      <c r="F235">
        <v>1.0175699999999999E-4</v>
      </c>
      <c r="G235">
        <v>0</v>
      </c>
      <c r="H235">
        <v>1.3898799999999999E-4</v>
      </c>
      <c r="I235" s="1">
        <v>9.8200000000000002E-5</v>
      </c>
      <c r="J235" s="1">
        <v>8.8700000000000001E-5</v>
      </c>
      <c r="K235">
        <v>0</v>
      </c>
      <c r="L235">
        <v>0</v>
      </c>
      <c r="M235" s="1">
        <v>8.3700000000000002E-5</v>
      </c>
      <c r="N235">
        <v>1.2776000000000001E-4</v>
      </c>
      <c r="O235">
        <v>0</v>
      </c>
      <c r="P235">
        <v>1.5217400000000001E-4</v>
      </c>
      <c r="Q235">
        <v>2.8944000000000002E-4</v>
      </c>
      <c r="R235">
        <v>1.92516E-4</v>
      </c>
      <c r="S235">
        <v>1.4791000000000001E-4</v>
      </c>
      <c r="T235">
        <v>4.6641199999999998E-4</v>
      </c>
    </row>
    <row r="236" spans="1:20" hidden="1" x14ac:dyDescent="0.25">
      <c r="A236" t="s">
        <v>254</v>
      </c>
      <c r="B236" s="1">
        <v>2.48E-5</v>
      </c>
      <c r="C236" s="1">
        <v>1.3900000000000001E-5</v>
      </c>
      <c r="D236" s="1">
        <v>9.7499999999999998E-6</v>
      </c>
      <c r="E236" s="1">
        <v>4.1200000000000004E-6</v>
      </c>
      <c r="F236" s="1">
        <v>3.5899999999999998E-5</v>
      </c>
      <c r="G236" s="1">
        <v>4.2599999999999999E-5</v>
      </c>
      <c r="H236" s="1">
        <v>3.8600000000000003E-5</v>
      </c>
      <c r="I236" s="1">
        <v>6.2000000000000003E-5</v>
      </c>
      <c r="J236" s="1">
        <v>2.37E-5</v>
      </c>
      <c r="K236" s="1">
        <v>2.0299999999999999E-5</v>
      </c>
      <c r="L236" s="1">
        <v>3.9700000000000003E-5</v>
      </c>
      <c r="M236" s="1">
        <v>3.6600000000000002E-5</v>
      </c>
      <c r="N236" s="1">
        <v>6.58E-5</v>
      </c>
      <c r="O236" s="1">
        <v>3.6000000000000001E-5</v>
      </c>
      <c r="P236" s="1">
        <v>7.6199999999999995E-5</v>
      </c>
      <c r="Q236" s="1">
        <v>5.3699999999999997E-5</v>
      </c>
      <c r="R236" s="1">
        <v>7.3300000000000006E-5</v>
      </c>
      <c r="S236" s="1">
        <v>5.5999999999999999E-5</v>
      </c>
      <c r="T236" s="1">
        <v>1.6099999999999998E-5</v>
      </c>
    </row>
    <row r="237" spans="1:20" hidden="1" x14ac:dyDescent="0.25">
      <c r="A237" t="s">
        <v>255</v>
      </c>
      <c r="B237" s="1">
        <v>4.0399999999999999E-5</v>
      </c>
      <c r="C237" s="1">
        <v>2.9899999999999998E-5</v>
      </c>
      <c r="D237">
        <v>0</v>
      </c>
      <c r="E237">
        <v>0</v>
      </c>
      <c r="F237" s="1">
        <v>7.0599999999999995E-5</v>
      </c>
      <c r="G237">
        <v>1.59433E-4</v>
      </c>
      <c r="H237">
        <v>2.1478099999999999E-4</v>
      </c>
      <c r="I237">
        <v>1.0786899999999999E-4</v>
      </c>
      <c r="J237">
        <v>1.1203E-4</v>
      </c>
      <c r="K237" s="1">
        <v>8.2200000000000006E-5</v>
      </c>
      <c r="L237">
        <v>1.01211E-4</v>
      </c>
      <c r="M237">
        <v>1.3016300000000001E-4</v>
      </c>
      <c r="N237">
        <v>2.3899300000000001E-4</v>
      </c>
      <c r="O237" s="1">
        <v>3.7599999999999999E-5</v>
      </c>
      <c r="P237">
        <v>1.9707000000000001E-4</v>
      </c>
      <c r="Q237">
        <v>2.7670400000000001E-4</v>
      </c>
      <c r="R237">
        <v>5.4933599999999999E-4</v>
      </c>
      <c r="S237">
        <v>4.4136799999999998E-4</v>
      </c>
      <c r="T237">
        <v>2.91549E-4</v>
      </c>
    </row>
    <row r="238" spans="1:20" hidden="1" x14ac:dyDescent="0.25">
      <c r="A238" t="s">
        <v>256</v>
      </c>
      <c r="B238">
        <v>3.0290599999999998E-4</v>
      </c>
      <c r="C238">
        <v>1.8271800000000001E-4</v>
      </c>
      <c r="D238">
        <v>3.1578599999999997E-4</v>
      </c>
      <c r="E238" s="1">
        <v>7.4400000000000006E-5</v>
      </c>
      <c r="F238">
        <v>1.28668E-4</v>
      </c>
      <c r="G238">
        <v>2.6151499999999998E-4</v>
      </c>
      <c r="H238">
        <v>7.0571100000000003E-4</v>
      </c>
      <c r="I238">
        <v>4.3903600000000002E-4</v>
      </c>
      <c r="J238">
        <v>4.3115100000000001E-4</v>
      </c>
      <c r="K238">
        <v>2.5206600000000001E-4</v>
      </c>
      <c r="L238">
        <v>3.9951100000000002E-4</v>
      </c>
      <c r="M238">
        <v>5.4719000000000002E-4</v>
      </c>
      <c r="N238">
        <v>7.4904599999999996E-4</v>
      </c>
      <c r="O238">
        <v>8.0997600000000001E-4</v>
      </c>
      <c r="P238">
        <v>4.4229000000000002E-4</v>
      </c>
      <c r="Q238">
        <v>3.8058999999999999E-4</v>
      </c>
      <c r="R238">
        <v>2.20869E-4</v>
      </c>
      <c r="S238">
        <v>5.8380900000000002E-4</v>
      </c>
      <c r="T238">
        <v>2.0210900000000001E-4</v>
      </c>
    </row>
    <row r="239" spans="1:20" hidden="1" x14ac:dyDescent="0.25">
      <c r="A239" t="s">
        <v>257</v>
      </c>
      <c r="B239">
        <v>7.0367900000000002E-4</v>
      </c>
      <c r="C239">
        <v>1.1420309999999999E-3</v>
      </c>
      <c r="D239">
        <v>9.4116000000000002E-4</v>
      </c>
      <c r="E239">
        <v>6.9916499999999996E-4</v>
      </c>
      <c r="F239">
        <v>1.0242090000000001E-3</v>
      </c>
      <c r="G239">
        <v>1.689086E-3</v>
      </c>
      <c r="H239">
        <v>2.134267E-3</v>
      </c>
      <c r="I239">
        <v>2.1577250000000001E-3</v>
      </c>
      <c r="J239">
        <v>1.312419E-3</v>
      </c>
      <c r="K239">
        <v>1.1145759999999999E-3</v>
      </c>
      <c r="L239">
        <v>2.3528920000000001E-3</v>
      </c>
      <c r="M239">
        <v>1.117428E-3</v>
      </c>
      <c r="N239">
        <v>2.0944499999999999E-3</v>
      </c>
      <c r="O239">
        <v>1.759107E-3</v>
      </c>
      <c r="P239">
        <v>1.6592110000000001E-3</v>
      </c>
      <c r="Q239">
        <v>1.693293E-3</v>
      </c>
      <c r="R239">
        <v>1.7088800000000001E-3</v>
      </c>
      <c r="S239">
        <v>1.3916620000000001E-3</v>
      </c>
      <c r="T239">
        <v>1.496055E-3</v>
      </c>
    </row>
    <row r="240" spans="1:20" hidden="1" x14ac:dyDescent="0.25">
      <c r="A240" t="s">
        <v>258</v>
      </c>
      <c r="B240">
        <v>3.08774E-4</v>
      </c>
      <c r="C240">
        <v>2.9499399999999997E-4</v>
      </c>
      <c r="D240">
        <v>6.6752300000000005E-4</v>
      </c>
      <c r="E240">
        <v>3.6166600000000002E-4</v>
      </c>
      <c r="F240">
        <v>3.76859E-4</v>
      </c>
      <c r="G240">
        <v>1.9832399999999999E-4</v>
      </c>
      <c r="H240">
        <v>2.43389E-4</v>
      </c>
      <c r="I240">
        <v>2.2440900000000001E-4</v>
      </c>
      <c r="J240">
        <v>1.47128E-4</v>
      </c>
      <c r="K240">
        <v>1.85749E-4</v>
      </c>
      <c r="L240">
        <v>2.5252100000000002E-4</v>
      </c>
      <c r="M240">
        <v>2.15594E-4</v>
      </c>
      <c r="N240">
        <v>2.7884399999999999E-4</v>
      </c>
      <c r="O240">
        <v>3.2750999999999999E-4</v>
      </c>
      <c r="P240" s="1">
        <v>8.5599999999999994E-5</v>
      </c>
      <c r="Q240">
        <v>2.18688E-4</v>
      </c>
      <c r="R240" s="1">
        <v>8.5199999999999997E-5</v>
      </c>
      <c r="S240">
        <v>0</v>
      </c>
      <c r="T240">
        <v>3.0470999999999997E-4</v>
      </c>
    </row>
    <row r="241" spans="1:20" hidden="1" x14ac:dyDescent="0.25">
      <c r="A241" t="s">
        <v>259</v>
      </c>
      <c r="B241">
        <v>1.5662299999999999E-4</v>
      </c>
      <c r="C241">
        <v>1.7034099999999999E-4</v>
      </c>
      <c r="D241">
        <v>1.6665199999999999E-4</v>
      </c>
      <c r="E241">
        <v>1.3944200000000001E-4</v>
      </c>
      <c r="F241">
        <v>1.8811399999999999E-4</v>
      </c>
      <c r="G241">
        <v>1.1005000000000001E-4</v>
      </c>
      <c r="H241">
        <v>1.41982E-4</v>
      </c>
      <c r="I241">
        <v>1.4906500000000001E-4</v>
      </c>
      <c r="J241">
        <v>1.4964500000000001E-4</v>
      </c>
      <c r="K241">
        <v>1.5317099999999999E-4</v>
      </c>
      <c r="L241">
        <v>1.7263000000000001E-4</v>
      </c>
      <c r="M241">
        <v>1.15003E-4</v>
      </c>
      <c r="N241">
        <v>1.4463599999999999E-4</v>
      </c>
      <c r="O241" s="1">
        <v>9.8099999999999999E-5</v>
      </c>
      <c r="P241">
        <v>1.3210500000000001E-4</v>
      </c>
      <c r="Q241">
        <v>1.2962999999999999E-4</v>
      </c>
      <c r="R241">
        <v>1.2665199999999999E-4</v>
      </c>
      <c r="S241" s="1">
        <v>7.3800000000000005E-5</v>
      </c>
      <c r="T241">
        <v>1.07545E-4</v>
      </c>
    </row>
    <row r="242" spans="1:20" hidden="1" x14ac:dyDescent="0.25">
      <c r="A242" t="s">
        <v>260</v>
      </c>
      <c r="B242" s="1">
        <v>4.1600000000000002E-5</v>
      </c>
      <c r="C242" s="1">
        <v>3.9400000000000002E-5</v>
      </c>
      <c r="D242" s="1">
        <v>5.8600000000000001E-5</v>
      </c>
      <c r="E242" s="1">
        <v>4.6E-5</v>
      </c>
      <c r="F242" s="1">
        <v>5.1999999999999997E-5</v>
      </c>
      <c r="G242" s="1">
        <v>2.4300000000000001E-5</v>
      </c>
      <c r="H242" s="1">
        <v>3.2299999999999999E-5</v>
      </c>
      <c r="I242" s="1">
        <v>4.07E-5</v>
      </c>
      <c r="J242" s="1">
        <v>4.6799999999999999E-5</v>
      </c>
      <c r="K242" s="1">
        <v>4.4499999999999997E-5</v>
      </c>
      <c r="L242" s="1">
        <v>4.2799999999999997E-5</v>
      </c>
      <c r="M242" s="1">
        <v>5.9700000000000001E-5</v>
      </c>
      <c r="N242" s="1">
        <v>3.4700000000000003E-5</v>
      </c>
      <c r="O242" s="1">
        <v>6.69E-5</v>
      </c>
      <c r="P242" s="1">
        <v>3.6300000000000001E-5</v>
      </c>
      <c r="Q242" s="1">
        <v>6.3200000000000005E-5</v>
      </c>
      <c r="R242" s="1">
        <v>5.4700000000000001E-5</v>
      </c>
      <c r="S242" s="1">
        <v>6.2500000000000001E-5</v>
      </c>
      <c r="T242">
        <v>1.0024199999999999E-4</v>
      </c>
    </row>
    <row r="243" spans="1:20" hidden="1" x14ac:dyDescent="0.25">
      <c r="A243" t="s">
        <v>261</v>
      </c>
      <c r="B243">
        <v>3.38745E-4</v>
      </c>
      <c r="C243">
        <v>2.3596000000000001E-4</v>
      </c>
      <c r="D243">
        <v>4.97293E-4</v>
      </c>
      <c r="E243">
        <v>2.8777300000000001E-4</v>
      </c>
      <c r="F243">
        <v>2.7669599999999999E-4</v>
      </c>
      <c r="G243">
        <v>2.8382400000000001E-4</v>
      </c>
      <c r="H243">
        <v>3.1699400000000002E-4</v>
      </c>
      <c r="I243">
        <v>1.92993E-4</v>
      </c>
      <c r="J243">
        <v>2.7979699999999998E-4</v>
      </c>
      <c r="K243">
        <v>2.7269799999999998E-4</v>
      </c>
      <c r="L243">
        <v>2.6706199999999999E-4</v>
      </c>
      <c r="M243">
        <v>3.3992499999999998E-4</v>
      </c>
      <c r="N243">
        <v>2.62563E-4</v>
      </c>
      <c r="O243">
        <v>2.9343499999999998E-4</v>
      </c>
      <c r="P243">
        <v>1.95002E-4</v>
      </c>
      <c r="Q243">
        <v>2.96948E-4</v>
      </c>
      <c r="R243">
        <v>1.9247399999999999E-4</v>
      </c>
      <c r="S243">
        <v>2.0252700000000001E-4</v>
      </c>
      <c r="T243">
        <v>3.0569000000000001E-4</v>
      </c>
    </row>
    <row r="244" spans="1:20" hidden="1" x14ac:dyDescent="0.25">
      <c r="A244" t="s">
        <v>262</v>
      </c>
      <c r="B244" s="1">
        <v>4.2200000000000003E-5</v>
      </c>
      <c r="C244" s="1">
        <v>2.87E-5</v>
      </c>
      <c r="D244" s="1">
        <v>5.1400000000000003E-5</v>
      </c>
      <c r="E244" s="1">
        <v>2.8200000000000001E-5</v>
      </c>
      <c r="F244" s="1">
        <v>3.01E-5</v>
      </c>
      <c r="G244" s="1">
        <v>2.34E-5</v>
      </c>
      <c r="H244" s="1">
        <v>2.5599999999999999E-5</v>
      </c>
      <c r="I244" s="1">
        <v>1.4399999999999999E-5</v>
      </c>
      <c r="J244" s="1">
        <v>2.2900000000000001E-5</v>
      </c>
      <c r="K244" s="1">
        <v>3.68E-5</v>
      </c>
      <c r="L244" s="1">
        <v>3.6399999999999997E-5</v>
      </c>
      <c r="M244" s="1">
        <v>3.3599999999999997E-5</v>
      </c>
      <c r="N244" s="1">
        <v>3.6300000000000001E-5</v>
      </c>
      <c r="O244" s="1">
        <v>2.8600000000000001E-5</v>
      </c>
      <c r="P244" s="1">
        <v>2.58E-5</v>
      </c>
      <c r="Q244" s="1">
        <v>4.0299999999999997E-5</v>
      </c>
      <c r="R244" s="1">
        <v>2.0400000000000001E-5</v>
      </c>
      <c r="S244" s="1">
        <v>4.9200000000000003E-5</v>
      </c>
      <c r="T244" s="1">
        <v>6.1099999999999994E-5</v>
      </c>
    </row>
    <row r="245" spans="1:20" hidden="1" x14ac:dyDescent="0.25">
      <c r="A245" t="s">
        <v>263</v>
      </c>
      <c r="B245" s="1">
        <v>6.1500000000000004E-5</v>
      </c>
      <c r="C245" s="1">
        <v>2.6699999999999998E-5</v>
      </c>
      <c r="D245" s="1">
        <v>4.5800000000000002E-5</v>
      </c>
      <c r="E245" s="1">
        <v>2.3900000000000002E-5</v>
      </c>
      <c r="F245" s="1">
        <v>5.0899999999999997E-5</v>
      </c>
      <c r="G245" s="1">
        <v>2.3300000000000001E-5</v>
      </c>
      <c r="H245" s="1">
        <v>4.07E-5</v>
      </c>
      <c r="I245" s="1">
        <v>3.0700000000000001E-5</v>
      </c>
      <c r="J245" s="1">
        <v>4.5399999999999999E-5</v>
      </c>
      <c r="K245" s="1">
        <v>4.07E-5</v>
      </c>
      <c r="L245" s="1">
        <v>3.7299999999999999E-5</v>
      </c>
      <c r="M245" s="1">
        <v>5.3499999999999999E-5</v>
      </c>
      <c r="N245" s="1">
        <v>3.6300000000000001E-5</v>
      </c>
      <c r="O245" s="1">
        <v>4.1300000000000001E-5</v>
      </c>
      <c r="P245" s="1">
        <v>3.0300000000000001E-5</v>
      </c>
      <c r="Q245" s="1">
        <v>3.5500000000000002E-5</v>
      </c>
      <c r="R245" s="1">
        <v>1.7099999999999999E-5</v>
      </c>
      <c r="S245" s="1">
        <v>1.3900000000000001E-5</v>
      </c>
      <c r="T245" s="1">
        <v>2.5199999999999999E-5</v>
      </c>
    </row>
    <row r="246" spans="1:20" hidden="1" x14ac:dyDescent="0.25">
      <c r="A246" t="s">
        <v>264</v>
      </c>
      <c r="B246">
        <v>2.1556200000000001E-4</v>
      </c>
      <c r="C246">
        <v>2.9079399999999998E-4</v>
      </c>
      <c r="D246">
        <v>2.4041899999999999E-4</v>
      </c>
      <c r="E246">
        <v>1.84348E-4</v>
      </c>
      <c r="F246">
        <v>2.2451099999999999E-4</v>
      </c>
      <c r="G246">
        <v>2.6382700000000001E-4</v>
      </c>
      <c r="H246">
        <v>1.9253200000000001E-4</v>
      </c>
      <c r="I246">
        <v>3.0713000000000002E-4</v>
      </c>
      <c r="J246">
        <v>2.27245E-4</v>
      </c>
      <c r="K246">
        <v>2.1711000000000001E-4</v>
      </c>
      <c r="L246">
        <v>2.41967E-4</v>
      </c>
      <c r="M246">
        <v>1.9299599999999999E-4</v>
      </c>
      <c r="N246">
        <v>2.1366199999999999E-4</v>
      </c>
      <c r="O246">
        <v>2.7276299999999998E-4</v>
      </c>
      <c r="P246">
        <v>1.8827899999999999E-4</v>
      </c>
      <c r="Q246" s="1">
        <v>9.4099999999999997E-5</v>
      </c>
      <c r="R246" s="1">
        <v>9.6399999999999999E-5</v>
      </c>
      <c r="S246">
        <v>1.09963E-4</v>
      </c>
      <c r="T246">
        <v>1.16366E-4</v>
      </c>
    </row>
    <row r="247" spans="1:20" hidden="1" x14ac:dyDescent="0.25">
      <c r="A247" t="s">
        <v>265</v>
      </c>
      <c r="B247">
        <v>2.5652999999999999E-4</v>
      </c>
      <c r="C247">
        <v>2.1874000000000001E-4</v>
      </c>
      <c r="D247">
        <v>1.87751E-4</v>
      </c>
      <c r="E247">
        <v>2.4518400000000002E-4</v>
      </c>
      <c r="F247">
        <v>2.3682E-4</v>
      </c>
      <c r="G247">
        <v>1.41378E-4</v>
      </c>
      <c r="H247">
        <v>4.2466999999999998E-4</v>
      </c>
      <c r="I247">
        <v>2.3644200000000001E-4</v>
      </c>
      <c r="J247">
        <v>1.17346E-4</v>
      </c>
      <c r="K247">
        <v>1.7792900000000001E-4</v>
      </c>
      <c r="L247">
        <v>1.39195E-4</v>
      </c>
      <c r="M247">
        <v>1.80194E-4</v>
      </c>
      <c r="N247">
        <v>1.55997E-4</v>
      </c>
      <c r="O247">
        <v>1.22605E-4</v>
      </c>
      <c r="P247">
        <v>1.5984699999999999E-4</v>
      </c>
      <c r="Q247">
        <v>1.38558E-4</v>
      </c>
      <c r="R247">
        <v>1.3115699999999999E-4</v>
      </c>
      <c r="S247">
        <v>1.9444699999999999E-4</v>
      </c>
      <c r="T247">
        <v>1.5239299999999999E-4</v>
      </c>
    </row>
    <row r="248" spans="1:20" hidden="1" x14ac:dyDescent="0.25">
      <c r="A248" t="s">
        <v>266</v>
      </c>
      <c r="B248">
        <v>3.8251600000000001E-4</v>
      </c>
      <c r="C248">
        <v>5.6502899999999999E-4</v>
      </c>
      <c r="D248">
        <v>5.7724000000000002E-4</v>
      </c>
      <c r="E248">
        <v>5.6331999999999997E-4</v>
      </c>
      <c r="F248">
        <v>5.8666499999999999E-4</v>
      </c>
      <c r="G248">
        <v>4.2486800000000001E-4</v>
      </c>
      <c r="H248">
        <v>9.2320800000000001E-4</v>
      </c>
      <c r="I248">
        <v>4.6605300000000002E-4</v>
      </c>
      <c r="J248">
        <v>5.4607699999999996E-4</v>
      </c>
      <c r="K248">
        <v>4.6844500000000001E-4</v>
      </c>
      <c r="L248">
        <v>5.4590800000000001E-4</v>
      </c>
      <c r="M248">
        <v>6.9987599999999999E-4</v>
      </c>
      <c r="N248">
        <v>5.0220099999999997E-4</v>
      </c>
      <c r="O248">
        <v>5.1290199999999998E-4</v>
      </c>
      <c r="P248">
        <v>4.5346600000000003E-4</v>
      </c>
      <c r="Q248">
        <v>3.7327999999999998E-4</v>
      </c>
      <c r="R248">
        <v>3.3446399999999997E-4</v>
      </c>
      <c r="S248">
        <v>3.1119699999999998E-4</v>
      </c>
      <c r="T248">
        <v>4.5323199999999997E-4</v>
      </c>
    </row>
    <row r="249" spans="1:20" hidden="1" x14ac:dyDescent="0.25">
      <c r="A249" t="s">
        <v>267</v>
      </c>
      <c r="B249">
        <v>1.285727E-3</v>
      </c>
      <c r="C249">
        <v>1.6292349999999999E-3</v>
      </c>
      <c r="D249">
        <v>1.518246E-3</v>
      </c>
      <c r="E249">
        <v>1.9486869999999999E-3</v>
      </c>
      <c r="F249">
        <v>1.906228E-3</v>
      </c>
      <c r="G249">
        <v>1.0460039999999999E-3</v>
      </c>
      <c r="H249">
        <v>1.1037340000000001E-3</v>
      </c>
      <c r="I249">
        <v>1.19085E-3</v>
      </c>
      <c r="J249">
        <v>1.5168460000000001E-3</v>
      </c>
      <c r="K249">
        <v>1.381218E-3</v>
      </c>
      <c r="L249">
        <v>1.385615E-3</v>
      </c>
      <c r="M249">
        <v>1.2777089999999999E-3</v>
      </c>
      <c r="N249">
        <v>7.8628400000000005E-4</v>
      </c>
      <c r="O249">
        <v>1.261975E-3</v>
      </c>
      <c r="P249">
        <v>6.7790000000000005E-4</v>
      </c>
      <c r="Q249">
        <v>6.2890000000000005E-4</v>
      </c>
      <c r="R249">
        <v>8.8179399999999998E-4</v>
      </c>
      <c r="S249">
        <v>5.1559200000000005E-4</v>
      </c>
      <c r="T249">
        <v>7.06315E-4</v>
      </c>
    </row>
    <row r="250" spans="1:20" hidden="1" x14ac:dyDescent="0.25">
      <c r="A250" t="s">
        <v>268</v>
      </c>
      <c r="B250">
        <v>2.2582400000000001E-4</v>
      </c>
      <c r="C250">
        <v>1.6594099999999999E-4</v>
      </c>
      <c r="D250">
        <v>1.7025100000000001E-4</v>
      </c>
      <c r="E250">
        <v>1.61819E-4</v>
      </c>
      <c r="F250">
        <v>2.6901699999999998E-4</v>
      </c>
      <c r="G250">
        <v>3.6706199999999998E-4</v>
      </c>
      <c r="H250">
        <v>4.2300399999999999E-4</v>
      </c>
      <c r="I250">
        <v>3.08595E-4</v>
      </c>
      <c r="J250">
        <v>2.9236900000000001E-4</v>
      </c>
      <c r="K250">
        <v>2.2494099999999999E-4</v>
      </c>
      <c r="L250">
        <v>3.0403199999999998E-4</v>
      </c>
      <c r="M250">
        <v>3.65211E-4</v>
      </c>
      <c r="N250">
        <v>5.1628299999999998E-4</v>
      </c>
      <c r="O250">
        <v>2.4507100000000003E-4</v>
      </c>
      <c r="P250">
        <v>4.7638900000000002E-4</v>
      </c>
      <c r="Q250">
        <v>6.3838100000000004E-4</v>
      </c>
      <c r="R250">
        <v>5.0890699999999996E-4</v>
      </c>
      <c r="S250">
        <v>5.6979399999999999E-4</v>
      </c>
      <c r="T250">
        <v>6.5261200000000001E-4</v>
      </c>
    </row>
    <row r="251" spans="1:20" hidden="1" x14ac:dyDescent="0.25">
      <c r="A251" t="s">
        <v>269</v>
      </c>
      <c r="B251" s="1">
        <v>4.1499999999999999E-5</v>
      </c>
      <c r="C251">
        <v>1.17094E-4</v>
      </c>
      <c r="D251">
        <v>1.2321599999999999E-4</v>
      </c>
      <c r="E251">
        <v>1.24592E-4</v>
      </c>
      <c r="F251" s="1">
        <v>5.0699999999999999E-5</v>
      </c>
      <c r="G251" s="1">
        <v>6.7000000000000002E-5</v>
      </c>
      <c r="H251" s="1">
        <v>5.66E-5</v>
      </c>
      <c r="I251" s="1">
        <v>4.4400000000000002E-5</v>
      </c>
      <c r="J251" s="1">
        <v>3.54E-5</v>
      </c>
      <c r="K251" s="1">
        <v>9.1199999999999994E-5</v>
      </c>
      <c r="L251">
        <v>1.0151E-4</v>
      </c>
      <c r="M251" s="1">
        <v>2.4899999999999999E-5</v>
      </c>
      <c r="N251" s="1">
        <v>1.04E-5</v>
      </c>
      <c r="O251" s="1">
        <v>3.7400000000000001E-5</v>
      </c>
      <c r="P251" s="1">
        <v>1.5400000000000002E-5</v>
      </c>
      <c r="Q251" s="1">
        <v>1.8E-5</v>
      </c>
      <c r="R251" s="1">
        <v>1.4E-5</v>
      </c>
      <c r="S251" s="1">
        <v>7.0999999999999998E-6</v>
      </c>
      <c r="T251" s="1">
        <v>1.7900000000000001E-5</v>
      </c>
    </row>
    <row r="252" spans="1:20" hidden="1" x14ac:dyDescent="0.25">
      <c r="A252" t="s">
        <v>270</v>
      </c>
      <c r="B252" s="1">
        <v>6.8899999999999994E-5</v>
      </c>
      <c r="C252" s="1">
        <v>9.9900000000000002E-5</v>
      </c>
      <c r="D252">
        <v>1.8478099999999999E-4</v>
      </c>
      <c r="E252">
        <v>1.3284599999999999E-4</v>
      </c>
      <c r="F252" s="1">
        <v>8.8900000000000006E-5</v>
      </c>
      <c r="G252" s="1">
        <v>7.9200000000000001E-5</v>
      </c>
      <c r="H252" s="1">
        <v>8.2999999999999998E-5</v>
      </c>
      <c r="I252" s="1">
        <v>7.5699999999999997E-5</v>
      </c>
      <c r="J252" s="1">
        <v>8.4300000000000003E-5</v>
      </c>
      <c r="K252" s="1">
        <v>9.2800000000000006E-5</v>
      </c>
      <c r="L252" s="1">
        <v>6.4900000000000005E-5</v>
      </c>
      <c r="M252" s="1">
        <v>8.0900000000000001E-5</v>
      </c>
      <c r="N252">
        <v>1.2941299999999999E-4</v>
      </c>
      <c r="O252">
        <v>1.55129E-4</v>
      </c>
      <c r="P252" s="1">
        <v>4.8199999999999999E-5</v>
      </c>
      <c r="Q252" s="1">
        <v>4.7599999999999998E-5</v>
      </c>
      <c r="R252" s="1">
        <v>5.5000000000000002E-5</v>
      </c>
      <c r="S252">
        <v>1.58181E-4</v>
      </c>
      <c r="T252" s="1">
        <v>6.4999999999999994E-5</v>
      </c>
    </row>
    <row r="253" spans="1:20" hidden="1" x14ac:dyDescent="0.25">
      <c r="A253" t="s">
        <v>271</v>
      </c>
      <c r="B253" s="1">
        <v>6.7600000000000003E-5</v>
      </c>
      <c r="C253">
        <v>1.4088499999999999E-4</v>
      </c>
      <c r="D253">
        <v>1.6880700000000001E-4</v>
      </c>
      <c r="E253">
        <v>1.93955E-4</v>
      </c>
      <c r="F253">
        <v>3.1201999999999998E-4</v>
      </c>
      <c r="G253">
        <v>1.65587E-4</v>
      </c>
      <c r="H253">
        <v>1.5594200000000001E-4</v>
      </c>
      <c r="I253">
        <v>1.3528300000000001E-4</v>
      </c>
      <c r="J253">
        <v>1.9683299999999999E-4</v>
      </c>
      <c r="K253">
        <v>1.2137399999999999E-4</v>
      </c>
      <c r="L253">
        <v>1.2254E-4</v>
      </c>
      <c r="M253">
        <v>1.7163399999999999E-4</v>
      </c>
      <c r="N253">
        <v>2.29087E-4</v>
      </c>
      <c r="O253">
        <v>1.30903E-4</v>
      </c>
      <c r="P253" s="1">
        <v>8.3800000000000004E-5</v>
      </c>
      <c r="Q253">
        <v>1.88705E-4</v>
      </c>
      <c r="R253">
        <v>1.6456399999999999E-4</v>
      </c>
      <c r="S253">
        <v>3.7040400000000001E-4</v>
      </c>
      <c r="T253">
        <v>1.7573400000000001E-4</v>
      </c>
    </row>
    <row r="254" spans="1:20" hidden="1" x14ac:dyDescent="0.25">
      <c r="A254" t="s">
        <v>272</v>
      </c>
      <c r="B254">
        <v>1.1415824E-2</v>
      </c>
      <c r="C254">
        <v>1.6705569E-2</v>
      </c>
      <c r="D254">
        <v>1.4764441999999999E-2</v>
      </c>
      <c r="E254">
        <v>1.260443E-2</v>
      </c>
      <c r="F254">
        <v>1.2767743E-2</v>
      </c>
      <c r="G254">
        <v>1.1478729999999999E-2</v>
      </c>
      <c r="H254">
        <v>8.6443900000000001E-3</v>
      </c>
      <c r="I254">
        <v>1.0423066999999999E-2</v>
      </c>
      <c r="J254">
        <v>1.1980292E-2</v>
      </c>
      <c r="K254">
        <v>1.1134063E-2</v>
      </c>
      <c r="L254">
        <v>1.5010600000000001E-2</v>
      </c>
      <c r="M254">
        <v>1.1710290999999999E-2</v>
      </c>
      <c r="N254">
        <v>1.6265485999999999E-2</v>
      </c>
      <c r="O254">
        <v>1.192177E-2</v>
      </c>
      <c r="P254">
        <v>7.2383530000000003E-3</v>
      </c>
      <c r="Q254">
        <v>6.3716759999999997E-3</v>
      </c>
      <c r="R254">
        <v>7.9608700000000001E-3</v>
      </c>
      <c r="S254">
        <v>8.307643E-3</v>
      </c>
      <c r="T254">
        <v>7.2948639999999999E-3</v>
      </c>
    </row>
    <row r="255" spans="1:20" hidden="1" x14ac:dyDescent="0.25">
      <c r="A255" t="s">
        <v>273</v>
      </c>
      <c r="B255">
        <v>2.6835299999999998E-4</v>
      </c>
      <c r="C255">
        <v>2.0933700000000001E-4</v>
      </c>
      <c r="D255">
        <v>7.3886700000000004E-4</v>
      </c>
      <c r="E255">
        <v>7.7558300000000004E-4</v>
      </c>
      <c r="F255">
        <v>2.8378000000000002E-4</v>
      </c>
      <c r="G255">
        <v>3.2008999999999998E-4</v>
      </c>
      <c r="H255">
        <v>1.2486600000000001E-4</v>
      </c>
      <c r="I255">
        <v>0</v>
      </c>
      <c r="J255">
        <v>1.4464999999999999E-4</v>
      </c>
      <c r="K255">
        <v>5.2002400000000001E-4</v>
      </c>
      <c r="L255">
        <v>3.91374E-4</v>
      </c>
      <c r="M255">
        <v>2.6771120000000002E-3</v>
      </c>
      <c r="N255">
        <v>1.2135220000000001E-3</v>
      </c>
      <c r="O255">
        <v>1.3792399999999999E-3</v>
      </c>
      <c r="P255">
        <v>0</v>
      </c>
      <c r="Q255">
        <v>0</v>
      </c>
      <c r="R255">
        <v>2.11855E-4</v>
      </c>
      <c r="S255">
        <v>9.2177800000000005E-4</v>
      </c>
      <c r="T255">
        <v>7.8518700000000002E-4</v>
      </c>
    </row>
    <row r="256" spans="1:20" hidden="1" x14ac:dyDescent="0.25">
      <c r="A256" t="s">
        <v>274</v>
      </c>
      <c r="B256">
        <v>2.4483000000000003E-4</v>
      </c>
      <c r="C256">
        <v>3.0778000000000001E-4</v>
      </c>
      <c r="D256">
        <v>2.00003E-4</v>
      </c>
      <c r="E256">
        <v>1.5321000000000001E-4</v>
      </c>
      <c r="F256">
        <v>4.6634500000000001E-4</v>
      </c>
      <c r="G256">
        <v>1.6111910000000001E-3</v>
      </c>
      <c r="H256">
        <v>3.9461900000000002E-4</v>
      </c>
      <c r="I256">
        <v>4.32046E-4</v>
      </c>
      <c r="J256">
        <v>4.2684899999999998E-4</v>
      </c>
      <c r="K256">
        <v>4.5560300000000001E-4</v>
      </c>
      <c r="L256">
        <v>4.7486300000000001E-4</v>
      </c>
      <c r="M256">
        <v>4.7874799999999998E-4</v>
      </c>
      <c r="N256">
        <v>2.6598799999999999E-4</v>
      </c>
      <c r="O256">
        <v>2.5703800000000001E-4</v>
      </c>
      <c r="P256">
        <v>8.69552E-4</v>
      </c>
      <c r="Q256">
        <v>1.3285040000000001E-3</v>
      </c>
      <c r="R256">
        <v>1.2307469999999999E-3</v>
      </c>
      <c r="S256">
        <v>2.9063159999999999E-3</v>
      </c>
      <c r="T256">
        <v>1.567473E-3</v>
      </c>
    </row>
    <row r="257" spans="1:20" hidden="1" x14ac:dyDescent="0.25">
      <c r="A257" t="s">
        <v>275</v>
      </c>
      <c r="B257" s="1">
        <v>3.1399999999999998E-5</v>
      </c>
      <c r="C257">
        <v>0</v>
      </c>
      <c r="D257">
        <v>0</v>
      </c>
      <c r="E257" s="1">
        <v>2.05E-5</v>
      </c>
      <c r="F257" s="1">
        <v>2.6299999999999999E-5</v>
      </c>
      <c r="G257">
        <v>1.21759E-4</v>
      </c>
      <c r="H257" s="1">
        <v>5.38E-5</v>
      </c>
      <c r="I257" s="1">
        <v>4.5200000000000001E-5</v>
      </c>
      <c r="J257" s="1">
        <v>4.4100000000000001E-5</v>
      </c>
      <c r="K257" s="1">
        <v>3.4100000000000002E-5</v>
      </c>
      <c r="L257" s="1">
        <v>2.8799999999999999E-5</v>
      </c>
      <c r="M257">
        <v>0</v>
      </c>
      <c r="N257" s="1">
        <v>2.4199999999999999E-5</v>
      </c>
      <c r="O257">
        <v>0</v>
      </c>
      <c r="P257" s="1">
        <v>8.1500000000000002E-5</v>
      </c>
      <c r="Q257">
        <v>1.2557900000000001E-4</v>
      </c>
      <c r="R257">
        <v>1.5317900000000001E-4</v>
      </c>
      <c r="S257">
        <v>2.8049800000000001E-4</v>
      </c>
      <c r="T257">
        <v>1.51736E-4</v>
      </c>
    </row>
    <row r="258" spans="1:20" hidden="1" x14ac:dyDescent="0.25">
      <c r="A258" t="s">
        <v>276</v>
      </c>
      <c r="B258">
        <v>0</v>
      </c>
      <c r="C258" s="1">
        <v>5.7800000000000002E-5</v>
      </c>
      <c r="D258" s="1">
        <v>5.6700000000000003E-5</v>
      </c>
      <c r="E258" s="1">
        <v>7.2100000000000004E-5</v>
      </c>
      <c r="F258">
        <v>0</v>
      </c>
      <c r="G258" s="1">
        <v>3.93E-5</v>
      </c>
      <c r="H258" s="1">
        <v>3.8099999999999998E-5</v>
      </c>
      <c r="I258" s="1">
        <v>4.1199999999999999E-5</v>
      </c>
      <c r="J258" s="1">
        <v>3.8000000000000002E-5</v>
      </c>
      <c r="K258" s="1">
        <v>4.9799999999999998E-5</v>
      </c>
      <c r="L258" s="1">
        <v>5.9799999999999997E-5</v>
      </c>
      <c r="M258" s="1">
        <v>3.5200000000000002E-5</v>
      </c>
      <c r="N258" s="1">
        <v>2.0100000000000001E-5</v>
      </c>
      <c r="O258" s="1">
        <v>3.1000000000000001E-5</v>
      </c>
      <c r="P258">
        <v>0</v>
      </c>
      <c r="Q258" s="1">
        <v>3.7200000000000003E-5</v>
      </c>
      <c r="R258" s="1">
        <v>2.8399999999999999E-5</v>
      </c>
      <c r="S258" s="1">
        <v>2.7800000000000001E-5</v>
      </c>
      <c r="T258" s="1">
        <v>2.6100000000000001E-5</v>
      </c>
    </row>
    <row r="259" spans="1:20" hidden="1" x14ac:dyDescent="0.25">
      <c r="A259" t="s">
        <v>277</v>
      </c>
      <c r="B259">
        <v>5.3347400000000004E-4</v>
      </c>
      <c r="C259">
        <v>1.3021129999999999E-3</v>
      </c>
      <c r="D259">
        <v>1.51049E-3</v>
      </c>
      <c r="E259">
        <v>1.438099E-3</v>
      </c>
      <c r="F259">
        <v>1.173454E-3</v>
      </c>
      <c r="G259">
        <v>8.4617899999999996E-4</v>
      </c>
      <c r="H259">
        <v>1.675808E-3</v>
      </c>
      <c r="I259">
        <v>1.0110469999999999E-3</v>
      </c>
      <c r="J259">
        <v>8.7140199999999996E-4</v>
      </c>
      <c r="K259">
        <v>1.497092E-3</v>
      </c>
      <c r="L259">
        <v>1.2466930000000001E-3</v>
      </c>
      <c r="M259">
        <v>9.7159500000000001E-4</v>
      </c>
      <c r="N259">
        <v>5.88972E-4</v>
      </c>
      <c r="O259">
        <v>8.5378500000000003E-4</v>
      </c>
      <c r="P259">
        <v>4.0766100000000003E-4</v>
      </c>
      <c r="Q259">
        <v>3.6076700000000001E-4</v>
      </c>
      <c r="R259">
        <v>1.2583259999999999E-3</v>
      </c>
      <c r="S259">
        <v>1.91824E-4</v>
      </c>
      <c r="T259">
        <v>7.2583599999999999E-4</v>
      </c>
    </row>
    <row r="260" spans="1:20" hidden="1" x14ac:dyDescent="0.25">
      <c r="A260" t="s">
        <v>278</v>
      </c>
      <c r="B260" s="1">
        <v>9.1100000000000005E-5</v>
      </c>
      <c r="C260">
        <v>1.5105699999999999E-4</v>
      </c>
      <c r="D260">
        <v>1.62862E-4</v>
      </c>
      <c r="E260">
        <v>1.1958E-4</v>
      </c>
      <c r="F260">
        <v>1.2563900000000001E-4</v>
      </c>
      <c r="G260">
        <v>1.13101E-4</v>
      </c>
      <c r="H260">
        <v>2.0146899999999999E-4</v>
      </c>
      <c r="I260">
        <v>1.03205E-4</v>
      </c>
      <c r="J260" s="1">
        <v>9.3700000000000001E-5</v>
      </c>
      <c r="K260">
        <v>1.6896700000000001E-4</v>
      </c>
      <c r="L260">
        <v>1.7889800000000001E-4</v>
      </c>
      <c r="M260">
        <v>1.3416099999999999E-4</v>
      </c>
      <c r="N260" s="1">
        <v>8.1600000000000005E-5</v>
      </c>
      <c r="O260">
        <v>1.04993E-4</v>
      </c>
      <c r="P260" s="1">
        <v>7.4599999999999997E-5</v>
      </c>
      <c r="Q260">
        <v>1.13819E-4</v>
      </c>
      <c r="R260">
        <v>4.5513800000000001E-4</v>
      </c>
      <c r="S260" s="1">
        <v>6.8700000000000003E-5</v>
      </c>
      <c r="T260">
        <v>1.25129E-4</v>
      </c>
    </row>
    <row r="261" spans="1:20" hidden="1" x14ac:dyDescent="0.25">
      <c r="A261" t="s">
        <v>279</v>
      </c>
      <c r="B261" s="1">
        <v>8.2299999999999995E-5</v>
      </c>
      <c r="C261" s="1">
        <v>8.7000000000000001E-5</v>
      </c>
      <c r="D261" s="1">
        <v>4.8999999999999998E-5</v>
      </c>
      <c r="E261" s="1">
        <v>6.7000000000000002E-5</v>
      </c>
      <c r="F261" s="1">
        <v>8.9400000000000005E-5</v>
      </c>
      <c r="G261" s="1">
        <v>5.4500000000000003E-5</v>
      </c>
      <c r="H261">
        <v>1.21502E-4</v>
      </c>
      <c r="I261" s="1">
        <v>6.6199999999999996E-5</v>
      </c>
      <c r="J261" s="1">
        <v>4.1100000000000003E-5</v>
      </c>
      <c r="K261" s="1">
        <v>5.7200000000000001E-5</v>
      </c>
      <c r="L261" s="1">
        <v>5.66E-5</v>
      </c>
      <c r="M261" s="1">
        <v>5.1999999999999997E-5</v>
      </c>
      <c r="N261" s="1">
        <v>3.8500000000000001E-5</v>
      </c>
      <c r="O261" s="1">
        <v>6.2100000000000005E-5</v>
      </c>
      <c r="P261" s="1">
        <v>3.5200000000000002E-5</v>
      </c>
      <c r="Q261" s="1">
        <v>5.94E-5</v>
      </c>
      <c r="R261">
        <v>3.054E-4</v>
      </c>
      <c r="S261" s="1">
        <v>5.1E-5</v>
      </c>
      <c r="T261" s="1">
        <v>9.1600000000000004E-5</v>
      </c>
    </row>
    <row r="262" spans="1:20" hidden="1" x14ac:dyDescent="0.25">
      <c r="A262" t="s">
        <v>280</v>
      </c>
      <c r="B262" s="1">
        <v>9.1600000000000004E-5</v>
      </c>
      <c r="C262" s="1">
        <v>5.7599999999999997E-5</v>
      </c>
      <c r="D262">
        <v>1.0870999999999999E-4</v>
      </c>
      <c r="E262" s="1">
        <v>6.7199999999999994E-5</v>
      </c>
      <c r="F262" s="1">
        <v>6.7500000000000001E-5</v>
      </c>
      <c r="G262" s="1">
        <v>7.3300000000000006E-5</v>
      </c>
      <c r="H262" s="1">
        <v>9.2200000000000005E-5</v>
      </c>
      <c r="I262" s="1">
        <v>8.2000000000000001E-5</v>
      </c>
      <c r="J262" s="1">
        <v>8.42E-5</v>
      </c>
      <c r="K262" s="1">
        <v>7.47E-5</v>
      </c>
      <c r="L262" s="1">
        <v>9.5099999999999994E-5</v>
      </c>
      <c r="M262" s="1">
        <v>7.2899999999999997E-5</v>
      </c>
      <c r="N262" s="1">
        <v>9.1500000000000001E-5</v>
      </c>
      <c r="O262" s="1">
        <v>7.7200000000000006E-5</v>
      </c>
      <c r="P262" s="1">
        <v>5.52E-5</v>
      </c>
      <c r="Q262" s="1">
        <v>9.7800000000000006E-5</v>
      </c>
      <c r="R262">
        <v>6.0058799999999999E-4</v>
      </c>
      <c r="S262" s="1">
        <v>9.2700000000000004E-5</v>
      </c>
      <c r="T262">
        <v>1.13424E-4</v>
      </c>
    </row>
    <row r="263" spans="1:20" hidden="1" x14ac:dyDescent="0.25">
      <c r="A263" t="s">
        <v>281</v>
      </c>
      <c r="B263">
        <v>0</v>
      </c>
      <c r="C263" s="1">
        <v>8.2500000000000006E-6</v>
      </c>
      <c r="D263" s="1">
        <v>1.03E-5</v>
      </c>
      <c r="E263" s="1">
        <v>1.2500000000000001E-5</v>
      </c>
      <c r="F263">
        <v>0</v>
      </c>
      <c r="G263">
        <v>0</v>
      </c>
      <c r="H263">
        <v>0</v>
      </c>
      <c r="I263" s="1">
        <v>4.6999999999999999E-6</v>
      </c>
      <c r="J263">
        <v>0</v>
      </c>
      <c r="K263">
        <v>0</v>
      </c>
      <c r="L263" s="1">
        <v>5.0900000000000004E-6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hidden="1" x14ac:dyDescent="0.25">
      <c r="A264" t="s">
        <v>282</v>
      </c>
      <c r="B264" s="1">
        <v>5.4700000000000001E-5</v>
      </c>
      <c r="C264" s="1">
        <v>7.7999999999999999E-5</v>
      </c>
      <c r="D264" s="1">
        <v>7.47E-5</v>
      </c>
      <c r="E264" s="1">
        <v>7.9300000000000003E-5</v>
      </c>
      <c r="F264" s="1">
        <v>9.7999999999999997E-5</v>
      </c>
      <c r="G264" s="1">
        <v>8.1500000000000002E-5</v>
      </c>
      <c r="H264" s="1">
        <v>7.0900000000000002E-5</v>
      </c>
      <c r="I264" s="1">
        <v>6.5599999999999995E-5</v>
      </c>
      <c r="J264" s="1">
        <v>7.1199999999999996E-5</v>
      </c>
      <c r="K264" s="1">
        <v>5.5600000000000003E-5</v>
      </c>
      <c r="L264" s="1">
        <v>5.3000000000000001E-5</v>
      </c>
      <c r="M264" s="1">
        <v>6.3200000000000005E-5</v>
      </c>
      <c r="N264" s="1">
        <v>3.6900000000000002E-5</v>
      </c>
      <c r="O264" s="1">
        <v>4.5000000000000003E-5</v>
      </c>
      <c r="P264" s="1">
        <v>2.8900000000000001E-5</v>
      </c>
      <c r="Q264" s="1">
        <v>5.6499999999999998E-5</v>
      </c>
      <c r="R264" s="1">
        <v>3.9700000000000003E-5</v>
      </c>
      <c r="S264" s="1">
        <v>3.3200000000000001E-5</v>
      </c>
      <c r="T264" s="1">
        <v>7.2399999999999998E-5</v>
      </c>
    </row>
    <row r="265" spans="1:20" hidden="1" x14ac:dyDescent="0.25">
      <c r="A265" t="s">
        <v>283</v>
      </c>
      <c r="B265">
        <v>0</v>
      </c>
      <c r="C265" s="1">
        <v>2.6299999999999998E-6</v>
      </c>
      <c r="D265" s="1">
        <v>4.3599999999999998E-6</v>
      </c>
      <c r="E265" s="1">
        <v>4.5499999999999996E-6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s="1">
        <v>2.1799999999999999E-6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hidden="1" x14ac:dyDescent="0.25">
      <c r="A266" t="s">
        <v>284</v>
      </c>
      <c r="B266">
        <v>3.1536999999999998E-4</v>
      </c>
      <c r="C266">
        <v>2.41017E-4</v>
      </c>
      <c r="D266">
        <v>3.3712899999999998E-4</v>
      </c>
      <c r="E266">
        <v>2.8956000000000001E-4</v>
      </c>
      <c r="F266">
        <v>3.31009E-4</v>
      </c>
      <c r="G266">
        <v>2.2061100000000001E-4</v>
      </c>
      <c r="H266">
        <v>3.2628699999999997E-4</v>
      </c>
      <c r="I266">
        <v>3.3668000000000001E-4</v>
      </c>
      <c r="J266">
        <v>3.1635399999999997E-4</v>
      </c>
      <c r="K266">
        <v>3.3001900000000003E-4</v>
      </c>
      <c r="L266">
        <v>3.1036799999999999E-4</v>
      </c>
      <c r="M266">
        <v>2.5947500000000001E-4</v>
      </c>
      <c r="N266">
        <v>2.1580899999999999E-4</v>
      </c>
      <c r="O266">
        <v>3.6989999999999999E-4</v>
      </c>
      <c r="P266">
        <v>2.12077E-4</v>
      </c>
      <c r="Q266">
        <v>1.8391999999999999E-4</v>
      </c>
      <c r="R266">
        <v>2.06283E-4</v>
      </c>
      <c r="S266">
        <v>1.2960700000000001E-4</v>
      </c>
      <c r="T266">
        <v>1.7508700000000001E-4</v>
      </c>
    </row>
    <row r="267" spans="1:20" hidden="1" x14ac:dyDescent="0.25">
      <c r="A267" t="s">
        <v>285</v>
      </c>
      <c r="B267">
        <v>1.3049399999999999E-4</v>
      </c>
      <c r="C267">
        <v>1.29739E-4</v>
      </c>
      <c r="D267" s="1">
        <v>8.6600000000000004E-5</v>
      </c>
      <c r="E267">
        <v>1.10315E-4</v>
      </c>
      <c r="F267">
        <v>2.0320399999999999E-4</v>
      </c>
      <c r="G267">
        <v>5.0364599999999995E-4</v>
      </c>
      <c r="H267">
        <v>2.5522400000000002E-4</v>
      </c>
      <c r="I267">
        <v>1.50586E-4</v>
      </c>
      <c r="J267">
        <v>1.4929799999999999E-4</v>
      </c>
      <c r="K267">
        <v>2.363E-4</v>
      </c>
      <c r="L267">
        <v>2.13224E-4</v>
      </c>
      <c r="M267">
        <v>1.6899300000000001E-4</v>
      </c>
      <c r="N267">
        <v>1.0772699999999999E-4</v>
      </c>
      <c r="O267" s="1">
        <v>9.0199999999999997E-5</v>
      </c>
      <c r="P267">
        <v>3.79117E-4</v>
      </c>
      <c r="Q267">
        <v>7.5747599999999998E-4</v>
      </c>
      <c r="R267">
        <v>6.7464700000000001E-4</v>
      </c>
      <c r="S267">
        <v>1.256715E-3</v>
      </c>
      <c r="T267">
        <v>7.0956199999999995E-4</v>
      </c>
    </row>
    <row r="268" spans="1:20" hidden="1" x14ac:dyDescent="0.25">
      <c r="A268" t="s">
        <v>286</v>
      </c>
      <c r="B268">
        <v>2.5494800000000001E-4</v>
      </c>
      <c r="C268">
        <v>3.1129399999999999E-4</v>
      </c>
      <c r="D268">
        <v>2.8364500000000001E-4</v>
      </c>
      <c r="E268">
        <v>2.7802600000000001E-4</v>
      </c>
      <c r="F268">
        <v>3.2505499999999998E-4</v>
      </c>
      <c r="G268">
        <v>2.9629400000000001E-4</v>
      </c>
      <c r="H268">
        <v>2.0409700000000001E-4</v>
      </c>
      <c r="I268">
        <v>2.9765100000000001E-4</v>
      </c>
      <c r="J268">
        <v>3.2484199999999999E-4</v>
      </c>
      <c r="K268">
        <v>2.2032599999999999E-4</v>
      </c>
      <c r="L268">
        <v>2.31392E-4</v>
      </c>
      <c r="M268">
        <v>2.9045299999999998E-4</v>
      </c>
      <c r="N268">
        <v>4.1164700000000001E-4</v>
      </c>
      <c r="O268">
        <v>2.9101600000000001E-4</v>
      </c>
      <c r="P268">
        <v>3.2968400000000001E-4</v>
      </c>
      <c r="Q268">
        <v>3.62491E-4</v>
      </c>
      <c r="R268">
        <v>3.5633600000000001E-4</v>
      </c>
      <c r="S268">
        <v>3.3774E-4</v>
      </c>
      <c r="T268">
        <v>3.4853599999999998E-4</v>
      </c>
    </row>
    <row r="269" spans="1:20" hidden="1" x14ac:dyDescent="0.25">
      <c r="A269" t="s">
        <v>287</v>
      </c>
      <c r="B269" s="1">
        <v>7.3200000000000004E-5</v>
      </c>
      <c r="C269">
        <v>2.02781E-4</v>
      </c>
      <c r="D269">
        <v>2.2405999999999999E-4</v>
      </c>
      <c r="E269">
        <v>1.3575699999999999E-4</v>
      </c>
      <c r="F269" s="1">
        <v>6.8899999999999994E-5</v>
      </c>
      <c r="G269">
        <v>1.17249E-4</v>
      </c>
      <c r="H269" s="1">
        <v>3.96E-5</v>
      </c>
      <c r="I269" s="1">
        <v>6.7100000000000005E-5</v>
      </c>
      <c r="J269" s="1">
        <v>6.3299999999999994E-5</v>
      </c>
      <c r="K269">
        <v>1.16212E-4</v>
      </c>
      <c r="L269" s="1">
        <v>9.2899999999999995E-5</v>
      </c>
      <c r="M269" s="1">
        <v>8.0099999999999995E-5</v>
      </c>
      <c r="N269" s="1">
        <v>6.3100000000000002E-5</v>
      </c>
      <c r="O269" s="1">
        <v>7.3100000000000001E-5</v>
      </c>
      <c r="P269" s="1">
        <v>3.29E-5</v>
      </c>
      <c r="Q269" s="1">
        <v>3.4799999999999999E-5</v>
      </c>
      <c r="R269" s="1">
        <v>3.2700000000000002E-5</v>
      </c>
      <c r="S269" s="1">
        <v>2.9600000000000001E-5</v>
      </c>
      <c r="T269" s="1">
        <v>4.8900000000000003E-5</v>
      </c>
    </row>
    <row r="270" spans="1:20" hidden="1" x14ac:dyDescent="0.25">
      <c r="A270" t="s">
        <v>288</v>
      </c>
      <c r="B270" s="1">
        <v>5.7500000000000002E-5</v>
      </c>
      <c r="C270" s="1">
        <v>6.0699999999999998E-5</v>
      </c>
      <c r="D270" s="1">
        <v>7.6000000000000004E-5</v>
      </c>
      <c r="E270" s="1">
        <v>6.9200000000000002E-5</v>
      </c>
      <c r="F270">
        <v>1.2437599999999999E-4</v>
      </c>
      <c r="G270" s="1">
        <v>9.0799999999999998E-5</v>
      </c>
      <c r="H270" s="1">
        <v>8.1100000000000006E-5</v>
      </c>
      <c r="I270">
        <v>1.5499099999999999E-4</v>
      </c>
      <c r="J270">
        <v>1.04893E-4</v>
      </c>
      <c r="K270">
        <v>1.08022E-4</v>
      </c>
      <c r="L270">
        <v>1.01341E-4</v>
      </c>
      <c r="M270">
        <v>1.0265899999999999E-4</v>
      </c>
      <c r="N270">
        <v>2.01683E-4</v>
      </c>
      <c r="O270" s="1">
        <v>8.8200000000000003E-5</v>
      </c>
      <c r="P270">
        <v>2.11444E-4</v>
      </c>
      <c r="Q270">
        <v>1.2970599999999999E-4</v>
      </c>
      <c r="R270">
        <v>4.9027000000000001E-4</v>
      </c>
      <c r="S270">
        <v>3.4120100000000002E-4</v>
      </c>
      <c r="T270">
        <v>4.2675500000000002E-4</v>
      </c>
    </row>
    <row r="271" spans="1:20" hidden="1" x14ac:dyDescent="0.25">
      <c r="A271" t="s">
        <v>289</v>
      </c>
      <c r="B271" s="1">
        <v>6.3200000000000005E-5</v>
      </c>
      <c r="C271" s="1">
        <v>7.2700000000000005E-5</v>
      </c>
      <c r="D271" s="1">
        <v>6.5900000000000003E-5</v>
      </c>
      <c r="E271" s="1">
        <v>4.6499999999999999E-5</v>
      </c>
      <c r="F271" s="1">
        <v>5.66E-5</v>
      </c>
      <c r="G271" s="1">
        <v>5.7800000000000002E-5</v>
      </c>
      <c r="H271" s="1">
        <v>5.3900000000000002E-5</v>
      </c>
      <c r="I271" s="1">
        <v>6.41E-5</v>
      </c>
      <c r="J271" s="1">
        <v>5.3699999999999997E-5</v>
      </c>
      <c r="K271" s="1">
        <v>8.3399999999999994E-5</v>
      </c>
      <c r="L271" s="1">
        <v>9.8300000000000004E-5</v>
      </c>
      <c r="M271" s="1">
        <v>6.5400000000000004E-5</v>
      </c>
      <c r="N271" s="1">
        <v>6.5500000000000006E-5</v>
      </c>
      <c r="O271" s="1">
        <v>4.74E-5</v>
      </c>
      <c r="P271" s="1">
        <v>5.0800000000000002E-5</v>
      </c>
      <c r="Q271" s="1">
        <v>7.7200000000000006E-5</v>
      </c>
      <c r="R271" s="1">
        <v>9.0000000000000006E-5</v>
      </c>
      <c r="S271" s="1">
        <v>6.0399999999999998E-5</v>
      </c>
      <c r="T271" s="1">
        <v>7.9800000000000002E-5</v>
      </c>
    </row>
    <row r="272" spans="1:20" hidden="1" x14ac:dyDescent="0.25">
      <c r="A272" t="s">
        <v>290</v>
      </c>
      <c r="B272" s="1">
        <v>2.5400000000000001E-5</v>
      </c>
      <c r="C272" s="1">
        <v>2.7399999999999999E-5</v>
      </c>
      <c r="D272" s="1">
        <v>2.1500000000000001E-5</v>
      </c>
      <c r="E272" s="1">
        <v>2.5999999999999998E-5</v>
      </c>
      <c r="F272" s="1">
        <v>3.7100000000000001E-5</v>
      </c>
      <c r="G272" s="1">
        <v>4.2799999999999997E-5</v>
      </c>
      <c r="H272" s="1">
        <v>4.21E-5</v>
      </c>
      <c r="I272" s="1">
        <v>3.96E-5</v>
      </c>
      <c r="J272" s="1">
        <v>5.7500000000000002E-5</v>
      </c>
      <c r="K272" s="1">
        <v>4.0500000000000002E-5</v>
      </c>
      <c r="L272" s="1">
        <v>4.88E-5</v>
      </c>
      <c r="M272" s="1">
        <v>4.3000000000000002E-5</v>
      </c>
      <c r="N272" s="1">
        <v>3.5099999999999999E-5</v>
      </c>
      <c r="O272" s="1">
        <v>3.04E-5</v>
      </c>
      <c r="P272" s="1">
        <v>8.9699999999999998E-5</v>
      </c>
      <c r="Q272">
        <v>1.38596E-4</v>
      </c>
      <c r="R272">
        <v>1.9279799999999999E-4</v>
      </c>
      <c r="S272">
        <v>1.5284700000000001E-4</v>
      </c>
      <c r="T272">
        <v>1.15105E-4</v>
      </c>
    </row>
    <row r="273" spans="1:20" hidden="1" x14ac:dyDescent="0.25">
      <c r="A273" t="s">
        <v>291</v>
      </c>
      <c r="B273">
        <v>1.13217E-4</v>
      </c>
      <c r="C273">
        <v>1.12237E-4</v>
      </c>
      <c r="D273">
        <v>1.17623E-4</v>
      </c>
      <c r="E273">
        <v>1.13223E-4</v>
      </c>
      <c r="F273">
        <v>2.21177E-4</v>
      </c>
      <c r="G273" s="1">
        <v>7.86E-5</v>
      </c>
      <c r="H273">
        <v>1.18756E-4</v>
      </c>
      <c r="I273">
        <v>1.3542900000000001E-4</v>
      </c>
      <c r="J273">
        <v>1.58014E-4</v>
      </c>
      <c r="K273">
        <v>1.04978E-4</v>
      </c>
      <c r="L273" s="1">
        <v>8.9400000000000005E-5</v>
      </c>
      <c r="M273">
        <v>1.42053E-4</v>
      </c>
      <c r="N273" s="1">
        <v>7.4900000000000005E-5</v>
      </c>
      <c r="O273" s="1">
        <v>7.7200000000000006E-5</v>
      </c>
      <c r="P273">
        <v>1.73843E-4</v>
      </c>
      <c r="Q273">
        <v>4.0858399999999998E-4</v>
      </c>
      <c r="R273">
        <v>4.4544400000000003E-4</v>
      </c>
      <c r="S273">
        <v>2.9249099999999997E-4</v>
      </c>
      <c r="T273">
        <v>1.88192E-4</v>
      </c>
    </row>
    <row r="274" spans="1:20" hidden="1" x14ac:dyDescent="0.25">
      <c r="A274" t="s">
        <v>292</v>
      </c>
      <c r="B274">
        <v>1.50722E-4</v>
      </c>
      <c r="C274">
        <v>1.78464E-4</v>
      </c>
      <c r="D274">
        <v>1.5281E-4</v>
      </c>
      <c r="E274">
        <v>1.2322200000000001E-4</v>
      </c>
      <c r="F274">
        <v>1.9137399999999999E-4</v>
      </c>
      <c r="G274">
        <v>1.72373E-4</v>
      </c>
      <c r="H274">
        <v>1.16173E-4</v>
      </c>
      <c r="I274">
        <v>1.8719E-4</v>
      </c>
      <c r="J274">
        <v>2.09991E-4</v>
      </c>
      <c r="K274">
        <v>1.9384099999999999E-4</v>
      </c>
      <c r="L274">
        <v>2.1777499999999999E-4</v>
      </c>
      <c r="M274">
        <v>1.4317900000000001E-4</v>
      </c>
      <c r="N274">
        <v>2.6657599999999998E-4</v>
      </c>
      <c r="O274">
        <v>1.6196099999999999E-4</v>
      </c>
      <c r="P274">
        <v>2.4131599999999999E-4</v>
      </c>
      <c r="Q274">
        <v>4.1308499999999999E-4</v>
      </c>
      <c r="R274">
        <v>4.3496000000000002E-4</v>
      </c>
      <c r="S274">
        <v>4.7794999999999999E-4</v>
      </c>
      <c r="T274">
        <v>4.6629700000000001E-4</v>
      </c>
    </row>
    <row r="275" spans="1:20" hidden="1" x14ac:dyDescent="0.25">
      <c r="A275" t="s">
        <v>293</v>
      </c>
      <c r="B275">
        <v>0</v>
      </c>
      <c r="C275">
        <v>0</v>
      </c>
      <c r="D275">
        <v>0</v>
      </c>
      <c r="E275">
        <v>0</v>
      </c>
      <c r="F275" s="1">
        <v>6.6600000000000006E-5</v>
      </c>
      <c r="G275" s="1">
        <v>9.9099999999999996E-5</v>
      </c>
      <c r="H275">
        <v>0</v>
      </c>
      <c r="I275" s="1">
        <v>9.98E-5</v>
      </c>
      <c r="J275" s="1">
        <v>5.0399999999999999E-5</v>
      </c>
      <c r="K275">
        <v>0</v>
      </c>
      <c r="L275" s="1">
        <v>3.2400000000000001E-5</v>
      </c>
      <c r="M275">
        <v>0</v>
      </c>
      <c r="N275" s="1">
        <v>7.86E-5</v>
      </c>
      <c r="O275" s="1">
        <v>5.0000000000000002E-5</v>
      </c>
      <c r="P275">
        <v>1.5923099999999999E-4</v>
      </c>
      <c r="Q275">
        <v>9.0868399999999999E-4</v>
      </c>
      <c r="R275">
        <v>6.7186600000000002E-4</v>
      </c>
      <c r="S275">
        <v>1.6441100000000001E-3</v>
      </c>
      <c r="T275">
        <v>9.3860799999999996E-4</v>
      </c>
    </row>
    <row r="276" spans="1:20" hidden="1" x14ac:dyDescent="0.25">
      <c r="A276" t="s">
        <v>294</v>
      </c>
      <c r="B276">
        <v>1.7000300000000001E-4</v>
      </c>
      <c r="C276">
        <v>1.5827500000000001E-4</v>
      </c>
      <c r="D276">
        <v>1.7300700000000001E-4</v>
      </c>
      <c r="E276">
        <v>1.6834900000000001E-4</v>
      </c>
      <c r="F276">
        <v>1.6827500000000001E-4</v>
      </c>
      <c r="G276">
        <v>1.7171100000000001E-4</v>
      </c>
      <c r="H276">
        <v>1.82776E-4</v>
      </c>
      <c r="I276">
        <v>1.48727E-4</v>
      </c>
      <c r="J276">
        <v>1.6149099999999999E-4</v>
      </c>
      <c r="K276">
        <v>2.11764E-4</v>
      </c>
      <c r="L276">
        <v>1.77188E-4</v>
      </c>
      <c r="M276">
        <v>1.45344E-4</v>
      </c>
      <c r="N276">
        <v>2.2256700000000001E-4</v>
      </c>
      <c r="O276">
        <v>1.7706500000000001E-4</v>
      </c>
      <c r="P276">
        <v>1.4079500000000001E-4</v>
      </c>
      <c r="Q276">
        <v>1.34363E-4</v>
      </c>
      <c r="R276">
        <v>1.4781000000000001E-4</v>
      </c>
      <c r="S276">
        <v>1.7732199999999999E-4</v>
      </c>
      <c r="T276">
        <v>1.88629E-4</v>
      </c>
    </row>
    <row r="277" spans="1:20" hidden="1" x14ac:dyDescent="0.25">
      <c r="A277" t="s">
        <v>295</v>
      </c>
      <c r="B277">
        <v>4.5554900000000003E-4</v>
      </c>
      <c r="C277">
        <v>4.1898E-4</v>
      </c>
      <c r="D277">
        <v>4.8961399999999998E-4</v>
      </c>
      <c r="E277">
        <v>4.2770200000000002E-4</v>
      </c>
      <c r="F277">
        <v>4.1489100000000002E-4</v>
      </c>
      <c r="G277">
        <v>3.5725200000000001E-4</v>
      </c>
      <c r="H277">
        <v>4.9583699999999995E-4</v>
      </c>
      <c r="I277">
        <v>4.0539599999999998E-4</v>
      </c>
      <c r="J277">
        <v>3.8070299999999998E-4</v>
      </c>
      <c r="K277">
        <v>4.1208500000000002E-4</v>
      </c>
      <c r="L277">
        <v>4.5027000000000001E-4</v>
      </c>
      <c r="M277">
        <v>3.5915300000000002E-4</v>
      </c>
      <c r="N277">
        <v>4.6434800000000001E-4</v>
      </c>
      <c r="O277">
        <v>4.38026E-4</v>
      </c>
      <c r="P277">
        <v>3.6456200000000002E-4</v>
      </c>
      <c r="Q277">
        <v>3.3819900000000002E-4</v>
      </c>
      <c r="R277">
        <v>2.8636500000000001E-4</v>
      </c>
      <c r="S277">
        <v>3.5332899999999999E-4</v>
      </c>
      <c r="T277">
        <v>3.2384699999999999E-4</v>
      </c>
    </row>
    <row r="278" spans="1:20" hidden="1" x14ac:dyDescent="0.25">
      <c r="A278" t="s">
        <v>296</v>
      </c>
      <c r="B278">
        <v>4.04044E-4</v>
      </c>
      <c r="C278">
        <v>3.8789400000000001E-4</v>
      </c>
      <c r="D278">
        <v>3.9761899999999999E-4</v>
      </c>
      <c r="E278">
        <v>4.4506199999999997E-4</v>
      </c>
      <c r="F278">
        <v>3.2563699999999999E-4</v>
      </c>
      <c r="G278">
        <v>2.8621400000000002E-4</v>
      </c>
      <c r="H278">
        <v>3.8662499999999998E-4</v>
      </c>
      <c r="I278">
        <v>3.1638E-4</v>
      </c>
      <c r="J278">
        <v>3.4964600000000001E-4</v>
      </c>
      <c r="K278">
        <v>3.6827499999999999E-4</v>
      </c>
      <c r="L278">
        <v>3.7801700000000002E-4</v>
      </c>
      <c r="M278">
        <v>3.4028699999999999E-4</v>
      </c>
      <c r="N278">
        <v>4.7487899999999999E-4</v>
      </c>
      <c r="O278">
        <v>3.76208E-4</v>
      </c>
      <c r="P278">
        <v>3.44939E-4</v>
      </c>
      <c r="Q278">
        <v>2.8666E-4</v>
      </c>
      <c r="R278">
        <v>3.0445E-4</v>
      </c>
      <c r="S278">
        <v>3.6093699999999998E-4</v>
      </c>
      <c r="T278">
        <v>3.17929E-4</v>
      </c>
    </row>
    <row r="279" spans="1:20" hidden="1" x14ac:dyDescent="0.25">
      <c r="A279" t="s">
        <v>297</v>
      </c>
      <c r="B279" s="1">
        <v>9.5000000000000005E-5</v>
      </c>
      <c r="C279" s="1">
        <v>9.3700000000000001E-5</v>
      </c>
      <c r="D279">
        <v>1.1917399999999999E-4</v>
      </c>
      <c r="E279">
        <v>1.14108E-4</v>
      </c>
      <c r="F279">
        <v>1.20052E-4</v>
      </c>
      <c r="G279">
        <v>1.3487699999999999E-4</v>
      </c>
      <c r="H279">
        <v>1.1418500000000001E-4</v>
      </c>
      <c r="I279">
        <v>1.0669400000000001E-4</v>
      </c>
      <c r="J279">
        <v>1.4572899999999999E-4</v>
      </c>
      <c r="K279">
        <v>1.17689E-4</v>
      </c>
      <c r="L279">
        <v>1.0618199999999999E-4</v>
      </c>
      <c r="M279">
        <v>1.09731E-4</v>
      </c>
      <c r="N279">
        <v>1.91919E-4</v>
      </c>
      <c r="O279">
        <v>1.02656E-4</v>
      </c>
      <c r="P279">
        <v>1.2695800000000001E-4</v>
      </c>
      <c r="Q279">
        <v>1.16181E-4</v>
      </c>
      <c r="R279">
        <v>1.7181999999999999E-4</v>
      </c>
      <c r="S279">
        <v>1.3180399999999999E-4</v>
      </c>
      <c r="T279">
        <v>1.3765500000000001E-4</v>
      </c>
    </row>
    <row r="280" spans="1:20" hidden="1" x14ac:dyDescent="0.25">
      <c r="A280" t="s">
        <v>298</v>
      </c>
      <c r="B280" s="1">
        <v>4.6499999999999999E-5</v>
      </c>
      <c r="C280" s="1">
        <v>5.0300000000000003E-5</v>
      </c>
      <c r="D280" s="1">
        <v>6.4599999999999998E-5</v>
      </c>
      <c r="E280" s="1">
        <v>5.1600000000000001E-5</v>
      </c>
      <c r="F280" s="1">
        <v>5.0300000000000003E-5</v>
      </c>
      <c r="G280" s="1">
        <v>3.4600000000000001E-5</v>
      </c>
      <c r="H280" s="1">
        <v>2.4199999999999999E-5</v>
      </c>
      <c r="I280" s="1">
        <v>4.18E-5</v>
      </c>
      <c r="J280" s="1">
        <v>5.2500000000000002E-5</v>
      </c>
      <c r="K280" s="1">
        <v>4.4799999999999998E-5</v>
      </c>
      <c r="L280" s="1">
        <v>4.6699999999999997E-5</v>
      </c>
      <c r="M280" s="1">
        <v>2.16E-5</v>
      </c>
      <c r="N280" s="1">
        <v>2.6299999999999999E-5</v>
      </c>
      <c r="O280" s="1">
        <v>4.8300000000000002E-5</v>
      </c>
      <c r="P280" s="1">
        <v>4.07E-5</v>
      </c>
      <c r="Q280" s="1">
        <v>2.2399999999999999E-5</v>
      </c>
      <c r="R280" s="1">
        <v>4.2500000000000003E-5</v>
      </c>
      <c r="S280" s="1">
        <v>2.4499999999999999E-5</v>
      </c>
      <c r="T280" s="1">
        <v>2.3200000000000001E-5</v>
      </c>
    </row>
    <row r="281" spans="1:20" hidden="1" x14ac:dyDescent="0.25">
      <c r="A281" t="s">
        <v>299</v>
      </c>
      <c r="B281">
        <v>0</v>
      </c>
      <c r="C281" s="1">
        <v>1.2099999999999999E-5</v>
      </c>
      <c r="D281" s="1">
        <v>1.0699999999999999E-5</v>
      </c>
      <c r="E281" s="1">
        <v>1.2099999999999999E-5</v>
      </c>
      <c r="F281">
        <v>0</v>
      </c>
      <c r="G281">
        <v>0</v>
      </c>
      <c r="H281">
        <v>0</v>
      </c>
      <c r="I281">
        <v>0</v>
      </c>
      <c r="J281">
        <v>0</v>
      </c>
      <c r="K281" s="1">
        <v>8.85E-6</v>
      </c>
      <c r="L281" s="1">
        <v>1.03E-5</v>
      </c>
      <c r="M281" s="1">
        <v>5.8599999999999998E-6</v>
      </c>
      <c r="N281">
        <v>0</v>
      </c>
      <c r="O281" s="1">
        <v>2.8600000000000001E-6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hidden="1" x14ac:dyDescent="0.25">
      <c r="A282" t="s">
        <v>300</v>
      </c>
      <c r="B282" s="1">
        <v>7.4800000000000002E-5</v>
      </c>
      <c r="C282" s="1">
        <v>5.6799999999999998E-5</v>
      </c>
      <c r="D282">
        <v>1.8371899999999999E-4</v>
      </c>
      <c r="E282">
        <v>1.3322099999999999E-4</v>
      </c>
      <c r="F282" s="1">
        <v>4.3600000000000003E-5</v>
      </c>
      <c r="G282" s="1">
        <v>6.3100000000000002E-5</v>
      </c>
      <c r="H282" s="1">
        <v>3.3300000000000003E-5</v>
      </c>
      <c r="I282">
        <v>0</v>
      </c>
      <c r="J282">
        <v>0</v>
      </c>
      <c r="K282">
        <v>1.3768299999999999E-4</v>
      </c>
      <c r="L282" s="1">
        <v>4.9400000000000001E-5</v>
      </c>
      <c r="M282">
        <v>4.7870399999999999E-4</v>
      </c>
      <c r="N282">
        <v>2.9642900000000002E-4</v>
      </c>
      <c r="O282">
        <v>2.42756E-4</v>
      </c>
      <c r="P282" s="1">
        <v>1.66E-5</v>
      </c>
      <c r="Q282" s="1">
        <v>6.7299999999999996E-5</v>
      </c>
      <c r="R282" s="1">
        <v>1.9700000000000001E-5</v>
      </c>
      <c r="S282">
        <v>1.9508199999999999E-4</v>
      </c>
      <c r="T282">
        <v>1.4285799999999999E-4</v>
      </c>
    </row>
    <row r="283" spans="1:20" hidden="1" x14ac:dyDescent="0.25">
      <c r="A283" t="s">
        <v>301</v>
      </c>
      <c r="B283" s="1">
        <v>1.5400000000000002E-5</v>
      </c>
      <c r="C283" s="1">
        <v>1.6900000000000001E-5</v>
      </c>
      <c r="D283">
        <v>0</v>
      </c>
      <c r="E283">
        <v>0</v>
      </c>
      <c r="F283">
        <v>0</v>
      </c>
      <c r="G283" s="1">
        <v>1.73E-5</v>
      </c>
      <c r="H283">
        <v>0</v>
      </c>
      <c r="I283" s="1">
        <v>2.9E-5</v>
      </c>
      <c r="J283" s="1">
        <v>1.43E-5</v>
      </c>
      <c r="K283" s="1">
        <v>1.7499999999999998E-5</v>
      </c>
      <c r="L283" s="1">
        <v>1.7E-5</v>
      </c>
      <c r="M283" s="1">
        <v>1.6900000000000001E-5</v>
      </c>
      <c r="N283" s="1">
        <v>1.9300000000000002E-5</v>
      </c>
      <c r="O283" s="1">
        <v>1.7600000000000001E-5</v>
      </c>
      <c r="P283" s="1">
        <v>1.7600000000000001E-5</v>
      </c>
      <c r="Q283" s="1">
        <v>2.16E-5</v>
      </c>
      <c r="R283" s="1">
        <v>1.4399999999999999E-5</v>
      </c>
      <c r="S283" s="1">
        <v>1.0699999999999999E-5</v>
      </c>
      <c r="T283" s="1">
        <v>1.0699999999999999E-5</v>
      </c>
    </row>
    <row r="284" spans="1:20" hidden="1" x14ac:dyDescent="0.25">
      <c r="A284" t="s">
        <v>302</v>
      </c>
      <c r="B284" s="1">
        <v>8.3700000000000002E-5</v>
      </c>
      <c r="C284" s="1">
        <v>7.1699999999999995E-5</v>
      </c>
      <c r="D284" s="1">
        <v>7.2700000000000005E-5</v>
      </c>
      <c r="E284" s="1">
        <v>3.0599999999999998E-5</v>
      </c>
      <c r="F284" s="1">
        <v>7.3300000000000006E-5</v>
      </c>
      <c r="G284" s="1">
        <v>8.0099999999999995E-5</v>
      </c>
      <c r="H284">
        <v>1.3668999999999999E-4</v>
      </c>
      <c r="I284" s="1">
        <v>5.77E-5</v>
      </c>
      <c r="J284" s="1">
        <v>6.9599999999999998E-5</v>
      </c>
      <c r="K284" s="1">
        <v>6.1799999999999998E-5</v>
      </c>
      <c r="L284" s="1">
        <v>6.7100000000000005E-5</v>
      </c>
      <c r="M284">
        <v>1.32127E-4</v>
      </c>
      <c r="N284">
        <v>1.9613899999999999E-4</v>
      </c>
      <c r="O284">
        <v>1.04293E-4</v>
      </c>
      <c r="P284">
        <v>1.6571199999999999E-4</v>
      </c>
      <c r="Q284">
        <v>2.4708800000000002E-4</v>
      </c>
      <c r="R284">
        <v>1.5788400000000001E-4</v>
      </c>
      <c r="S284">
        <v>4.2492099999999998E-4</v>
      </c>
      <c r="T284">
        <v>3.8926899999999998E-4</v>
      </c>
    </row>
    <row r="285" spans="1:20" hidden="1" x14ac:dyDescent="0.25">
      <c r="A285" t="s">
        <v>303</v>
      </c>
      <c r="B285">
        <v>3.9132899999999999E-4</v>
      </c>
      <c r="C285">
        <v>0</v>
      </c>
      <c r="D285">
        <v>1.8929E-4</v>
      </c>
      <c r="E285">
        <v>2.5400299999999999E-4</v>
      </c>
      <c r="F285">
        <v>0</v>
      </c>
      <c r="G285">
        <v>3.7019199999999998E-4</v>
      </c>
      <c r="H285">
        <v>2.4257400000000001E-4</v>
      </c>
      <c r="I285">
        <v>0</v>
      </c>
      <c r="J285">
        <v>4.3075500000000001E-4</v>
      </c>
      <c r="K285">
        <v>5.5564899999999996E-4</v>
      </c>
      <c r="L285">
        <v>1.7394E-4</v>
      </c>
      <c r="M285">
        <v>3.6776000000000002E-4</v>
      </c>
      <c r="N285">
        <v>0</v>
      </c>
      <c r="O285">
        <v>0</v>
      </c>
      <c r="P285">
        <v>7.5779199999999997E-4</v>
      </c>
      <c r="Q285">
        <v>1.658915E-3</v>
      </c>
      <c r="R285">
        <v>4.2571699999999999E-4</v>
      </c>
      <c r="S285">
        <v>6.4673499999999995E-4</v>
      </c>
      <c r="T285">
        <v>1.4016199999999999E-3</v>
      </c>
    </row>
    <row r="286" spans="1:20" hidden="1" x14ac:dyDescent="0.25">
      <c r="A286" t="s">
        <v>304</v>
      </c>
      <c r="B286">
        <v>7.0318699999999997E-4</v>
      </c>
      <c r="C286">
        <v>1.083625E-3</v>
      </c>
      <c r="D286">
        <v>7.3738500000000002E-4</v>
      </c>
      <c r="E286">
        <v>6.4331200000000005E-4</v>
      </c>
      <c r="F286">
        <v>1.0101380000000001E-3</v>
      </c>
      <c r="G286">
        <v>1.563102E-3</v>
      </c>
      <c r="H286">
        <v>1.3806300000000001E-3</v>
      </c>
      <c r="I286">
        <v>1.236121E-3</v>
      </c>
      <c r="J286">
        <v>1.0660660000000001E-3</v>
      </c>
      <c r="K286">
        <v>1.0381889999999999E-3</v>
      </c>
      <c r="L286">
        <v>1.400613E-3</v>
      </c>
      <c r="M286">
        <v>8.9787000000000005E-4</v>
      </c>
      <c r="N286">
        <v>7.4375500000000002E-4</v>
      </c>
      <c r="O286">
        <v>1.312407E-3</v>
      </c>
      <c r="P286">
        <v>1.273873E-3</v>
      </c>
      <c r="Q286">
        <v>1.2791549999999999E-3</v>
      </c>
      <c r="R286">
        <v>1.894347E-3</v>
      </c>
      <c r="S286">
        <v>1.4682320000000001E-3</v>
      </c>
      <c r="T286">
        <v>1.3990649999999999E-3</v>
      </c>
    </row>
    <row r="287" spans="1:20" hidden="1" x14ac:dyDescent="0.25">
      <c r="A287" t="s">
        <v>305</v>
      </c>
      <c r="B287">
        <v>0</v>
      </c>
      <c r="C287">
        <v>1.6167699999999999E-4</v>
      </c>
      <c r="D287">
        <v>1.1668200000000001E-4</v>
      </c>
      <c r="E287">
        <v>1.27973E-4</v>
      </c>
      <c r="F287">
        <v>1.53623E-4</v>
      </c>
      <c r="G287">
        <v>0</v>
      </c>
      <c r="H287">
        <v>0</v>
      </c>
      <c r="I287">
        <v>1.61853E-4</v>
      </c>
      <c r="J287">
        <v>1.7734000000000001E-4</v>
      </c>
      <c r="K287">
        <v>1.5593000000000001E-4</v>
      </c>
      <c r="L287">
        <v>1.63513E-4</v>
      </c>
      <c r="M287">
        <v>0</v>
      </c>
      <c r="N287">
        <v>1.33516E-4</v>
      </c>
      <c r="O287">
        <v>1.7029299999999999E-4</v>
      </c>
      <c r="P287">
        <v>1.7638500000000001E-4</v>
      </c>
      <c r="Q287">
        <v>1.8932399999999999E-4</v>
      </c>
      <c r="R287">
        <v>2.6016499999999997E-4</v>
      </c>
      <c r="S287">
        <v>1.9662600000000001E-4</v>
      </c>
      <c r="T287">
        <v>1.8031699999999999E-4</v>
      </c>
    </row>
    <row r="288" spans="1:20" hidden="1" x14ac:dyDescent="0.25">
      <c r="A288" t="s">
        <v>306</v>
      </c>
      <c r="B288" s="1">
        <v>1.38E-5</v>
      </c>
      <c r="C288" s="1">
        <v>1.4600000000000001E-5</v>
      </c>
      <c r="D288" s="1">
        <v>8.3599999999999996E-6</v>
      </c>
      <c r="E288" s="1">
        <v>1.4100000000000001E-5</v>
      </c>
      <c r="F288" s="1">
        <v>1.04E-5</v>
      </c>
      <c r="G288" s="1">
        <v>1.7799999999999999E-5</v>
      </c>
      <c r="H288" s="1">
        <v>2.1800000000000001E-5</v>
      </c>
      <c r="I288" s="1">
        <v>2.3600000000000001E-5</v>
      </c>
      <c r="J288" s="1">
        <v>2.4199999999999999E-5</v>
      </c>
      <c r="K288" s="1">
        <v>1.36E-5</v>
      </c>
      <c r="L288" s="1">
        <v>9.6099999999999995E-6</v>
      </c>
      <c r="M288" s="1">
        <v>2.8099999999999999E-5</v>
      </c>
      <c r="N288" s="1">
        <v>2.1500000000000001E-5</v>
      </c>
      <c r="O288" s="1">
        <v>1.7900000000000001E-5</v>
      </c>
      <c r="P288" s="1">
        <v>2.1399999999999998E-5</v>
      </c>
      <c r="Q288">
        <v>0</v>
      </c>
      <c r="R288" s="1">
        <v>1.49E-5</v>
      </c>
      <c r="S288" s="1">
        <v>1.1E-5</v>
      </c>
      <c r="T288" s="1">
        <v>1.5400000000000002E-5</v>
      </c>
    </row>
    <row r="289" spans="1:20" hidden="1" x14ac:dyDescent="0.25">
      <c r="A289" t="s">
        <v>307</v>
      </c>
      <c r="B289">
        <v>0</v>
      </c>
      <c r="C289" s="1">
        <v>5.2299999999999997E-5</v>
      </c>
      <c r="D289" s="1">
        <v>2.5000000000000001E-5</v>
      </c>
      <c r="E289" s="1">
        <v>4.5099999999999998E-5</v>
      </c>
      <c r="F289" s="1">
        <v>1.3499999999999999E-5</v>
      </c>
      <c r="G289" s="1">
        <v>2.3799999999999999E-5</v>
      </c>
      <c r="H289" s="1">
        <v>1.8700000000000001E-5</v>
      </c>
      <c r="I289" s="1">
        <v>3.8899999999999997E-5</v>
      </c>
      <c r="J289">
        <v>0</v>
      </c>
      <c r="K289" s="1">
        <v>2.3099999999999999E-5</v>
      </c>
      <c r="L289" s="1">
        <v>2.5599999999999999E-5</v>
      </c>
      <c r="M289">
        <v>0</v>
      </c>
      <c r="N289" s="1">
        <v>1.8700000000000001E-5</v>
      </c>
      <c r="O289" s="1">
        <v>1.29E-5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hidden="1" x14ac:dyDescent="0.25">
      <c r="A290" t="s">
        <v>308</v>
      </c>
      <c r="B290" s="1">
        <v>8.0099999999999995E-5</v>
      </c>
      <c r="C290">
        <v>1.0803599999999999E-4</v>
      </c>
      <c r="D290">
        <v>1.24051E-4</v>
      </c>
      <c r="E290">
        <v>1.1247399999999999E-4</v>
      </c>
      <c r="F290">
        <v>1.2329999999999999E-4</v>
      </c>
      <c r="G290" s="1">
        <v>5.1900000000000001E-5</v>
      </c>
      <c r="H290" s="1">
        <v>6.1099999999999994E-5</v>
      </c>
      <c r="I290" s="1">
        <v>6.7799999999999995E-5</v>
      </c>
      <c r="J290" s="1">
        <v>7.0699999999999997E-5</v>
      </c>
      <c r="K290" s="1">
        <v>8.9099999999999997E-5</v>
      </c>
      <c r="L290" s="1">
        <v>7.9499999999999994E-5</v>
      </c>
      <c r="M290" s="1">
        <v>4.88E-5</v>
      </c>
      <c r="N290" s="1">
        <v>5.3699999999999997E-5</v>
      </c>
      <c r="O290" s="1">
        <v>6.9999999999999994E-5</v>
      </c>
      <c r="P290">
        <v>0</v>
      </c>
      <c r="Q290">
        <v>0</v>
      </c>
      <c r="R290" s="1">
        <v>2.76E-5</v>
      </c>
      <c r="S290" s="1">
        <v>3.5299999999999997E-5</v>
      </c>
      <c r="T290">
        <v>0</v>
      </c>
    </row>
    <row r="291" spans="1:20" hidden="1" x14ac:dyDescent="0.25">
      <c r="A291" t="s">
        <v>309</v>
      </c>
      <c r="B291" s="1">
        <v>7.3100000000000001E-5</v>
      </c>
      <c r="C291">
        <v>2.09025E-4</v>
      </c>
      <c r="D291">
        <v>1.8006599999999999E-4</v>
      </c>
      <c r="E291">
        <v>2.21771E-4</v>
      </c>
      <c r="F291">
        <v>1.1033500000000001E-4</v>
      </c>
      <c r="G291">
        <v>1.81464E-4</v>
      </c>
      <c r="H291">
        <v>1.75682E-4</v>
      </c>
      <c r="I291">
        <v>1.6540000000000001E-4</v>
      </c>
      <c r="J291">
        <v>1.11662E-4</v>
      </c>
      <c r="K291">
        <v>2.08049E-4</v>
      </c>
      <c r="L291">
        <v>1.9453999999999999E-4</v>
      </c>
      <c r="M291" s="1">
        <v>8.5900000000000001E-5</v>
      </c>
      <c r="N291">
        <v>1.00808E-4</v>
      </c>
      <c r="O291">
        <v>1.1518699999999999E-4</v>
      </c>
      <c r="P291">
        <v>1.03838E-4</v>
      </c>
      <c r="Q291" s="1">
        <v>8.7600000000000002E-5</v>
      </c>
      <c r="R291">
        <v>1.02228E-4</v>
      </c>
      <c r="S291">
        <v>1.7162699999999999E-4</v>
      </c>
      <c r="T291">
        <v>1.03643E-4</v>
      </c>
    </row>
    <row r="292" spans="1:20" hidden="1" x14ac:dyDescent="0.25">
      <c r="A292" t="s">
        <v>310</v>
      </c>
      <c r="B292">
        <v>1.25031E-4</v>
      </c>
      <c r="C292">
        <v>2.63971E-4</v>
      </c>
      <c r="D292">
        <v>2.3604999999999999E-4</v>
      </c>
      <c r="E292">
        <v>2.4288700000000001E-4</v>
      </c>
      <c r="F292">
        <v>1.5828199999999999E-4</v>
      </c>
      <c r="G292">
        <v>2.34689E-4</v>
      </c>
      <c r="H292">
        <v>2.4930999999999998E-4</v>
      </c>
      <c r="I292">
        <v>2.34687E-4</v>
      </c>
      <c r="J292">
        <v>1.35733E-4</v>
      </c>
      <c r="K292">
        <v>2.3676E-4</v>
      </c>
      <c r="L292">
        <v>2.1914100000000001E-4</v>
      </c>
      <c r="M292">
        <v>1.2548799999999999E-4</v>
      </c>
      <c r="N292">
        <v>1.10339E-4</v>
      </c>
      <c r="O292">
        <v>1.57324E-4</v>
      </c>
      <c r="P292">
        <v>1.8317100000000001E-4</v>
      </c>
      <c r="Q292">
        <v>1.4222599999999999E-4</v>
      </c>
      <c r="R292">
        <v>1.59526E-4</v>
      </c>
      <c r="S292">
        <v>1.4816499999999999E-4</v>
      </c>
      <c r="T292">
        <v>1.39741E-4</v>
      </c>
    </row>
    <row r="293" spans="1:20" hidden="1" x14ac:dyDescent="0.25">
      <c r="A293" t="s">
        <v>311</v>
      </c>
      <c r="B293" s="1">
        <v>9.7399999999999996E-5</v>
      </c>
      <c r="C293">
        <v>1.6107400000000001E-4</v>
      </c>
      <c r="D293">
        <v>1.3094499999999999E-4</v>
      </c>
      <c r="E293">
        <v>1.4638800000000001E-4</v>
      </c>
      <c r="F293">
        <v>1.14061E-4</v>
      </c>
      <c r="G293">
        <v>1.6456899999999999E-4</v>
      </c>
      <c r="H293">
        <v>1.77725E-4</v>
      </c>
      <c r="I293">
        <v>1.6677400000000001E-4</v>
      </c>
      <c r="J293">
        <v>1.4003900000000001E-4</v>
      </c>
      <c r="K293">
        <v>1.52223E-4</v>
      </c>
      <c r="L293">
        <v>1.4044599999999999E-4</v>
      </c>
      <c r="M293" s="1">
        <v>8.8399999999999994E-5</v>
      </c>
      <c r="N293" s="1">
        <v>7.1099999999999994E-5</v>
      </c>
      <c r="O293">
        <v>1.1308599999999999E-4</v>
      </c>
      <c r="P293">
        <v>1.08465E-4</v>
      </c>
      <c r="Q293">
        <v>1.18177E-4</v>
      </c>
      <c r="R293" s="1">
        <v>8.6100000000000006E-5</v>
      </c>
      <c r="S293" s="1">
        <v>9.5600000000000006E-5</v>
      </c>
      <c r="T293">
        <v>1.23819E-4</v>
      </c>
    </row>
    <row r="294" spans="1:20" hidden="1" x14ac:dyDescent="0.25">
      <c r="A294" t="s">
        <v>312</v>
      </c>
      <c r="B294" s="1">
        <v>9.6000000000000002E-5</v>
      </c>
      <c r="C294">
        <v>2.2538899999999999E-4</v>
      </c>
      <c r="D294">
        <v>1.93709E-4</v>
      </c>
      <c r="E294">
        <v>2.4174400000000001E-4</v>
      </c>
      <c r="F294">
        <v>1.02966E-4</v>
      </c>
      <c r="G294">
        <v>1.8206900000000001E-4</v>
      </c>
      <c r="H294">
        <v>2.1507399999999999E-4</v>
      </c>
      <c r="I294">
        <v>1.8005899999999999E-4</v>
      </c>
      <c r="J294">
        <v>1.38174E-4</v>
      </c>
      <c r="K294">
        <v>2.09822E-4</v>
      </c>
      <c r="L294">
        <v>2.1907900000000001E-4</v>
      </c>
      <c r="M294">
        <v>1.17544E-4</v>
      </c>
      <c r="N294">
        <v>1.2969199999999999E-4</v>
      </c>
      <c r="O294">
        <v>1.5424300000000001E-4</v>
      </c>
      <c r="P294">
        <v>1.31681E-4</v>
      </c>
      <c r="Q294">
        <v>1.1343E-4</v>
      </c>
      <c r="R294">
        <v>1.10777E-4</v>
      </c>
      <c r="S294">
        <v>1.91103E-4</v>
      </c>
      <c r="T294">
        <v>1.7429699999999999E-4</v>
      </c>
    </row>
    <row r="295" spans="1:20" hidden="1" x14ac:dyDescent="0.25">
      <c r="A295" t="s">
        <v>313</v>
      </c>
      <c r="B295" s="1">
        <v>8.7399999999999997E-5</v>
      </c>
      <c r="C295">
        <v>2.5373000000000003E-4</v>
      </c>
      <c r="D295">
        <v>1.9244299999999999E-4</v>
      </c>
      <c r="E295">
        <v>2.1545099999999999E-4</v>
      </c>
      <c r="F295">
        <v>1.2844500000000001E-4</v>
      </c>
      <c r="G295">
        <v>2.0351000000000001E-4</v>
      </c>
      <c r="H295">
        <v>2.68206E-4</v>
      </c>
      <c r="I295">
        <v>2.1463999999999999E-4</v>
      </c>
      <c r="J295">
        <v>1.22726E-4</v>
      </c>
      <c r="K295">
        <v>1.8738000000000001E-4</v>
      </c>
      <c r="L295">
        <v>1.7453100000000001E-4</v>
      </c>
      <c r="M295">
        <v>1.17932E-4</v>
      </c>
      <c r="N295" s="1">
        <v>9.5400000000000001E-5</v>
      </c>
      <c r="O295">
        <v>1.4558799999999999E-4</v>
      </c>
      <c r="P295">
        <v>1.5410700000000001E-4</v>
      </c>
      <c r="Q295">
        <v>1.16332E-4</v>
      </c>
      <c r="R295">
        <v>1.50271E-4</v>
      </c>
      <c r="S295">
        <v>1.34824E-4</v>
      </c>
      <c r="T295">
        <v>1.34067E-4</v>
      </c>
    </row>
    <row r="296" spans="1:20" hidden="1" x14ac:dyDescent="0.25">
      <c r="A296" t="s">
        <v>314</v>
      </c>
      <c r="B296" s="1">
        <v>1E-4</v>
      </c>
      <c r="C296">
        <v>2.4215099999999999E-4</v>
      </c>
      <c r="D296">
        <v>1.70347E-4</v>
      </c>
      <c r="E296">
        <v>2.1619400000000001E-4</v>
      </c>
      <c r="F296">
        <v>1.3158899999999999E-4</v>
      </c>
      <c r="G296">
        <v>1.8394700000000001E-4</v>
      </c>
      <c r="H296">
        <v>1.7278399999999999E-4</v>
      </c>
      <c r="I296">
        <v>1.74592E-4</v>
      </c>
      <c r="J296">
        <v>1.14292E-4</v>
      </c>
      <c r="K296">
        <v>1.81015E-4</v>
      </c>
      <c r="L296">
        <v>1.8284799999999999E-4</v>
      </c>
      <c r="M296" s="1">
        <v>9.6199999999999994E-5</v>
      </c>
      <c r="N296" s="1">
        <v>8.2100000000000003E-5</v>
      </c>
      <c r="O296">
        <v>1.3244900000000001E-4</v>
      </c>
      <c r="P296">
        <v>1.16166E-4</v>
      </c>
      <c r="Q296" s="1">
        <v>9.6100000000000005E-5</v>
      </c>
      <c r="R296" s="1">
        <v>8.5500000000000005E-5</v>
      </c>
      <c r="S296">
        <v>1.1357300000000001E-4</v>
      </c>
      <c r="T296" s="1">
        <v>9.5600000000000006E-5</v>
      </c>
    </row>
    <row r="297" spans="1:20" hidden="1" x14ac:dyDescent="0.25">
      <c r="A297" t="s">
        <v>315</v>
      </c>
      <c r="B297" s="1">
        <v>9.7999999999999997E-5</v>
      </c>
      <c r="C297">
        <v>2.2222999999999999E-4</v>
      </c>
      <c r="D297">
        <v>2.3932200000000001E-4</v>
      </c>
      <c r="E297">
        <v>2.2366000000000001E-4</v>
      </c>
      <c r="F297">
        <v>1.60588E-4</v>
      </c>
      <c r="G297">
        <v>2.2034800000000001E-4</v>
      </c>
      <c r="H297">
        <v>2.0623199999999999E-4</v>
      </c>
      <c r="I297">
        <v>1.8618000000000001E-4</v>
      </c>
      <c r="J297">
        <v>1.25086E-4</v>
      </c>
      <c r="K297">
        <v>2.3843000000000001E-4</v>
      </c>
      <c r="L297">
        <v>2.0595499999999999E-4</v>
      </c>
      <c r="M297">
        <v>1.2269900000000001E-4</v>
      </c>
      <c r="N297">
        <v>1.6090899999999999E-4</v>
      </c>
      <c r="O297">
        <v>1.3307600000000001E-4</v>
      </c>
      <c r="P297">
        <v>1.4364299999999999E-4</v>
      </c>
      <c r="Q297">
        <v>1.2844199999999999E-4</v>
      </c>
      <c r="R297">
        <v>1.3496299999999999E-4</v>
      </c>
      <c r="S297">
        <v>1.7710800000000001E-4</v>
      </c>
      <c r="T297">
        <v>1.4079199999999999E-4</v>
      </c>
    </row>
    <row r="298" spans="1:20" hidden="1" x14ac:dyDescent="0.25">
      <c r="A298" t="s">
        <v>316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s="1">
        <v>1.03E-5</v>
      </c>
      <c r="R298" s="1">
        <v>1.1600000000000001E-5</v>
      </c>
      <c r="S298" s="1">
        <v>7.0099999999999998E-6</v>
      </c>
      <c r="T298" s="1">
        <v>1.0499999999999999E-5</v>
      </c>
    </row>
    <row r="299" spans="1:20" hidden="1" x14ac:dyDescent="0.25">
      <c r="A299" t="s">
        <v>317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s="1">
        <v>4.0399999999999999E-5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1">
        <v>4.4100000000000001E-5</v>
      </c>
      <c r="Q299" s="1">
        <v>8.6700000000000007E-5</v>
      </c>
      <c r="R299" s="1">
        <v>7.1600000000000006E-5</v>
      </c>
      <c r="S299" s="1">
        <v>4.6600000000000001E-5</v>
      </c>
      <c r="T299" s="1">
        <v>3.1699999999999998E-5</v>
      </c>
    </row>
    <row r="300" spans="1:20" hidden="1" x14ac:dyDescent="0.25">
      <c r="A300" t="s">
        <v>318</v>
      </c>
      <c r="B300">
        <v>0</v>
      </c>
      <c r="C300">
        <v>0</v>
      </c>
      <c r="D300">
        <v>0</v>
      </c>
      <c r="E300">
        <v>0</v>
      </c>
      <c r="F300" s="1">
        <v>9.1600000000000004E-6</v>
      </c>
      <c r="G300" s="1">
        <v>2.0999999999999999E-5</v>
      </c>
      <c r="H300" s="1">
        <v>1.01E-5</v>
      </c>
      <c r="I300" s="1">
        <v>6.9099999999999999E-6</v>
      </c>
      <c r="J300" s="1">
        <v>1.2E-5</v>
      </c>
      <c r="K300">
        <v>1.15542E-4</v>
      </c>
      <c r="L300" s="1">
        <v>3.9100000000000002E-5</v>
      </c>
      <c r="M300" s="1">
        <v>4.1300000000000001E-5</v>
      </c>
      <c r="N300" s="1">
        <v>7.3699999999999997E-6</v>
      </c>
      <c r="O300" s="1">
        <v>7.8299999999999996E-6</v>
      </c>
      <c r="P300">
        <v>1.6179599999999999E-4</v>
      </c>
      <c r="Q300" s="1">
        <v>8.5400000000000002E-5</v>
      </c>
      <c r="R300" s="1">
        <v>5.8E-5</v>
      </c>
      <c r="S300">
        <v>2.4225000000000001E-4</v>
      </c>
      <c r="T300">
        <v>2.0210900000000001E-4</v>
      </c>
    </row>
    <row r="301" spans="1:20" hidden="1" x14ac:dyDescent="0.25">
      <c r="A301" t="s">
        <v>319</v>
      </c>
      <c r="B301">
        <v>7.0510799999999997E-4</v>
      </c>
      <c r="C301">
        <v>1.029697E-3</v>
      </c>
      <c r="D301">
        <v>1.219012E-3</v>
      </c>
      <c r="E301">
        <v>1.3153030000000001E-3</v>
      </c>
      <c r="F301">
        <v>1.261425E-3</v>
      </c>
      <c r="G301">
        <v>9.3630999999999999E-4</v>
      </c>
      <c r="H301">
        <v>8.8301700000000005E-4</v>
      </c>
      <c r="I301">
        <v>7.7214500000000001E-4</v>
      </c>
      <c r="J301">
        <v>8.81437E-4</v>
      </c>
      <c r="K301">
        <v>9.9398200000000003E-4</v>
      </c>
      <c r="L301">
        <v>7.9305E-4</v>
      </c>
      <c r="M301">
        <v>8.6151000000000001E-4</v>
      </c>
      <c r="N301">
        <v>6.3771200000000002E-4</v>
      </c>
      <c r="O301">
        <v>1.367697E-3</v>
      </c>
      <c r="P301">
        <v>6.2563600000000005E-4</v>
      </c>
      <c r="Q301">
        <v>5.6426100000000004E-4</v>
      </c>
      <c r="R301">
        <v>3.9163700000000002E-4</v>
      </c>
      <c r="S301">
        <v>4.2543600000000001E-4</v>
      </c>
      <c r="T301">
        <v>4.8284000000000001E-4</v>
      </c>
    </row>
    <row r="302" spans="1:20" hidden="1" x14ac:dyDescent="0.25">
      <c r="A302" t="s">
        <v>320</v>
      </c>
      <c r="B302">
        <v>2.7631900000000002E-4</v>
      </c>
      <c r="C302">
        <v>2.7015200000000001E-4</v>
      </c>
      <c r="D302">
        <v>1.1213E-4</v>
      </c>
      <c r="E302" s="1">
        <v>6.02E-5</v>
      </c>
      <c r="F302">
        <v>1.3496800000000001E-4</v>
      </c>
      <c r="G302">
        <v>2.6545600000000001E-4</v>
      </c>
      <c r="H302">
        <v>2.3416999999999999E-4</v>
      </c>
      <c r="I302">
        <v>2.2871299999999999E-4</v>
      </c>
      <c r="J302">
        <v>1.9683799999999999E-4</v>
      </c>
      <c r="K302">
        <v>3.12916E-4</v>
      </c>
      <c r="L302">
        <v>2.8105699999999998E-4</v>
      </c>
      <c r="M302">
        <v>2.9102899999999999E-4</v>
      </c>
      <c r="N302">
        <v>1.47754E-4</v>
      </c>
      <c r="O302">
        <v>2.4469299999999998E-4</v>
      </c>
      <c r="P302">
        <v>3.4430099999999998E-4</v>
      </c>
      <c r="Q302">
        <v>5.18295E-4</v>
      </c>
      <c r="R302">
        <v>6.68635E-4</v>
      </c>
      <c r="S302">
        <v>5.2471600000000005E-4</v>
      </c>
      <c r="T302">
        <v>3.49363E-4</v>
      </c>
    </row>
    <row r="303" spans="1:20" hidden="1" x14ac:dyDescent="0.25">
      <c r="A303" t="s">
        <v>321</v>
      </c>
      <c r="B303">
        <v>2.2666599999999999E-4</v>
      </c>
      <c r="C303">
        <v>1.4218E-4</v>
      </c>
      <c r="D303" s="1">
        <v>5.2599999999999998E-5</v>
      </c>
      <c r="E303" s="1">
        <v>3.5599999999999998E-5</v>
      </c>
      <c r="F303">
        <v>7.0186900000000004E-4</v>
      </c>
      <c r="G303">
        <v>9.5096500000000001E-4</v>
      </c>
      <c r="H303">
        <v>6.4190799999999995E-4</v>
      </c>
      <c r="I303">
        <v>1.080679E-3</v>
      </c>
      <c r="J303">
        <v>9.8823300000000004E-4</v>
      </c>
      <c r="K303">
        <v>3.3947799999999999E-4</v>
      </c>
      <c r="L303">
        <v>6.3559800000000002E-4</v>
      </c>
      <c r="M303">
        <v>6.5264800000000003E-4</v>
      </c>
      <c r="N303">
        <v>7.0608200000000002E-4</v>
      </c>
      <c r="O303">
        <v>4.0453100000000002E-4</v>
      </c>
      <c r="P303">
        <v>2.213034E-3</v>
      </c>
      <c r="Q303">
        <v>3.7047080000000001E-3</v>
      </c>
      <c r="R303">
        <v>4.1857789999999997E-3</v>
      </c>
      <c r="S303">
        <v>4.7291640000000001E-3</v>
      </c>
      <c r="T303">
        <v>3.826023E-3</v>
      </c>
    </row>
    <row r="304" spans="1:20" hidden="1" x14ac:dyDescent="0.25">
      <c r="A304" t="s">
        <v>322</v>
      </c>
      <c r="B304">
        <v>2.5014999999999998E-3</v>
      </c>
      <c r="C304">
        <v>1.75617E-3</v>
      </c>
      <c r="D304">
        <v>2.502921E-3</v>
      </c>
      <c r="E304">
        <v>2.1925500000000001E-3</v>
      </c>
      <c r="F304">
        <v>1.9381649999999999E-3</v>
      </c>
      <c r="G304">
        <v>1.206775E-3</v>
      </c>
      <c r="H304">
        <v>1.5516079999999999E-3</v>
      </c>
      <c r="I304">
        <v>1.325229E-3</v>
      </c>
      <c r="J304">
        <v>2.044265E-3</v>
      </c>
      <c r="K304">
        <v>1.6569219999999999E-3</v>
      </c>
      <c r="L304">
        <v>1.5161720000000001E-3</v>
      </c>
      <c r="M304">
        <v>1.513852E-3</v>
      </c>
      <c r="N304">
        <v>1.0655630000000001E-3</v>
      </c>
      <c r="O304">
        <v>1.8150900000000001E-3</v>
      </c>
      <c r="P304">
        <v>7.93332E-4</v>
      </c>
      <c r="Q304">
        <v>6.2621900000000002E-4</v>
      </c>
      <c r="R304">
        <v>8.6060200000000002E-4</v>
      </c>
      <c r="S304">
        <v>0</v>
      </c>
      <c r="T304">
        <v>0</v>
      </c>
    </row>
    <row r="305" spans="1:20" hidden="1" x14ac:dyDescent="0.25">
      <c r="A305" t="s">
        <v>323</v>
      </c>
      <c r="B305">
        <v>4.6929370000000003E-3</v>
      </c>
      <c r="C305">
        <v>0</v>
      </c>
      <c r="D305">
        <v>3.108202E-3</v>
      </c>
      <c r="E305">
        <v>4.2858180000000003E-3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5.394233E-3</v>
      </c>
      <c r="L305">
        <v>6.24247E-3</v>
      </c>
      <c r="M305">
        <v>6.0725199999999997E-3</v>
      </c>
      <c r="N305">
        <v>4.9205389999999998E-3</v>
      </c>
      <c r="O305">
        <v>4.0705400000000001E-3</v>
      </c>
      <c r="P305">
        <v>0</v>
      </c>
      <c r="Q305">
        <v>0</v>
      </c>
      <c r="R305">
        <v>0</v>
      </c>
      <c r="S305">
        <v>9.3562160000000005E-3</v>
      </c>
      <c r="T305">
        <v>6.3562749999999998E-3</v>
      </c>
    </row>
    <row r="306" spans="1:20" hidden="1" x14ac:dyDescent="0.25">
      <c r="A306" t="s">
        <v>324</v>
      </c>
      <c r="B306">
        <v>2.4259300000000001E-4</v>
      </c>
      <c r="C306">
        <v>2.5147199999999998E-4</v>
      </c>
      <c r="D306" s="1">
        <v>9.6100000000000005E-5</v>
      </c>
      <c r="E306">
        <v>1.6347599999999999E-4</v>
      </c>
      <c r="F306">
        <v>3.2128300000000001E-4</v>
      </c>
      <c r="G306">
        <v>4.25587E-4</v>
      </c>
      <c r="H306">
        <v>4.9565199999999996E-4</v>
      </c>
      <c r="I306">
        <v>6.3132499999999996E-4</v>
      </c>
      <c r="J306">
        <v>3.0899900000000001E-4</v>
      </c>
      <c r="K306">
        <v>2.1978300000000001E-4</v>
      </c>
      <c r="L306">
        <v>4.2763700000000003E-4</v>
      </c>
      <c r="M306">
        <v>4.3898299999999999E-4</v>
      </c>
      <c r="N306">
        <v>6.39067E-4</v>
      </c>
      <c r="O306">
        <v>3.6920600000000002E-4</v>
      </c>
      <c r="P306">
        <v>4.6801500000000001E-4</v>
      </c>
      <c r="Q306">
        <v>2.37307E-4</v>
      </c>
      <c r="R306">
        <v>4.8350599999999997E-4</v>
      </c>
      <c r="S306">
        <v>3.30475E-4</v>
      </c>
      <c r="T306">
        <v>2.2818200000000001E-4</v>
      </c>
    </row>
    <row r="307" spans="1:20" hidden="1" x14ac:dyDescent="0.25">
      <c r="A307" t="s">
        <v>325</v>
      </c>
      <c r="B307">
        <v>4.0254169999999999E-3</v>
      </c>
      <c r="C307">
        <v>3.9883009999999997E-3</v>
      </c>
      <c r="D307">
        <v>2.8441489999999998E-3</v>
      </c>
      <c r="E307">
        <v>1.841776E-3</v>
      </c>
      <c r="F307">
        <v>4.5338829999999998E-3</v>
      </c>
      <c r="G307">
        <v>7.7966590000000001E-3</v>
      </c>
      <c r="H307">
        <v>6.0778669999999998E-3</v>
      </c>
      <c r="I307">
        <v>6.4264999999999999E-3</v>
      </c>
      <c r="J307">
        <v>5.0093439999999998E-3</v>
      </c>
      <c r="K307">
        <v>5.2962959999999998E-3</v>
      </c>
      <c r="L307">
        <v>7.8115199999999997E-3</v>
      </c>
      <c r="M307">
        <v>6.3964E-3</v>
      </c>
      <c r="N307">
        <v>5.8235240000000001E-3</v>
      </c>
      <c r="O307">
        <v>3.9153640000000002E-3</v>
      </c>
      <c r="P307">
        <v>5.7399440000000003E-3</v>
      </c>
      <c r="Q307">
        <v>3.6778940000000001E-3</v>
      </c>
      <c r="R307">
        <v>1.0049627E-2</v>
      </c>
      <c r="S307">
        <v>5.1290290000000002E-3</v>
      </c>
      <c r="T307">
        <v>6.0075470000000002E-3</v>
      </c>
    </row>
    <row r="308" spans="1:20" hidden="1" x14ac:dyDescent="0.25">
      <c r="A308" t="s">
        <v>326</v>
      </c>
      <c r="B308">
        <v>1.2290700000000001E-4</v>
      </c>
      <c r="C308">
        <v>2.3500600000000001E-4</v>
      </c>
      <c r="D308">
        <v>2.51659E-4</v>
      </c>
      <c r="E308">
        <v>1.8982499999999999E-4</v>
      </c>
      <c r="F308">
        <v>1.44153E-4</v>
      </c>
      <c r="G308">
        <v>2.0922200000000001E-4</v>
      </c>
      <c r="H308" s="1">
        <v>9.2299999999999994E-5</v>
      </c>
      <c r="I308">
        <v>1.69817E-4</v>
      </c>
      <c r="J308">
        <v>1.3899299999999999E-4</v>
      </c>
      <c r="K308">
        <v>2.36906E-4</v>
      </c>
      <c r="L308">
        <v>2.43267E-4</v>
      </c>
      <c r="M308">
        <v>1.17509E-4</v>
      </c>
      <c r="N308">
        <v>1.69796E-4</v>
      </c>
      <c r="O308">
        <v>1.6647999999999999E-4</v>
      </c>
      <c r="P308" s="1">
        <v>7.9200000000000001E-5</v>
      </c>
      <c r="Q308" s="1">
        <v>5.5899999999999997E-5</v>
      </c>
      <c r="R308" s="1">
        <v>7.5300000000000001E-5</v>
      </c>
      <c r="S308" s="1">
        <v>8.8399999999999994E-5</v>
      </c>
      <c r="T308" s="1">
        <v>5.6799999999999998E-5</v>
      </c>
    </row>
    <row r="309" spans="1:20" hidden="1" x14ac:dyDescent="0.25">
      <c r="A309" t="s">
        <v>327</v>
      </c>
      <c r="B309">
        <v>3.0294079999999999E-3</v>
      </c>
      <c r="C309">
        <v>2.8686089999999998E-3</v>
      </c>
      <c r="D309">
        <v>2.8934189999999999E-3</v>
      </c>
      <c r="E309">
        <v>3.0635269999999999E-3</v>
      </c>
      <c r="F309">
        <v>3.137903E-3</v>
      </c>
      <c r="G309">
        <v>2.3564969999999999E-3</v>
      </c>
      <c r="H309">
        <v>2.3951749999999998E-3</v>
      </c>
      <c r="I309">
        <v>2.2395370000000002E-3</v>
      </c>
      <c r="J309">
        <v>2.6347639999999999E-3</v>
      </c>
      <c r="K309">
        <v>2.6194349999999998E-3</v>
      </c>
      <c r="L309">
        <v>2.259442E-3</v>
      </c>
      <c r="M309">
        <v>2.6451600000000001E-3</v>
      </c>
      <c r="N309">
        <v>1.812794E-3</v>
      </c>
      <c r="O309">
        <v>2.554827E-3</v>
      </c>
      <c r="P309">
        <v>3.7325169999999999E-3</v>
      </c>
      <c r="Q309">
        <v>3.8563310000000002E-3</v>
      </c>
      <c r="R309">
        <v>3.6557550000000001E-3</v>
      </c>
      <c r="S309">
        <v>2.5820190000000001E-3</v>
      </c>
      <c r="T309">
        <v>2.360979E-3</v>
      </c>
    </row>
    <row r="310" spans="1:20" hidden="1" x14ac:dyDescent="0.25">
      <c r="A310" t="s">
        <v>328</v>
      </c>
      <c r="B310" s="1">
        <v>5.8200000000000002E-6</v>
      </c>
      <c r="C310" s="1">
        <v>7.6399999999999997E-6</v>
      </c>
      <c r="D310" s="1">
        <v>7.61E-6</v>
      </c>
      <c r="E310" s="1">
        <v>5.8599999999999998E-6</v>
      </c>
      <c r="F310" s="1">
        <v>4.4700000000000004E-6</v>
      </c>
      <c r="G310">
        <v>0</v>
      </c>
      <c r="H310" s="1">
        <v>5.0499999999999999E-6</v>
      </c>
      <c r="I310" s="1">
        <v>6.19E-6</v>
      </c>
      <c r="J310" s="1">
        <v>4.3499999999999999E-6</v>
      </c>
      <c r="K310" s="1">
        <v>5.8100000000000003E-6</v>
      </c>
      <c r="L310" s="1">
        <v>6.7299999999999999E-6</v>
      </c>
      <c r="M310" s="1">
        <v>4.6199999999999998E-6</v>
      </c>
      <c r="N310">
        <v>0</v>
      </c>
      <c r="O310" s="1">
        <v>4.07E-6</v>
      </c>
      <c r="P310" s="1">
        <v>2.96E-6</v>
      </c>
      <c r="Q310" s="1">
        <v>4.4900000000000002E-6</v>
      </c>
      <c r="R310" s="1">
        <v>2.2400000000000002E-6</v>
      </c>
      <c r="S310" s="1">
        <v>3.3500000000000001E-6</v>
      </c>
      <c r="T310">
        <v>0</v>
      </c>
    </row>
    <row r="311" spans="1:20" hidden="1" x14ac:dyDescent="0.25">
      <c r="A311" t="s">
        <v>329</v>
      </c>
      <c r="B311" s="1">
        <v>1.98E-5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s="1">
        <v>2.7699999999999999E-5</v>
      </c>
      <c r="N311" s="1">
        <v>2.5999999999999998E-5</v>
      </c>
      <c r="O311">
        <v>0</v>
      </c>
      <c r="P311">
        <v>0</v>
      </c>
      <c r="Q311" s="1">
        <v>5.8100000000000003E-5</v>
      </c>
      <c r="R311" s="1">
        <v>5.0899999999999997E-5</v>
      </c>
      <c r="S311" s="1">
        <v>5.0099999999999998E-5</v>
      </c>
      <c r="T311" s="1">
        <v>4.2599999999999999E-5</v>
      </c>
    </row>
    <row r="312" spans="1:20" hidden="1" x14ac:dyDescent="0.25">
      <c r="A312" t="s">
        <v>330</v>
      </c>
      <c r="B312">
        <v>7.1343399999999999E-4</v>
      </c>
      <c r="C312">
        <v>6.3355900000000001E-4</v>
      </c>
      <c r="D312">
        <v>6.0916900000000001E-4</v>
      </c>
      <c r="E312">
        <v>3.5239100000000002E-4</v>
      </c>
      <c r="F312">
        <v>5.9021400000000004E-4</v>
      </c>
      <c r="G312">
        <v>4.7413099999999998E-4</v>
      </c>
      <c r="H312">
        <v>6.1237599999999998E-4</v>
      </c>
      <c r="I312">
        <v>3.59575E-4</v>
      </c>
      <c r="J312">
        <v>5.89957E-4</v>
      </c>
      <c r="K312">
        <v>4.4006699999999999E-4</v>
      </c>
      <c r="L312">
        <v>4.6936999999999999E-4</v>
      </c>
      <c r="M312">
        <v>4.2535099999999997E-4</v>
      </c>
      <c r="N312">
        <v>6.4024299999999998E-4</v>
      </c>
      <c r="O312">
        <v>5.60685E-4</v>
      </c>
      <c r="P312">
        <v>2.1188500000000001E-4</v>
      </c>
      <c r="Q312">
        <v>2.52802E-4</v>
      </c>
      <c r="R312">
        <v>1.44466E-4</v>
      </c>
      <c r="S312">
        <v>1.3381499999999999E-4</v>
      </c>
      <c r="T312">
        <v>2.79213E-4</v>
      </c>
    </row>
    <row r="313" spans="1:20" hidden="1" x14ac:dyDescent="0.25">
      <c r="A313" t="s">
        <v>331</v>
      </c>
      <c r="B313">
        <v>1.4359299999999999E-4</v>
      </c>
      <c r="C313">
        <v>1.64418E-4</v>
      </c>
      <c r="D313">
        <v>1.1691700000000001E-4</v>
      </c>
      <c r="E313">
        <v>1.10083E-4</v>
      </c>
      <c r="F313" s="1">
        <v>9.3700000000000001E-5</v>
      </c>
      <c r="G313">
        <v>1.3697500000000001E-4</v>
      </c>
      <c r="H313">
        <v>1.57637E-4</v>
      </c>
      <c r="I313">
        <v>1.8938200000000001E-4</v>
      </c>
      <c r="J313">
        <v>1.75062E-4</v>
      </c>
      <c r="K313">
        <v>1.0367899999999999E-4</v>
      </c>
      <c r="L313">
        <v>1.2913900000000001E-4</v>
      </c>
      <c r="M313" s="1">
        <v>9.5299999999999999E-5</v>
      </c>
      <c r="N313">
        <v>1.5070599999999999E-4</v>
      </c>
      <c r="O313">
        <v>1.30758E-4</v>
      </c>
      <c r="P313">
        <v>1.8563400000000001E-4</v>
      </c>
      <c r="Q313">
        <v>2.43012E-4</v>
      </c>
      <c r="R313">
        <v>3.2681000000000002E-4</v>
      </c>
      <c r="S313">
        <v>1.8074899999999999E-4</v>
      </c>
      <c r="T313">
        <v>2.8574600000000003E-4</v>
      </c>
    </row>
    <row r="314" spans="1:20" hidden="1" x14ac:dyDescent="0.25">
      <c r="A314" t="s">
        <v>332</v>
      </c>
      <c r="B314" s="1">
        <v>6.7399999999999998E-5</v>
      </c>
      <c r="C314" s="1">
        <v>7.7700000000000005E-5</v>
      </c>
      <c r="D314" s="1">
        <v>7.9800000000000002E-5</v>
      </c>
      <c r="E314" s="1">
        <v>7.3499999999999998E-5</v>
      </c>
      <c r="F314">
        <v>0</v>
      </c>
      <c r="G314">
        <v>0</v>
      </c>
      <c r="H314" s="1">
        <v>7.47E-5</v>
      </c>
      <c r="I314" s="1">
        <v>4.8000000000000001E-5</v>
      </c>
      <c r="J314">
        <v>0</v>
      </c>
      <c r="K314" s="1">
        <v>7.3999999999999996E-5</v>
      </c>
      <c r="L314" s="1">
        <v>6.1299999999999999E-5</v>
      </c>
      <c r="M314" s="1">
        <v>5.9200000000000002E-5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s="1">
        <v>2.4000000000000001E-5</v>
      </c>
    </row>
    <row r="315" spans="1:20" hidden="1" x14ac:dyDescent="0.25">
      <c r="A315" t="s">
        <v>333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s="1">
        <v>1.2999999999999999E-5</v>
      </c>
      <c r="R315" s="1">
        <v>7.4000000000000003E-6</v>
      </c>
      <c r="S315" s="1">
        <v>1.7099999999999999E-5</v>
      </c>
      <c r="T315" s="1">
        <v>1.66E-5</v>
      </c>
    </row>
    <row r="316" spans="1:20" hidden="1" x14ac:dyDescent="0.25">
      <c r="A316" t="s">
        <v>334</v>
      </c>
      <c r="B316" s="1">
        <v>1.0900000000000001E-5</v>
      </c>
      <c r="C316">
        <v>0</v>
      </c>
      <c r="D316">
        <v>0</v>
      </c>
      <c r="E316">
        <v>0</v>
      </c>
      <c r="F316">
        <v>0</v>
      </c>
      <c r="G316" s="1">
        <v>2.6699999999999998E-5</v>
      </c>
      <c r="H316">
        <v>0</v>
      </c>
      <c r="I316">
        <v>0</v>
      </c>
      <c r="J316" s="1">
        <v>8.3999999999999992E-6</v>
      </c>
      <c r="K316" s="1">
        <v>1.4399999999999999E-5</v>
      </c>
      <c r="L316">
        <v>0</v>
      </c>
      <c r="M316">
        <v>0</v>
      </c>
      <c r="N316">
        <v>0</v>
      </c>
      <c r="O316">
        <v>0</v>
      </c>
      <c r="P316" s="1">
        <v>3.9799999999999998E-5</v>
      </c>
      <c r="Q316" s="1">
        <v>3.7700000000000002E-5</v>
      </c>
      <c r="R316">
        <v>0</v>
      </c>
      <c r="S316" s="1">
        <v>5.8499999999999999E-5</v>
      </c>
      <c r="T316" s="1">
        <v>4.8300000000000002E-5</v>
      </c>
    </row>
    <row r="317" spans="1:20" hidden="1" x14ac:dyDescent="0.25">
      <c r="A317" t="s">
        <v>335</v>
      </c>
      <c r="B317">
        <v>0</v>
      </c>
      <c r="C317">
        <v>0</v>
      </c>
      <c r="D317">
        <v>0</v>
      </c>
      <c r="E317">
        <v>0</v>
      </c>
      <c r="F317">
        <v>0</v>
      </c>
      <c r="G317" s="1">
        <v>4.3599999999999998E-6</v>
      </c>
      <c r="H317" s="1">
        <v>8.8999999999999995E-6</v>
      </c>
      <c r="I317" s="1">
        <v>6.5400000000000001E-6</v>
      </c>
      <c r="J317">
        <v>0</v>
      </c>
      <c r="K317">
        <v>0</v>
      </c>
      <c r="L317" s="1">
        <v>2.4600000000000002E-6</v>
      </c>
      <c r="M317">
        <v>0</v>
      </c>
      <c r="N317" s="1">
        <v>8.0299999999999994E-6</v>
      </c>
      <c r="O317">
        <v>0</v>
      </c>
      <c r="P317" s="1">
        <v>1.2300000000000001E-5</v>
      </c>
      <c r="Q317" s="1">
        <v>9.4700000000000008E-6</v>
      </c>
      <c r="R317">
        <v>0</v>
      </c>
      <c r="S317" s="1">
        <v>2.02E-5</v>
      </c>
      <c r="T317" s="1">
        <v>5.8599999999999998E-6</v>
      </c>
    </row>
    <row r="318" spans="1:20" hidden="1" x14ac:dyDescent="0.25">
      <c r="A318" t="s">
        <v>336</v>
      </c>
      <c r="B318">
        <v>5.3125730000000001E-3</v>
      </c>
      <c r="C318">
        <v>6.0615670000000003E-3</v>
      </c>
      <c r="D318">
        <v>7.1072940000000001E-3</v>
      </c>
      <c r="E318">
        <v>6.7062880000000004E-3</v>
      </c>
      <c r="F318">
        <v>5.5881309999999997E-3</v>
      </c>
      <c r="G318">
        <v>6.1116979999999996E-3</v>
      </c>
      <c r="H318">
        <v>5.01536E-3</v>
      </c>
      <c r="I318">
        <v>5.4426209999999999E-3</v>
      </c>
      <c r="J318">
        <v>6.1523209999999997E-3</v>
      </c>
      <c r="K318">
        <v>7.4930810000000004E-3</v>
      </c>
      <c r="L318">
        <v>6.3220159999999997E-3</v>
      </c>
      <c r="M318">
        <v>4.8756509999999999E-3</v>
      </c>
      <c r="N318">
        <v>5.8922769999999996E-3</v>
      </c>
      <c r="O318">
        <v>7.8203200000000004E-3</v>
      </c>
      <c r="P318">
        <v>4.3605270000000003E-3</v>
      </c>
      <c r="Q318">
        <v>3.9236829999999999E-3</v>
      </c>
      <c r="R318">
        <v>4.9692030000000002E-3</v>
      </c>
      <c r="S318">
        <v>6.1953360000000001E-3</v>
      </c>
      <c r="T318">
        <v>4.9179380000000002E-3</v>
      </c>
    </row>
    <row r="319" spans="1:20" hidden="1" x14ac:dyDescent="0.25">
      <c r="A319" t="s">
        <v>337</v>
      </c>
      <c r="B319">
        <v>2.01177E-4</v>
      </c>
      <c r="C319">
        <v>2.7463900000000002E-4</v>
      </c>
      <c r="D319">
        <v>2.2765900000000001E-4</v>
      </c>
      <c r="E319">
        <v>2.37891E-4</v>
      </c>
      <c r="F319">
        <v>1.8399599999999999E-4</v>
      </c>
      <c r="G319">
        <v>2.6554900000000002E-4</v>
      </c>
      <c r="H319">
        <v>1.82525E-4</v>
      </c>
      <c r="I319">
        <v>2.1137700000000001E-4</v>
      </c>
      <c r="J319">
        <v>2.23258E-4</v>
      </c>
      <c r="K319">
        <v>1.6374599999999999E-4</v>
      </c>
      <c r="L319">
        <v>3.10802E-4</v>
      </c>
      <c r="M319">
        <v>1.61106E-4</v>
      </c>
      <c r="N319">
        <v>2.2248E-4</v>
      </c>
      <c r="O319">
        <v>2.2619799999999999E-4</v>
      </c>
      <c r="P319">
        <v>2.0794699999999999E-4</v>
      </c>
      <c r="Q319">
        <v>1.54582E-4</v>
      </c>
      <c r="R319">
        <v>2.07677E-4</v>
      </c>
      <c r="S319">
        <v>2.1083000000000001E-4</v>
      </c>
      <c r="T319">
        <v>1.76756E-4</v>
      </c>
    </row>
    <row r="320" spans="1:20" hidden="1" x14ac:dyDescent="0.25">
      <c r="A320" t="s">
        <v>338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2.32041E-4</v>
      </c>
      <c r="R320">
        <v>1.80015E-4</v>
      </c>
      <c r="S320" s="1">
        <v>6.7399999999999998E-5</v>
      </c>
      <c r="T320">
        <v>1.98977E-4</v>
      </c>
    </row>
    <row r="321" spans="1:20" hidden="1" x14ac:dyDescent="0.25">
      <c r="A321" t="s">
        <v>339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s="1">
        <v>2.1500000000000001E-5</v>
      </c>
      <c r="R321" s="1">
        <v>8.9400000000000008E-6</v>
      </c>
      <c r="S321" s="1">
        <v>9.3000000000000007E-6</v>
      </c>
      <c r="T321" s="1">
        <v>4.6400000000000003E-5</v>
      </c>
    </row>
    <row r="322" spans="1:20" hidden="1" x14ac:dyDescent="0.25">
      <c r="A322" t="s">
        <v>340</v>
      </c>
      <c r="B322">
        <v>0</v>
      </c>
      <c r="C322">
        <v>0</v>
      </c>
      <c r="D322">
        <v>0</v>
      </c>
      <c r="E322">
        <v>0</v>
      </c>
      <c r="F322">
        <v>0</v>
      </c>
      <c r="G322" s="1">
        <v>3.9900000000000001E-5</v>
      </c>
      <c r="H322" s="1">
        <v>5.41E-5</v>
      </c>
      <c r="I322" s="1">
        <v>5.7899999999999998E-5</v>
      </c>
      <c r="J322" s="1">
        <v>2.7100000000000001E-5</v>
      </c>
      <c r="K322" s="1">
        <v>1.7099999999999999E-5</v>
      </c>
      <c r="L322" s="1">
        <v>2.16E-5</v>
      </c>
      <c r="M322" s="1">
        <v>3.5099999999999999E-5</v>
      </c>
      <c r="N322" s="1">
        <v>6.3899999999999995E-5</v>
      </c>
      <c r="O322" s="1">
        <v>1.6699999999999999E-5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hidden="1" x14ac:dyDescent="0.25">
      <c r="A323" t="s">
        <v>341</v>
      </c>
      <c r="B323">
        <v>0</v>
      </c>
      <c r="C323">
        <v>0</v>
      </c>
      <c r="D323">
        <v>0</v>
      </c>
      <c r="E323">
        <v>0</v>
      </c>
      <c r="F323" s="1">
        <v>6.5400000000000001E-6</v>
      </c>
      <c r="G323" s="1">
        <v>1.34E-5</v>
      </c>
      <c r="H323" s="1">
        <v>1.2300000000000001E-5</v>
      </c>
      <c r="I323" s="1">
        <v>1.7600000000000001E-5</v>
      </c>
      <c r="J323">
        <v>0</v>
      </c>
      <c r="K323" s="1">
        <v>1.0200000000000001E-5</v>
      </c>
      <c r="L323" s="1">
        <v>7.5900000000000002E-6</v>
      </c>
      <c r="M323">
        <v>0</v>
      </c>
      <c r="N323" s="1">
        <v>1.6799999999999998E-5</v>
      </c>
      <c r="O323" s="1">
        <v>8.1599999999999998E-6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hidden="1" x14ac:dyDescent="0.25">
      <c r="A324" t="s">
        <v>342</v>
      </c>
      <c r="B324" s="1">
        <v>5.1100000000000002E-5</v>
      </c>
      <c r="C324" s="1">
        <v>4.5500000000000001E-5</v>
      </c>
      <c r="D324" s="1">
        <v>6.4300000000000004E-5</v>
      </c>
      <c r="E324" s="1">
        <v>3.3500000000000001E-5</v>
      </c>
      <c r="F324" s="1">
        <v>7.8899999999999993E-5</v>
      </c>
      <c r="G324" s="1">
        <v>8.5400000000000002E-5</v>
      </c>
      <c r="H324">
        <v>1.3220500000000001E-4</v>
      </c>
      <c r="I324" s="1">
        <v>6.3999999999999997E-5</v>
      </c>
      <c r="J324" s="1">
        <v>4.6699999999999997E-5</v>
      </c>
      <c r="K324" s="1">
        <v>5.4700000000000001E-5</v>
      </c>
      <c r="L324" s="1">
        <v>5.3699999999999997E-5</v>
      </c>
      <c r="M324" s="1">
        <v>5.4599999999999999E-5</v>
      </c>
      <c r="N324" s="1">
        <v>8.9800000000000001E-5</v>
      </c>
      <c r="O324" s="1">
        <v>6.9099999999999999E-5</v>
      </c>
      <c r="P324" s="1">
        <v>5.0800000000000002E-5</v>
      </c>
      <c r="Q324" s="1">
        <v>5.52E-5</v>
      </c>
      <c r="R324" s="1">
        <v>4.6199999999999998E-5</v>
      </c>
      <c r="S324" s="1">
        <v>3.4499999999999998E-5</v>
      </c>
      <c r="T324" s="1">
        <v>5.8400000000000003E-5</v>
      </c>
    </row>
    <row r="325" spans="1:20" hidden="1" x14ac:dyDescent="0.25">
      <c r="A325" t="s">
        <v>343</v>
      </c>
      <c r="B325">
        <v>1.09793E-4</v>
      </c>
      <c r="C325">
        <v>2.6878399999999999E-4</v>
      </c>
      <c r="D325">
        <v>1.4273899999999999E-4</v>
      </c>
      <c r="E325">
        <v>2.2552100000000001E-4</v>
      </c>
      <c r="F325">
        <v>1.6920800000000001E-4</v>
      </c>
      <c r="G325">
        <v>2.03005E-4</v>
      </c>
      <c r="H325">
        <v>1.77403E-4</v>
      </c>
      <c r="I325">
        <v>2.37581E-4</v>
      </c>
      <c r="J325">
        <v>2.0237099999999999E-4</v>
      </c>
      <c r="K325">
        <v>1.82041E-4</v>
      </c>
      <c r="L325">
        <v>2.00008E-4</v>
      </c>
      <c r="M325">
        <v>1.08897E-4</v>
      </c>
      <c r="N325" s="1">
        <v>9.1799999999999995E-5</v>
      </c>
      <c r="O325">
        <v>1.2422299999999999E-4</v>
      </c>
      <c r="P325">
        <v>1.3604900000000001E-4</v>
      </c>
      <c r="Q325">
        <v>1.14617E-4</v>
      </c>
      <c r="R325">
        <v>1.3596999999999999E-4</v>
      </c>
      <c r="S325">
        <v>1.4510099999999999E-4</v>
      </c>
      <c r="T325">
        <v>1.07846E-4</v>
      </c>
    </row>
    <row r="326" spans="1:20" hidden="1" x14ac:dyDescent="0.25">
      <c r="A326" t="s">
        <v>344</v>
      </c>
      <c r="B326">
        <v>0</v>
      </c>
      <c r="C326" s="1">
        <v>4.5000000000000003E-5</v>
      </c>
      <c r="D326" s="1">
        <v>6.8700000000000003E-5</v>
      </c>
      <c r="E326" s="1">
        <v>5.2299999999999997E-5</v>
      </c>
      <c r="F326" s="1">
        <v>4.5800000000000002E-5</v>
      </c>
      <c r="G326" s="1">
        <v>4.6699999999999997E-5</v>
      </c>
      <c r="H326" s="1">
        <v>3.4900000000000001E-5</v>
      </c>
      <c r="I326" s="1">
        <v>6.8499999999999998E-5</v>
      </c>
      <c r="J326">
        <v>0</v>
      </c>
      <c r="K326" s="1">
        <v>3.4600000000000001E-5</v>
      </c>
      <c r="L326" s="1">
        <v>5.1600000000000001E-5</v>
      </c>
      <c r="M326" s="1">
        <v>4.18E-5</v>
      </c>
      <c r="N326" s="1">
        <v>4.49E-5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hidden="1" x14ac:dyDescent="0.25">
      <c r="A327" t="s">
        <v>345</v>
      </c>
      <c r="B327">
        <v>1.02069E-4</v>
      </c>
      <c r="C327">
        <v>1.0231299999999999E-4</v>
      </c>
      <c r="D327" s="1">
        <v>7.7999999999999999E-5</v>
      </c>
      <c r="E327" s="1">
        <v>7.3200000000000004E-5</v>
      </c>
      <c r="F327" s="1">
        <v>4.6300000000000001E-5</v>
      </c>
      <c r="G327" s="1">
        <v>8.4699999999999999E-5</v>
      </c>
      <c r="H327" s="1">
        <v>8.6299999999999997E-5</v>
      </c>
      <c r="I327">
        <v>0</v>
      </c>
      <c r="J327" s="1">
        <v>6.4599999999999998E-5</v>
      </c>
      <c r="K327" s="1">
        <v>6.8899999999999994E-5</v>
      </c>
      <c r="L327" s="1">
        <v>9.2600000000000001E-5</v>
      </c>
      <c r="M327" s="1">
        <v>3.4199999999999998E-5</v>
      </c>
      <c r="N327" s="1">
        <v>6.4399999999999993E-5</v>
      </c>
      <c r="O327" s="1">
        <v>3.7400000000000001E-5</v>
      </c>
      <c r="P327" s="1">
        <v>8.4099999999999998E-5</v>
      </c>
      <c r="Q327" s="1">
        <v>8.81E-5</v>
      </c>
      <c r="R327" s="1">
        <v>4.9400000000000001E-5</v>
      </c>
      <c r="S327" s="1">
        <v>3.0599999999999998E-5</v>
      </c>
      <c r="T327" s="1">
        <v>5.7099999999999999E-5</v>
      </c>
    </row>
    <row r="328" spans="1:20" hidden="1" x14ac:dyDescent="0.25">
      <c r="A328" t="s">
        <v>346</v>
      </c>
      <c r="B328">
        <v>0</v>
      </c>
      <c r="C328">
        <v>0</v>
      </c>
      <c r="D328">
        <v>0</v>
      </c>
      <c r="E328">
        <v>0</v>
      </c>
      <c r="F328">
        <v>0</v>
      </c>
      <c r="G328" s="1">
        <v>2.8399999999999999E-5</v>
      </c>
      <c r="H328">
        <v>0</v>
      </c>
      <c r="I328" s="1">
        <v>3.2400000000000001E-5</v>
      </c>
      <c r="J328">
        <v>0</v>
      </c>
      <c r="K328" s="1">
        <v>2.27E-5</v>
      </c>
      <c r="L328" s="1">
        <v>2.8099999999999999E-5</v>
      </c>
      <c r="M328">
        <v>0</v>
      </c>
      <c r="N328">
        <v>0</v>
      </c>
      <c r="O328">
        <v>0</v>
      </c>
      <c r="P328" s="1">
        <v>3.0300000000000001E-5</v>
      </c>
      <c r="Q328" s="1">
        <v>1.9599999999999999E-5</v>
      </c>
      <c r="R328" s="1">
        <v>4.1399999999999997E-5</v>
      </c>
      <c r="S328">
        <v>0</v>
      </c>
      <c r="T328" s="1">
        <v>2.5199999999999999E-5</v>
      </c>
    </row>
    <row r="329" spans="1:20" hidden="1" x14ac:dyDescent="0.25">
      <c r="A329" t="s">
        <v>347</v>
      </c>
      <c r="B329">
        <v>3.0732999999999997E-4</v>
      </c>
      <c r="C329">
        <v>0</v>
      </c>
      <c r="D329">
        <v>2.0350500000000001E-4</v>
      </c>
      <c r="E329">
        <v>2.3399099999999999E-4</v>
      </c>
      <c r="F329">
        <v>8.7277700000000004E-4</v>
      </c>
      <c r="G329">
        <v>6.69069E-4</v>
      </c>
      <c r="H329">
        <v>0</v>
      </c>
      <c r="I329">
        <v>3.6155900000000001E-4</v>
      </c>
      <c r="J329">
        <v>3.9951800000000002E-4</v>
      </c>
      <c r="K329">
        <v>5.8665799999999999E-4</v>
      </c>
      <c r="L329">
        <v>3.8856999999999997E-4</v>
      </c>
      <c r="M329">
        <v>3.2369199999999999E-4</v>
      </c>
      <c r="N329">
        <v>3.3635099999999998E-4</v>
      </c>
      <c r="O329">
        <v>0</v>
      </c>
      <c r="P329">
        <v>7.4185899999999999E-4</v>
      </c>
      <c r="Q329">
        <v>1.273026E-3</v>
      </c>
      <c r="R329">
        <v>1.3260730000000001E-3</v>
      </c>
      <c r="S329">
        <v>1.035102E-3</v>
      </c>
      <c r="T329">
        <v>1.5007239999999999E-3</v>
      </c>
    </row>
    <row r="330" spans="1:20" hidden="1" x14ac:dyDescent="0.25">
      <c r="A330" t="s">
        <v>348</v>
      </c>
      <c r="B330">
        <v>0</v>
      </c>
      <c r="C330">
        <v>0</v>
      </c>
      <c r="D330">
        <v>0</v>
      </c>
      <c r="E330">
        <v>0</v>
      </c>
      <c r="F330">
        <v>0</v>
      </c>
      <c r="G330" s="1">
        <v>1.45E-5</v>
      </c>
      <c r="H330" s="1">
        <v>2.2500000000000001E-6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1">
        <v>7.1400000000000002E-6</v>
      </c>
      <c r="Q330" s="1">
        <v>3.0499999999999999E-5</v>
      </c>
      <c r="R330" s="1">
        <v>2.37E-5</v>
      </c>
      <c r="S330" s="1">
        <v>4.0299999999999997E-5</v>
      </c>
      <c r="T330" s="1">
        <v>2.2900000000000001E-5</v>
      </c>
    </row>
    <row r="331" spans="1:20" hidden="1" x14ac:dyDescent="0.25">
      <c r="A331" t="s">
        <v>349</v>
      </c>
      <c r="B331" s="1">
        <v>7.7800000000000001E-6</v>
      </c>
      <c r="C331" s="1">
        <v>2.12E-5</v>
      </c>
      <c r="D331" s="1">
        <v>2.1100000000000001E-5</v>
      </c>
      <c r="E331" s="1">
        <v>1.9000000000000001E-5</v>
      </c>
      <c r="F331" s="1">
        <v>1.2999999999999999E-5</v>
      </c>
      <c r="G331" s="1">
        <v>1.4399999999999999E-5</v>
      </c>
      <c r="H331" s="1">
        <v>1.0499999999999999E-5</v>
      </c>
      <c r="I331" s="1">
        <v>1.42E-5</v>
      </c>
      <c r="J331" s="1">
        <v>1.1600000000000001E-5</v>
      </c>
      <c r="K331" s="1">
        <v>1.5500000000000001E-5</v>
      </c>
      <c r="L331" s="1">
        <v>1.9599999999999999E-5</v>
      </c>
      <c r="M331" s="1">
        <v>7.3000000000000004E-6</v>
      </c>
      <c r="N331" s="1">
        <v>5.3600000000000004E-6</v>
      </c>
      <c r="O331" s="1">
        <v>8.9099999999999994E-6</v>
      </c>
      <c r="P331" s="1">
        <v>6.4699999999999999E-6</v>
      </c>
      <c r="Q331" s="1">
        <v>8.8000000000000004E-6</v>
      </c>
      <c r="R331" s="1">
        <v>8.5799999999999992E-6</v>
      </c>
      <c r="S331" s="1">
        <v>5.3499999999999996E-6</v>
      </c>
      <c r="T331" s="1">
        <v>6.7499999999999997E-6</v>
      </c>
    </row>
    <row r="332" spans="1:20" hidden="1" x14ac:dyDescent="0.25">
      <c r="A332" t="s">
        <v>350</v>
      </c>
      <c r="B332">
        <v>7.4259749999999996E-3</v>
      </c>
      <c r="C332">
        <v>1.0318875E-2</v>
      </c>
      <c r="D332">
        <v>8.2010350000000006E-3</v>
      </c>
      <c r="E332">
        <v>8.8326029999999996E-3</v>
      </c>
      <c r="F332">
        <v>4.5433740000000002E-3</v>
      </c>
      <c r="G332">
        <v>8.4710410000000003E-3</v>
      </c>
      <c r="H332">
        <v>1.0539583E-2</v>
      </c>
      <c r="I332">
        <v>1.0242654E-2</v>
      </c>
      <c r="J332">
        <v>5.7466130000000002E-3</v>
      </c>
      <c r="K332">
        <v>7.930767E-3</v>
      </c>
      <c r="L332">
        <v>7.7625159999999997E-3</v>
      </c>
      <c r="M332">
        <v>7.8302860000000005E-3</v>
      </c>
      <c r="N332">
        <v>7.9576669999999999E-3</v>
      </c>
      <c r="O332">
        <v>5.1665519999999996E-3</v>
      </c>
      <c r="P332">
        <v>7.0976650000000004E-3</v>
      </c>
      <c r="Q332">
        <v>6.9915740000000004E-3</v>
      </c>
      <c r="R332">
        <v>4.9117149999999997E-3</v>
      </c>
      <c r="S332">
        <v>6.537424E-3</v>
      </c>
      <c r="T332">
        <v>5.5241300000000004E-3</v>
      </c>
    </row>
    <row r="333" spans="1:20" hidden="1" x14ac:dyDescent="0.25">
      <c r="A333" t="s">
        <v>351</v>
      </c>
      <c r="B333">
        <v>1.71077E-4</v>
      </c>
      <c r="C333">
        <v>1.7516E-4</v>
      </c>
      <c r="D333">
        <v>1.2998999999999999E-4</v>
      </c>
      <c r="E333">
        <v>1.28427E-4</v>
      </c>
      <c r="F333">
        <v>1.19714E-4</v>
      </c>
      <c r="G333">
        <v>2.32356E-4</v>
      </c>
      <c r="H333">
        <v>2.3182300000000001E-4</v>
      </c>
      <c r="I333">
        <v>1.9678799999999999E-4</v>
      </c>
      <c r="J333">
        <v>1.21859E-4</v>
      </c>
      <c r="K333">
        <v>1.51204E-4</v>
      </c>
      <c r="L333">
        <v>1.6535700000000001E-4</v>
      </c>
      <c r="M333" s="1">
        <v>6.7700000000000006E-5</v>
      </c>
      <c r="N333" s="1">
        <v>9.98E-5</v>
      </c>
      <c r="O333" s="1">
        <v>6.4300000000000004E-5</v>
      </c>
      <c r="P333">
        <v>1.32597E-4</v>
      </c>
      <c r="Q333">
        <v>2.4662499999999999E-4</v>
      </c>
      <c r="R333">
        <v>1.46093E-4</v>
      </c>
      <c r="S333">
        <v>1.1075E-4</v>
      </c>
      <c r="T333">
        <v>3.6367700000000002E-4</v>
      </c>
    </row>
    <row r="334" spans="1:20" hidden="1" x14ac:dyDescent="0.25">
      <c r="A334" t="s">
        <v>352</v>
      </c>
      <c r="B334" s="1">
        <v>9.3400000000000004E-6</v>
      </c>
      <c r="C334" s="1">
        <v>1.63E-5</v>
      </c>
      <c r="D334" s="1">
        <v>2.0699999999999998E-5</v>
      </c>
      <c r="E334" s="1">
        <v>2.0699999999999998E-5</v>
      </c>
      <c r="F334" s="1">
        <v>1.13E-5</v>
      </c>
      <c r="G334" s="1">
        <v>6.9800000000000001E-6</v>
      </c>
      <c r="H334" s="1">
        <v>1.1E-5</v>
      </c>
      <c r="I334" s="1">
        <v>9.7000000000000003E-6</v>
      </c>
      <c r="J334" s="1">
        <v>9.1500000000000005E-6</v>
      </c>
      <c r="K334" s="1">
        <v>1.03E-5</v>
      </c>
      <c r="L334" s="1">
        <v>1.9899999999999999E-5</v>
      </c>
      <c r="M334" s="1">
        <v>6.1600000000000003E-6</v>
      </c>
      <c r="N334" s="1">
        <v>4.1699999999999999E-6</v>
      </c>
      <c r="O334" s="1">
        <v>6.1999999999999999E-6</v>
      </c>
      <c r="P334" s="1">
        <v>3.14E-6</v>
      </c>
      <c r="Q334" s="1">
        <v>3.9299999999999996E-6</v>
      </c>
      <c r="R334" s="1">
        <v>5.3800000000000002E-6</v>
      </c>
      <c r="S334">
        <v>0</v>
      </c>
      <c r="T334">
        <v>0</v>
      </c>
    </row>
    <row r="335" spans="1:20" hidden="1" x14ac:dyDescent="0.25">
      <c r="A335" t="s">
        <v>353</v>
      </c>
      <c r="B335" s="1">
        <v>6.1500000000000004E-5</v>
      </c>
      <c r="C335" s="1">
        <v>4.2599999999999999E-5</v>
      </c>
      <c r="D335" s="1">
        <v>2.3200000000000001E-5</v>
      </c>
      <c r="E335">
        <v>0</v>
      </c>
      <c r="F335">
        <v>0</v>
      </c>
      <c r="G335" s="1">
        <v>3.0899999999999999E-5</v>
      </c>
      <c r="H335">
        <v>0</v>
      </c>
      <c r="I335" s="1">
        <v>1.8899999999999999E-5</v>
      </c>
      <c r="J335">
        <v>0</v>
      </c>
      <c r="K335" s="1">
        <v>3.8099999999999998E-5</v>
      </c>
      <c r="L335" s="1">
        <v>4.0800000000000002E-5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hidden="1" x14ac:dyDescent="0.25">
      <c r="A336" t="s">
        <v>354</v>
      </c>
      <c r="B336" s="1">
        <v>3.7799999999999997E-5</v>
      </c>
      <c r="C336" s="1">
        <v>2.9799999999999999E-5</v>
      </c>
      <c r="D336" s="1">
        <v>2.6100000000000001E-5</v>
      </c>
      <c r="E336">
        <v>0</v>
      </c>
      <c r="F336" s="1">
        <v>5.8400000000000003E-5</v>
      </c>
      <c r="G336" s="1">
        <v>3.9700000000000003E-5</v>
      </c>
      <c r="H336" s="1">
        <v>2.7100000000000001E-5</v>
      </c>
      <c r="I336" s="1">
        <v>7.0599999999999995E-5</v>
      </c>
      <c r="J336" s="1">
        <v>4.2599999999999999E-5</v>
      </c>
      <c r="K336" s="1">
        <v>5.0000000000000002E-5</v>
      </c>
      <c r="L336" s="1">
        <v>5.4599999999999999E-5</v>
      </c>
      <c r="M336" s="1">
        <v>4.7299999999999998E-5</v>
      </c>
      <c r="N336" s="1">
        <v>6.0099999999999997E-5</v>
      </c>
      <c r="O336" s="1">
        <v>4.5399999999999999E-5</v>
      </c>
      <c r="P336">
        <v>1.02651E-4</v>
      </c>
      <c r="Q336">
        <v>1.18384E-4</v>
      </c>
      <c r="R336">
        <v>1.6536799999999999E-4</v>
      </c>
      <c r="S336">
        <v>2.5434299999999997E-4</v>
      </c>
      <c r="T336">
        <v>1.3216700000000001E-4</v>
      </c>
    </row>
    <row r="337" spans="1:20" hidden="1" x14ac:dyDescent="0.25">
      <c r="A337" t="s">
        <v>355</v>
      </c>
      <c r="B337" s="1">
        <v>9.8300000000000004E-5</v>
      </c>
      <c r="C337">
        <v>1.2588399999999999E-4</v>
      </c>
      <c r="D337" s="1">
        <v>6.9599999999999998E-5</v>
      </c>
      <c r="E337" s="1">
        <v>5.0699999999999999E-5</v>
      </c>
      <c r="F337">
        <v>1.6939799999999999E-4</v>
      </c>
      <c r="G337">
        <v>2.3338800000000001E-4</v>
      </c>
      <c r="H337">
        <v>1.3117900000000001E-4</v>
      </c>
      <c r="I337">
        <v>1.73432E-4</v>
      </c>
      <c r="J337">
        <v>2.0898299999999999E-4</v>
      </c>
      <c r="K337">
        <v>1.08179E-4</v>
      </c>
      <c r="L337">
        <v>1.60228E-4</v>
      </c>
      <c r="M337">
        <v>1.0815E-4</v>
      </c>
      <c r="N337" s="1">
        <v>7.0900000000000002E-5</v>
      </c>
      <c r="O337">
        <v>1.2568E-4</v>
      </c>
      <c r="P337">
        <v>1.8843700000000001E-4</v>
      </c>
      <c r="Q337">
        <v>2.3995399999999999E-4</v>
      </c>
      <c r="R337">
        <v>3.3096200000000002E-4</v>
      </c>
      <c r="S337">
        <v>5.1562000000000005E-4</v>
      </c>
      <c r="T337">
        <v>2.1259999999999999E-4</v>
      </c>
    </row>
    <row r="338" spans="1:20" hidden="1" x14ac:dyDescent="0.25">
      <c r="A338" t="s">
        <v>356</v>
      </c>
      <c r="B338" s="1">
        <v>1.6399999999999999E-5</v>
      </c>
      <c r="C338" s="1">
        <v>3.9199999999999997E-5</v>
      </c>
      <c r="D338" s="1">
        <v>4.0500000000000002E-5</v>
      </c>
      <c r="E338" s="1">
        <v>5.3900000000000002E-5</v>
      </c>
      <c r="F338" s="1">
        <v>1.5699999999999999E-5</v>
      </c>
      <c r="G338" s="1">
        <v>2.8200000000000001E-5</v>
      </c>
      <c r="H338" s="1">
        <v>1.43E-5</v>
      </c>
      <c r="I338" s="1">
        <v>2.02E-5</v>
      </c>
      <c r="J338" s="1">
        <v>1.98E-5</v>
      </c>
      <c r="K338" s="1">
        <v>3.1000000000000001E-5</v>
      </c>
      <c r="L338" s="1">
        <v>2.9E-5</v>
      </c>
      <c r="M338" s="1">
        <v>1.15E-5</v>
      </c>
      <c r="N338" s="1">
        <v>1.7099999999999999E-5</v>
      </c>
      <c r="O338" s="1">
        <v>2.0599999999999999E-5</v>
      </c>
      <c r="P338" s="1">
        <v>1.7399999999999999E-5</v>
      </c>
      <c r="Q338" s="1">
        <v>1.0499999999999999E-5</v>
      </c>
      <c r="R338" s="1">
        <v>1.27E-5</v>
      </c>
      <c r="S338" s="1">
        <v>1.7099999999999999E-5</v>
      </c>
      <c r="T338" s="1">
        <v>6.8299999999999998E-6</v>
      </c>
    </row>
    <row r="339" spans="1:20" hidden="1" x14ac:dyDescent="0.25">
      <c r="A339" t="s">
        <v>357</v>
      </c>
      <c r="B339">
        <v>5.9559499999999998E-4</v>
      </c>
      <c r="C339">
        <v>2.3123409999999999E-3</v>
      </c>
      <c r="D339">
        <v>2.0123440000000001E-3</v>
      </c>
      <c r="E339">
        <v>1.772846E-3</v>
      </c>
      <c r="F339">
        <v>1.049007E-3</v>
      </c>
      <c r="G339">
        <v>1.425665E-3</v>
      </c>
      <c r="H339">
        <v>2.979794E-3</v>
      </c>
      <c r="I339">
        <v>1.27721E-3</v>
      </c>
      <c r="J339">
        <v>8.5030399999999997E-4</v>
      </c>
      <c r="K339">
        <v>1.6015230000000001E-3</v>
      </c>
      <c r="L339">
        <v>1.5133449999999999E-3</v>
      </c>
      <c r="M339">
        <v>5.6303500000000003E-4</v>
      </c>
      <c r="N339">
        <v>5.9076099999999998E-4</v>
      </c>
      <c r="O339">
        <v>9.8738800000000007E-4</v>
      </c>
      <c r="P339">
        <v>7.5796200000000005E-4</v>
      </c>
      <c r="Q339">
        <v>6.0358700000000005E-4</v>
      </c>
      <c r="R339">
        <v>7.2687499999999998E-4</v>
      </c>
      <c r="S339">
        <v>8.3308099999999995E-4</v>
      </c>
      <c r="T339">
        <v>6.5943299999999996E-4</v>
      </c>
    </row>
    <row r="340" spans="1:20" hidden="1" x14ac:dyDescent="0.25">
      <c r="A340" t="s">
        <v>358</v>
      </c>
      <c r="B340">
        <v>3.7678700000000001E-4</v>
      </c>
      <c r="C340">
        <v>1.216742E-3</v>
      </c>
      <c r="D340">
        <v>1.158676E-3</v>
      </c>
      <c r="E340">
        <v>1.167686E-3</v>
      </c>
      <c r="F340">
        <v>6.12536E-4</v>
      </c>
      <c r="G340">
        <v>6.2677000000000002E-4</v>
      </c>
      <c r="H340">
        <v>4.4062000000000002E-4</v>
      </c>
      <c r="I340">
        <v>6.4964099999999996E-4</v>
      </c>
      <c r="J340">
        <v>4.3110700000000002E-4</v>
      </c>
      <c r="K340">
        <v>8.3149999999999999E-4</v>
      </c>
      <c r="L340">
        <v>1.1259149999999999E-3</v>
      </c>
      <c r="M340">
        <v>3.0440699999999997E-4</v>
      </c>
      <c r="N340">
        <v>2.74014E-4</v>
      </c>
      <c r="O340">
        <v>5.2895600000000002E-4</v>
      </c>
      <c r="P340">
        <v>2.7052100000000002E-4</v>
      </c>
      <c r="Q340">
        <v>2.4773599999999997E-4</v>
      </c>
      <c r="R340">
        <v>1.90273E-4</v>
      </c>
      <c r="S340">
        <v>3.2804399999999999E-4</v>
      </c>
      <c r="T340">
        <v>2.3982499999999999E-4</v>
      </c>
    </row>
    <row r="341" spans="1:20" hidden="1" x14ac:dyDescent="0.25">
      <c r="A341" t="s">
        <v>359</v>
      </c>
      <c r="B341">
        <v>8.6728300000000005E-4</v>
      </c>
      <c r="C341">
        <v>2.46882E-3</v>
      </c>
      <c r="D341">
        <v>2.1010680000000002E-3</v>
      </c>
      <c r="E341">
        <v>1.9877470000000002E-3</v>
      </c>
      <c r="F341">
        <v>1.7525679999999999E-3</v>
      </c>
      <c r="G341">
        <v>1.9426910000000001E-3</v>
      </c>
      <c r="H341">
        <v>3.8396070000000001E-3</v>
      </c>
      <c r="I341">
        <v>1.553539E-3</v>
      </c>
      <c r="J341">
        <v>1.019746E-3</v>
      </c>
      <c r="K341">
        <v>2.0255310000000001E-3</v>
      </c>
      <c r="L341">
        <v>2.2344840000000001E-3</v>
      </c>
      <c r="M341">
        <v>6.2977499999999995E-4</v>
      </c>
      <c r="N341">
        <v>4.7860999999999997E-4</v>
      </c>
      <c r="O341">
        <v>1.138181E-3</v>
      </c>
      <c r="P341">
        <v>7.7994100000000003E-4</v>
      </c>
      <c r="Q341">
        <v>6.3652900000000004E-4</v>
      </c>
      <c r="R341">
        <v>6.2598799999999996E-4</v>
      </c>
      <c r="S341">
        <v>7.7241500000000004E-4</v>
      </c>
      <c r="T341">
        <v>7.8564800000000001E-4</v>
      </c>
    </row>
    <row r="342" spans="1:20" hidden="1" x14ac:dyDescent="0.25">
      <c r="A342" t="s">
        <v>360</v>
      </c>
      <c r="B342">
        <v>2.2835100000000001E-4</v>
      </c>
      <c r="C342">
        <v>3.5601399999999998E-4</v>
      </c>
      <c r="D342">
        <v>2.63937E-4</v>
      </c>
      <c r="E342">
        <v>3.5482999999999999E-4</v>
      </c>
      <c r="F342">
        <v>2.1214500000000001E-4</v>
      </c>
      <c r="G342">
        <v>5.1968700000000001E-4</v>
      </c>
      <c r="H342">
        <v>4.1367800000000001E-4</v>
      </c>
      <c r="I342">
        <v>5.0161599999999998E-4</v>
      </c>
      <c r="J342">
        <v>3.7762199999999998E-4</v>
      </c>
      <c r="K342">
        <v>3.8685999999999999E-4</v>
      </c>
      <c r="L342">
        <v>3.0248200000000002E-4</v>
      </c>
      <c r="M342">
        <v>2.9816100000000002E-4</v>
      </c>
      <c r="N342">
        <v>1.89323E-4</v>
      </c>
      <c r="O342">
        <v>3.3120099999999999E-4</v>
      </c>
      <c r="P342">
        <v>3.1971700000000002E-4</v>
      </c>
      <c r="Q342">
        <v>4.7762800000000002E-4</v>
      </c>
      <c r="R342">
        <v>4.05201E-4</v>
      </c>
      <c r="S342">
        <v>4.8421400000000001E-4</v>
      </c>
      <c r="T342">
        <v>7.6860600000000002E-4</v>
      </c>
    </row>
    <row r="343" spans="1:20" hidden="1" x14ac:dyDescent="0.25">
      <c r="A343" t="s">
        <v>361</v>
      </c>
      <c r="B343" s="1">
        <v>6.8999999999999997E-5</v>
      </c>
      <c r="C343" s="1">
        <v>4.2400000000000001E-5</v>
      </c>
      <c r="D343" s="1">
        <v>6.8999999999999997E-5</v>
      </c>
      <c r="E343" s="1">
        <v>6.3499999999999999E-5</v>
      </c>
      <c r="F343">
        <v>1.0133599999999999E-4</v>
      </c>
      <c r="G343" s="1">
        <v>7.3399999999999995E-5</v>
      </c>
      <c r="H343" s="1">
        <v>6.6500000000000004E-5</v>
      </c>
      <c r="I343" s="1">
        <v>9.6299999999999996E-5</v>
      </c>
      <c r="J343" s="1">
        <v>7.5099999999999996E-5</v>
      </c>
      <c r="K343" s="1">
        <v>8.7399999999999997E-5</v>
      </c>
      <c r="L343" s="1">
        <v>9.1600000000000004E-5</v>
      </c>
      <c r="M343" s="1">
        <v>7.4499999999999995E-5</v>
      </c>
      <c r="N343" s="1">
        <v>8.3399999999999994E-5</v>
      </c>
      <c r="O343" s="1">
        <v>7.0900000000000002E-5</v>
      </c>
      <c r="P343">
        <v>1.2744399999999999E-4</v>
      </c>
      <c r="Q343">
        <v>1.4653800000000001E-4</v>
      </c>
      <c r="R343" s="1">
        <v>9.0199999999999997E-5</v>
      </c>
      <c r="S343">
        <v>1.4075700000000001E-4</v>
      </c>
      <c r="T343">
        <v>1.2386299999999999E-4</v>
      </c>
    </row>
    <row r="344" spans="1:20" hidden="1" x14ac:dyDescent="0.25">
      <c r="A344" t="s">
        <v>362</v>
      </c>
      <c r="B344">
        <v>1.19193E-4</v>
      </c>
      <c r="C344">
        <v>2.1465199999999999E-4</v>
      </c>
      <c r="D344">
        <v>2.1156899999999999E-4</v>
      </c>
      <c r="E344">
        <v>1.5007E-4</v>
      </c>
      <c r="F344">
        <v>1.3248000000000001E-4</v>
      </c>
      <c r="G344">
        <v>1.9460300000000001E-4</v>
      </c>
      <c r="H344">
        <v>1.2598399999999999E-4</v>
      </c>
      <c r="I344">
        <v>1.3498000000000001E-4</v>
      </c>
      <c r="J344">
        <v>1.1349999999999999E-4</v>
      </c>
      <c r="K344">
        <v>1.61982E-4</v>
      </c>
      <c r="L344">
        <v>1.70364E-4</v>
      </c>
      <c r="M344">
        <v>1.03083E-4</v>
      </c>
      <c r="N344" s="1">
        <v>8.4599999999999996E-5</v>
      </c>
      <c r="O344">
        <v>1.02101E-4</v>
      </c>
      <c r="P344">
        <v>1.07205E-4</v>
      </c>
      <c r="Q344">
        <v>1.16507E-4</v>
      </c>
      <c r="R344">
        <v>1.5194300000000001E-4</v>
      </c>
      <c r="S344">
        <v>1.32356E-4</v>
      </c>
      <c r="T344">
        <v>1.38944E-4</v>
      </c>
    </row>
    <row r="345" spans="1:20" hidden="1" x14ac:dyDescent="0.25">
      <c r="A345" t="s">
        <v>363</v>
      </c>
      <c r="B345">
        <v>0</v>
      </c>
      <c r="C345">
        <v>0</v>
      </c>
      <c r="D345">
        <v>0</v>
      </c>
      <c r="E345">
        <v>0</v>
      </c>
      <c r="F345">
        <v>0</v>
      </c>
      <c r="G345" s="1">
        <v>2.1800000000000001E-5</v>
      </c>
      <c r="H345">
        <v>0</v>
      </c>
      <c r="I345" s="1">
        <v>2.5999999999999998E-5</v>
      </c>
      <c r="J345" s="1">
        <v>1.7099999999999999E-5</v>
      </c>
      <c r="K345" s="1">
        <v>1.1399999999999999E-5</v>
      </c>
      <c r="L345" s="1">
        <v>1.29E-5</v>
      </c>
      <c r="M345" s="1">
        <v>1.0900000000000001E-5</v>
      </c>
      <c r="N345" s="1">
        <v>2.55E-5</v>
      </c>
      <c r="O345" s="1">
        <v>2.76E-5</v>
      </c>
      <c r="P345" s="1">
        <v>2.5299999999999998E-5</v>
      </c>
      <c r="Q345">
        <v>0</v>
      </c>
      <c r="R345" s="1">
        <v>2.16E-5</v>
      </c>
      <c r="S345">
        <v>0</v>
      </c>
      <c r="T345">
        <v>0</v>
      </c>
    </row>
    <row r="346" spans="1:20" hidden="1" x14ac:dyDescent="0.25">
      <c r="A346" t="s">
        <v>364</v>
      </c>
      <c r="B346">
        <v>2.6446100000000001E-4</v>
      </c>
      <c r="C346">
        <v>3.3723599999999998E-4</v>
      </c>
      <c r="D346">
        <v>2.8734000000000002E-4</v>
      </c>
      <c r="E346">
        <v>3.11856E-4</v>
      </c>
      <c r="F346">
        <v>2.8437500000000001E-4</v>
      </c>
      <c r="G346">
        <v>5.1243800000000004E-4</v>
      </c>
      <c r="H346">
        <v>4.7292900000000003E-4</v>
      </c>
      <c r="I346">
        <v>4.7786600000000002E-4</v>
      </c>
      <c r="J346">
        <v>4.0008300000000002E-4</v>
      </c>
      <c r="K346">
        <v>4.2712000000000002E-4</v>
      </c>
      <c r="L346">
        <v>4.2816099999999998E-4</v>
      </c>
      <c r="M346">
        <v>3.67821E-4</v>
      </c>
      <c r="N346">
        <v>4.1376800000000001E-4</v>
      </c>
      <c r="O346">
        <v>4.9230599999999997E-4</v>
      </c>
      <c r="P346">
        <v>5.35014E-4</v>
      </c>
      <c r="Q346">
        <v>4.97355E-4</v>
      </c>
      <c r="R346">
        <v>6.4684200000000001E-4</v>
      </c>
      <c r="S346">
        <v>7.1277799999999996E-4</v>
      </c>
      <c r="T346">
        <v>5.2386100000000003E-4</v>
      </c>
    </row>
    <row r="347" spans="1:20" hidden="1" x14ac:dyDescent="0.25">
      <c r="A347" t="s">
        <v>365</v>
      </c>
      <c r="B347" s="1">
        <v>4.07E-5</v>
      </c>
      <c r="C347" s="1">
        <v>6.2500000000000001E-5</v>
      </c>
      <c r="D347" s="1">
        <v>4.0899999999999998E-5</v>
      </c>
      <c r="E347" s="1">
        <v>4.8099999999999997E-5</v>
      </c>
      <c r="F347" s="1">
        <v>5.27E-5</v>
      </c>
      <c r="G347" s="1">
        <v>6.7399999999999998E-5</v>
      </c>
      <c r="H347" s="1">
        <v>6.4800000000000003E-5</v>
      </c>
      <c r="I347" s="1">
        <v>7.5400000000000003E-5</v>
      </c>
      <c r="J347" s="1">
        <v>8.6799999999999996E-5</v>
      </c>
      <c r="K347" s="1">
        <v>6.8499999999999998E-5</v>
      </c>
      <c r="L347" s="1">
        <v>8.0799999999999999E-5</v>
      </c>
      <c r="M347" s="1">
        <v>5.4599999999999999E-5</v>
      </c>
      <c r="N347" s="1">
        <v>8.7600000000000002E-5</v>
      </c>
      <c r="O347" s="1">
        <v>8.42E-5</v>
      </c>
      <c r="P347">
        <v>1.02267E-4</v>
      </c>
      <c r="Q347">
        <v>1.41922E-4</v>
      </c>
      <c r="R347">
        <v>1.5610600000000001E-4</v>
      </c>
      <c r="S347">
        <v>1.8403199999999999E-4</v>
      </c>
      <c r="T347" s="1">
        <v>8.7999999999999998E-5</v>
      </c>
    </row>
    <row r="348" spans="1:20" hidden="1" x14ac:dyDescent="0.25">
      <c r="A348" t="s">
        <v>366</v>
      </c>
      <c r="B348">
        <v>2.3731690000000001E-3</v>
      </c>
      <c r="C348">
        <v>4.252685E-3</v>
      </c>
      <c r="D348">
        <v>1.7836849999999999E-3</v>
      </c>
      <c r="E348">
        <v>2.1056650000000001E-3</v>
      </c>
      <c r="F348">
        <v>3.2659389999999998E-3</v>
      </c>
      <c r="G348">
        <v>7.0959550000000001E-3</v>
      </c>
      <c r="H348">
        <v>3.4305550000000001E-3</v>
      </c>
      <c r="I348">
        <v>3.8341650000000001E-3</v>
      </c>
      <c r="J348">
        <v>2.672406E-3</v>
      </c>
      <c r="K348">
        <v>3.5541129999999998E-3</v>
      </c>
      <c r="L348">
        <v>4.7397460000000004E-3</v>
      </c>
      <c r="M348">
        <v>3.8123480000000001E-3</v>
      </c>
      <c r="N348">
        <v>2.2854749999999999E-3</v>
      </c>
      <c r="O348">
        <v>3.4529890000000001E-3</v>
      </c>
      <c r="P348">
        <v>2.8368619999999999E-3</v>
      </c>
      <c r="Q348">
        <v>1.9400400000000001E-3</v>
      </c>
      <c r="R348">
        <v>2.641362E-3</v>
      </c>
      <c r="S348">
        <v>1.1888980000000001E-3</v>
      </c>
      <c r="T348">
        <v>1.8178459999999999E-3</v>
      </c>
    </row>
    <row r="349" spans="1:20" hidden="1" x14ac:dyDescent="0.25">
      <c r="A349" t="s">
        <v>367</v>
      </c>
      <c r="B349">
        <v>0</v>
      </c>
      <c r="C349">
        <v>0</v>
      </c>
      <c r="D349" s="1">
        <v>1.5999999999999999E-5</v>
      </c>
      <c r="E349">
        <v>0</v>
      </c>
      <c r="F349">
        <v>0</v>
      </c>
      <c r="G349">
        <v>1.2471100000000001E-4</v>
      </c>
      <c r="H349" s="1">
        <v>3.1399999999999998E-5</v>
      </c>
      <c r="I349" s="1">
        <v>3.1300000000000002E-5</v>
      </c>
      <c r="J349">
        <v>0</v>
      </c>
      <c r="K349" s="1">
        <v>3.2100000000000001E-5</v>
      </c>
      <c r="L349" s="1">
        <v>3.1000000000000001E-5</v>
      </c>
      <c r="M349">
        <v>0</v>
      </c>
      <c r="N349">
        <v>0</v>
      </c>
      <c r="O349">
        <v>0</v>
      </c>
      <c r="P349" s="1">
        <v>6.0399999999999998E-5</v>
      </c>
      <c r="Q349" s="1">
        <v>6.6799999999999997E-5</v>
      </c>
      <c r="R349" s="1">
        <v>6.0900000000000003E-5</v>
      </c>
      <c r="S349">
        <v>2.0843899999999999E-4</v>
      </c>
      <c r="T349" s="1">
        <v>8.9800000000000001E-5</v>
      </c>
    </row>
    <row r="350" spans="1:20" hidden="1" x14ac:dyDescent="0.25">
      <c r="A350" t="s">
        <v>368</v>
      </c>
      <c r="B350">
        <v>6.1746800000000003E-4</v>
      </c>
      <c r="C350">
        <v>8.17343E-4</v>
      </c>
      <c r="D350">
        <v>9.6369700000000001E-4</v>
      </c>
      <c r="E350">
        <v>7.8814900000000003E-4</v>
      </c>
      <c r="F350">
        <v>8.1562900000000001E-4</v>
      </c>
      <c r="G350">
        <v>5.8805000000000001E-4</v>
      </c>
      <c r="H350">
        <v>5.40654E-4</v>
      </c>
      <c r="I350">
        <v>6.5449400000000004E-4</v>
      </c>
      <c r="J350">
        <v>5.6262E-4</v>
      </c>
      <c r="K350">
        <v>6.8655799999999998E-4</v>
      </c>
      <c r="L350">
        <v>6.3156300000000002E-4</v>
      </c>
      <c r="M350">
        <v>4.9502900000000002E-4</v>
      </c>
      <c r="N350">
        <v>5.2512700000000002E-4</v>
      </c>
      <c r="O350">
        <v>6.8069400000000003E-4</v>
      </c>
      <c r="P350">
        <v>3.3708499999999999E-4</v>
      </c>
      <c r="Q350">
        <v>2.49817E-4</v>
      </c>
      <c r="R350">
        <v>1.9472900000000001E-4</v>
      </c>
      <c r="S350">
        <v>2.3245699999999999E-4</v>
      </c>
      <c r="T350">
        <v>2.7352600000000001E-4</v>
      </c>
    </row>
    <row r="351" spans="1:20" hidden="1" x14ac:dyDescent="0.25">
      <c r="A351" t="s">
        <v>369</v>
      </c>
      <c r="B351">
        <v>5.0233999999999999E-4</v>
      </c>
      <c r="C351">
        <v>2.6696400000000001E-4</v>
      </c>
      <c r="D351">
        <v>2.38514E-4</v>
      </c>
      <c r="E351">
        <v>2.7675600000000002E-4</v>
      </c>
      <c r="F351">
        <v>3.5441699999999999E-4</v>
      </c>
      <c r="G351">
        <v>4.2535899999999999E-4</v>
      </c>
      <c r="H351">
        <v>5.1389700000000003E-4</v>
      </c>
      <c r="I351">
        <v>3.6931300000000002E-4</v>
      </c>
      <c r="J351">
        <v>2.7804499999999998E-4</v>
      </c>
      <c r="K351">
        <v>2.0254499999999999E-4</v>
      </c>
      <c r="L351">
        <v>3.5342400000000002E-4</v>
      </c>
      <c r="M351">
        <v>4.8686699999999999E-4</v>
      </c>
      <c r="N351">
        <v>3.48747E-4</v>
      </c>
      <c r="O351">
        <v>3.1222900000000002E-4</v>
      </c>
      <c r="P351">
        <v>6.6309699999999997E-4</v>
      </c>
      <c r="Q351">
        <v>7.8575800000000001E-4</v>
      </c>
      <c r="R351">
        <v>5.2720499999999999E-4</v>
      </c>
      <c r="S351">
        <v>4.9691399999999999E-4</v>
      </c>
      <c r="T351">
        <v>5.0130499999999996E-4</v>
      </c>
    </row>
    <row r="352" spans="1:20" hidden="1" x14ac:dyDescent="0.25">
      <c r="A352" t="s">
        <v>370</v>
      </c>
      <c r="B352">
        <v>1.456918E-3</v>
      </c>
      <c r="C352">
        <v>9.6433100000000002E-4</v>
      </c>
      <c r="D352">
        <v>1.2173380000000001E-3</v>
      </c>
      <c r="E352">
        <v>8.4567500000000005E-4</v>
      </c>
      <c r="F352">
        <v>1.2928670000000001E-3</v>
      </c>
      <c r="G352">
        <v>1.035263E-3</v>
      </c>
      <c r="H352">
        <v>1.729396E-3</v>
      </c>
      <c r="I352">
        <v>8.5511599999999995E-4</v>
      </c>
      <c r="J352">
        <v>1.0758829999999999E-3</v>
      </c>
      <c r="K352">
        <v>9.9865999999999996E-4</v>
      </c>
      <c r="L352">
        <v>1.0066179999999999E-3</v>
      </c>
      <c r="M352">
        <v>1.340127E-3</v>
      </c>
      <c r="N352">
        <v>9.4132299999999999E-4</v>
      </c>
      <c r="O352">
        <v>1.09863E-3</v>
      </c>
      <c r="P352">
        <v>9.69728E-4</v>
      </c>
      <c r="Q352">
        <v>1.0704899999999999E-3</v>
      </c>
      <c r="R352">
        <v>8.7886300000000002E-4</v>
      </c>
      <c r="S352">
        <v>6.0783500000000004E-4</v>
      </c>
      <c r="T352">
        <v>1.196744E-3</v>
      </c>
    </row>
    <row r="353" spans="1:20" hidden="1" x14ac:dyDescent="0.25">
      <c r="A353" t="s">
        <v>371</v>
      </c>
      <c r="B353" s="1">
        <v>8.8400000000000001E-6</v>
      </c>
      <c r="C353">
        <v>0</v>
      </c>
      <c r="D353" s="1">
        <v>6.7800000000000003E-6</v>
      </c>
      <c r="E353">
        <v>0</v>
      </c>
      <c r="F353" s="1">
        <v>6.7800000000000003E-6</v>
      </c>
      <c r="G353" s="1">
        <v>1.7900000000000001E-5</v>
      </c>
      <c r="H353" s="1">
        <v>2.9200000000000002E-5</v>
      </c>
      <c r="I353">
        <v>0</v>
      </c>
      <c r="J353" s="1">
        <v>9.5400000000000001E-6</v>
      </c>
      <c r="K353">
        <v>0</v>
      </c>
      <c r="L353" s="1">
        <v>2.3200000000000001E-5</v>
      </c>
      <c r="M353" s="1">
        <v>1.73E-5</v>
      </c>
      <c r="N353" s="1">
        <v>1.49E-5</v>
      </c>
      <c r="O353" s="1">
        <v>6.5300000000000002E-6</v>
      </c>
      <c r="P353" s="1">
        <v>1.4100000000000001E-5</v>
      </c>
      <c r="Q353" s="1">
        <v>1.3900000000000001E-5</v>
      </c>
      <c r="R353" s="1">
        <v>1.45E-5</v>
      </c>
      <c r="S353">
        <v>0</v>
      </c>
      <c r="T353" s="1">
        <v>6.8399999999999997E-6</v>
      </c>
    </row>
    <row r="354" spans="1:20" hidden="1" x14ac:dyDescent="0.25">
      <c r="A354" t="s">
        <v>372</v>
      </c>
      <c r="B354">
        <v>2.8978700000000001E-4</v>
      </c>
      <c r="C354">
        <v>2.4228699999999999E-4</v>
      </c>
      <c r="D354">
        <v>2.6049200000000003E-4</v>
      </c>
      <c r="E354">
        <v>2.66357E-4</v>
      </c>
      <c r="F354">
        <v>3.1273E-4</v>
      </c>
      <c r="G354">
        <v>2.0439899999999999E-4</v>
      </c>
      <c r="H354">
        <v>2.26505E-4</v>
      </c>
      <c r="I354">
        <v>1.99175E-4</v>
      </c>
      <c r="J354">
        <v>2.87266E-4</v>
      </c>
      <c r="K354">
        <v>3.3995899999999998E-4</v>
      </c>
      <c r="L354">
        <v>2.7902800000000001E-4</v>
      </c>
      <c r="M354">
        <v>2.61544E-4</v>
      </c>
      <c r="N354">
        <v>2.21838E-4</v>
      </c>
      <c r="O354">
        <v>2.0665899999999999E-4</v>
      </c>
      <c r="P354">
        <v>1.6411299999999999E-4</v>
      </c>
      <c r="Q354">
        <v>1.73275E-4</v>
      </c>
      <c r="R354">
        <v>2.05069E-4</v>
      </c>
      <c r="S354">
        <v>1.10258E-4</v>
      </c>
      <c r="T354">
        <v>1.3186400000000001E-4</v>
      </c>
    </row>
    <row r="355" spans="1:20" hidden="1" x14ac:dyDescent="0.25">
      <c r="A355" t="s">
        <v>373</v>
      </c>
      <c r="B355" s="1">
        <v>9.7200000000000001E-6</v>
      </c>
      <c r="C355" s="1">
        <v>9.5799999999999998E-6</v>
      </c>
      <c r="D355" s="1">
        <v>1.9000000000000001E-5</v>
      </c>
      <c r="E355">
        <v>0</v>
      </c>
      <c r="F355" s="1">
        <v>1.2E-5</v>
      </c>
      <c r="G355" s="1">
        <v>2.6100000000000001E-5</v>
      </c>
      <c r="H355" s="1">
        <v>4.0099999999999999E-5</v>
      </c>
      <c r="I355">
        <v>0</v>
      </c>
      <c r="J355">
        <v>0</v>
      </c>
      <c r="K355" s="1">
        <v>1.4100000000000001E-5</v>
      </c>
      <c r="L355" s="1">
        <v>2.1800000000000001E-5</v>
      </c>
      <c r="M355" s="1">
        <v>1.36E-5</v>
      </c>
      <c r="N355" s="1">
        <v>1.33E-5</v>
      </c>
      <c r="O355" s="1">
        <v>9.7899999999999994E-6</v>
      </c>
      <c r="P355" s="1">
        <v>1.5999999999999999E-5</v>
      </c>
      <c r="Q355" s="1">
        <v>1.8300000000000001E-5</v>
      </c>
      <c r="R355" s="1">
        <v>1.3499999999999999E-5</v>
      </c>
      <c r="S355" s="1">
        <v>1.15E-5</v>
      </c>
      <c r="T355" s="1">
        <v>2.02E-5</v>
      </c>
    </row>
    <row r="356" spans="1:20" hidden="1" x14ac:dyDescent="0.25">
      <c r="A356" t="s">
        <v>374</v>
      </c>
      <c r="B356" s="1">
        <v>4.1199999999999999E-5</v>
      </c>
      <c r="C356">
        <v>0</v>
      </c>
      <c r="D356" s="1">
        <v>4.3600000000000003E-5</v>
      </c>
      <c r="E356" s="1">
        <v>3.18E-5</v>
      </c>
      <c r="F356">
        <v>0</v>
      </c>
      <c r="G356">
        <v>0</v>
      </c>
      <c r="H356">
        <v>0</v>
      </c>
      <c r="I356">
        <v>0</v>
      </c>
      <c r="J356">
        <v>0</v>
      </c>
      <c r="K356" s="1">
        <v>4.8000000000000001E-5</v>
      </c>
      <c r="L356">
        <v>0</v>
      </c>
      <c r="M356">
        <v>0</v>
      </c>
      <c r="N356" s="1">
        <v>6.7100000000000005E-5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hidden="1" x14ac:dyDescent="0.25">
      <c r="A357" t="s">
        <v>375</v>
      </c>
      <c r="B357" s="1">
        <v>1.31E-5</v>
      </c>
      <c r="C357" s="1">
        <v>2.2799999999999999E-5</v>
      </c>
      <c r="D357">
        <v>0</v>
      </c>
      <c r="E357" s="1">
        <v>1.0699999999999999E-5</v>
      </c>
      <c r="F357">
        <v>0</v>
      </c>
      <c r="G357">
        <v>0</v>
      </c>
      <c r="H357">
        <v>0</v>
      </c>
      <c r="I357" s="1">
        <v>1.7499999999999998E-5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">
        <v>1.06E-5</v>
      </c>
      <c r="T357" s="1">
        <v>1.7499999999999998E-5</v>
      </c>
    </row>
    <row r="358" spans="1:20" hidden="1" x14ac:dyDescent="0.25">
      <c r="A358" t="s">
        <v>376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s="1">
        <v>7.1199999999999996E-6</v>
      </c>
      <c r="L358">
        <v>0</v>
      </c>
      <c r="M358" s="1">
        <v>5.2599999999999996E-6</v>
      </c>
      <c r="N358">
        <v>0</v>
      </c>
      <c r="O358">
        <v>0</v>
      </c>
      <c r="P358" s="1">
        <v>1.45E-5</v>
      </c>
      <c r="Q358" s="1">
        <v>3.4499999999999998E-5</v>
      </c>
      <c r="R358" s="1">
        <v>9.9399999999999997E-6</v>
      </c>
      <c r="S358" s="1">
        <v>1.47E-5</v>
      </c>
      <c r="T358" s="1">
        <v>3.7599999999999999E-5</v>
      </c>
    </row>
    <row r="359" spans="1:20" hidden="1" x14ac:dyDescent="0.25">
      <c r="A359" t="s">
        <v>377</v>
      </c>
      <c r="B359">
        <v>5.9091500000000002E-4</v>
      </c>
      <c r="C359">
        <v>1.5656700000000001E-4</v>
      </c>
      <c r="D359">
        <v>2.4936799999999997E-4</v>
      </c>
      <c r="E359">
        <v>2.1913600000000001E-4</v>
      </c>
      <c r="F359">
        <v>1.8694600000000001E-4</v>
      </c>
      <c r="G359">
        <v>1.96446E-4</v>
      </c>
      <c r="H359">
        <v>3.3163799999999998E-4</v>
      </c>
      <c r="I359">
        <v>1.8796000000000001E-4</v>
      </c>
      <c r="J359">
        <v>4.2392599999999998E-4</v>
      </c>
      <c r="K359">
        <v>4.6700499999999999E-4</v>
      </c>
      <c r="L359">
        <v>1.8079000000000001E-4</v>
      </c>
      <c r="M359">
        <v>4.9376300000000004E-4</v>
      </c>
      <c r="N359">
        <v>7.0091900000000004E-4</v>
      </c>
      <c r="O359">
        <v>3.5870299999999998E-4</v>
      </c>
      <c r="P359">
        <v>2.2872800000000001E-4</v>
      </c>
      <c r="Q359">
        <v>2.36736E-4</v>
      </c>
      <c r="R359">
        <v>2.34212E-4</v>
      </c>
      <c r="S359">
        <v>2.19442E-4</v>
      </c>
      <c r="T359">
        <v>2.7231599999999999E-4</v>
      </c>
    </row>
    <row r="360" spans="1:20" hidden="1" x14ac:dyDescent="0.25">
      <c r="A360" t="s">
        <v>378</v>
      </c>
      <c r="B360">
        <v>5.2032100000000002E-4</v>
      </c>
      <c r="C360">
        <v>2.2229800000000001E-4</v>
      </c>
      <c r="D360">
        <v>2.23425E-4</v>
      </c>
      <c r="E360">
        <v>1.54907E-4</v>
      </c>
      <c r="F360">
        <v>2.37233E-4</v>
      </c>
      <c r="G360">
        <v>1.9978199999999999E-4</v>
      </c>
      <c r="H360">
        <v>3.1857499999999998E-4</v>
      </c>
      <c r="I360">
        <v>2.24186E-4</v>
      </c>
      <c r="J360">
        <v>3.9393700000000002E-4</v>
      </c>
      <c r="K360">
        <v>3.9195499999999998E-4</v>
      </c>
      <c r="L360">
        <v>2.0329699999999999E-4</v>
      </c>
      <c r="M360">
        <v>3.8646399999999999E-4</v>
      </c>
      <c r="N360">
        <v>5.4991899999999995E-4</v>
      </c>
      <c r="O360">
        <v>2.9723800000000002E-4</v>
      </c>
      <c r="P360">
        <v>2.5045800000000001E-4</v>
      </c>
      <c r="Q360">
        <v>2.94228E-4</v>
      </c>
      <c r="R360">
        <v>2.5973599999999999E-4</v>
      </c>
      <c r="S360">
        <v>2.0295600000000001E-4</v>
      </c>
      <c r="T360">
        <v>2.3319700000000001E-4</v>
      </c>
    </row>
    <row r="361" spans="1:20" hidden="1" x14ac:dyDescent="0.25">
      <c r="A361" t="s">
        <v>379</v>
      </c>
      <c r="B361">
        <v>1.64506E-4</v>
      </c>
      <c r="C361" s="1">
        <v>3.1399999999999998E-5</v>
      </c>
      <c r="D361" s="1">
        <v>6.3600000000000001E-5</v>
      </c>
      <c r="E361" s="1">
        <v>1.7499999999999998E-5</v>
      </c>
      <c r="F361">
        <v>2.6232799999999999E-4</v>
      </c>
      <c r="G361">
        <v>4.5865100000000002E-4</v>
      </c>
      <c r="H361">
        <v>2.95481E-4</v>
      </c>
      <c r="I361">
        <v>1.30526E-4</v>
      </c>
      <c r="J361">
        <v>3.9030299999999999E-4</v>
      </c>
      <c r="K361">
        <v>8.2772E-4</v>
      </c>
      <c r="L361">
        <v>1.08028E-4</v>
      </c>
      <c r="M361">
        <v>1.4815499999999999E-4</v>
      </c>
      <c r="N361">
        <v>1.7101799999999999E-4</v>
      </c>
      <c r="O361">
        <v>1.7816300000000001E-4</v>
      </c>
      <c r="P361">
        <v>6.0263999999999999E-4</v>
      </c>
      <c r="Q361">
        <v>2.204789E-3</v>
      </c>
      <c r="R361">
        <v>4.8512199999999999E-4</v>
      </c>
      <c r="S361">
        <v>1.9426350000000001E-3</v>
      </c>
      <c r="T361">
        <v>1.782243E-3</v>
      </c>
    </row>
    <row r="362" spans="1:20" hidden="1" x14ac:dyDescent="0.25">
      <c r="A362" t="s">
        <v>380</v>
      </c>
      <c r="B362">
        <v>1.1749299999999999E-4</v>
      </c>
      <c r="C362" s="1">
        <v>1.59E-5</v>
      </c>
      <c r="D362" s="1">
        <v>3.9199999999999997E-5</v>
      </c>
      <c r="E362" s="1">
        <v>8.3999999999999992E-6</v>
      </c>
      <c r="F362">
        <v>1.65391E-4</v>
      </c>
      <c r="G362">
        <v>2.8748800000000002E-4</v>
      </c>
      <c r="H362">
        <v>1.7915699999999999E-4</v>
      </c>
      <c r="I362" s="1">
        <v>7.8899999999999993E-5</v>
      </c>
      <c r="J362">
        <v>2.20986E-4</v>
      </c>
      <c r="K362">
        <v>6.0179799999999996E-4</v>
      </c>
      <c r="L362" s="1">
        <v>7.2899999999999997E-5</v>
      </c>
      <c r="M362">
        <v>1.02266E-4</v>
      </c>
      <c r="N362">
        <v>1.15975E-4</v>
      </c>
      <c r="O362">
        <v>1.3894299999999999E-4</v>
      </c>
      <c r="P362">
        <v>3.7730899999999999E-4</v>
      </c>
      <c r="Q362">
        <v>1.7358440000000001E-3</v>
      </c>
      <c r="R362">
        <v>3.2799000000000001E-4</v>
      </c>
      <c r="S362">
        <v>1.464227E-3</v>
      </c>
      <c r="T362">
        <v>1.2054100000000001E-3</v>
      </c>
    </row>
    <row r="363" spans="1:20" hidden="1" x14ac:dyDescent="0.25">
      <c r="A363" t="s">
        <v>381</v>
      </c>
      <c r="B363" s="1">
        <v>5.1700000000000003E-5</v>
      </c>
      <c r="C363" s="1">
        <v>1.1199999999999999E-5</v>
      </c>
      <c r="D363" s="1">
        <v>2.4199999999999999E-5</v>
      </c>
      <c r="E363" s="1">
        <v>6.1399999999999997E-6</v>
      </c>
      <c r="F363" s="1">
        <v>8.9499999999999994E-5</v>
      </c>
      <c r="G363">
        <v>1.4436599999999999E-4</v>
      </c>
      <c r="H363" s="1">
        <v>9.9599999999999995E-5</v>
      </c>
      <c r="I363" s="1">
        <v>4.6600000000000001E-5</v>
      </c>
      <c r="J363">
        <v>1.3035799999999999E-4</v>
      </c>
      <c r="K363">
        <v>2.6948199999999998E-4</v>
      </c>
      <c r="L363" s="1">
        <v>3.6900000000000002E-5</v>
      </c>
      <c r="M363" s="1">
        <v>4.2400000000000001E-5</v>
      </c>
      <c r="N363" s="1">
        <v>4.7500000000000003E-5</v>
      </c>
      <c r="O363" s="1">
        <v>5.6499999999999998E-5</v>
      </c>
      <c r="P363">
        <v>1.74351E-4</v>
      </c>
      <c r="Q363">
        <v>7.55976E-4</v>
      </c>
      <c r="R363">
        <v>1.5023E-4</v>
      </c>
      <c r="S363">
        <v>6.4267299999999996E-4</v>
      </c>
      <c r="T363">
        <v>5.6196200000000005E-4</v>
      </c>
    </row>
    <row r="364" spans="1:20" hidden="1" x14ac:dyDescent="0.25">
      <c r="A364" t="s">
        <v>382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s="1">
        <v>1.22E-5</v>
      </c>
      <c r="Q364" s="1">
        <v>2.3E-5</v>
      </c>
      <c r="R364" s="1">
        <v>1.77E-5</v>
      </c>
      <c r="S364" s="1">
        <v>1.8199999999999999E-5</v>
      </c>
      <c r="T364" s="1">
        <v>1.9899999999999999E-5</v>
      </c>
    </row>
    <row r="365" spans="1:20" hidden="1" x14ac:dyDescent="0.25">
      <c r="A365" t="s">
        <v>383</v>
      </c>
      <c r="B365">
        <v>0</v>
      </c>
      <c r="C365">
        <v>0</v>
      </c>
      <c r="D365" s="1">
        <v>5.0399999999999999E-5</v>
      </c>
      <c r="E365" s="1">
        <v>4.5500000000000001E-5</v>
      </c>
      <c r="F365" s="1">
        <v>6.4800000000000003E-5</v>
      </c>
      <c r="G365">
        <v>3.2245899999999998E-4</v>
      </c>
      <c r="H365">
        <v>1.0518099999999999E-4</v>
      </c>
      <c r="I365" s="1">
        <v>4.88E-5</v>
      </c>
      <c r="J365">
        <v>0</v>
      </c>
      <c r="K365">
        <v>1.2695600000000001E-4</v>
      </c>
      <c r="L365">
        <v>1.42306E-4</v>
      </c>
      <c r="M365" s="1">
        <v>7.4800000000000002E-5</v>
      </c>
      <c r="N365" s="1">
        <v>8.4099999999999998E-5</v>
      </c>
      <c r="O365" s="1">
        <v>6.3399999999999996E-5</v>
      </c>
      <c r="P365">
        <v>2.0478799999999999E-4</v>
      </c>
      <c r="Q365">
        <v>2.2434500000000001E-4</v>
      </c>
      <c r="R365">
        <v>2.4487199999999998E-4</v>
      </c>
      <c r="S365">
        <v>8.9168799999999996E-4</v>
      </c>
      <c r="T365">
        <v>2.39998E-4</v>
      </c>
    </row>
    <row r="366" spans="1:20" hidden="1" x14ac:dyDescent="0.25">
      <c r="A366" t="s">
        <v>384</v>
      </c>
      <c r="B366">
        <v>0</v>
      </c>
      <c r="C366">
        <v>0</v>
      </c>
      <c r="D366">
        <v>0</v>
      </c>
      <c r="E366">
        <v>0</v>
      </c>
      <c r="F366">
        <v>0</v>
      </c>
      <c r="G366" s="1">
        <v>7.17E-6</v>
      </c>
      <c r="H366" s="1">
        <v>5.4E-6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s="1">
        <v>6.3300000000000004E-6</v>
      </c>
      <c r="R366" s="1">
        <v>4.7600000000000002E-6</v>
      </c>
      <c r="S366" s="1">
        <v>6.8600000000000004E-6</v>
      </c>
      <c r="T366" s="1">
        <v>7.5900000000000002E-6</v>
      </c>
    </row>
    <row r="367" spans="1:20" hidden="1" x14ac:dyDescent="0.25">
      <c r="A367" t="s">
        <v>385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 s="1">
        <v>1.2500000000000001E-5</v>
      </c>
      <c r="I367">
        <v>0</v>
      </c>
      <c r="J367">
        <v>0</v>
      </c>
      <c r="K367" s="1">
        <v>8.8599999999999999E-6</v>
      </c>
      <c r="L367">
        <v>0</v>
      </c>
      <c r="M367">
        <v>0</v>
      </c>
      <c r="N367">
        <v>0</v>
      </c>
      <c r="O367">
        <v>0</v>
      </c>
      <c r="P367" s="1">
        <v>9.6399999999999992E-6</v>
      </c>
      <c r="Q367" s="1">
        <v>2.02E-5</v>
      </c>
      <c r="R367" s="1">
        <v>1.6500000000000001E-5</v>
      </c>
      <c r="S367" s="1">
        <v>2.48E-5</v>
      </c>
      <c r="T367" s="1">
        <v>1.7600000000000001E-5</v>
      </c>
    </row>
    <row r="368" spans="1:20" hidden="1" x14ac:dyDescent="0.25">
      <c r="A368" t="s">
        <v>386</v>
      </c>
      <c r="B368" s="1">
        <v>7.6299999999999998E-5</v>
      </c>
      <c r="C368">
        <v>1.41046E-4</v>
      </c>
      <c r="D368">
        <v>1.3895100000000001E-4</v>
      </c>
      <c r="E368">
        <v>1.4793400000000001E-4</v>
      </c>
      <c r="F368">
        <v>1.17997E-4</v>
      </c>
      <c r="G368" s="1">
        <v>9.0199999999999997E-5</v>
      </c>
      <c r="H368">
        <v>1.06439E-4</v>
      </c>
      <c r="I368">
        <v>1.1393800000000001E-4</v>
      </c>
      <c r="J368" s="1">
        <v>9.5600000000000006E-5</v>
      </c>
      <c r="K368">
        <v>1.3640899999999999E-4</v>
      </c>
      <c r="L368">
        <v>1.3569400000000001E-4</v>
      </c>
      <c r="M368" s="1">
        <v>4.9100000000000001E-5</v>
      </c>
      <c r="N368" s="1">
        <v>2.4899999999999999E-5</v>
      </c>
      <c r="O368" s="1">
        <v>9.7800000000000006E-5</v>
      </c>
      <c r="P368" s="1">
        <v>7.0699999999999997E-5</v>
      </c>
      <c r="Q368" s="1">
        <v>4.4400000000000002E-5</v>
      </c>
      <c r="R368" s="1">
        <v>7.2399999999999998E-5</v>
      </c>
      <c r="S368" s="1">
        <v>6.2600000000000004E-5</v>
      </c>
      <c r="T368" s="1">
        <v>6.7700000000000006E-5</v>
      </c>
    </row>
    <row r="369" spans="1:20" hidden="1" x14ac:dyDescent="0.25">
      <c r="A369" t="s">
        <v>387</v>
      </c>
      <c r="B369" s="1">
        <v>2.5700000000000001E-5</v>
      </c>
      <c r="C369" s="1">
        <v>2.3200000000000001E-5</v>
      </c>
      <c r="D369" s="1">
        <v>4.2500000000000003E-5</v>
      </c>
      <c r="E369" s="1">
        <v>4.1699999999999997E-5</v>
      </c>
      <c r="F369" s="1">
        <v>2.05E-5</v>
      </c>
      <c r="G369">
        <v>0</v>
      </c>
      <c r="H369" s="1">
        <v>3.1399999999999998E-5</v>
      </c>
      <c r="I369" s="1">
        <v>2.9300000000000001E-5</v>
      </c>
      <c r="J369" s="1">
        <v>2.3200000000000001E-5</v>
      </c>
      <c r="K369" s="1">
        <v>3.7200000000000003E-5</v>
      </c>
      <c r="L369" s="1">
        <v>3.9700000000000003E-5</v>
      </c>
      <c r="M369">
        <v>0</v>
      </c>
      <c r="N369" s="1">
        <v>1.7200000000000001E-5</v>
      </c>
      <c r="O369" s="1">
        <v>3.7599999999999999E-5</v>
      </c>
      <c r="P369" s="1">
        <v>2.8099999999999999E-5</v>
      </c>
      <c r="Q369" s="1">
        <v>1.7499999999999998E-5</v>
      </c>
      <c r="R369" s="1">
        <v>3.0499999999999999E-5</v>
      </c>
      <c r="S369" s="1">
        <v>1.59E-5</v>
      </c>
      <c r="T369" s="1">
        <v>2.34E-5</v>
      </c>
    </row>
    <row r="370" spans="1:20" hidden="1" x14ac:dyDescent="0.25">
      <c r="A370" t="s">
        <v>388</v>
      </c>
      <c r="B370" s="1">
        <v>4.7500000000000003E-5</v>
      </c>
      <c r="C370" s="1">
        <v>9.4500000000000007E-5</v>
      </c>
      <c r="D370">
        <v>1.46484E-4</v>
      </c>
      <c r="E370">
        <v>1.4774699999999999E-4</v>
      </c>
      <c r="F370" s="1">
        <v>8.6000000000000003E-5</v>
      </c>
      <c r="G370">
        <v>1.0605199999999999E-4</v>
      </c>
      <c r="H370" s="1">
        <v>9.1399999999999999E-5</v>
      </c>
      <c r="I370">
        <v>1.16484E-4</v>
      </c>
      <c r="J370" s="1">
        <v>6.0699999999999998E-5</v>
      </c>
      <c r="K370">
        <v>1.45873E-4</v>
      </c>
      <c r="L370">
        <v>1.22607E-4</v>
      </c>
      <c r="M370" s="1">
        <v>6.2100000000000005E-5</v>
      </c>
      <c r="N370" s="1">
        <v>7.0400000000000004E-5</v>
      </c>
      <c r="O370">
        <v>1.2663600000000001E-4</v>
      </c>
      <c r="P370" s="1">
        <v>6.9800000000000003E-5</v>
      </c>
      <c r="Q370" s="1">
        <v>5.8300000000000001E-5</v>
      </c>
      <c r="R370" s="1">
        <v>4.74E-5</v>
      </c>
      <c r="S370" s="1">
        <v>6.7600000000000003E-5</v>
      </c>
      <c r="T370" s="1">
        <v>5.6100000000000002E-5</v>
      </c>
    </row>
    <row r="371" spans="1:20" hidden="1" x14ac:dyDescent="0.25">
      <c r="A371" t="s">
        <v>389</v>
      </c>
      <c r="B371" s="1">
        <v>6.97E-5</v>
      </c>
      <c r="C371" s="1">
        <v>9.7800000000000006E-5</v>
      </c>
      <c r="D371" s="1">
        <v>8.8900000000000006E-5</v>
      </c>
      <c r="E371" s="1">
        <v>9.31E-5</v>
      </c>
      <c r="F371" s="1">
        <v>7.6600000000000005E-5</v>
      </c>
      <c r="G371" s="1">
        <v>6.6600000000000006E-5</v>
      </c>
      <c r="H371" s="1">
        <v>8.1000000000000004E-5</v>
      </c>
      <c r="I371" s="1">
        <v>8.6199999999999995E-5</v>
      </c>
      <c r="J371" s="1">
        <v>8.5699999999999996E-5</v>
      </c>
      <c r="K371" s="1">
        <v>8.2000000000000001E-5</v>
      </c>
      <c r="L371" s="1">
        <v>7.1500000000000003E-5</v>
      </c>
      <c r="M371" s="1">
        <v>4.1600000000000002E-5</v>
      </c>
      <c r="N371" s="1">
        <v>4.4799999999999998E-5</v>
      </c>
      <c r="O371" s="1">
        <v>8.6299999999999997E-5</v>
      </c>
      <c r="P371" s="1">
        <v>5.2599999999999998E-5</v>
      </c>
      <c r="Q371" s="1">
        <v>4.5099999999999998E-5</v>
      </c>
      <c r="R371" s="1">
        <v>3.9499999999999998E-5</v>
      </c>
      <c r="S371" s="1">
        <v>4.1699999999999997E-5</v>
      </c>
      <c r="T371" s="1">
        <v>3.3500000000000001E-5</v>
      </c>
    </row>
    <row r="372" spans="1:20" hidden="1" x14ac:dyDescent="0.25">
      <c r="A372" t="s">
        <v>390</v>
      </c>
      <c r="B372">
        <v>1.0776399999999999E-4</v>
      </c>
      <c r="C372">
        <v>1.36685E-4</v>
      </c>
      <c r="D372">
        <v>1.8338800000000001E-4</v>
      </c>
      <c r="E372">
        <v>1.9185099999999999E-4</v>
      </c>
      <c r="F372">
        <v>1.3312E-4</v>
      </c>
      <c r="G372">
        <v>1.49872E-4</v>
      </c>
      <c r="H372">
        <v>1.5208499999999999E-4</v>
      </c>
      <c r="I372">
        <v>1.3234600000000001E-4</v>
      </c>
      <c r="J372">
        <v>1.3629199999999999E-4</v>
      </c>
      <c r="K372">
        <v>1.80433E-4</v>
      </c>
      <c r="L372">
        <v>1.8873499999999999E-4</v>
      </c>
      <c r="M372" s="1">
        <v>7.9200000000000001E-5</v>
      </c>
      <c r="N372" s="1">
        <v>8.0699999999999996E-5</v>
      </c>
      <c r="O372">
        <v>1.4714E-4</v>
      </c>
      <c r="P372" s="1">
        <v>8.2999999999999998E-5</v>
      </c>
      <c r="Q372" s="1">
        <v>4.8399999999999997E-5</v>
      </c>
      <c r="R372" s="1">
        <v>6.6099999999999994E-5</v>
      </c>
      <c r="S372" s="1">
        <v>6.4599999999999998E-5</v>
      </c>
      <c r="T372" s="1">
        <v>8.2600000000000002E-5</v>
      </c>
    </row>
    <row r="373" spans="1:20" hidden="1" x14ac:dyDescent="0.25">
      <c r="A373" t="s">
        <v>391</v>
      </c>
      <c r="B373" s="1">
        <v>2.5999999999999998E-5</v>
      </c>
      <c r="C373" s="1">
        <v>3.18E-5</v>
      </c>
      <c r="D373" s="1">
        <v>3.9199999999999997E-5</v>
      </c>
      <c r="E373" s="1">
        <v>3.7499999999999997E-5</v>
      </c>
      <c r="F373" s="1">
        <v>2.4600000000000002E-5</v>
      </c>
      <c r="G373" s="1">
        <v>3.6300000000000001E-5</v>
      </c>
      <c r="H373" s="1">
        <v>3.3800000000000002E-5</v>
      </c>
      <c r="I373" s="1">
        <v>2.4600000000000002E-5</v>
      </c>
      <c r="J373" s="1">
        <v>3.0499999999999999E-5</v>
      </c>
      <c r="K373" s="1">
        <v>3.0000000000000001E-5</v>
      </c>
      <c r="L373" s="1">
        <v>3.8800000000000001E-5</v>
      </c>
      <c r="M373">
        <v>0</v>
      </c>
      <c r="N373">
        <v>0</v>
      </c>
      <c r="O373" s="1">
        <v>3.0599999999999998E-5</v>
      </c>
      <c r="P373" s="1">
        <v>2.9E-5</v>
      </c>
      <c r="Q373">
        <v>0</v>
      </c>
      <c r="R373">
        <v>0</v>
      </c>
      <c r="S373">
        <v>0</v>
      </c>
      <c r="T373" s="1">
        <v>2.1699999999999999E-5</v>
      </c>
    </row>
    <row r="374" spans="1:20" hidden="1" x14ac:dyDescent="0.25">
      <c r="A374" t="s">
        <v>392</v>
      </c>
      <c r="B374">
        <v>2.3845499999999999E-4</v>
      </c>
      <c r="C374">
        <v>3.77551E-4</v>
      </c>
      <c r="D374">
        <v>4.6084199999999999E-4</v>
      </c>
      <c r="E374">
        <v>5.5092400000000005E-4</v>
      </c>
      <c r="F374">
        <v>3.1026699999999998E-4</v>
      </c>
      <c r="G374">
        <v>2.4621400000000002E-4</v>
      </c>
      <c r="H374">
        <v>1.84072E-4</v>
      </c>
      <c r="I374">
        <v>3.1332700000000002E-4</v>
      </c>
      <c r="J374">
        <v>2.2891E-4</v>
      </c>
      <c r="K374">
        <v>2.4218899999999999E-4</v>
      </c>
      <c r="L374">
        <v>2.1486699999999999E-4</v>
      </c>
      <c r="M374">
        <v>1.2259799999999999E-4</v>
      </c>
      <c r="N374" s="1">
        <v>5.3900000000000002E-5</v>
      </c>
      <c r="O374">
        <v>3.1968799999999999E-4</v>
      </c>
      <c r="P374" s="1">
        <v>9.5400000000000001E-5</v>
      </c>
      <c r="Q374" s="1">
        <v>8.4099999999999998E-5</v>
      </c>
      <c r="R374" s="1">
        <v>9.1500000000000001E-5</v>
      </c>
      <c r="S374">
        <v>1.02712E-4</v>
      </c>
      <c r="T374" s="1">
        <v>8.2100000000000003E-5</v>
      </c>
    </row>
    <row r="375" spans="1:20" hidden="1" x14ac:dyDescent="0.25">
      <c r="A375" t="s">
        <v>393</v>
      </c>
      <c r="B375" s="1">
        <v>3.2799999999999998E-5</v>
      </c>
      <c r="C375" s="1">
        <v>4.3300000000000002E-5</v>
      </c>
      <c r="D375" s="1">
        <v>4.0399999999999999E-5</v>
      </c>
      <c r="E375" s="1">
        <v>4.21E-5</v>
      </c>
      <c r="F375" s="1">
        <v>2.9499999999999999E-5</v>
      </c>
      <c r="G375" s="1">
        <v>4.4499999999999997E-5</v>
      </c>
      <c r="H375" s="1">
        <v>2.2399999999999999E-5</v>
      </c>
      <c r="I375" s="1">
        <v>4.2400000000000001E-5</v>
      </c>
      <c r="J375" s="1">
        <v>4.6699999999999997E-5</v>
      </c>
      <c r="K375" s="1">
        <v>3.3599999999999997E-5</v>
      </c>
      <c r="L375" s="1">
        <v>4.2200000000000003E-5</v>
      </c>
      <c r="M375">
        <v>0</v>
      </c>
      <c r="N375" s="1">
        <v>3.0899999999999999E-5</v>
      </c>
      <c r="O375" s="1">
        <v>2.97E-5</v>
      </c>
      <c r="P375" s="1">
        <v>3.6600000000000002E-5</v>
      </c>
      <c r="Q375" s="1">
        <v>3.5200000000000002E-5</v>
      </c>
      <c r="R375" s="1">
        <v>4.18E-5</v>
      </c>
      <c r="S375" s="1">
        <v>5.0899999999999997E-5</v>
      </c>
      <c r="T375" s="1">
        <v>4.1699999999999997E-5</v>
      </c>
    </row>
    <row r="376" spans="1:20" hidden="1" x14ac:dyDescent="0.25">
      <c r="A376" t="s">
        <v>394</v>
      </c>
      <c r="B376" s="1">
        <v>4.2400000000000001E-5</v>
      </c>
      <c r="C376" s="1">
        <v>4.7200000000000002E-5</v>
      </c>
      <c r="D376" s="1">
        <v>7.8399999999999995E-5</v>
      </c>
      <c r="E376" s="1">
        <v>6.8300000000000007E-5</v>
      </c>
      <c r="F376" s="1">
        <v>5.94E-5</v>
      </c>
      <c r="G376" s="1">
        <v>4.4299999999999999E-5</v>
      </c>
      <c r="H376" s="1">
        <v>4.3699999999999998E-5</v>
      </c>
      <c r="I376" s="1">
        <v>6.6500000000000004E-5</v>
      </c>
      <c r="J376" s="1">
        <v>4.6999999999999997E-5</v>
      </c>
      <c r="K376" s="1">
        <v>5.1199999999999998E-5</v>
      </c>
      <c r="L376" s="1">
        <v>6.0699999999999998E-5</v>
      </c>
      <c r="M376" s="1">
        <v>5.0699999999999999E-5</v>
      </c>
      <c r="N376" s="1">
        <v>3.1099999999999997E-5</v>
      </c>
      <c r="O376" s="1">
        <v>5.9299999999999998E-5</v>
      </c>
      <c r="P376" s="1">
        <v>4.32E-5</v>
      </c>
      <c r="Q376" s="1">
        <v>4.0099999999999999E-5</v>
      </c>
      <c r="R376" s="1">
        <v>3.9799999999999998E-5</v>
      </c>
      <c r="S376" s="1">
        <v>3.54E-5</v>
      </c>
      <c r="T376" s="1">
        <v>4.6100000000000002E-5</v>
      </c>
    </row>
    <row r="377" spans="1:20" hidden="1" x14ac:dyDescent="0.25">
      <c r="A377" t="s">
        <v>395</v>
      </c>
      <c r="B377" s="1">
        <v>9.1000000000000003E-5</v>
      </c>
      <c r="C377" s="1">
        <v>8.4099999999999998E-5</v>
      </c>
      <c r="D377" s="1">
        <v>8.3300000000000005E-5</v>
      </c>
      <c r="E377" s="1">
        <v>7.1899999999999999E-5</v>
      </c>
      <c r="F377" s="1">
        <v>3.8300000000000003E-5</v>
      </c>
      <c r="G377" s="1">
        <v>5.3199999999999999E-5</v>
      </c>
      <c r="H377" s="1">
        <v>7.4900000000000005E-5</v>
      </c>
      <c r="I377" s="1">
        <v>4.8900000000000003E-5</v>
      </c>
      <c r="J377" s="1">
        <v>6.0699999999999998E-5</v>
      </c>
      <c r="K377" s="1">
        <v>6.1699999999999995E-5</v>
      </c>
      <c r="L377" s="1">
        <v>8.7399999999999997E-5</v>
      </c>
      <c r="M377" s="1">
        <v>5.8300000000000001E-5</v>
      </c>
      <c r="N377" s="1">
        <v>5.8699999999999997E-5</v>
      </c>
      <c r="O377" s="1">
        <v>4.5500000000000001E-5</v>
      </c>
      <c r="P377" s="1">
        <v>5.9299999999999998E-5</v>
      </c>
      <c r="Q377" s="1">
        <v>3.65E-5</v>
      </c>
      <c r="R377" s="1">
        <v>6.0099999999999997E-5</v>
      </c>
      <c r="S377" s="1">
        <v>4.2500000000000003E-5</v>
      </c>
      <c r="T377" s="1">
        <v>4.8900000000000003E-5</v>
      </c>
    </row>
    <row r="378" spans="1:20" hidden="1" x14ac:dyDescent="0.25">
      <c r="A378" t="s">
        <v>396</v>
      </c>
      <c r="B378">
        <v>5.752E-4</v>
      </c>
      <c r="C378">
        <v>5.3212699999999997E-4</v>
      </c>
      <c r="D378">
        <v>2.9830999999999998E-4</v>
      </c>
      <c r="E378">
        <v>2.8043499999999999E-4</v>
      </c>
      <c r="F378">
        <v>5.4461899999999998E-4</v>
      </c>
      <c r="G378">
        <v>6.6720500000000003E-4</v>
      </c>
      <c r="H378">
        <v>4.9583699999999995E-4</v>
      </c>
      <c r="I378">
        <v>7.4784500000000002E-4</v>
      </c>
      <c r="J378">
        <v>1.032058E-3</v>
      </c>
      <c r="K378">
        <v>4.9507000000000002E-4</v>
      </c>
      <c r="L378">
        <v>7.1735500000000003E-4</v>
      </c>
      <c r="M378">
        <v>7.15459E-4</v>
      </c>
      <c r="N378">
        <v>1.0495630000000001E-3</v>
      </c>
      <c r="O378">
        <v>7.8411400000000003E-4</v>
      </c>
      <c r="P378">
        <v>9.2119399999999996E-4</v>
      </c>
      <c r="Q378">
        <v>1.0429110000000001E-3</v>
      </c>
      <c r="R378">
        <v>1.1849810000000001E-3</v>
      </c>
      <c r="S378">
        <v>1.027694E-3</v>
      </c>
      <c r="T378">
        <v>1.19586E-3</v>
      </c>
    </row>
    <row r="379" spans="1:20" hidden="1" x14ac:dyDescent="0.25">
      <c r="A379" t="s">
        <v>397</v>
      </c>
      <c r="B379">
        <v>2.39829E-4</v>
      </c>
      <c r="C379" s="1">
        <v>7.9499999999999994E-5</v>
      </c>
      <c r="D379" s="1">
        <v>7.2299999999999996E-5</v>
      </c>
      <c r="E379">
        <v>1.10715E-4</v>
      </c>
      <c r="F379">
        <v>3.6363500000000001E-4</v>
      </c>
      <c r="G379">
        <v>3.1760700000000002E-4</v>
      </c>
      <c r="H379">
        <v>2.3467299999999999E-4</v>
      </c>
      <c r="I379">
        <v>2.6812E-4</v>
      </c>
      <c r="J379">
        <v>1.93112E-4</v>
      </c>
      <c r="K379">
        <v>2.8391100000000003E-4</v>
      </c>
      <c r="L379">
        <v>1.4068300000000001E-4</v>
      </c>
      <c r="M379">
        <v>1.58491E-4</v>
      </c>
      <c r="N379">
        <v>1.1626899999999999E-4</v>
      </c>
      <c r="O379" s="1">
        <v>6.9200000000000002E-5</v>
      </c>
      <c r="P379">
        <v>5.1700699999999999E-4</v>
      </c>
      <c r="Q379">
        <v>1.4657629999999999E-3</v>
      </c>
      <c r="R379">
        <v>9.0820899999999999E-4</v>
      </c>
      <c r="S379">
        <v>5.1356100000000005E-4</v>
      </c>
      <c r="T379">
        <v>2.1696110000000001E-3</v>
      </c>
    </row>
    <row r="380" spans="1:20" hidden="1" x14ac:dyDescent="0.25">
      <c r="A380" t="s">
        <v>398</v>
      </c>
      <c r="B380">
        <v>1.7886599999999999E-4</v>
      </c>
      <c r="C380" s="1">
        <v>7.6699999999999994E-5</v>
      </c>
      <c r="D380">
        <v>0</v>
      </c>
      <c r="E380">
        <v>0</v>
      </c>
      <c r="F380">
        <v>2.8683799999999998E-4</v>
      </c>
      <c r="G380">
        <v>3.5103499999999998E-4</v>
      </c>
      <c r="H380">
        <v>1.6365800000000001E-4</v>
      </c>
      <c r="I380">
        <v>2.5308200000000001E-4</v>
      </c>
      <c r="J380">
        <v>1.6419699999999999E-4</v>
      </c>
      <c r="K380">
        <v>2.2224699999999999E-4</v>
      </c>
      <c r="L380">
        <v>1.2213299999999999E-4</v>
      </c>
      <c r="M380">
        <v>1.34654E-4</v>
      </c>
      <c r="N380">
        <v>1.93716E-4</v>
      </c>
      <c r="O380" s="1">
        <v>6.4499999999999996E-5</v>
      </c>
      <c r="P380">
        <v>4.6336000000000001E-4</v>
      </c>
      <c r="Q380">
        <v>1.1840640000000001E-3</v>
      </c>
      <c r="R380">
        <v>5.6879999999999995E-4</v>
      </c>
      <c r="S380">
        <v>4.2929699999999998E-4</v>
      </c>
      <c r="T380">
        <v>1.7293289999999999E-3</v>
      </c>
    </row>
    <row r="381" spans="1:20" hidden="1" x14ac:dyDescent="0.25">
      <c r="A381" t="s">
        <v>399</v>
      </c>
      <c r="B381">
        <v>1.5313100000000001E-4</v>
      </c>
      <c r="C381" s="1">
        <v>8.7499999999999999E-5</v>
      </c>
      <c r="D381" s="1">
        <v>4.3000000000000002E-5</v>
      </c>
      <c r="E381">
        <v>0</v>
      </c>
      <c r="F381">
        <v>0</v>
      </c>
      <c r="G381">
        <v>2.8580199999999999E-4</v>
      </c>
      <c r="H381">
        <v>2.2594999999999999E-4</v>
      </c>
      <c r="I381">
        <v>2.1905399999999999E-4</v>
      </c>
      <c r="J381">
        <v>1.9523300000000001E-4</v>
      </c>
      <c r="K381">
        <v>1.7922200000000001E-4</v>
      </c>
      <c r="L381">
        <v>1.0439500000000001E-4</v>
      </c>
      <c r="M381">
        <v>1.6071299999999999E-4</v>
      </c>
      <c r="N381">
        <v>1.7257700000000001E-4</v>
      </c>
      <c r="O381">
        <v>0</v>
      </c>
      <c r="P381">
        <v>4.2934000000000001E-4</v>
      </c>
      <c r="Q381">
        <v>9.4762799999999995E-4</v>
      </c>
      <c r="R381">
        <v>5.72219E-4</v>
      </c>
      <c r="S381">
        <v>3.9039800000000003E-4</v>
      </c>
      <c r="T381">
        <v>1.3751049999999999E-3</v>
      </c>
    </row>
    <row r="382" spans="1:20" hidden="1" x14ac:dyDescent="0.25">
      <c r="A382" t="s">
        <v>400</v>
      </c>
      <c r="B382">
        <v>2.4190299999999999E-4</v>
      </c>
      <c r="C382">
        <v>1.9646799999999999E-4</v>
      </c>
      <c r="D382">
        <v>1.4816800000000001E-4</v>
      </c>
      <c r="E382">
        <v>1.6722899999999999E-4</v>
      </c>
      <c r="F382">
        <v>3.49725E-4</v>
      </c>
      <c r="G382">
        <v>5.8960100000000004E-4</v>
      </c>
      <c r="H382">
        <v>3.6045700000000001E-4</v>
      </c>
      <c r="I382">
        <v>4.1607999999999999E-4</v>
      </c>
      <c r="J382">
        <v>2.2920800000000001E-4</v>
      </c>
      <c r="K382">
        <v>4.2918699999999998E-4</v>
      </c>
      <c r="L382">
        <v>3.1759399999999998E-4</v>
      </c>
      <c r="M382">
        <v>3.7765599999999998E-4</v>
      </c>
      <c r="N382">
        <v>5.0611099999999995E-4</v>
      </c>
      <c r="O382">
        <v>1.19968E-4</v>
      </c>
      <c r="P382">
        <v>8.6514399999999998E-4</v>
      </c>
      <c r="Q382">
        <v>2.0168730000000002E-3</v>
      </c>
      <c r="R382">
        <v>6.4184400000000003E-4</v>
      </c>
      <c r="S382">
        <v>1.1982799999999999E-3</v>
      </c>
      <c r="T382">
        <v>2.8561160000000001E-3</v>
      </c>
    </row>
    <row r="383" spans="1:20" hidden="1" x14ac:dyDescent="0.25">
      <c r="A383" t="s">
        <v>401</v>
      </c>
      <c r="B383" s="1">
        <v>1.88E-5</v>
      </c>
      <c r="C383" s="1">
        <v>8.2300000000000008E-6</v>
      </c>
      <c r="D383">
        <v>0</v>
      </c>
      <c r="E383">
        <v>0</v>
      </c>
      <c r="F383" s="1">
        <v>4.8699999999999998E-5</v>
      </c>
      <c r="G383" s="1">
        <v>8.1199999999999995E-5</v>
      </c>
      <c r="H383" s="1">
        <v>2.3900000000000002E-5</v>
      </c>
      <c r="I383" s="1">
        <v>6.7600000000000003E-5</v>
      </c>
      <c r="J383" s="1">
        <v>6.8499999999999998E-5</v>
      </c>
      <c r="K383" s="1">
        <v>2.1999999999999999E-5</v>
      </c>
      <c r="L383" s="1">
        <v>3.8699999999999999E-5</v>
      </c>
      <c r="M383" s="1">
        <v>3.2799999999999998E-5</v>
      </c>
      <c r="N383" s="1">
        <v>6.1500000000000004E-5</v>
      </c>
      <c r="O383" s="1">
        <v>2.9E-5</v>
      </c>
      <c r="P383">
        <v>1.98488E-4</v>
      </c>
      <c r="Q383">
        <v>5.2745600000000004E-4</v>
      </c>
      <c r="R383">
        <v>5.2555199999999999E-4</v>
      </c>
      <c r="S383">
        <v>3.2787199999999999E-4</v>
      </c>
      <c r="T383">
        <v>3.78952E-4</v>
      </c>
    </row>
    <row r="384" spans="1:20" hidden="1" x14ac:dyDescent="0.25">
      <c r="A384" t="s">
        <v>402</v>
      </c>
      <c r="B384" s="1">
        <v>6.5199999999999999E-5</v>
      </c>
      <c r="C384" s="1">
        <v>7.0599999999999995E-5</v>
      </c>
      <c r="D384" s="1">
        <v>5.0000000000000002E-5</v>
      </c>
      <c r="E384" s="1">
        <v>4.1399999999999997E-5</v>
      </c>
      <c r="F384">
        <v>1.00275E-4</v>
      </c>
      <c r="G384">
        <v>1.2918599999999999E-4</v>
      </c>
      <c r="H384">
        <v>1.3563900000000001E-4</v>
      </c>
      <c r="I384" s="1">
        <v>9.3900000000000006E-5</v>
      </c>
      <c r="J384">
        <v>0</v>
      </c>
      <c r="K384" s="1">
        <v>5.94E-5</v>
      </c>
      <c r="L384" s="1">
        <v>7.1400000000000001E-5</v>
      </c>
      <c r="M384" s="1">
        <v>6.0900000000000003E-5</v>
      </c>
      <c r="N384" s="1">
        <v>6.3100000000000002E-5</v>
      </c>
      <c r="O384" s="1">
        <v>6.9300000000000004E-5</v>
      </c>
      <c r="P384" s="1">
        <v>8.4499999999999994E-5</v>
      </c>
      <c r="Q384">
        <v>1.1343E-4</v>
      </c>
      <c r="R384" s="1">
        <v>5.4400000000000001E-5</v>
      </c>
      <c r="S384">
        <v>1.05747E-4</v>
      </c>
      <c r="T384">
        <v>1.7065599999999999E-4</v>
      </c>
    </row>
    <row r="385" spans="1:20" hidden="1" x14ac:dyDescent="0.25">
      <c r="A385" t="s">
        <v>403</v>
      </c>
      <c r="B385">
        <v>5.39139E-4</v>
      </c>
      <c r="C385">
        <v>6.8451799999999995E-4</v>
      </c>
      <c r="D385">
        <v>6.4013600000000003E-4</v>
      </c>
      <c r="E385">
        <v>6.2243499999999996E-4</v>
      </c>
      <c r="F385">
        <v>2.3104700000000001E-4</v>
      </c>
      <c r="G385">
        <v>4.7834199999999998E-4</v>
      </c>
      <c r="H385">
        <v>1.95792E-4</v>
      </c>
      <c r="I385">
        <v>0</v>
      </c>
      <c r="J385">
        <v>0</v>
      </c>
      <c r="K385">
        <v>6.7818399999999997E-4</v>
      </c>
      <c r="L385">
        <v>6.6689199999999998E-4</v>
      </c>
      <c r="M385">
        <v>4.7398999999999998E-4</v>
      </c>
      <c r="N385">
        <v>4.4714800000000002E-4</v>
      </c>
      <c r="O385">
        <v>4.1717799999999998E-4</v>
      </c>
      <c r="P385">
        <v>2.1807700000000001E-4</v>
      </c>
      <c r="Q385">
        <v>0</v>
      </c>
      <c r="R385">
        <v>0</v>
      </c>
      <c r="S385">
        <v>0</v>
      </c>
      <c r="T385">
        <v>0</v>
      </c>
    </row>
    <row r="386" spans="1:20" hidden="1" x14ac:dyDescent="0.25">
      <c r="A386" t="s">
        <v>404</v>
      </c>
      <c r="B386">
        <v>2.2438029999999999E-3</v>
      </c>
      <c r="C386">
        <v>2.7900049999999999E-3</v>
      </c>
      <c r="D386">
        <v>2.350301E-3</v>
      </c>
      <c r="E386">
        <v>3.6498530000000002E-3</v>
      </c>
      <c r="F386">
        <v>2.3228110000000001E-3</v>
      </c>
      <c r="G386">
        <v>1.1447429999999999E-3</v>
      </c>
      <c r="H386">
        <v>7.48677E-4</v>
      </c>
      <c r="I386">
        <v>2.2927759999999998E-3</v>
      </c>
      <c r="J386">
        <v>1.7783860000000001E-3</v>
      </c>
      <c r="K386">
        <v>2.9416440000000002E-3</v>
      </c>
      <c r="L386">
        <v>2.387765E-3</v>
      </c>
      <c r="M386">
        <v>1.5430540000000001E-3</v>
      </c>
      <c r="N386">
        <v>1.7786989999999999E-3</v>
      </c>
      <c r="O386">
        <v>1.786957E-3</v>
      </c>
      <c r="P386">
        <v>6.1591800000000002E-4</v>
      </c>
      <c r="Q386">
        <v>0</v>
      </c>
      <c r="R386">
        <v>3.6980599999999998E-4</v>
      </c>
      <c r="S386">
        <v>1.7866900000000001E-4</v>
      </c>
      <c r="T386">
        <v>2.38576E-4</v>
      </c>
    </row>
    <row r="387" spans="1:20" hidden="1" x14ac:dyDescent="0.25">
      <c r="A387" t="s">
        <v>405</v>
      </c>
      <c r="B387" s="1">
        <v>2.7900000000000001E-5</v>
      </c>
      <c r="C387">
        <v>0</v>
      </c>
      <c r="D387" s="1">
        <v>2.3499999999999999E-5</v>
      </c>
      <c r="E387">
        <v>0</v>
      </c>
      <c r="F387" s="1">
        <v>2.4899999999999999E-5</v>
      </c>
      <c r="G387" s="1">
        <v>4.5500000000000001E-5</v>
      </c>
      <c r="H387" s="1">
        <v>9.59E-5</v>
      </c>
      <c r="I387" s="1">
        <v>4.5000000000000003E-5</v>
      </c>
      <c r="J387" s="1">
        <v>4.18E-5</v>
      </c>
      <c r="K387" s="1">
        <v>3.4100000000000002E-5</v>
      </c>
      <c r="L387" s="1">
        <v>4.6400000000000003E-5</v>
      </c>
      <c r="M387" s="1">
        <v>2.97E-5</v>
      </c>
      <c r="N387" s="1">
        <v>5.6400000000000002E-5</v>
      </c>
      <c r="O387" s="1">
        <v>5.8300000000000001E-5</v>
      </c>
      <c r="P387" s="1">
        <v>5.6700000000000003E-5</v>
      </c>
      <c r="Q387" s="1">
        <v>9.2100000000000003E-5</v>
      </c>
      <c r="R387" s="1">
        <v>6.6400000000000001E-5</v>
      </c>
      <c r="S387" s="1">
        <v>6.5099999999999997E-5</v>
      </c>
      <c r="T387" s="1">
        <v>5.6499999999999998E-5</v>
      </c>
    </row>
    <row r="388" spans="1:20" hidden="1" x14ac:dyDescent="0.25">
      <c r="A388" t="s">
        <v>406</v>
      </c>
      <c r="B388" s="1">
        <v>2.09E-5</v>
      </c>
      <c r="C388" s="1">
        <v>9.0799999999999998E-5</v>
      </c>
      <c r="D388" s="1">
        <v>6.4300000000000004E-5</v>
      </c>
      <c r="E388" s="1">
        <v>4.4199999999999997E-5</v>
      </c>
      <c r="F388">
        <v>0</v>
      </c>
      <c r="G388">
        <v>0</v>
      </c>
      <c r="H388" s="1">
        <v>1.4E-5</v>
      </c>
      <c r="I388">
        <v>0</v>
      </c>
      <c r="J388">
        <v>0</v>
      </c>
      <c r="K388" s="1">
        <v>4.6699999999999997E-5</v>
      </c>
      <c r="L388" s="1">
        <v>6.4300000000000004E-5</v>
      </c>
      <c r="M388" s="1">
        <v>3.54E-5</v>
      </c>
      <c r="N388">
        <v>0</v>
      </c>
      <c r="O388" s="1">
        <v>3.3399999999999999E-5</v>
      </c>
      <c r="P388" s="1">
        <v>5.77E-5</v>
      </c>
      <c r="Q388" s="1">
        <v>2.3E-5</v>
      </c>
      <c r="R388" s="1">
        <v>4.5800000000000002E-5</v>
      </c>
      <c r="S388">
        <v>1.20606E-4</v>
      </c>
      <c r="T388" s="1">
        <v>6.7500000000000001E-5</v>
      </c>
    </row>
    <row r="389" spans="1:20" hidden="1" x14ac:dyDescent="0.25">
      <c r="A389" t="s">
        <v>407</v>
      </c>
      <c r="B389" s="1">
        <v>3.4499999999999998E-5</v>
      </c>
      <c r="C389" s="1">
        <v>3.4400000000000003E-5</v>
      </c>
      <c r="D389" s="1">
        <v>1.19E-5</v>
      </c>
      <c r="E389" s="1">
        <v>2.26E-5</v>
      </c>
      <c r="F389" s="1">
        <v>4.6199999999999998E-5</v>
      </c>
      <c r="G389" s="1">
        <v>4.2799999999999997E-5</v>
      </c>
      <c r="H389" s="1">
        <v>3.7499999999999997E-5</v>
      </c>
      <c r="I389" s="1">
        <v>2.27E-5</v>
      </c>
      <c r="J389" s="1">
        <v>3.01E-5</v>
      </c>
      <c r="K389" s="1">
        <v>2.4899999999999999E-5</v>
      </c>
      <c r="L389" s="1">
        <v>2.9799999999999999E-5</v>
      </c>
      <c r="M389" s="1">
        <v>2.69E-5</v>
      </c>
      <c r="N389" s="1">
        <v>2.0100000000000001E-5</v>
      </c>
      <c r="O389" s="1">
        <v>2.02E-5</v>
      </c>
      <c r="P389" s="1">
        <v>2.9499999999999999E-5</v>
      </c>
      <c r="Q389" s="1">
        <v>7.7100000000000004E-5</v>
      </c>
      <c r="R389" s="1">
        <v>5.3999999999999998E-5</v>
      </c>
      <c r="S389" s="1">
        <v>7.2000000000000002E-5</v>
      </c>
      <c r="T389" s="1">
        <v>7.3399999999999995E-5</v>
      </c>
    </row>
    <row r="390" spans="1:20" hidden="1" x14ac:dyDescent="0.25">
      <c r="A390" t="s">
        <v>408</v>
      </c>
      <c r="B390">
        <v>3.39317E-4</v>
      </c>
      <c r="C390">
        <v>3.3399500000000002E-4</v>
      </c>
      <c r="D390">
        <v>2.1410999999999999E-4</v>
      </c>
      <c r="E390">
        <v>2.70413E-4</v>
      </c>
      <c r="F390">
        <v>3.6899099999999999E-4</v>
      </c>
      <c r="G390">
        <v>2.7797599999999998E-4</v>
      </c>
      <c r="H390">
        <v>2.8516300000000001E-4</v>
      </c>
      <c r="I390">
        <v>2.77571E-4</v>
      </c>
      <c r="J390">
        <v>2.6615599999999998E-4</v>
      </c>
      <c r="K390">
        <v>2.5613799999999999E-4</v>
      </c>
      <c r="L390">
        <v>3.1317200000000002E-4</v>
      </c>
      <c r="M390">
        <v>3.4830100000000003E-4</v>
      </c>
      <c r="N390">
        <v>2.5584099999999998E-4</v>
      </c>
      <c r="O390">
        <v>2.2682900000000001E-4</v>
      </c>
      <c r="P390">
        <v>4.3383799999999998E-4</v>
      </c>
      <c r="Q390">
        <v>5.8034899999999997E-4</v>
      </c>
      <c r="R390">
        <v>7.2375599999999999E-4</v>
      </c>
      <c r="S390">
        <v>8.6174099999999996E-4</v>
      </c>
      <c r="T390">
        <v>6.8177899999999998E-4</v>
      </c>
    </row>
    <row r="391" spans="1:20" hidden="1" x14ac:dyDescent="0.25">
      <c r="A391" t="s">
        <v>409</v>
      </c>
      <c r="B391" s="1">
        <v>4.3099999999999997E-5</v>
      </c>
      <c r="C391" s="1">
        <v>7.3899999999999994E-5</v>
      </c>
      <c r="D391" s="1">
        <v>8.8399999999999994E-5</v>
      </c>
      <c r="E391" s="1">
        <v>7.8399999999999995E-5</v>
      </c>
      <c r="F391" s="1">
        <v>4.9100000000000001E-5</v>
      </c>
      <c r="G391" s="1">
        <v>3.2100000000000001E-5</v>
      </c>
      <c r="H391" s="1">
        <v>1.98E-5</v>
      </c>
      <c r="I391" s="1">
        <v>3.4400000000000003E-5</v>
      </c>
      <c r="J391" s="1">
        <v>3.1900000000000003E-5</v>
      </c>
      <c r="K391" s="1">
        <v>3.82E-5</v>
      </c>
      <c r="L391" s="1">
        <v>3.7599999999999999E-5</v>
      </c>
      <c r="M391" s="1">
        <v>1.7799999999999999E-5</v>
      </c>
      <c r="N391" s="1">
        <v>1.49E-5</v>
      </c>
      <c r="O391" s="1">
        <v>4.8699999999999998E-5</v>
      </c>
      <c r="P391" s="1">
        <v>1.8E-5</v>
      </c>
      <c r="Q391">
        <v>0</v>
      </c>
      <c r="R391" s="1">
        <v>2.72E-5</v>
      </c>
      <c r="S391">
        <v>0</v>
      </c>
      <c r="T391">
        <v>0</v>
      </c>
    </row>
    <row r="392" spans="1:20" hidden="1" x14ac:dyDescent="0.25">
      <c r="A392" t="s">
        <v>410</v>
      </c>
      <c r="B392">
        <v>2.8027999999999999E-4</v>
      </c>
      <c r="C392">
        <v>3.0213400000000002E-4</v>
      </c>
      <c r="D392">
        <v>3.7606400000000001E-4</v>
      </c>
      <c r="E392">
        <v>3.3962599999999999E-4</v>
      </c>
      <c r="F392">
        <v>3.2690300000000002E-4</v>
      </c>
      <c r="G392">
        <v>2.0129699999999999E-4</v>
      </c>
      <c r="H392">
        <v>1.3680499999999999E-4</v>
      </c>
      <c r="I392">
        <v>2.0086299999999999E-4</v>
      </c>
      <c r="J392">
        <v>2.2369800000000001E-4</v>
      </c>
      <c r="K392">
        <v>2.8764900000000001E-4</v>
      </c>
      <c r="L392">
        <v>2.2861100000000001E-4</v>
      </c>
      <c r="M392">
        <v>2.2734400000000001E-4</v>
      </c>
      <c r="N392">
        <v>1.3382699999999999E-4</v>
      </c>
      <c r="O392">
        <v>3.2372599999999998E-4</v>
      </c>
      <c r="P392" s="1">
        <v>6.7100000000000005E-5</v>
      </c>
      <c r="Q392" s="1">
        <v>3.6699999999999998E-5</v>
      </c>
      <c r="R392" s="1">
        <v>7.1899999999999999E-5</v>
      </c>
      <c r="S392" s="1">
        <v>6.97E-5</v>
      </c>
      <c r="T392" s="1">
        <v>2.72E-5</v>
      </c>
    </row>
    <row r="393" spans="1:20" hidden="1" x14ac:dyDescent="0.25">
      <c r="A393" t="s">
        <v>411</v>
      </c>
      <c r="B393">
        <v>2.0697599999999999E-4</v>
      </c>
      <c r="C393">
        <v>3.4763200000000001E-4</v>
      </c>
      <c r="D393">
        <v>2.6942200000000001E-4</v>
      </c>
      <c r="E393">
        <v>4.7779700000000002E-4</v>
      </c>
      <c r="F393">
        <v>6.5837899999999995E-4</v>
      </c>
      <c r="G393">
        <v>4.3405199999999998E-4</v>
      </c>
      <c r="H393">
        <v>3.3156100000000002E-4</v>
      </c>
      <c r="I393">
        <v>3.4031300000000002E-4</v>
      </c>
      <c r="J393">
        <v>3.2863899999999998E-4</v>
      </c>
      <c r="K393">
        <v>2.4360899999999999E-4</v>
      </c>
      <c r="L393">
        <v>3.4202800000000003E-4</v>
      </c>
      <c r="M393">
        <v>2.17025E-4</v>
      </c>
      <c r="N393">
        <v>1.5200700000000001E-4</v>
      </c>
      <c r="O393">
        <v>3.2154900000000002E-4</v>
      </c>
      <c r="P393">
        <v>3.51312E-4</v>
      </c>
      <c r="Q393">
        <v>3.34369E-4</v>
      </c>
      <c r="R393">
        <v>4.11364E-4</v>
      </c>
      <c r="S393">
        <v>5.7133800000000001E-4</v>
      </c>
      <c r="T393">
        <v>2.28643E-4</v>
      </c>
    </row>
    <row r="394" spans="1:20" hidden="1" x14ac:dyDescent="0.25">
      <c r="A394" t="s">
        <v>412</v>
      </c>
      <c r="B394" s="1">
        <v>6.0900000000000003E-5</v>
      </c>
      <c r="C394" s="1">
        <v>4.4700000000000002E-5</v>
      </c>
      <c r="D394" s="1">
        <v>3.7200000000000003E-5</v>
      </c>
      <c r="E394" s="1">
        <v>1.45E-5</v>
      </c>
      <c r="F394" s="1">
        <v>1.8300000000000001E-5</v>
      </c>
      <c r="G394" s="1">
        <v>3.1999999999999999E-5</v>
      </c>
      <c r="H394" s="1">
        <v>5.2899999999999998E-5</v>
      </c>
      <c r="I394" s="1">
        <v>2.7399999999999999E-5</v>
      </c>
      <c r="J394" s="1">
        <v>2.1100000000000001E-5</v>
      </c>
      <c r="K394" s="1">
        <v>3.1600000000000002E-5</v>
      </c>
      <c r="L394" s="1">
        <v>4.32E-5</v>
      </c>
      <c r="M394" s="1">
        <v>1.6099999999999998E-5</v>
      </c>
      <c r="N394" s="1">
        <v>6.7800000000000003E-6</v>
      </c>
      <c r="O394" s="1">
        <v>2.3E-5</v>
      </c>
      <c r="P394" s="1">
        <v>9.8900000000000002E-6</v>
      </c>
      <c r="Q394" s="1">
        <v>8.14E-6</v>
      </c>
      <c r="R394" s="1">
        <v>1.6799999999999998E-5</v>
      </c>
      <c r="S394">
        <v>0</v>
      </c>
      <c r="T394" s="1">
        <v>1.0499999999999999E-5</v>
      </c>
    </row>
    <row r="395" spans="1:20" hidden="1" x14ac:dyDescent="0.25">
      <c r="A395" t="s">
        <v>413</v>
      </c>
      <c r="B395" s="1">
        <v>2.7500000000000001E-5</v>
      </c>
      <c r="C395" s="1">
        <v>2.1800000000000001E-5</v>
      </c>
      <c r="D395" s="1">
        <v>2.2799999999999999E-5</v>
      </c>
      <c r="E395">
        <v>0</v>
      </c>
      <c r="F395" s="1">
        <v>2.9099999999999999E-5</v>
      </c>
      <c r="G395" s="1">
        <v>4.0500000000000002E-5</v>
      </c>
      <c r="H395" s="1">
        <v>3.3399999999999999E-5</v>
      </c>
      <c r="I395" s="1">
        <v>4.1100000000000003E-5</v>
      </c>
      <c r="J395" s="1">
        <v>3.9199999999999997E-5</v>
      </c>
      <c r="K395">
        <v>0</v>
      </c>
      <c r="L395" s="1">
        <v>2.83E-5</v>
      </c>
      <c r="M395" s="1">
        <v>3.3599999999999997E-5</v>
      </c>
      <c r="N395" s="1">
        <v>5.3900000000000002E-5</v>
      </c>
      <c r="O395" s="1">
        <v>3.82E-5</v>
      </c>
      <c r="P395" s="1">
        <v>3.9799999999999998E-5</v>
      </c>
      <c r="Q395" s="1">
        <v>3.7700000000000002E-5</v>
      </c>
      <c r="R395" s="1">
        <v>4.5800000000000002E-5</v>
      </c>
      <c r="S395" s="1">
        <v>2.5000000000000001E-5</v>
      </c>
      <c r="T395" s="1">
        <v>3.0300000000000001E-5</v>
      </c>
    </row>
    <row r="396" spans="1:20" hidden="1" x14ac:dyDescent="0.25">
      <c r="A396" t="s">
        <v>414</v>
      </c>
      <c r="B396">
        <v>0</v>
      </c>
      <c r="C396">
        <v>0</v>
      </c>
      <c r="D396">
        <v>0</v>
      </c>
      <c r="E396">
        <v>0</v>
      </c>
      <c r="F396" s="1">
        <v>1.45E-5</v>
      </c>
      <c r="G396" s="1">
        <v>3.0899999999999999E-5</v>
      </c>
      <c r="H396">
        <v>0</v>
      </c>
      <c r="I396">
        <v>0</v>
      </c>
      <c r="J396" s="1">
        <v>8.3399999999999998E-6</v>
      </c>
      <c r="K396" s="1">
        <v>1.15E-5</v>
      </c>
      <c r="L396" s="1">
        <v>6.7299999999999999E-6</v>
      </c>
      <c r="M396" s="1">
        <v>5.1800000000000004E-6</v>
      </c>
      <c r="N396">
        <v>0</v>
      </c>
      <c r="O396">
        <v>0</v>
      </c>
      <c r="P396" s="1">
        <v>4.57E-5</v>
      </c>
      <c r="Q396" s="1">
        <v>8.9499999999999994E-5</v>
      </c>
      <c r="R396" s="1">
        <v>7.1600000000000006E-5</v>
      </c>
      <c r="S396">
        <v>1.06319E-4</v>
      </c>
      <c r="T396">
        <v>1.0056300000000001E-4</v>
      </c>
    </row>
    <row r="397" spans="1:20" hidden="1" x14ac:dyDescent="0.25">
      <c r="A397" t="s">
        <v>415</v>
      </c>
      <c r="B397">
        <v>1.05813E-4</v>
      </c>
      <c r="C397">
        <v>0</v>
      </c>
      <c r="D397" s="1">
        <v>6.8499999999999998E-5</v>
      </c>
      <c r="E397">
        <v>0</v>
      </c>
      <c r="F397" s="1">
        <v>3.1699999999999998E-5</v>
      </c>
      <c r="G397">
        <v>1.31426E-4</v>
      </c>
      <c r="H397">
        <v>0</v>
      </c>
      <c r="I397">
        <v>0</v>
      </c>
      <c r="J397">
        <v>3.37382E-4</v>
      </c>
      <c r="K397">
        <v>2.4317100000000001E-4</v>
      </c>
      <c r="L397">
        <v>0</v>
      </c>
      <c r="M397">
        <v>2.8023000000000002E-4</v>
      </c>
      <c r="N397">
        <v>0</v>
      </c>
      <c r="O397" s="1">
        <v>4.6100000000000002E-5</v>
      </c>
      <c r="P397">
        <v>2.4506199999999999E-4</v>
      </c>
      <c r="Q397">
        <v>4.8455500000000001E-4</v>
      </c>
      <c r="R397" s="1">
        <v>8.8200000000000003E-5</v>
      </c>
      <c r="S397">
        <v>3.7280700000000001E-4</v>
      </c>
      <c r="T397">
        <v>3.6017999999999998E-4</v>
      </c>
    </row>
    <row r="398" spans="1:20" hidden="1" x14ac:dyDescent="0.25">
      <c r="A398" t="s">
        <v>416</v>
      </c>
      <c r="B398" s="1">
        <v>2.7800000000000001E-5</v>
      </c>
      <c r="C398">
        <v>0</v>
      </c>
      <c r="D398">
        <v>0</v>
      </c>
      <c r="E398" s="1">
        <v>1.1399999999999999E-5</v>
      </c>
      <c r="F398">
        <v>0</v>
      </c>
      <c r="G398">
        <v>0</v>
      </c>
      <c r="H398" s="1">
        <v>1.4800000000000001E-5</v>
      </c>
      <c r="I398">
        <v>0</v>
      </c>
      <c r="J398">
        <v>0</v>
      </c>
      <c r="K398" s="1">
        <v>7.7700000000000001E-6</v>
      </c>
      <c r="L398">
        <v>0</v>
      </c>
      <c r="M398">
        <v>0</v>
      </c>
      <c r="N398">
        <v>0</v>
      </c>
      <c r="O398">
        <v>0</v>
      </c>
      <c r="P398" s="1">
        <v>1.5800000000000001E-5</v>
      </c>
      <c r="Q398" s="1">
        <v>1.29E-5</v>
      </c>
      <c r="R398" s="1">
        <v>1.8899999999999999E-5</v>
      </c>
      <c r="S398">
        <v>0</v>
      </c>
      <c r="T398" s="1">
        <v>3.3000000000000003E-5</v>
      </c>
    </row>
    <row r="399" spans="1:20" hidden="1" x14ac:dyDescent="0.25">
      <c r="A399" t="s">
        <v>417</v>
      </c>
      <c r="B399" s="1">
        <v>4.46E-5</v>
      </c>
      <c r="C399" s="1">
        <v>6.7600000000000003E-5</v>
      </c>
      <c r="D399" s="1">
        <v>4.0399999999999999E-5</v>
      </c>
      <c r="E399" s="1">
        <v>3.8699999999999999E-5</v>
      </c>
      <c r="F399">
        <v>0</v>
      </c>
      <c r="G399">
        <v>0</v>
      </c>
      <c r="H399">
        <v>0</v>
      </c>
      <c r="I399" s="1">
        <v>5.3999999999999998E-5</v>
      </c>
      <c r="J399">
        <v>0</v>
      </c>
      <c r="K399">
        <v>0</v>
      </c>
      <c r="L399">
        <v>0</v>
      </c>
      <c r="M399">
        <v>0</v>
      </c>
      <c r="N399" s="1">
        <v>6.3299999999999994E-5</v>
      </c>
      <c r="O399" s="1">
        <v>4.5300000000000003E-5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hidden="1" x14ac:dyDescent="0.25">
      <c r="A400" t="s">
        <v>418</v>
      </c>
      <c r="B400" s="1">
        <v>7.3700000000000002E-5</v>
      </c>
      <c r="C400">
        <v>1.2807000000000001E-4</v>
      </c>
      <c r="D400">
        <v>1.07557E-4</v>
      </c>
      <c r="E400">
        <v>1.14689E-4</v>
      </c>
      <c r="F400" s="1">
        <v>5.1799999999999999E-5</v>
      </c>
      <c r="G400" s="1">
        <v>9.4599999999999996E-5</v>
      </c>
      <c r="H400" s="1">
        <v>7.5500000000000006E-5</v>
      </c>
      <c r="I400" s="1">
        <v>6.6600000000000006E-5</v>
      </c>
      <c r="J400">
        <v>0</v>
      </c>
      <c r="K400" s="1">
        <v>6.8700000000000003E-5</v>
      </c>
      <c r="L400">
        <v>1.23769E-4</v>
      </c>
      <c r="M400" s="1">
        <v>6.9200000000000002E-5</v>
      </c>
      <c r="N400" s="1">
        <v>5.9599999999999999E-5</v>
      </c>
      <c r="O400" s="1">
        <v>6.0800000000000001E-5</v>
      </c>
      <c r="P400" s="1">
        <v>5.6199999999999997E-5</v>
      </c>
      <c r="Q400" s="1">
        <v>6.5699999999999998E-5</v>
      </c>
      <c r="R400" s="1">
        <v>2.2399999999999999E-5</v>
      </c>
      <c r="S400" s="1">
        <v>8.03E-5</v>
      </c>
      <c r="T400" s="1">
        <v>7.0300000000000001E-5</v>
      </c>
    </row>
    <row r="401" spans="1:20" hidden="1" x14ac:dyDescent="0.25">
      <c r="A401" t="s">
        <v>419</v>
      </c>
      <c r="B401">
        <v>8.02945E-4</v>
      </c>
      <c r="C401">
        <v>7.5879099999999998E-4</v>
      </c>
      <c r="D401">
        <v>1.020183E-3</v>
      </c>
      <c r="E401">
        <v>1.145617E-3</v>
      </c>
      <c r="F401">
        <v>7.9858700000000002E-4</v>
      </c>
      <c r="G401">
        <v>6.2714699999999999E-4</v>
      </c>
      <c r="H401">
        <v>7.4131299999999995E-4</v>
      </c>
      <c r="I401">
        <v>8.2324600000000003E-4</v>
      </c>
      <c r="J401">
        <v>7.95088E-4</v>
      </c>
      <c r="K401">
        <v>7.9138500000000003E-4</v>
      </c>
      <c r="L401">
        <v>5.8515699999999999E-4</v>
      </c>
      <c r="M401">
        <v>5.4282500000000003E-4</v>
      </c>
      <c r="N401">
        <v>5.0158699999999995E-4</v>
      </c>
      <c r="O401">
        <v>1.097116E-3</v>
      </c>
      <c r="P401">
        <v>4.7844000000000001E-4</v>
      </c>
      <c r="Q401">
        <v>3.49914E-4</v>
      </c>
      <c r="R401">
        <v>3.9686000000000002E-4</v>
      </c>
      <c r="S401">
        <v>3.2956000000000001E-4</v>
      </c>
      <c r="T401">
        <v>3.6654E-4</v>
      </c>
    </row>
    <row r="402" spans="1:20" hidden="1" x14ac:dyDescent="0.25">
      <c r="A402" t="s">
        <v>420</v>
      </c>
      <c r="B402" s="1">
        <v>2.6599999999999999E-5</v>
      </c>
      <c r="C402" s="1">
        <v>1.7799999999999999E-5</v>
      </c>
      <c r="D402" s="1">
        <v>4.0299999999999997E-5</v>
      </c>
      <c r="E402">
        <v>0</v>
      </c>
      <c r="F402" s="1">
        <v>2.3799999999999999E-5</v>
      </c>
      <c r="G402" s="1">
        <v>3.26E-5</v>
      </c>
      <c r="H402" s="1">
        <v>1.9400000000000001E-5</v>
      </c>
      <c r="I402">
        <v>0</v>
      </c>
      <c r="J402" s="1">
        <v>1.5999999999999999E-5</v>
      </c>
      <c r="K402" s="1">
        <v>2.5199999999999999E-5</v>
      </c>
      <c r="L402" s="1">
        <v>3.8500000000000001E-5</v>
      </c>
      <c r="M402" s="1">
        <v>5.1400000000000003E-5</v>
      </c>
      <c r="N402" s="1">
        <v>4.5000000000000003E-5</v>
      </c>
      <c r="O402" s="1">
        <v>2.87E-5</v>
      </c>
      <c r="P402" s="1">
        <v>3.26E-5</v>
      </c>
      <c r="Q402" s="1">
        <v>3.0800000000000003E-5</v>
      </c>
      <c r="R402" s="1">
        <v>2.3499999999999999E-5</v>
      </c>
      <c r="S402">
        <v>0</v>
      </c>
      <c r="T402" s="1">
        <v>1.8499999999999999E-5</v>
      </c>
    </row>
    <row r="403" spans="1:20" hidden="1" x14ac:dyDescent="0.25">
      <c r="A403" t="s">
        <v>421</v>
      </c>
      <c r="B403">
        <v>1.5495330000000001E-3</v>
      </c>
      <c r="C403">
        <v>2.7926819999999999E-3</v>
      </c>
      <c r="D403">
        <v>9.27091E-4</v>
      </c>
      <c r="E403">
        <v>9.1366899999999998E-4</v>
      </c>
      <c r="F403">
        <v>2.4653710000000001E-3</v>
      </c>
      <c r="G403">
        <v>3.649846E-3</v>
      </c>
      <c r="H403">
        <v>3.4492070000000001E-3</v>
      </c>
      <c r="I403">
        <v>4.3610569999999998E-3</v>
      </c>
      <c r="J403">
        <v>2.448562E-3</v>
      </c>
      <c r="K403">
        <v>2.2629799999999999E-3</v>
      </c>
      <c r="L403">
        <v>3.0136529999999998E-3</v>
      </c>
      <c r="M403">
        <v>3.2600950000000002E-3</v>
      </c>
      <c r="N403">
        <v>2.9279919999999999E-3</v>
      </c>
      <c r="O403">
        <v>3.1861609999999999E-3</v>
      </c>
      <c r="P403">
        <v>4.7908960000000002E-3</v>
      </c>
      <c r="Q403">
        <v>4.1838359999999998E-3</v>
      </c>
      <c r="R403">
        <v>6.8257500000000002E-3</v>
      </c>
      <c r="S403">
        <v>4.2443489999999997E-3</v>
      </c>
      <c r="T403">
        <v>6.0909340000000001E-3</v>
      </c>
    </row>
    <row r="404" spans="1:20" hidden="1" x14ac:dyDescent="0.25">
      <c r="A404" t="s">
        <v>422</v>
      </c>
      <c r="B404">
        <v>1.5567700000000001E-4</v>
      </c>
      <c r="C404" s="1">
        <v>9.9400000000000004E-5</v>
      </c>
      <c r="D404" s="1">
        <v>9.09E-5</v>
      </c>
      <c r="E404">
        <v>1.2587699999999999E-4</v>
      </c>
      <c r="F404">
        <v>1.80893E-4</v>
      </c>
      <c r="G404">
        <v>1.4864199999999999E-4</v>
      </c>
      <c r="H404">
        <v>1.79264E-4</v>
      </c>
      <c r="I404">
        <v>1.94227E-4</v>
      </c>
      <c r="J404">
        <v>2.25699E-4</v>
      </c>
      <c r="K404">
        <v>1.6312999999999999E-4</v>
      </c>
      <c r="L404">
        <v>1.5343799999999999E-4</v>
      </c>
      <c r="M404">
        <v>2.01032E-4</v>
      </c>
      <c r="N404">
        <v>2.13253E-4</v>
      </c>
      <c r="O404">
        <v>1.86152E-4</v>
      </c>
      <c r="P404">
        <v>2.5393799999999999E-4</v>
      </c>
      <c r="Q404">
        <v>2.8891000000000002E-4</v>
      </c>
      <c r="R404">
        <v>4.4360200000000003E-4</v>
      </c>
      <c r="S404">
        <v>3.70176E-4</v>
      </c>
      <c r="T404">
        <v>2.97812E-4</v>
      </c>
    </row>
    <row r="405" spans="1:20" hidden="1" x14ac:dyDescent="0.25">
      <c r="A405" t="s">
        <v>423</v>
      </c>
      <c r="B405">
        <v>1.1096599999999999E-3</v>
      </c>
      <c r="C405">
        <v>1.3754119999999999E-3</v>
      </c>
      <c r="D405">
        <v>1.4244419999999999E-3</v>
      </c>
      <c r="E405">
        <v>1.8251820000000001E-3</v>
      </c>
      <c r="F405">
        <v>7.4395600000000004E-4</v>
      </c>
      <c r="G405">
        <v>8.0271400000000005E-4</v>
      </c>
      <c r="H405">
        <v>9.9241400000000006E-4</v>
      </c>
      <c r="I405">
        <v>1.108E-3</v>
      </c>
      <c r="J405">
        <v>9.1712599999999999E-4</v>
      </c>
      <c r="K405">
        <v>1.0511990000000001E-3</v>
      </c>
      <c r="L405">
        <v>7.0878499999999997E-4</v>
      </c>
      <c r="M405">
        <v>7.5862900000000003E-4</v>
      </c>
      <c r="N405">
        <v>4.5253999999999997E-4</v>
      </c>
      <c r="O405">
        <v>1.9146619999999999E-3</v>
      </c>
      <c r="P405">
        <v>5.8834600000000001E-4</v>
      </c>
      <c r="Q405">
        <v>3.7098099999999999E-4</v>
      </c>
      <c r="R405">
        <v>3.5103400000000001E-4</v>
      </c>
      <c r="S405">
        <v>5.4511000000000002E-4</v>
      </c>
      <c r="T405">
        <v>2.7410299999999999E-4</v>
      </c>
    </row>
    <row r="406" spans="1:20" hidden="1" x14ac:dyDescent="0.25">
      <c r="A406" t="s">
        <v>424</v>
      </c>
      <c r="B406">
        <v>1.18538E-4</v>
      </c>
      <c r="C406">
        <v>1.39989E-4</v>
      </c>
      <c r="D406" s="1">
        <v>6.8100000000000002E-5</v>
      </c>
      <c r="E406" s="1">
        <v>5.8799999999999999E-5</v>
      </c>
      <c r="F406">
        <v>1.4809E-4</v>
      </c>
      <c r="G406">
        <v>1.2537299999999999E-4</v>
      </c>
      <c r="H406">
        <v>1.7942300000000001E-4</v>
      </c>
      <c r="I406">
        <v>1.5578099999999999E-4</v>
      </c>
      <c r="J406">
        <v>2.1884300000000001E-4</v>
      </c>
      <c r="K406">
        <v>1.12543E-4</v>
      </c>
      <c r="L406">
        <v>1.0150299999999999E-4</v>
      </c>
      <c r="M406">
        <v>2.01294E-4</v>
      </c>
      <c r="N406">
        <v>2.9683699999999999E-4</v>
      </c>
      <c r="O406">
        <v>1.09727E-4</v>
      </c>
      <c r="P406">
        <v>1.1555E-4</v>
      </c>
      <c r="Q406">
        <v>2.2511699999999999E-4</v>
      </c>
      <c r="R406">
        <v>2.32604E-4</v>
      </c>
      <c r="S406">
        <v>2.7842999999999998E-4</v>
      </c>
      <c r="T406">
        <v>2.4441699999999997E-4</v>
      </c>
    </row>
    <row r="407" spans="1:20" hidden="1" x14ac:dyDescent="0.25">
      <c r="A407" t="s">
        <v>425</v>
      </c>
      <c r="B407">
        <v>1.8138799999999999E-4</v>
      </c>
      <c r="C407" s="1">
        <v>3.3500000000000001E-5</v>
      </c>
      <c r="D407" s="1">
        <v>4.4499999999999997E-5</v>
      </c>
      <c r="E407" s="1">
        <v>4.7200000000000002E-5</v>
      </c>
      <c r="F407">
        <v>1.07199E-4</v>
      </c>
      <c r="G407" s="1">
        <v>6.6000000000000005E-5</v>
      </c>
      <c r="H407">
        <v>1.9163599999999999E-4</v>
      </c>
      <c r="I407">
        <v>1.04924E-4</v>
      </c>
      <c r="J407">
        <v>1.3716999999999999E-4</v>
      </c>
      <c r="K407" s="1">
        <v>7.2000000000000002E-5</v>
      </c>
      <c r="L407" s="1">
        <v>3.8699999999999999E-5</v>
      </c>
      <c r="M407" s="1">
        <v>6.3999999999999997E-5</v>
      </c>
      <c r="N407" s="1">
        <v>8.6500000000000002E-5</v>
      </c>
      <c r="O407" s="1">
        <v>5.6799999999999998E-5</v>
      </c>
      <c r="P407">
        <v>1.5221399999999999E-4</v>
      </c>
      <c r="Q407">
        <v>2.3127400000000001E-4</v>
      </c>
      <c r="R407">
        <v>2.8411799999999998E-4</v>
      </c>
      <c r="S407" s="1">
        <v>5.8499999999999999E-5</v>
      </c>
      <c r="T407">
        <v>1.6115300000000001E-4</v>
      </c>
    </row>
    <row r="408" spans="1:20" hidden="1" x14ac:dyDescent="0.25">
      <c r="A408" t="s">
        <v>426</v>
      </c>
      <c r="B408">
        <v>0</v>
      </c>
      <c r="C408" s="1">
        <v>1.11E-5</v>
      </c>
      <c r="D408">
        <v>0</v>
      </c>
      <c r="E408" s="1">
        <v>1.26E-5</v>
      </c>
      <c r="F408" s="1">
        <v>6.2099999999999998E-6</v>
      </c>
      <c r="G408" s="1">
        <v>1.1E-5</v>
      </c>
      <c r="H408" s="1">
        <v>9.2499999999999995E-6</v>
      </c>
      <c r="I408">
        <v>0</v>
      </c>
      <c r="J408">
        <v>0</v>
      </c>
      <c r="K408" s="1">
        <v>7.5000000000000002E-6</v>
      </c>
      <c r="L408" s="1">
        <v>1.0699999999999999E-5</v>
      </c>
      <c r="M408">
        <v>0</v>
      </c>
      <c r="N408">
        <v>0</v>
      </c>
      <c r="O408">
        <v>0</v>
      </c>
      <c r="P408" s="1">
        <v>8.2099999999999993E-6</v>
      </c>
      <c r="Q408" s="1">
        <v>1.6099999999999998E-5</v>
      </c>
      <c r="R408" s="1">
        <v>1.2099999999999999E-5</v>
      </c>
      <c r="S408" s="1">
        <v>1.0499999999999999E-5</v>
      </c>
      <c r="T408" s="1">
        <v>9.2900000000000008E-6</v>
      </c>
    </row>
    <row r="409" spans="1:20" hidden="1" x14ac:dyDescent="0.25">
      <c r="A409" t="s">
        <v>427</v>
      </c>
      <c r="B409">
        <v>0</v>
      </c>
      <c r="C409" s="1">
        <v>2.7399999999999999E-5</v>
      </c>
      <c r="D409" s="1">
        <v>1.7600000000000001E-5</v>
      </c>
      <c r="E409" s="1">
        <v>1.7600000000000001E-5</v>
      </c>
      <c r="F409" s="1">
        <v>5.2299999999999997E-5</v>
      </c>
      <c r="G409" s="1">
        <v>2.34E-5</v>
      </c>
      <c r="H409">
        <v>0</v>
      </c>
      <c r="I409" s="1">
        <v>2.2399999999999999E-5</v>
      </c>
      <c r="J409" s="1">
        <v>2.12E-5</v>
      </c>
      <c r="K409" s="1">
        <v>1.6200000000000001E-5</v>
      </c>
      <c r="L409" s="1">
        <v>1.45E-5</v>
      </c>
      <c r="M409" s="1">
        <v>1.04E-5</v>
      </c>
      <c r="N409" s="1">
        <v>8.4400000000000005E-6</v>
      </c>
      <c r="O409">
        <v>0</v>
      </c>
      <c r="P409">
        <v>0</v>
      </c>
      <c r="Q409">
        <v>0</v>
      </c>
      <c r="R409">
        <v>0</v>
      </c>
      <c r="S409" s="1">
        <v>1.24E-5</v>
      </c>
      <c r="T409" s="1">
        <v>7.9999999999999996E-6</v>
      </c>
    </row>
    <row r="410" spans="1:20" hidden="1" x14ac:dyDescent="0.25">
      <c r="A410" t="s">
        <v>428</v>
      </c>
      <c r="B410" s="1">
        <v>6.2100000000000005E-5</v>
      </c>
      <c r="C410">
        <v>1.1278200000000001E-4</v>
      </c>
      <c r="D410">
        <v>1.0066899999999999E-4</v>
      </c>
      <c r="E410" s="1">
        <v>8.8599999999999999E-5</v>
      </c>
      <c r="F410" s="1">
        <v>6.8899999999999994E-5</v>
      </c>
      <c r="G410">
        <v>1.1584E-4</v>
      </c>
      <c r="H410" s="1">
        <v>7.9599999999999997E-5</v>
      </c>
      <c r="I410" s="1">
        <v>6.3499999999999999E-5</v>
      </c>
      <c r="J410" s="1">
        <v>5.5600000000000003E-5</v>
      </c>
      <c r="K410" s="1">
        <v>7.7399999999999998E-5</v>
      </c>
      <c r="L410" s="1">
        <v>9.6799999999999995E-5</v>
      </c>
      <c r="M410" s="1">
        <v>4.9200000000000003E-5</v>
      </c>
      <c r="N410" s="1">
        <v>2.6800000000000001E-5</v>
      </c>
      <c r="O410" s="1">
        <v>5.6700000000000003E-5</v>
      </c>
      <c r="P410" s="1">
        <v>5.77E-5</v>
      </c>
      <c r="Q410" s="1">
        <v>5.7899999999999998E-5</v>
      </c>
      <c r="R410">
        <v>1.30357E-4</v>
      </c>
      <c r="S410" s="1">
        <v>9.8999999999999994E-5</v>
      </c>
      <c r="T410" s="1">
        <v>8.25E-5</v>
      </c>
    </row>
    <row r="411" spans="1:20" hidden="1" x14ac:dyDescent="0.25">
      <c r="A411" t="s">
        <v>429</v>
      </c>
      <c r="B411" s="1">
        <v>8.9199999999999993E-6</v>
      </c>
      <c r="C411" s="1">
        <v>2.8E-5</v>
      </c>
      <c r="D411" s="1">
        <v>3.1099999999999997E-5</v>
      </c>
      <c r="E411" s="1">
        <v>2.5700000000000001E-5</v>
      </c>
      <c r="F411">
        <v>0</v>
      </c>
      <c r="G411" s="1">
        <v>3.4499999999999998E-5</v>
      </c>
      <c r="H411" s="1">
        <v>2.4899999999999999E-5</v>
      </c>
      <c r="I411" s="1">
        <v>1.42E-5</v>
      </c>
      <c r="J411">
        <v>0</v>
      </c>
      <c r="K411" s="1">
        <v>2.2099999999999998E-5</v>
      </c>
      <c r="L411" s="1">
        <v>1.66E-5</v>
      </c>
      <c r="M411">
        <v>0</v>
      </c>
      <c r="N411">
        <v>0</v>
      </c>
      <c r="O411">
        <v>0</v>
      </c>
      <c r="P411">
        <v>0</v>
      </c>
      <c r="Q411" s="1">
        <v>2.69E-5</v>
      </c>
      <c r="R411" s="1">
        <v>3.6300000000000001E-5</v>
      </c>
      <c r="S411" s="1">
        <v>2.2099999999999998E-5</v>
      </c>
      <c r="T411" s="1">
        <v>2.62E-5</v>
      </c>
    </row>
    <row r="412" spans="1:20" hidden="1" x14ac:dyDescent="0.25">
      <c r="A412" t="s">
        <v>430</v>
      </c>
      <c r="B412">
        <v>0</v>
      </c>
      <c r="C412" s="1">
        <v>7.4099999999999999E-5</v>
      </c>
      <c r="D412" s="1">
        <v>6.6299999999999999E-5</v>
      </c>
      <c r="E412">
        <v>0</v>
      </c>
      <c r="F412" s="1">
        <v>5.5600000000000003E-5</v>
      </c>
      <c r="G412" s="1">
        <v>6.97E-5</v>
      </c>
      <c r="H412">
        <v>0</v>
      </c>
      <c r="I412">
        <v>0</v>
      </c>
      <c r="J412">
        <v>0</v>
      </c>
      <c r="K412" s="1">
        <v>7.4400000000000006E-5</v>
      </c>
      <c r="L412" s="1">
        <v>6.6400000000000001E-5</v>
      </c>
      <c r="M412">
        <v>0</v>
      </c>
      <c r="N412" s="1">
        <v>3.29E-5</v>
      </c>
      <c r="O412">
        <v>0</v>
      </c>
      <c r="P412">
        <v>0</v>
      </c>
      <c r="Q412" s="1">
        <v>5.7299999999999997E-5</v>
      </c>
      <c r="R412" s="1">
        <v>9.7299999999999993E-5</v>
      </c>
      <c r="S412" s="1">
        <v>9.2700000000000004E-5</v>
      </c>
      <c r="T412" s="1">
        <v>4.6999999999999997E-5</v>
      </c>
    </row>
    <row r="413" spans="1:20" hidden="1" x14ac:dyDescent="0.25">
      <c r="A413" t="s">
        <v>431</v>
      </c>
      <c r="B413">
        <v>4.1346800000000001E-4</v>
      </c>
      <c r="C413">
        <v>8.0532100000000001E-4</v>
      </c>
      <c r="D413">
        <v>5.85054E-4</v>
      </c>
      <c r="E413">
        <v>5.8451E-4</v>
      </c>
      <c r="F413">
        <v>8.3630100000000001E-4</v>
      </c>
      <c r="G413">
        <v>8.6986799999999999E-4</v>
      </c>
      <c r="H413">
        <v>7.97195E-4</v>
      </c>
      <c r="I413">
        <v>1.057936E-3</v>
      </c>
      <c r="J413">
        <v>8.4563900000000003E-4</v>
      </c>
      <c r="K413">
        <v>6.2280500000000004E-4</v>
      </c>
      <c r="L413">
        <v>9.3769199999999995E-4</v>
      </c>
      <c r="M413">
        <v>9.2432199999999999E-4</v>
      </c>
      <c r="N413">
        <v>1.1940970000000001E-3</v>
      </c>
      <c r="O413">
        <v>8.2041600000000003E-4</v>
      </c>
      <c r="P413">
        <v>1.1926249999999999E-3</v>
      </c>
      <c r="Q413">
        <v>1.464295E-3</v>
      </c>
      <c r="R413">
        <v>2.1087459999999999E-3</v>
      </c>
      <c r="S413">
        <v>1.843098E-3</v>
      </c>
      <c r="T413">
        <v>1.2455470000000001E-3</v>
      </c>
    </row>
    <row r="414" spans="1:20" hidden="1" x14ac:dyDescent="0.25">
      <c r="A414" t="s">
        <v>432</v>
      </c>
      <c r="B414">
        <v>1.7153000000000001E-4</v>
      </c>
      <c r="C414">
        <v>3.1200999999999999E-4</v>
      </c>
      <c r="D414">
        <v>2.35665E-4</v>
      </c>
      <c r="E414">
        <v>1.17407E-4</v>
      </c>
      <c r="F414">
        <v>0</v>
      </c>
      <c r="G414">
        <v>4.9708700000000001E-4</v>
      </c>
      <c r="H414">
        <v>0</v>
      </c>
      <c r="I414">
        <v>2.5476999999999997E-4</v>
      </c>
      <c r="J414">
        <v>2.5260700000000002E-4</v>
      </c>
      <c r="K414">
        <v>3.4185900000000002E-4</v>
      </c>
      <c r="L414">
        <v>3.72524E-4</v>
      </c>
      <c r="M414">
        <v>4.0179799999999998E-4</v>
      </c>
      <c r="N414">
        <v>1.70519E-4</v>
      </c>
      <c r="O414">
        <v>3.2984399999999998E-4</v>
      </c>
      <c r="P414">
        <v>6.1190699999999997E-4</v>
      </c>
      <c r="Q414">
        <v>2.22129E-4</v>
      </c>
      <c r="R414">
        <v>2.2536299999999999E-4</v>
      </c>
      <c r="S414">
        <v>2.8482799999999999E-4</v>
      </c>
      <c r="T414">
        <v>2.2995000000000001E-4</v>
      </c>
    </row>
    <row r="415" spans="1:20" hidden="1" x14ac:dyDescent="0.25">
      <c r="A415" t="s">
        <v>433</v>
      </c>
      <c r="B415">
        <v>1.798067E-3</v>
      </c>
      <c r="C415">
        <v>2.1407739999999998E-3</v>
      </c>
      <c r="D415">
        <v>1.702833E-3</v>
      </c>
      <c r="E415">
        <v>1.5521300000000001E-3</v>
      </c>
      <c r="F415">
        <v>2.0832429999999998E-3</v>
      </c>
      <c r="G415">
        <v>2.3005830000000001E-3</v>
      </c>
      <c r="H415">
        <v>1.9512240000000001E-3</v>
      </c>
      <c r="I415">
        <v>2.4906199999999998E-3</v>
      </c>
      <c r="J415">
        <v>2.405333E-3</v>
      </c>
      <c r="K415">
        <v>1.602441E-3</v>
      </c>
      <c r="L415">
        <v>2.071448E-3</v>
      </c>
      <c r="M415">
        <v>1.9148170000000001E-3</v>
      </c>
      <c r="N415">
        <v>2.5276679999999998E-3</v>
      </c>
      <c r="O415">
        <v>2.5161279999999999E-3</v>
      </c>
      <c r="P415">
        <v>1.7467870000000001E-3</v>
      </c>
      <c r="Q415">
        <v>1.815805E-3</v>
      </c>
      <c r="R415">
        <v>2.6955809999999998E-3</v>
      </c>
      <c r="S415">
        <v>3.1617379999999999E-3</v>
      </c>
      <c r="T415">
        <v>2.0946770000000001E-3</v>
      </c>
    </row>
    <row r="416" spans="1:20" hidden="1" x14ac:dyDescent="0.25">
      <c r="A416" t="s">
        <v>434</v>
      </c>
      <c r="B416" s="1">
        <v>9.5199999999999997E-5</v>
      </c>
      <c r="C416" s="1">
        <v>8.7200000000000005E-5</v>
      </c>
      <c r="D416">
        <v>1.26308E-4</v>
      </c>
      <c r="E416">
        <v>1.5069399999999999E-4</v>
      </c>
      <c r="F416" s="1">
        <v>8.0099999999999995E-5</v>
      </c>
      <c r="G416" s="1">
        <v>6.3299999999999994E-5</v>
      </c>
      <c r="H416" s="1">
        <v>8.0699999999999996E-5</v>
      </c>
      <c r="I416" s="1">
        <v>9.3599999999999998E-5</v>
      </c>
      <c r="J416" s="1">
        <v>8.0099999999999995E-5</v>
      </c>
      <c r="K416">
        <v>1.16638E-4</v>
      </c>
      <c r="L416" s="1">
        <v>9.6799999999999995E-5</v>
      </c>
      <c r="M416" s="1">
        <v>4.3300000000000002E-5</v>
      </c>
      <c r="N416" s="1">
        <v>6.0900000000000003E-5</v>
      </c>
      <c r="O416" s="1">
        <v>9.2399999999999996E-5</v>
      </c>
      <c r="P416" s="1">
        <v>3.4799999999999999E-5</v>
      </c>
      <c r="Q416" s="1">
        <v>2.9799999999999999E-5</v>
      </c>
      <c r="R416">
        <v>0</v>
      </c>
      <c r="S416" s="1">
        <v>2.5599999999999999E-5</v>
      </c>
      <c r="T416" s="1">
        <v>2.87E-5</v>
      </c>
    </row>
    <row r="417" spans="1:20" hidden="1" x14ac:dyDescent="0.25">
      <c r="A417" t="s">
        <v>435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s="1">
        <v>4.8600000000000001E-6</v>
      </c>
      <c r="M417">
        <v>0</v>
      </c>
      <c r="N417" s="1">
        <v>6.8600000000000004E-6</v>
      </c>
      <c r="O417">
        <v>0</v>
      </c>
      <c r="P417" s="1">
        <v>1.29E-5</v>
      </c>
      <c r="Q417" s="1">
        <v>1.1800000000000001E-5</v>
      </c>
      <c r="R417" s="1">
        <v>2.1800000000000001E-5</v>
      </c>
      <c r="S417" s="1">
        <v>9.8300000000000008E-6</v>
      </c>
      <c r="T417" s="1">
        <v>1.38E-5</v>
      </c>
    </row>
    <row r="418" spans="1:20" hidden="1" x14ac:dyDescent="0.25">
      <c r="A418" t="s">
        <v>436</v>
      </c>
      <c r="B418">
        <v>1.94029E-4</v>
      </c>
      <c r="C418">
        <v>2.3021200000000001E-4</v>
      </c>
      <c r="D418">
        <v>2.3912900000000001E-4</v>
      </c>
      <c r="E418">
        <v>2.1133799999999999E-4</v>
      </c>
      <c r="F418">
        <v>1.74568E-4</v>
      </c>
      <c r="G418">
        <v>1.8931800000000001E-4</v>
      </c>
      <c r="H418">
        <v>1.6784699999999999E-4</v>
      </c>
      <c r="I418">
        <v>1.8381100000000001E-4</v>
      </c>
      <c r="J418">
        <v>1.5992299999999999E-4</v>
      </c>
      <c r="K418">
        <v>2.1608700000000001E-4</v>
      </c>
      <c r="L418">
        <v>2.0193699999999999E-4</v>
      </c>
      <c r="M418">
        <v>1.7568099999999999E-4</v>
      </c>
      <c r="N418">
        <v>1.96479E-4</v>
      </c>
      <c r="O418">
        <v>1.3107E-4</v>
      </c>
      <c r="P418">
        <v>1.3897000000000001E-4</v>
      </c>
      <c r="Q418">
        <v>2.4626100000000001E-4</v>
      </c>
      <c r="R418">
        <v>2.78824E-4</v>
      </c>
      <c r="S418">
        <v>1.7913799999999999E-4</v>
      </c>
      <c r="T418">
        <v>2.2478099999999999E-4</v>
      </c>
    </row>
    <row r="419" spans="1:20" hidden="1" x14ac:dyDescent="0.25">
      <c r="A419" t="s">
        <v>437</v>
      </c>
      <c r="B419">
        <v>1.2773999999999999E-4</v>
      </c>
      <c r="C419">
        <v>1.0928730000000001E-3</v>
      </c>
      <c r="D419">
        <v>4.9538800000000003E-4</v>
      </c>
      <c r="E419">
        <v>6.1327300000000001E-4</v>
      </c>
      <c r="F419">
        <v>1.2666649999999999E-3</v>
      </c>
      <c r="G419">
        <v>1.8088819999999999E-3</v>
      </c>
      <c r="H419">
        <v>1.301359E-3</v>
      </c>
      <c r="I419">
        <v>1.124943E-3</v>
      </c>
      <c r="J419">
        <v>1.220159E-3</v>
      </c>
      <c r="K419">
        <v>4.8895199999999996E-4</v>
      </c>
      <c r="L419">
        <v>7.44752E-4</v>
      </c>
      <c r="M419">
        <v>1.2532209999999999E-3</v>
      </c>
      <c r="N419">
        <v>8.6620600000000001E-4</v>
      </c>
      <c r="O419">
        <v>6.9037700000000005E-4</v>
      </c>
      <c r="P419">
        <v>1.161549E-3</v>
      </c>
      <c r="Q419">
        <v>8.2881899999999995E-4</v>
      </c>
      <c r="R419">
        <v>9.1801600000000001E-4</v>
      </c>
      <c r="S419">
        <v>8.7263900000000003E-4</v>
      </c>
      <c r="T419">
        <v>5.2745400000000001E-4</v>
      </c>
    </row>
    <row r="420" spans="1:20" hidden="1" x14ac:dyDescent="0.25">
      <c r="A420" t="s">
        <v>438</v>
      </c>
      <c r="B420" s="1">
        <v>2.9600000000000001E-5</v>
      </c>
      <c r="C420" s="1">
        <v>3.3599999999999997E-5</v>
      </c>
      <c r="D420" s="1">
        <v>4.5000000000000003E-5</v>
      </c>
      <c r="E420" s="1">
        <v>3.7100000000000001E-5</v>
      </c>
      <c r="F420" s="1">
        <v>1.6900000000000001E-5</v>
      </c>
      <c r="G420" s="1">
        <v>1.34E-5</v>
      </c>
      <c r="H420" s="1">
        <v>2.4000000000000001E-5</v>
      </c>
      <c r="I420" s="1">
        <v>2.1399999999999998E-5</v>
      </c>
      <c r="J420" s="1">
        <v>1.8300000000000001E-5</v>
      </c>
      <c r="K420" s="1">
        <v>2.3300000000000001E-5</v>
      </c>
      <c r="L420" s="1">
        <v>2.5999999999999998E-5</v>
      </c>
      <c r="M420" s="1">
        <v>2.02E-5</v>
      </c>
      <c r="N420" s="1">
        <v>1.5800000000000001E-5</v>
      </c>
      <c r="O420" s="1">
        <v>1.01E-5</v>
      </c>
      <c r="P420" s="1">
        <v>2.26E-5</v>
      </c>
      <c r="Q420" s="1">
        <v>3.7299999999999999E-5</v>
      </c>
      <c r="R420" s="1">
        <v>4.2500000000000003E-5</v>
      </c>
      <c r="S420" s="1">
        <v>2.0299999999999999E-5</v>
      </c>
      <c r="T420" s="1">
        <v>3.01E-5</v>
      </c>
    </row>
    <row r="421" spans="1:20" hidden="1" x14ac:dyDescent="0.25">
      <c r="A421" t="s">
        <v>439</v>
      </c>
      <c r="B421" s="1">
        <v>6.6299999999999999E-5</v>
      </c>
      <c r="C421" s="1">
        <v>9.0199999999999997E-5</v>
      </c>
      <c r="D421" s="1">
        <v>7.2100000000000004E-5</v>
      </c>
      <c r="E421" s="1">
        <v>6.5500000000000006E-5</v>
      </c>
      <c r="F421" s="1">
        <v>4.1600000000000002E-5</v>
      </c>
      <c r="G421" s="1">
        <v>3.8399999999999998E-5</v>
      </c>
      <c r="H421" s="1">
        <v>7.4200000000000001E-5</v>
      </c>
      <c r="I421" s="1">
        <v>8.2799999999999993E-5</v>
      </c>
      <c r="J421" s="1">
        <v>7.5900000000000002E-5</v>
      </c>
      <c r="K421" s="1">
        <v>5.4200000000000003E-5</v>
      </c>
      <c r="L421" s="1">
        <v>7.3300000000000006E-5</v>
      </c>
      <c r="M421" s="1">
        <v>4.6999999999999997E-5</v>
      </c>
      <c r="N421" s="1">
        <v>5.5399999999999998E-5</v>
      </c>
      <c r="O421" s="1">
        <v>4.8099999999999997E-5</v>
      </c>
      <c r="P421" s="1">
        <v>6.3299999999999994E-5</v>
      </c>
      <c r="Q421">
        <v>1.01313E-4</v>
      </c>
      <c r="R421">
        <v>1.4886899999999999E-4</v>
      </c>
      <c r="S421" s="1">
        <v>4.1900000000000002E-5</v>
      </c>
      <c r="T421" s="1">
        <v>9.8400000000000007E-5</v>
      </c>
    </row>
    <row r="422" spans="1:20" hidden="1" x14ac:dyDescent="0.25">
      <c r="A422" t="s">
        <v>440</v>
      </c>
      <c r="B422">
        <v>1.42263E-4</v>
      </c>
      <c r="C422">
        <v>1.1328300000000001E-4</v>
      </c>
      <c r="D422">
        <v>1.03009E-4</v>
      </c>
      <c r="E422" s="1">
        <v>9.2E-5</v>
      </c>
      <c r="F422">
        <v>1.5288000000000001E-4</v>
      </c>
      <c r="G422">
        <v>2.5428099999999997E-4</v>
      </c>
      <c r="H422">
        <v>1.3004299999999999E-4</v>
      </c>
      <c r="I422">
        <v>1.7051999999999999E-4</v>
      </c>
      <c r="J422">
        <v>1.6742999999999999E-4</v>
      </c>
      <c r="K422">
        <v>1.4006399999999999E-4</v>
      </c>
      <c r="L422">
        <v>1.5605E-4</v>
      </c>
      <c r="M422">
        <v>2.08867E-4</v>
      </c>
      <c r="N422">
        <v>3.4197399999999999E-4</v>
      </c>
      <c r="O422">
        <v>1.3161299999999999E-4</v>
      </c>
      <c r="P422">
        <v>2.6909200000000002E-4</v>
      </c>
      <c r="Q422">
        <v>2.8254499999999999E-4</v>
      </c>
      <c r="R422">
        <v>2.4418399999999999E-4</v>
      </c>
      <c r="S422">
        <v>3.0973799999999999E-4</v>
      </c>
      <c r="T422">
        <v>3.8208399999999998E-4</v>
      </c>
    </row>
    <row r="423" spans="1:20" hidden="1" x14ac:dyDescent="0.25">
      <c r="A423" t="s">
        <v>441</v>
      </c>
      <c r="B423">
        <v>5.8963400000000001E-4</v>
      </c>
      <c r="C423">
        <v>4.1109000000000002E-4</v>
      </c>
      <c r="D423">
        <v>7.6623399999999997E-4</v>
      </c>
      <c r="E423">
        <v>5.43663E-4</v>
      </c>
      <c r="F423">
        <v>6.3754100000000004E-4</v>
      </c>
      <c r="G423">
        <v>8.4873999999999995E-4</v>
      </c>
      <c r="H423">
        <v>6.2839999999999999E-4</v>
      </c>
      <c r="I423">
        <v>7.1939400000000004E-4</v>
      </c>
      <c r="J423">
        <v>5.9337400000000003E-4</v>
      </c>
      <c r="K423">
        <v>6.3827899999999995E-4</v>
      </c>
      <c r="L423">
        <v>5.2817599999999999E-4</v>
      </c>
      <c r="M423">
        <v>1.0898850000000001E-3</v>
      </c>
      <c r="N423">
        <v>1.38024E-3</v>
      </c>
      <c r="O423">
        <v>8.9901399999999995E-4</v>
      </c>
      <c r="P423">
        <v>1.448518E-3</v>
      </c>
      <c r="Q423">
        <v>1.9405189999999999E-3</v>
      </c>
      <c r="R423">
        <v>1.5932260000000001E-3</v>
      </c>
      <c r="S423">
        <v>1.5688849999999999E-3</v>
      </c>
      <c r="T423">
        <v>2.5231429999999998E-3</v>
      </c>
    </row>
    <row r="424" spans="1:20" hidden="1" x14ac:dyDescent="0.25">
      <c r="A424" t="s">
        <v>442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s="1">
        <v>2.58E-5</v>
      </c>
      <c r="J424" s="1">
        <v>2.8900000000000001E-5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1.76167E-4</v>
      </c>
      <c r="R424">
        <v>1.02116E-4</v>
      </c>
      <c r="S424">
        <v>1.1754799999999999E-4</v>
      </c>
      <c r="T424">
        <v>1.41951E-4</v>
      </c>
    </row>
    <row r="425" spans="1:20" hidden="1" x14ac:dyDescent="0.25">
      <c r="A425" t="s">
        <v>443</v>
      </c>
      <c r="B425" s="1">
        <v>1.7200000000000001E-5</v>
      </c>
      <c r="C425" s="1">
        <v>2.0699999999999998E-5</v>
      </c>
      <c r="D425" s="1">
        <v>2.1500000000000001E-5</v>
      </c>
      <c r="E425" s="1">
        <v>3.4600000000000001E-5</v>
      </c>
      <c r="F425">
        <v>0</v>
      </c>
      <c r="G425" s="1">
        <v>2.34E-5</v>
      </c>
      <c r="H425" s="1">
        <v>1.8600000000000001E-5</v>
      </c>
      <c r="I425" s="1">
        <v>1.3699999999999999E-5</v>
      </c>
      <c r="J425" s="1">
        <v>2.5000000000000001E-5</v>
      </c>
      <c r="K425" s="1">
        <v>3.29E-5</v>
      </c>
      <c r="L425" s="1">
        <v>2.0100000000000001E-5</v>
      </c>
      <c r="M425" s="1">
        <v>2.58E-5</v>
      </c>
      <c r="N425" s="1">
        <v>2.2900000000000001E-5</v>
      </c>
      <c r="O425" s="1">
        <v>2.3799999999999999E-5</v>
      </c>
      <c r="P425">
        <v>0</v>
      </c>
      <c r="Q425">
        <v>0</v>
      </c>
      <c r="R425" s="1">
        <v>1.5699999999999999E-5</v>
      </c>
      <c r="S425">
        <v>0</v>
      </c>
      <c r="T425">
        <v>0</v>
      </c>
    </row>
    <row r="426" spans="1:20" hidden="1" x14ac:dyDescent="0.25">
      <c r="A426" t="s">
        <v>444</v>
      </c>
      <c r="B426" s="1">
        <v>1.7600000000000001E-5</v>
      </c>
      <c r="C426" s="1">
        <v>2.5299999999999998E-5</v>
      </c>
      <c r="D426" s="1">
        <v>3.1699999999999998E-5</v>
      </c>
      <c r="E426" s="1">
        <v>3.1600000000000002E-5</v>
      </c>
      <c r="F426" s="1">
        <v>2.16E-5</v>
      </c>
      <c r="G426" s="1">
        <v>1.91E-5</v>
      </c>
      <c r="H426" s="1">
        <v>2.0999999999999999E-5</v>
      </c>
      <c r="I426" s="1">
        <v>2.5899999999999999E-5</v>
      </c>
      <c r="J426" s="1">
        <v>1.7799999999999999E-5</v>
      </c>
      <c r="K426" s="1">
        <v>2.7399999999999999E-5</v>
      </c>
      <c r="L426" s="1">
        <v>2.5599999999999999E-5</v>
      </c>
      <c r="M426" s="1">
        <v>1.7600000000000001E-5</v>
      </c>
      <c r="N426" s="1">
        <v>1.49E-5</v>
      </c>
      <c r="O426" s="1">
        <v>2.7900000000000001E-5</v>
      </c>
      <c r="P426" s="1">
        <v>9.8800000000000003E-6</v>
      </c>
      <c r="Q426" s="1">
        <v>1.1E-5</v>
      </c>
      <c r="R426">
        <v>0</v>
      </c>
      <c r="S426" s="1">
        <v>7.8099999999999998E-6</v>
      </c>
      <c r="T426" s="1">
        <v>7.3000000000000004E-6</v>
      </c>
    </row>
    <row r="427" spans="1:20" hidden="1" x14ac:dyDescent="0.25">
      <c r="A427" t="s">
        <v>445</v>
      </c>
      <c r="B427" s="1">
        <v>1.1800000000000001E-5</v>
      </c>
      <c r="C427" s="1">
        <v>2.48E-5</v>
      </c>
      <c r="D427" s="1">
        <v>3.4999999999999997E-5</v>
      </c>
      <c r="E427" s="1">
        <v>4.4299999999999999E-5</v>
      </c>
      <c r="F427" s="1">
        <v>2.19E-5</v>
      </c>
      <c r="G427" s="1">
        <v>2.1699999999999999E-5</v>
      </c>
      <c r="H427" s="1">
        <v>2.8600000000000001E-5</v>
      </c>
      <c r="I427" s="1">
        <v>3.8699999999999999E-5</v>
      </c>
      <c r="J427" s="1">
        <v>2.4199999999999999E-5</v>
      </c>
      <c r="K427" s="1">
        <v>4.5000000000000003E-5</v>
      </c>
      <c r="L427" s="1">
        <v>3.5200000000000002E-5</v>
      </c>
      <c r="M427" s="1">
        <v>1.17E-5</v>
      </c>
      <c r="N427">
        <v>0</v>
      </c>
      <c r="O427" s="1">
        <v>3.3800000000000002E-5</v>
      </c>
      <c r="P427" s="1">
        <v>1.1E-5</v>
      </c>
      <c r="Q427">
        <v>0</v>
      </c>
      <c r="R427" s="1">
        <v>1.2300000000000001E-5</v>
      </c>
      <c r="S427" s="1">
        <v>8.8400000000000001E-6</v>
      </c>
      <c r="T427">
        <v>0</v>
      </c>
    </row>
    <row r="428" spans="1:20" hidden="1" x14ac:dyDescent="0.25">
      <c r="A428" t="s">
        <v>446</v>
      </c>
      <c r="B428" s="1">
        <v>5.9200000000000002E-5</v>
      </c>
      <c r="C428" s="1">
        <v>5.8900000000000002E-5</v>
      </c>
      <c r="D428" s="1">
        <v>7.7399999999999998E-5</v>
      </c>
      <c r="E428" s="1">
        <v>7.1099999999999994E-5</v>
      </c>
      <c r="F428" s="1">
        <v>7.1099999999999994E-5</v>
      </c>
      <c r="G428" s="1">
        <v>5.8699999999999997E-5</v>
      </c>
      <c r="H428" s="1">
        <v>7.0699999999999997E-5</v>
      </c>
      <c r="I428" s="1">
        <v>6.8499999999999998E-5</v>
      </c>
      <c r="J428" s="1">
        <v>5.9500000000000003E-5</v>
      </c>
      <c r="K428" s="1">
        <v>6.9099999999999999E-5</v>
      </c>
      <c r="L428" s="1">
        <v>6.4399999999999993E-5</v>
      </c>
      <c r="M428" s="1">
        <v>5.6799999999999998E-5</v>
      </c>
      <c r="N428" s="1">
        <v>3.4199999999999998E-5</v>
      </c>
      <c r="O428" s="1">
        <v>6.2899999999999997E-5</v>
      </c>
      <c r="P428" s="1">
        <v>3.9400000000000002E-5</v>
      </c>
      <c r="Q428" s="1">
        <v>2.8500000000000002E-5</v>
      </c>
      <c r="R428" s="1">
        <v>4.3800000000000001E-5</v>
      </c>
      <c r="S428" s="1">
        <v>3.7599999999999999E-5</v>
      </c>
      <c r="T428" s="1">
        <v>2.7800000000000001E-5</v>
      </c>
    </row>
    <row r="429" spans="1:20" hidden="1" x14ac:dyDescent="0.25">
      <c r="A429" t="s">
        <v>447</v>
      </c>
      <c r="B429" s="1">
        <v>1.5500000000000001E-5</v>
      </c>
      <c r="C429" s="1">
        <v>1.6099999999999998E-5</v>
      </c>
      <c r="D429" s="1">
        <v>1.4800000000000001E-5</v>
      </c>
      <c r="E429" s="1">
        <v>1.0900000000000001E-5</v>
      </c>
      <c r="F429" s="1">
        <v>2.0599999999999999E-5</v>
      </c>
      <c r="G429" s="1">
        <v>1.5299999999999999E-5</v>
      </c>
      <c r="H429" s="1">
        <v>2.0599999999999999E-5</v>
      </c>
      <c r="I429" s="1">
        <v>2.41E-5</v>
      </c>
      <c r="J429" s="1">
        <v>2.6100000000000001E-5</v>
      </c>
      <c r="K429" s="1">
        <v>1.6900000000000001E-5</v>
      </c>
      <c r="L429" s="1">
        <v>1.5400000000000002E-5</v>
      </c>
      <c r="M429" s="1">
        <v>1.2300000000000001E-5</v>
      </c>
      <c r="N429" s="1">
        <v>6.8700000000000003E-6</v>
      </c>
      <c r="O429" s="1">
        <v>1.9599999999999999E-5</v>
      </c>
      <c r="P429" s="1">
        <v>1.0000000000000001E-5</v>
      </c>
      <c r="Q429" s="1">
        <v>7.1099999999999997E-6</v>
      </c>
      <c r="R429" s="1">
        <v>7.9200000000000004E-6</v>
      </c>
      <c r="S429">
        <v>0</v>
      </c>
      <c r="T429" s="1">
        <v>1.0499999999999999E-5</v>
      </c>
    </row>
    <row r="430" spans="1:20" hidden="1" x14ac:dyDescent="0.25">
      <c r="A430" t="s">
        <v>448</v>
      </c>
      <c r="B430" s="1">
        <v>2.0999999999999999E-5</v>
      </c>
      <c r="C430" s="1">
        <v>3.29E-5</v>
      </c>
      <c r="D430" s="1">
        <v>3.6399999999999997E-5</v>
      </c>
      <c r="E430" s="1">
        <v>4.2799999999999997E-5</v>
      </c>
      <c r="F430" s="1">
        <v>3.7799999999999997E-5</v>
      </c>
      <c r="G430" s="1">
        <v>3.29E-5</v>
      </c>
      <c r="H430" s="1">
        <v>3.1600000000000002E-5</v>
      </c>
      <c r="I430" s="1">
        <v>4.0299999999999997E-5</v>
      </c>
      <c r="J430" s="1">
        <v>3.4900000000000001E-5</v>
      </c>
      <c r="K430" s="1">
        <v>4.4199999999999997E-5</v>
      </c>
      <c r="L430" s="1">
        <v>4.0500000000000002E-5</v>
      </c>
      <c r="M430" s="1">
        <v>2.0100000000000001E-5</v>
      </c>
      <c r="N430" s="1">
        <v>2.0599999999999999E-5</v>
      </c>
      <c r="O430" s="1">
        <v>3.1600000000000002E-5</v>
      </c>
      <c r="P430" s="1">
        <v>1.7600000000000001E-5</v>
      </c>
      <c r="Q430" s="1">
        <v>2.1299999999999999E-5</v>
      </c>
      <c r="R430" s="1">
        <v>2.0100000000000001E-5</v>
      </c>
      <c r="S430" s="1">
        <v>1.2500000000000001E-5</v>
      </c>
      <c r="T430" s="1">
        <v>1.5299999999999999E-5</v>
      </c>
    </row>
    <row r="431" spans="1:20" hidden="1" x14ac:dyDescent="0.25">
      <c r="A431" t="s">
        <v>449</v>
      </c>
      <c r="B431" s="1">
        <v>6.8899999999999994E-5</v>
      </c>
      <c r="C431" s="1">
        <v>9.6399999999999999E-5</v>
      </c>
      <c r="D431">
        <v>1.96827E-4</v>
      </c>
      <c r="E431">
        <v>2.1818599999999999E-4</v>
      </c>
      <c r="F431">
        <v>1.2174E-4</v>
      </c>
      <c r="G431" s="1">
        <v>4.7200000000000002E-5</v>
      </c>
      <c r="H431" s="1">
        <v>5.6199999999999997E-5</v>
      </c>
      <c r="I431" s="1">
        <v>6.3E-5</v>
      </c>
      <c r="J431" s="1">
        <v>5.6799999999999998E-5</v>
      </c>
      <c r="K431" s="1">
        <v>7.5900000000000002E-5</v>
      </c>
      <c r="L431" s="1">
        <v>6.3999999999999997E-5</v>
      </c>
      <c r="M431" s="1">
        <v>5.4599999999999999E-5</v>
      </c>
      <c r="N431" s="1">
        <v>4.7599999999999998E-5</v>
      </c>
      <c r="O431">
        <v>1.1396900000000001E-4</v>
      </c>
      <c r="P431" s="1">
        <v>3.9799999999999998E-5</v>
      </c>
      <c r="Q431" s="1">
        <v>4.49E-5</v>
      </c>
      <c r="R431" s="1">
        <v>2.76E-5</v>
      </c>
      <c r="S431" s="1">
        <v>3.5899999999999998E-5</v>
      </c>
      <c r="T431" s="1">
        <v>2.4300000000000001E-5</v>
      </c>
    </row>
    <row r="432" spans="1:20" hidden="1" x14ac:dyDescent="0.25">
      <c r="A432" t="s">
        <v>450</v>
      </c>
      <c r="B432">
        <v>0</v>
      </c>
      <c r="C432">
        <v>0</v>
      </c>
      <c r="D432">
        <v>0</v>
      </c>
      <c r="E432">
        <v>0</v>
      </c>
      <c r="F432">
        <v>1.7903600000000001E-4</v>
      </c>
      <c r="G432" s="1">
        <v>4.8699999999999998E-5</v>
      </c>
      <c r="H432" s="1">
        <v>4.5099999999999998E-5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s="1">
        <v>2.1699999999999999E-5</v>
      </c>
      <c r="P432">
        <v>1.3035400000000001E-4</v>
      </c>
      <c r="Q432" s="1">
        <v>9.6399999999999999E-5</v>
      </c>
      <c r="R432" s="1">
        <v>6.1699999999999995E-5</v>
      </c>
      <c r="S432">
        <v>1.7179000000000001E-4</v>
      </c>
      <c r="T432">
        <v>2.6649399999999999E-4</v>
      </c>
    </row>
    <row r="433" spans="1:20" hidden="1" x14ac:dyDescent="0.25">
      <c r="A433" t="s">
        <v>451</v>
      </c>
      <c r="B433">
        <v>0</v>
      </c>
      <c r="C433">
        <v>0</v>
      </c>
      <c r="D433">
        <v>0</v>
      </c>
      <c r="E433">
        <v>0</v>
      </c>
      <c r="F433" s="1">
        <v>2.55E-5</v>
      </c>
      <c r="G433" s="1">
        <v>4.4499999999999997E-5</v>
      </c>
      <c r="H433" s="1">
        <v>8.1299999999999997E-5</v>
      </c>
      <c r="I433" s="1">
        <v>4.8699999999999998E-5</v>
      </c>
      <c r="J433" s="1">
        <v>4.6600000000000001E-5</v>
      </c>
      <c r="K433">
        <v>0</v>
      </c>
      <c r="L433" s="1">
        <v>3.3599999999999997E-5</v>
      </c>
      <c r="M433" s="1">
        <v>2.9099999999999999E-5</v>
      </c>
      <c r="N433" s="1">
        <v>5.7000000000000003E-5</v>
      </c>
      <c r="O433" s="1">
        <v>5.0800000000000002E-5</v>
      </c>
      <c r="P433" s="1">
        <v>4.3000000000000002E-5</v>
      </c>
      <c r="Q433">
        <v>0</v>
      </c>
      <c r="R433">
        <v>0</v>
      </c>
      <c r="S433">
        <v>0</v>
      </c>
      <c r="T433" s="1">
        <v>2.0999999999999999E-5</v>
      </c>
    </row>
    <row r="434" spans="1:20" hidden="1" x14ac:dyDescent="0.25">
      <c r="A434" t="s">
        <v>452</v>
      </c>
      <c r="B434">
        <v>3.4842100000000002E-4</v>
      </c>
      <c r="C434">
        <v>3.0806200000000001E-4</v>
      </c>
      <c r="D434">
        <v>2.0918299999999999E-4</v>
      </c>
      <c r="E434">
        <v>2.4895100000000002E-4</v>
      </c>
      <c r="F434">
        <v>6.6378400000000005E-4</v>
      </c>
      <c r="G434">
        <v>1.002041E-3</v>
      </c>
      <c r="H434">
        <v>7.0378599999999997E-4</v>
      </c>
      <c r="I434">
        <v>4.6171800000000001E-4</v>
      </c>
      <c r="J434">
        <v>3.4377700000000003E-4</v>
      </c>
      <c r="K434">
        <v>6.3009299999999997E-4</v>
      </c>
      <c r="L434">
        <v>4.7737099999999998E-4</v>
      </c>
      <c r="M434">
        <v>3.8644699999999999E-4</v>
      </c>
      <c r="N434">
        <v>3.9513599999999998E-4</v>
      </c>
      <c r="O434">
        <v>2.9872399999999999E-4</v>
      </c>
      <c r="P434">
        <v>9.0695499999999998E-4</v>
      </c>
      <c r="Q434">
        <v>1.0310040000000001E-3</v>
      </c>
      <c r="R434">
        <v>1.1521039999999999E-3</v>
      </c>
      <c r="S434">
        <v>1.453158E-3</v>
      </c>
      <c r="T434">
        <v>1.123771E-3</v>
      </c>
    </row>
    <row r="435" spans="1:20" hidden="1" x14ac:dyDescent="0.25">
      <c r="A435" t="s">
        <v>453</v>
      </c>
      <c r="B435" s="1">
        <v>3.4100000000000002E-5</v>
      </c>
      <c r="C435" s="1">
        <v>2.5400000000000001E-5</v>
      </c>
      <c r="D435" s="1">
        <v>2.16E-5</v>
      </c>
      <c r="E435" s="1">
        <v>2.0999999999999999E-5</v>
      </c>
      <c r="F435" s="1">
        <v>3.2299999999999999E-5</v>
      </c>
      <c r="G435" s="1">
        <v>6.8499999999999998E-5</v>
      </c>
      <c r="H435" s="1">
        <v>5.6100000000000002E-5</v>
      </c>
      <c r="I435" s="1">
        <v>8.7100000000000003E-5</v>
      </c>
      <c r="J435" s="1">
        <v>4.6900000000000002E-5</v>
      </c>
      <c r="K435" s="1">
        <v>4.5500000000000001E-5</v>
      </c>
      <c r="L435" s="1">
        <v>3.2799999999999998E-5</v>
      </c>
      <c r="M435" s="1">
        <v>3.4700000000000003E-5</v>
      </c>
      <c r="N435" s="1">
        <v>1.8199999999999999E-5</v>
      </c>
      <c r="O435" s="1">
        <v>2.7800000000000001E-5</v>
      </c>
      <c r="P435">
        <v>1.05052E-4</v>
      </c>
      <c r="Q435">
        <v>1.17123E-4</v>
      </c>
      <c r="R435" s="1">
        <v>8.7999999999999998E-5</v>
      </c>
      <c r="S435" s="1">
        <v>9.7899999999999994E-5</v>
      </c>
      <c r="T435" s="1">
        <v>8.1799999999999996E-5</v>
      </c>
    </row>
    <row r="436" spans="1:20" hidden="1" x14ac:dyDescent="0.25">
      <c r="A436" t="s">
        <v>454</v>
      </c>
      <c r="B436" s="1">
        <v>5.41E-5</v>
      </c>
      <c r="C436">
        <v>0</v>
      </c>
      <c r="D436">
        <v>0</v>
      </c>
      <c r="E436">
        <v>0</v>
      </c>
      <c r="F436">
        <v>1.5195200000000001E-4</v>
      </c>
      <c r="G436">
        <v>1.6148900000000001E-4</v>
      </c>
      <c r="H436" s="1">
        <v>7.8800000000000004E-5</v>
      </c>
      <c r="I436" s="1">
        <v>8.8499999999999996E-5</v>
      </c>
      <c r="J436">
        <v>0</v>
      </c>
      <c r="K436" s="1">
        <v>9.4900000000000003E-5</v>
      </c>
      <c r="L436" s="1">
        <v>3.6999999999999998E-5</v>
      </c>
      <c r="M436" s="1">
        <v>5.0699999999999999E-5</v>
      </c>
      <c r="N436" s="1">
        <v>4.6600000000000001E-5</v>
      </c>
      <c r="O436">
        <v>0</v>
      </c>
      <c r="P436">
        <v>2.51418E-4</v>
      </c>
      <c r="Q436">
        <v>6.7690899999999995E-4</v>
      </c>
      <c r="R436">
        <v>3.2237999999999999E-4</v>
      </c>
      <c r="S436">
        <v>2.0899699999999999E-4</v>
      </c>
      <c r="T436">
        <v>1.00282E-3</v>
      </c>
    </row>
    <row r="437" spans="1:20" hidden="1" x14ac:dyDescent="0.25">
      <c r="A437" t="s">
        <v>455</v>
      </c>
      <c r="B437">
        <v>2.5577099999999999E-3</v>
      </c>
      <c r="C437">
        <v>2.31789E-3</v>
      </c>
      <c r="D437">
        <v>2.1555329999999998E-3</v>
      </c>
      <c r="E437">
        <v>1.597998E-3</v>
      </c>
      <c r="F437">
        <v>1.229529E-3</v>
      </c>
      <c r="G437">
        <v>2.226956E-3</v>
      </c>
      <c r="H437">
        <v>2.2012889999999999E-3</v>
      </c>
      <c r="I437">
        <v>2.9863749999999999E-3</v>
      </c>
      <c r="J437">
        <v>2.4816479999999999E-3</v>
      </c>
      <c r="K437">
        <v>1.2914459999999999E-3</v>
      </c>
      <c r="L437">
        <v>1.87828E-3</v>
      </c>
      <c r="M437">
        <v>2.2568979999999998E-3</v>
      </c>
      <c r="N437">
        <v>3.894107E-3</v>
      </c>
      <c r="O437">
        <v>1.9393889999999999E-3</v>
      </c>
      <c r="P437">
        <v>1.448518E-3</v>
      </c>
      <c r="Q437">
        <v>1.150611E-3</v>
      </c>
      <c r="R437">
        <v>9.9943899999999997E-4</v>
      </c>
      <c r="S437">
        <v>1.0707690000000001E-3</v>
      </c>
      <c r="T437">
        <v>9.6264500000000004E-4</v>
      </c>
    </row>
    <row r="438" spans="1:20" hidden="1" x14ac:dyDescent="0.25">
      <c r="A438" t="s">
        <v>456</v>
      </c>
      <c r="B438" s="1">
        <v>8.4600000000000003E-6</v>
      </c>
      <c r="C438" s="1">
        <v>7.4399999999999999E-6</v>
      </c>
      <c r="D438" s="1">
        <v>7.0700000000000001E-6</v>
      </c>
      <c r="E438" s="1">
        <v>7.1199999999999996E-6</v>
      </c>
      <c r="F438" s="1">
        <v>9.0999999999999993E-6</v>
      </c>
      <c r="G438" s="1">
        <v>9.2599999999999994E-6</v>
      </c>
      <c r="H438" s="1">
        <v>1.52E-5</v>
      </c>
      <c r="I438" s="1">
        <v>1.1600000000000001E-5</v>
      </c>
      <c r="J438" s="1">
        <v>9.5300000000000002E-6</v>
      </c>
      <c r="K438" s="1">
        <v>8.1200000000000002E-6</v>
      </c>
      <c r="L438" s="1">
        <v>8.8699999999999998E-6</v>
      </c>
      <c r="M438" s="1">
        <v>8.7199999999999995E-6</v>
      </c>
      <c r="N438" s="1">
        <v>5.49E-6</v>
      </c>
      <c r="O438" s="1">
        <v>6.2700000000000001E-6</v>
      </c>
      <c r="P438" s="1">
        <v>7.3000000000000004E-6</v>
      </c>
      <c r="Q438" s="1">
        <v>1.7499999999999998E-5</v>
      </c>
      <c r="R438" s="1">
        <v>1.38E-5</v>
      </c>
      <c r="S438" s="1">
        <v>2.1399999999999998E-5</v>
      </c>
      <c r="T438" s="1">
        <v>1.6099999999999998E-5</v>
      </c>
    </row>
    <row r="439" spans="1:20" hidden="1" x14ac:dyDescent="0.25">
      <c r="A439" t="s">
        <v>457</v>
      </c>
      <c r="B439">
        <v>1.9107299999999999E-4</v>
      </c>
      <c r="C439">
        <v>1.9757299999999999E-4</v>
      </c>
      <c r="D439">
        <v>2.1245500000000001E-4</v>
      </c>
      <c r="E439">
        <v>1.9612199999999999E-4</v>
      </c>
      <c r="F439">
        <v>2.6858300000000003E-4</v>
      </c>
      <c r="G439">
        <v>1.2594200000000001E-4</v>
      </c>
      <c r="H439">
        <v>1.7925699999999999E-4</v>
      </c>
      <c r="I439">
        <v>1.8358799999999999E-4</v>
      </c>
      <c r="J439">
        <v>1.57971E-4</v>
      </c>
      <c r="K439">
        <v>1.46577E-4</v>
      </c>
      <c r="L439">
        <v>1.25127E-4</v>
      </c>
      <c r="M439">
        <v>1.03476E-4</v>
      </c>
      <c r="N439" s="1">
        <v>7.4900000000000005E-5</v>
      </c>
      <c r="O439">
        <v>1.2519500000000001E-4</v>
      </c>
      <c r="P439" s="1">
        <v>8.03E-5</v>
      </c>
      <c r="Q439" s="1">
        <v>6.02E-5</v>
      </c>
      <c r="R439" s="1">
        <v>5.3600000000000002E-5</v>
      </c>
      <c r="S439" s="1">
        <v>5.3100000000000003E-5</v>
      </c>
      <c r="T439" s="1">
        <v>6.8899999999999994E-5</v>
      </c>
    </row>
    <row r="440" spans="1:20" hidden="1" x14ac:dyDescent="0.25">
      <c r="A440" t="s">
        <v>458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s="1">
        <v>9.6800000000000005E-6</v>
      </c>
      <c r="R440" s="1">
        <v>1.9700000000000001E-5</v>
      </c>
      <c r="S440" s="1">
        <v>2.3200000000000001E-5</v>
      </c>
      <c r="T440" s="1">
        <v>1.47E-5</v>
      </c>
    </row>
    <row r="441" spans="1:20" hidden="1" x14ac:dyDescent="0.25">
      <c r="A441" t="s">
        <v>459</v>
      </c>
      <c r="B441" s="1">
        <v>8.4400000000000005E-6</v>
      </c>
      <c r="C441" s="1">
        <v>1.4100000000000001E-5</v>
      </c>
      <c r="D441" s="1">
        <v>1.31E-5</v>
      </c>
      <c r="E441" s="1">
        <v>1.5999999999999999E-5</v>
      </c>
      <c r="F441" s="1">
        <v>2.05E-5</v>
      </c>
      <c r="G441" s="1">
        <v>1.2099999999999999E-5</v>
      </c>
      <c r="H441" s="1">
        <v>6.5300000000000002E-6</v>
      </c>
      <c r="I441" s="1">
        <v>1.27E-5</v>
      </c>
      <c r="J441" s="1">
        <v>8.2800000000000003E-6</v>
      </c>
      <c r="K441" s="1">
        <v>1.38E-5</v>
      </c>
      <c r="L441" s="1">
        <v>1.2099999999999999E-5</v>
      </c>
      <c r="M441" s="1">
        <v>1.1800000000000001E-5</v>
      </c>
      <c r="N441" s="1">
        <v>6.4899999999999997E-6</v>
      </c>
      <c r="O441" s="1">
        <v>1.29E-5</v>
      </c>
      <c r="P441" s="1">
        <v>7.1600000000000001E-6</v>
      </c>
      <c r="Q441" s="1">
        <v>1.42E-5</v>
      </c>
      <c r="R441" s="1">
        <v>1.7499999999999998E-5</v>
      </c>
      <c r="S441" s="1">
        <v>2.02E-5</v>
      </c>
      <c r="T441" s="1">
        <v>1.29E-5</v>
      </c>
    </row>
    <row r="442" spans="1:20" hidden="1" x14ac:dyDescent="0.25">
      <c r="A442" t="s">
        <v>460</v>
      </c>
      <c r="B442" s="1">
        <v>1.5699999999999999E-5</v>
      </c>
      <c r="C442">
        <v>0</v>
      </c>
      <c r="D442" s="1">
        <v>1.47E-5</v>
      </c>
      <c r="E442" s="1">
        <v>1.2099999999999999E-5</v>
      </c>
      <c r="F442" s="1">
        <v>9.5899999999999997E-6</v>
      </c>
      <c r="G442" s="1">
        <v>1.24E-5</v>
      </c>
      <c r="H442" s="1">
        <v>9.8700000000000004E-6</v>
      </c>
      <c r="I442" s="1">
        <v>1.95E-5</v>
      </c>
      <c r="J442" s="1">
        <v>7.4200000000000001E-6</v>
      </c>
      <c r="K442" s="1">
        <v>1.17E-5</v>
      </c>
      <c r="L442" s="1">
        <v>1.7499999999999998E-5</v>
      </c>
      <c r="M442" s="1">
        <v>1.0000000000000001E-5</v>
      </c>
      <c r="N442" s="1">
        <v>8.8599999999999999E-6</v>
      </c>
      <c r="O442" s="1">
        <v>6.4400000000000002E-6</v>
      </c>
      <c r="P442" s="1">
        <v>1.8E-5</v>
      </c>
      <c r="Q442" s="1">
        <v>4.5399999999999999E-5</v>
      </c>
      <c r="R442" s="1">
        <v>3.1199999999999999E-5</v>
      </c>
      <c r="S442" s="1">
        <v>2.7500000000000001E-5</v>
      </c>
      <c r="T442" s="1">
        <v>4.2200000000000003E-5</v>
      </c>
    </row>
    <row r="443" spans="1:20" hidden="1" x14ac:dyDescent="0.25">
      <c r="A443" t="s">
        <v>461</v>
      </c>
      <c r="B443" s="1">
        <v>2.3499999999999999E-5</v>
      </c>
      <c r="C443" s="1">
        <v>8.8699999999999998E-6</v>
      </c>
      <c r="D443" s="1">
        <v>1.2E-5</v>
      </c>
      <c r="E443" s="1">
        <v>1.7600000000000001E-5</v>
      </c>
      <c r="F443" s="1">
        <v>1.7200000000000001E-5</v>
      </c>
      <c r="G443" s="1">
        <v>1.6399999999999999E-5</v>
      </c>
      <c r="H443" s="1">
        <v>3.5299999999999997E-5</v>
      </c>
      <c r="I443" s="1">
        <v>2.34E-5</v>
      </c>
      <c r="J443" s="1">
        <v>2.55E-5</v>
      </c>
      <c r="K443" s="1">
        <v>1.4600000000000001E-5</v>
      </c>
      <c r="L443" s="1">
        <v>2.1800000000000001E-5</v>
      </c>
      <c r="M443" s="1">
        <v>3.0800000000000003E-5</v>
      </c>
      <c r="N443" s="1">
        <v>3.6100000000000003E-5</v>
      </c>
      <c r="O443" s="1">
        <v>2.3099999999999999E-5</v>
      </c>
      <c r="P443" s="1">
        <v>4.2400000000000001E-5</v>
      </c>
      <c r="Q443" s="1">
        <v>5.38E-5</v>
      </c>
      <c r="R443" s="1">
        <v>5.2500000000000002E-5</v>
      </c>
      <c r="S443" s="1">
        <v>4.2899999999999999E-5</v>
      </c>
      <c r="T443" s="1">
        <v>6.6500000000000004E-5</v>
      </c>
    </row>
    <row r="444" spans="1:20" hidden="1" x14ac:dyDescent="0.25">
      <c r="A444" t="s">
        <v>462</v>
      </c>
      <c r="B444" s="1">
        <v>1.6699999999999999E-5</v>
      </c>
      <c r="C444">
        <v>0</v>
      </c>
      <c r="D444" s="1">
        <v>1.47E-5</v>
      </c>
      <c r="E444" s="1">
        <v>8.1100000000000003E-6</v>
      </c>
      <c r="F444" s="1">
        <v>1.95E-5</v>
      </c>
      <c r="G444" s="1">
        <v>1.8899999999999999E-5</v>
      </c>
      <c r="H444">
        <v>0</v>
      </c>
      <c r="I444" s="1">
        <v>2.09E-5</v>
      </c>
      <c r="J444" s="1">
        <v>1.5299999999999999E-5</v>
      </c>
      <c r="K444" s="1">
        <v>1.5E-5</v>
      </c>
      <c r="L444" s="1">
        <v>1.34E-5</v>
      </c>
      <c r="M444">
        <v>0</v>
      </c>
      <c r="N444" s="1">
        <v>1.17E-5</v>
      </c>
      <c r="O444" s="1">
        <v>2.16E-5</v>
      </c>
      <c r="P444" s="1">
        <v>2.0100000000000001E-5</v>
      </c>
      <c r="Q444">
        <v>0</v>
      </c>
      <c r="R444" s="1">
        <v>2.12E-5</v>
      </c>
      <c r="S444" s="1">
        <v>1.19E-5</v>
      </c>
      <c r="T444" s="1">
        <v>1.49E-5</v>
      </c>
    </row>
    <row r="445" spans="1:20" hidden="1" x14ac:dyDescent="0.25">
      <c r="A445" t="s">
        <v>463</v>
      </c>
      <c r="B445" s="1">
        <v>4.0599999999999998E-5</v>
      </c>
      <c r="C445" s="1">
        <v>4.8199999999999999E-5</v>
      </c>
      <c r="D445" s="1">
        <v>3.1000000000000001E-5</v>
      </c>
      <c r="E445" s="1">
        <v>4.3000000000000002E-5</v>
      </c>
      <c r="F445" s="1">
        <v>3.0499999999999999E-5</v>
      </c>
      <c r="G445" s="1">
        <v>5.7500000000000002E-5</v>
      </c>
      <c r="H445" s="1">
        <v>3.7799999999999997E-5</v>
      </c>
      <c r="I445" s="1">
        <v>5.5399999999999998E-5</v>
      </c>
      <c r="J445" s="1">
        <v>2.8799999999999999E-5</v>
      </c>
      <c r="K445" s="1">
        <v>4.0899999999999998E-5</v>
      </c>
      <c r="L445" s="1">
        <v>4.2299999999999998E-5</v>
      </c>
      <c r="M445" s="1">
        <v>4.5399999999999999E-5</v>
      </c>
      <c r="N445" s="1">
        <v>4.2700000000000001E-5</v>
      </c>
      <c r="O445" s="1">
        <v>3.7100000000000001E-5</v>
      </c>
      <c r="P445" s="1">
        <v>6.3899999999999995E-5</v>
      </c>
      <c r="Q445" s="1">
        <v>5.1700000000000003E-5</v>
      </c>
      <c r="R445" s="1">
        <v>5.5600000000000003E-5</v>
      </c>
      <c r="S445" s="1">
        <v>9.7200000000000004E-5</v>
      </c>
      <c r="T445" s="1">
        <v>4.8699999999999998E-5</v>
      </c>
    </row>
    <row r="446" spans="1:20" hidden="1" x14ac:dyDescent="0.25">
      <c r="A446" t="s">
        <v>464</v>
      </c>
      <c r="B446">
        <v>0</v>
      </c>
      <c r="C446">
        <v>0</v>
      </c>
      <c r="D446">
        <v>0</v>
      </c>
      <c r="E446">
        <v>0</v>
      </c>
      <c r="F446">
        <v>5.2353399999999998E-3</v>
      </c>
      <c r="G446">
        <v>0</v>
      </c>
      <c r="H446">
        <v>0</v>
      </c>
      <c r="I446">
        <v>6.96774E-3</v>
      </c>
      <c r="J446">
        <v>0</v>
      </c>
      <c r="K446">
        <v>0</v>
      </c>
      <c r="L446">
        <v>0</v>
      </c>
      <c r="M446">
        <v>4.2796600000000002E-3</v>
      </c>
      <c r="N446">
        <v>0</v>
      </c>
      <c r="O446">
        <v>6.296627E-3</v>
      </c>
      <c r="P446">
        <v>0</v>
      </c>
      <c r="Q446">
        <v>1.1096566E-2</v>
      </c>
      <c r="R446">
        <v>1.3228414000000001E-2</v>
      </c>
      <c r="S446">
        <v>1.1824339999999999E-2</v>
      </c>
      <c r="T446">
        <v>7.418216E-3</v>
      </c>
    </row>
    <row r="447" spans="1:20" hidden="1" x14ac:dyDescent="0.25">
      <c r="A447" t="s">
        <v>465</v>
      </c>
      <c r="B447" s="1">
        <v>4.1900000000000002E-5</v>
      </c>
      <c r="C447" s="1">
        <v>6.3700000000000003E-5</v>
      </c>
      <c r="D447" s="1">
        <v>6.2899999999999997E-5</v>
      </c>
      <c r="E447" s="1">
        <v>6.6199999999999996E-5</v>
      </c>
      <c r="F447" s="1">
        <v>3.8500000000000001E-5</v>
      </c>
      <c r="G447" s="1">
        <v>3.0899999999999999E-5</v>
      </c>
      <c r="H447" s="1">
        <v>2.3099999999999999E-5</v>
      </c>
      <c r="I447" s="1">
        <v>4.9200000000000003E-5</v>
      </c>
      <c r="J447" s="1">
        <v>4.2500000000000003E-5</v>
      </c>
      <c r="K447" s="1">
        <v>5.3300000000000001E-5</v>
      </c>
      <c r="L447" s="1">
        <v>5.3900000000000002E-5</v>
      </c>
      <c r="M447" s="1">
        <v>4.4299999999999999E-5</v>
      </c>
      <c r="N447" s="1">
        <v>4.0399999999999999E-5</v>
      </c>
      <c r="O447" s="1">
        <v>4.5099999999999998E-5</v>
      </c>
      <c r="P447" s="1">
        <v>2.73E-5</v>
      </c>
      <c r="Q447" s="1">
        <v>4.4700000000000002E-5</v>
      </c>
      <c r="R447" s="1">
        <v>3.7599999999999999E-5</v>
      </c>
      <c r="S447" s="1">
        <v>3.7200000000000003E-5</v>
      </c>
      <c r="T447" s="1">
        <v>4.3900000000000003E-5</v>
      </c>
    </row>
    <row r="448" spans="1:20" hidden="1" x14ac:dyDescent="0.25">
      <c r="A448" t="s">
        <v>466</v>
      </c>
      <c r="B448" s="1">
        <v>3.4E-5</v>
      </c>
      <c r="C448" s="1">
        <v>6.05E-5</v>
      </c>
      <c r="D448" s="1">
        <v>7.9499999999999994E-5</v>
      </c>
      <c r="E448" s="1">
        <v>8.1199999999999995E-5</v>
      </c>
      <c r="F448" s="1">
        <v>3.0700000000000001E-5</v>
      </c>
      <c r="G448" s="1">
        <v>4.2700000000000001E-5</v>
      </c>
      <c r="H448" s="1">
        <v>3.4400000000000003E-5</v>
      </c>
      <c r="I448" s="1">
        <v>3.1199999999999999E-5</v>
      </c>
      <c r="J448" s="1">
        <v>2.9300000000000001E-5</v>
      </c>
      <c r="K448" s="1">
        <v>5.7399999999999999E-5</v>
      </c>
      <c r="L448" s="1">
        <v>4.8300000000000002E-5</v>
      </c>
      <c r="M448" s="1">
        <v>3.6399999999999997E-5</v>
      </c>
      <c r="N448" s="1">
        <v>2.4700000000000001E-5</v>
      </c>
      <c r="O448" s="1">
        <v>4.3000000000000002E-5</v>
      </c>
      <c r="P448" s="1">
        <v>2.69E-5</v>
      </c>
      <c r="Q448" s="1">
        <v>3.5099999999999999E-5</v>
      </c>
      <c r="R448" s="1">
        <v>3.2799999999999998E-5</v>
      </c>
      <c r="S448" s="1">
        <v>4.9299999999999999E-5</v>
      </c>
      <c r="T448" s="1">
        <v>2.41E-5</v>
      </c>
    </row>
    <row r="449" spans="1:20" hidden="1" x14ac:dyDescent="0.25">
      <c r="A449" t="s">
        <v>467</v>
      </c>
      <c r="B449">
        <v>1.9299460000000001E-3</v>
      </c>
      <c r="C449">
        <v>6.0528100000000005E-4</v>
      </c>
      <c r="D449">
        <v>3.1607430000000001E-3</v>
      </c>
      <c r="E449">
        <v>2.3651570000000001E-3</v>
      </c>
      <c r="F449">
        <v>1.1819129999999999E-3</v>
      </c>
      <c r="G449">
        <v>1.7157629999999999E-3</v>
      </c>
      <c r="H449">
        <v>5.7303599999999997E-4</v>
      </c>
      <c r="I449">
        <v>4.8354399999999998E-4</v>
      </c>
      <c r="J449">
        <v>7.96878E-4</v>
      </c>
      <c r="K449">
        <v>1.0438069999999999E-3</v>
      </c>
      <c r="L449">
        <v>1.1808000000000001E-3</v>
      </c>
      <c r="M449">
        <v>7.2082810000000004E-3</v>
      </c>
      <c r="N449">
        <v>3.8662480000000001E-3</v>
      </c>
      <c r="O449">
        <v>3.116143E-3</v>
      </c>
      <c r="P449">
        <v>3.66647E-4</v>
      </c>
      <c r="Q449">
        <v>9.2818800000000004E-4</v>
      </c>
      <c r="R449">
        <v>5.2919700000000002E-4</v>
      </c>
      <c r="S449">
        <v>3.0069979999999999E-3</v>
      </c>
      <c r="T449">
        <v>2.0178219999999998E-3</v>
      </c>
    </row>
    <row r="450" spans="1:20" hidden="1" x14ac:dyDescent="0.25">
      <c r="A450" t="s">
        <v>468</v>
      </c>
      <c r="B450" s="1">
        <v>6.6699999999999995E-5</v>
      </c>
      <c r="C450">
        <v>1.9174700000000001E-4</v>
      </c>
      <c r="D450">
        <v>1.7145300000000001E-4</v>
      </c>
      <c r="E450">
        <v>1.47038E-4</v>
      </c>
      <c r="F450" s="1">
        <v>8.5400000000000002E-5</v>
      </c>
      <c r="G450" s="1">
        <v>8.9300000000000002E-5</v>
      </c>
      <c r="H450" s="1">
        <v>5.4700000000000001E-5</v>
      </c>
      <c r="I450" s="1">
        <v>9.7600000000000001E-5</v>
      </c>
      <c r="J450" s="1">
        <v>9.0299999999999999E-5</v>
      </c>
      <c r="K450" s="1">
        <v>8.6100000000000006E-5</v>
      </c>
      <c r="L450">
        <v>1.04416E-4</v>
      </c>
      <c r="M450" s="1">
        <v>5.1999999999999997E-5</v>
      </c>
      <c r="N450" s="1">
        <v>6.8100000000000002E-5</v>
      </c>
      <c r="O450" s="1">
        <v>6.3800000000000006E-5</v>
      </c>
      <c r="P450" s="1">
        <v>6.2199999999999994E-5</v>
      </c>
      <c r="Q450">
        <v>1.2492499999999999E-4</v>
      </c>
      <c r="R450">
        <v>1.09676E-4</v>
      </c>
      <c r="S450" s="1">
        <v>9.2899999999999995E-5</v>
      </c>
      <c r="T450">
        <v>1.10091E-4</v>
      </c>
    </row>
    <row r="451" spans="1:20" hidden="1" x14ac:dyDescent="0.25">
      <c r="A451" t="s">
        <v>469</v>
      </c>
      <c r="B451" s="1">
        <v>1.1800000000000001E-5</v>
      </c>
      <c r="C451" s="1">
        <v>2.51E-5</v>
      </c>
      <c r="D451" s="1">
        <v>1.6900000000000001E-5</v>
      </c>
      <c r="E451" s="1">
        <v>1.8099999999999999E-5</v>
      </c>
      <c r="F451" s="1">
        <v>1.04E-5</v>
      </c>
      <c r="G451" s="1">
        <v>1.91E-5</v>
      </c>
      <c r="H451" s="1">
        <v>6.3300000000000004E-6</v>
      </c>
      <c r="I451" s="1">
        <v>1.1600000000000001E-5</v>
      </c>
      <c r="J451" s="1">
        <v>6.1299999999999998E-6</v>
      </c>
      <c r="K451" s="1">
        <v>1.15E-5</v>
      </c>
      <c r="L451" s="1">
        <v>1.6900000000000001E-5</v>
      </c>
      <c r="M451" s="1">
        <v>4.1200000000000004E-6</v>
      </c>
      <c r="N451" s="1">
        <v>8.9900000000000003E-6</v>
      </c>
      <c r="O451" s="1">
        <v>9.6399999999999992E-6</v>
      </c>
      <c r="P451" s="1">
        <v>1.24E-5</v>
      </c>
      <c r="Q451" s="1">
        <v>2.8200000000000001E-5</v>
      </c>
      <c r="R451" s="1">
        <v>1.8300000000000001E-5</v>
      </c>
      <c r="S451" s="1">
        <v>2.58E-5</v>
      </c>
      <c r="T451" s="1">
        <v>2.7800000000000001E-5</v>
      </c>
    </row>
    <row r="452" spans="1:20" hidden="1" x14ac:dyDescent="0.25">
      <c r="A452" t="s">
        <v>470</v>
      </c>
      <c r="B452" s="1">
        <v>3.3899999999999997E-5</v>
      </c>
      <c r="C452">
        <v>1.27534E-4</v>
      </c>
      <c r="D452" s="1">
        <v>8.7399999999999997E-5</v>
      </c>
      <c r="E452">
        <v>1.15529E-4</v>
      </c>
      <c r="F452" s="1">
        <v>4.1900000000000002E-5</v>
      </c>
      <c r="G452" s="1">
        <v>9.2700000000000004E-5</v>
      </c>
      <c r="H452" s="1">
        <v>5.77E-5</v>
      </c>
      <c r="I452" s="1">
        <v>8.3499999999999997E-5</v>
      </c>
      <c r="J452" s="1">
        <v>4.4100000000000001E-5</v>
      </c>
      <c r="K452" s="1">
        <v>9.9900000000000002E-5</v>
      </c>
      <c r="L452">
        <v>1.1665100000000001E-4</v>
      </c>
      <c r="M452" s="1">
        <v>3.4499999999999998E-5</v>
      </c>
      <c r="N452" s="1">
        <v>3.8000000000000002E-5</v>
      </c>
      <c r="O452" s="1">
        <v>5.7399999999999999E-5</v>
      </c>
      <c r="P452" s="1">
        <v>3.8999999999999999E-5</v>
      </c>
      <c r="Q452" s="1">
        <v>3.15E-5</v>
      </c>
      <c r="R452" s="1">
        <v>3.4199999999999998E-5</v>
      </c>
      <c r="S452" s="1">
        <v>3.6000000000000001E-5</v>
      </c>
      <c r="T452" s="1">
        <v>2.05E-5</v>
      </c>
    </row>
    <row r="453" spans="1:20" hidden="1" x14ac:dyDescent="0.25">
      <c r="A453" t="s">
        <v>471</v>
      </c>
      <c r="B453">
        <v>1.0159599999999999E-4</v>
      </c>
      <c r="C453">
        <v>3.97589E-4</v>
      </c>
      <c r="D453">
        <v>2.3462600000000001E-4</v>
      </c>
      <c r="E453">
        <v>3.2430799999999999E-4</v>
      </c>
      <c r="F453">
        <v>1.3106500000000001E-4</v>
      </c>
      <c r="G453">
        <v>2.9107299999999998E-4</v>
      </c>
      <c r="H453">
        <v>1.3418499999999999E-4</v>
      </c>
      <c r="I453">
        <v>2.24405E-4</v>
      </c>
      <c r="J453">
        <v>1.2402299999999999E-4</v>
      </c>
      <c r="K453">
        <v>3.3828800000000001E-4</v>
      </c>
      <c r="L453">
        <v>3.5777699999999999E-4</v>
      </c>
      <c r="M453">
        <v>1.1616E-4</v>
      </c>
      <c r="N453">
        <v>1.4111399999999999E-4</v>
      </c>
      <c r="O453">
        <v>1.53874E-4</v>
      </c>
      <c r="P453" s="1">
        <v>9.6500000000000001E-5</v>
      </c>
      <c r="Q453" s="1">
        <v>8.92E-5</v>
      </c>
      <c r="R453" s="1">
        <v>8.4300000000000003E-5</v>
      </c>
      <c r="S453">
        <v>1.25835E-4</v>
      </c>
      <c r="T453" s="1">
        <v>7.7799999999999994E-5</v>
      </c>
    </row>
    <row r="454" spans="1:20" hidden="1" x14ac:dyDescent="0.25">
      <c r="A454" t="s">
        <v>472</v>
      </c>
      <c r="B454" s="1">
        <v>4.7700000000000001E-5</v>
      </c>
      <c r="C454">
        <v>1.52936E-4</v>
      </c>
      <c r="D454">
        <v>1.2313299999999999E-4</v>
      </c>
      <c r="E454">
        <v>1.2374900000000001E-4</v>
      </c>
      <c r="F454">
        <v>0</v>
      </c>
      <c r="G454">
        <v>1.3117000000000001E-4</v>
      </c>
      <c r="H454" s="1">
        <v>8.7200000000000005E-5</v>
      </c>
      <c r="I454">
        <v>1.06023E-4</v>
      </c>
      <c r="J454">
        <v>0</v>
      </c>
      <c r="K454">
        <v>1.2513699999999999E-4</v>
      </c>
      <c r="L454">
        <v>1.47508E-4</v>
      </c>
      <c r="M454">
        <v>0</v>
      </c>
      <c r="N454" s="1">
        <v>6.4599999999999998E-5</v>
      </c>
      <c r="O454" s="1">
        <v>6.7399999999999998E-5</v>
      </c>
      <c r="P454">
        <v>0</v>
      </c>
      <c r="Q454" s="1">
        <v>5.49E-5</v>
      </c>
      <c r="R454">
        <v>0</v>
      </c>
      <c r="S454" s="1">
        <v>8.5500000000000005E-5</v>
      </c>
      <c r="T454">
        <v>0</v>
      </c>
    </row>
    <row r="455" spans="1:20" hidden="1" x14ac:dyDescent="0.25">
      <c r="A455" t="s">
        <v>473</v>
      </c>
      <c r="B455">
        <v>0</v>
      </c>
      <c r="C455" s="1">
        <v>7.2399999999999998E-5</v>
      </c>
      <c r="D455" s="1">
        <v>9.98E-5</v>
      </c>
      <c r="E455" s="1">
        <v>7.3800000000000005E-5</v>
      </c>
      <c r="F455" s="1">
        <v>6.6799999999999997E-5</v>
      </c>
      <c r="G455">
        <v>0</v>
      </c>
      <c r="H455">
        <v>0</v>
      </c>
      <c r="I455">
        <v>0</v>
      </c>
      <c r="J455">
        <v>0</v>
      </c>
      <c r="K455" s="1">
        <v>7.3999999999999996E-5</v>
      </c>
      <c r="L455" s="1">
        <v>8.4599999999999996E-5</v>
      </c>
      <c r="M455" s="1">
        <v>3.2499999999999997E-5</v>
      </c>
      <c r="N455" s="1">
        <v>6.5099999999999997E-5</v>
      </c>
      <c r="O455" s="1">
        <v>4.21E-5</v>
      </c>
      <c r="P455" s="1">
        <v>4.21E-5</v>
      </c>
      <c r="Q455">
        <v>0</v>
      </c>
      <c r="R455">
        <v>0</v>
      </c>
      <c r="S455">
        <v>0</v>
      </c>
      <c r="T455">
        <v>0</v>
      </c>
    </row>
    <row r="456" spans="1:20" hidden="1" x14ac:dyDescent="0.25">
      <c r="A456" t="s">
        <v>474</v>
      </c>
      <c r="B456" s="1">
        <v>7.1500000000000003E-5</v>
      </c>
      <c r="C456" s="1">
        <v>6.0300000000000002E-5</v>
      </c>
      <c r="D456" s="1">
        <v>5.63E-5</v>
      </c>
      <c r="E456" s="1">
        <v>5.5099999999999998E-5</v>
      </c>
      <c r="F456" s="1">
        <v>6.6699999999999995E-5</v>
      </c>
      <c r="G456" s="1">
        <v>6.2799999999999995E-5</v>
      </c>
      <c r="H456">
        <v>1.14707E-4</v>
      </c>
      <c r="I456" s="1">
        <v>7.8899999999999993E-5</v>
      </c>
      <c r="J456" s="1">
        <v>7.7399999999999998E-5</v>
      </c>
      <c r="K456" s="1">
        <v>7.0199999999999999E-5</v>
      </c>
      <c r="L456">
        <v>0</v>
      </c>
      <c r="M456" s="1">
        <v>7.6100000000000007E-5</v>
      </c>
      <c r="N456">
        <v>1.0168E-4</v>
      </c>
      <c r="O456" s="1">
        <v>5.7599999999999997E-5</v>
      </c>
      <c r="P456" s="1">
        <v>9.6399999999999999E-5</v>
      </c>
      <c r="Q456">
        <v>1.3780500000000001E-4</v>
      </c>
      <c r="R456">
        <v>1.22015E-4</v>
      </c>
      <c r="S456">
        <v>1.3858300000000001E-4</v>
      </c>
      <c r="T456">
        <v>1.2077499999999999E-4</v>
      </c>
    </row>
    <row r="457" spans="1:20" hidden="1" x14ac:dyDescent="0.25">
      <c r="A457" t="s">
        <v>475</v>
      </c>
      <c r="B457">
        <v>2.2618339999999999E-3</v>
      </c>
      <c r="C457">
        <v>1.5288739999999999E-3</v>
      </c>
      <c r="D457">
        <v>1.544382E-3</v>
      </c>
      <c r="E457">
        <v>2.2114700000000001E-3</v>
      </c>
      <c r="F457">
        <v>1.549063E-3</v>
      </c>
      <c r="G457">
        <v>1.734757E-3</v>
      </c>
      <c r="H457">
        <v>2.1451840000000001E-3</v>
      </c>
      <c r="I457">
        <v>2.0678850000000002E-3</v>
      </c>
      <c r="J457">
        <v>2.6202280000000001E-3</v>
      </c>
      <c r="K457">
        <v>2.2711239999999998E-3</v>
      </c>
      <c r="L457">
        <v>1.9176429999999999E-3</v>
      </c>
      <c r="M457">
        <v>2.2912499999999999E-3</v>
      </c>
      <c r="N457">
        <v>2.3387640000000001E-3</v>
      </c>
      <c r="O457">
        <v>2.6733859999999998E-3</v>
      </c>
      <c r="P457">
        <v>2.8360709999999999E-3</v>
      </c>
      <c r="Q457">
        <v>2.4808389999999999E-3</v>
      </c>
      <c r="R457">
        <v>3.4949E-3</v>
      </c>
      <c r="S457">
        <v>2.6604480000000002E-3</v>
      </c>
      <c r="T457">
        <v>2.2093830000000001E-3</v>
      </c>
    </row>
    <row r="458" spans="1:20" hidden="1" x14ac:dyDescent="0.25">
      <c r="A458" t="s">
        <v>476</v>
      </c>
      <c r="B458" s="1">
        <v>3.6600000000000002E-5</v>
      </c>
      <c r="C458" s="1">
        <v>2.1500000000000001E-5</v>
      </c>
      <c r="D458" s="1">
        <v>5.0000000000000002E-5</v>
      </c>
      <c r="E458" s="1">
        <v>7.5799999999999999E-5</v>
      </c>
      <c r="F458" s="1">
        <v>3.5500000000000002E-5</v>
      </c>
      <c r="G458" s="1">
        <v>4.7800000000000003E-5</v>
      </c>
      <c r="H458" s="1">
        <v>5.3199999999999999E-5</v>
      </c>
      <c r="I458" s="1">
        <v>5.8199999999999998E-5</v>
      </c>
      <c r="J458" s="1">
        <v>6.0999999999999999E-5</v>
      </c>
      <c r="K458" s="1">
        <v>5.4700000000000001E-5</v>
      </c>
      <c r="L458" s="1">
        <v>5.41E-5</v>
      </c>
      <c r="M458" s="1">
        <v>5.4299999999999998E-5</v>
      </c>
      <c r="N458" s="1">
        <v>6.8399999999999996E-5</v>
      </c>
      <c r="O458" s="1">
        <v>5.8999999999999998E-5</v>
      </c>
      <c r="P458">
        <v>1.11934E-4</v>
      </c>
      <c r="Q458">
        <v>1.15256E-4</v>
      </c>
      <c r="R458">
        <v>1.2742600000000001E-4</v>
      </c>
      <c r="S458">
        <v>2.1097600000000001E-4</v>
      </c>
      <c r="T458">
        <v>1.1047700000000001E-4</v>
      </c>
    </row>
    <row r="459" spans="1:20" hidden="1" x14ac:dyDescent="0.25">
      <c r="A459" t="s">
        <v>477</v>
      </c>
      <c r="B459" s="1">
        <v>7.7700000000000005E-5</v>
      </c>
      <c r="C459" s="1">
        <v>7.6100000000000007E-5</v>
      </c>
      <c r="D459" s="1">
        <v>7.2999999999999999E-5</v>
      </c>
      <c r="E459" s="1">
        <v>6.3200000000000005E-5</v>
      </c>
      <c r="F459" s="1">
        <v>6.1099999999999994E-5</v>
      </c>
      <c r="G459" s="1">
        <v>7.25E-5</v>
      </c>
      <c r="H459" s="1">
        <v>5.94E-5</v>
      </c>
      <c r="I459" s="1">
        <v>7.5199999999999998E-5</v>
      </c>
      <c r="J459" s="1">
        <v>7.1199999999999996E-5</v>
      </c>
      <c r="K459" s="1">
        <v>6.41E-5</v>
      </c>
      <c r="L459" s="1">
        <v>6.3100000000000002E-5</v>
      </c>
      <c r="M459" s="1">
        <v>7.4099999999999999E-5</v>
      </c>
      <c r="N459">
        <v>1.07942E-4</v>
      </c>
      <c r="O459" s="1">
        <v>7.4099999999999999E-5</v>
      </c>
      <c r="P459" s="1">
        <v>6.7600000000000003E-5</v>
      </c>
      <c r="Q459" s="1">
        <v>3.9700000000000003E-5</v>
      </c>
      <c r="R459" s="1">
        <v>5.0000000000000002E-5</v>
      </c>
      <c r="S459" s="1">
        <v>3.0800000000000003E-5</v>
      </c>
      <c r="T459" s="1">
        <v>4.1300000000000001E-5</v>
      </c>
    </row>
    <row r="460" spans="1:20" hidden="1" x14ac:dyDescent="0.25">
      <c r="A460" t="s">
        <v>478</v>
      </c>
      <c r="B460">
        <v>0</v>
      </c>
      <c r="C460" s="1">
        <v>8.2700000000000004E-6</v>
      </c>
      <c r="D460" s="1">
        <v>5.8000000000000004E-6</v>
      </c>
      <c r="E460" s="1">
        <v>6.1299999999999998E-6</v>
      </c>
      <c r="F460">
        <v>0</v>
      </c>
      <c r="G460" s="1">
        <v>6.8600000000000004E-6</v>
      </c>
      <c r="H460">
        <v>0</v>
      </c>
      <c r="I460">
        <v>0</v>
      </c>
      <c r="J460">
        <v>0</v>
      </c>
      <c r="K460" s="1">
        <v>5.31E-6</v>
      </c>
      <c r="L460" s="1">
        <v>6.3099999999999997E-6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hidden="1" x14ac:dyDescent="0.25">
      <c r="A461" t="s">
        <v>479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1">
        <v>4.9599999999999999E-5</v>
      </c>
      <c r="R461" s="1">
        <v>2.5400000000000001E-5</v>
      </c>
      <c r="S461" s="1">
        <v>8.6199999999999995E-5</v>
      </c>
      <c r="T461" s="1">
        <v>6.69E-5</v>
      </c>
    </row>
    <row r="462" spans="1:20" hidden="1" x14ac:dyDescent="0.25">
      <c r="A462" t="s">
        <v>480</v>
      </c>
      <c r="B462">
        <v>5.4317899999999997E-4</v>
      </c>
      <c r="C462">
        <v>8.5335999999999995E-4</v>
      </c>
      <c r="D462">
        <v>7.2712700000000005E-4</v>
      </c>
      <c r="E462">
        <v>8.79516E-4</v>
      </c>
      <c r="F462">
        <v>6.3514799999999998E-4</v>
      </c>
      <c r="G462">
        <v>7.2659700000000005E-4</v>
      </c>
      <c r="H462">
        <v>7.6792099999999997E-4</v>
      </c>
      <c r="I462">
        <v>1.12418E-3</v>
      </c>
      <c r="J462">
        <v>8.2687199999999998E-4</v>
      </c>
      <c r="K462">
        <v>5.0945799999999996E-4</v>
      </c>
      <c r="L462">
        <v>7.7201199999999998E-4</v>
      </c>
      <c r="M462">
        <v>4.8738999999999998E-4</v>
      </c>
      <c r="N462">
        <v>9.4952700000000003E-4</v>
      </c>
      <c r="O462">
        <v>8.57192E-4</v>
      </c>
      <c r="P462">
        <v>5.7913599999999995E-4</v>
      </c>
      <c r="Q462">
        <v>6.5928899999999997E-4</v>
      </c>
      <c r="R462">
        <v>5.2216999999999997E-4</v>
      </c>
      <c r="S462">
        <v>6.6143699999999996E-4</v>
      </c>
      <c r="T462">
        <v>7.8495599999999996E-4</v>
      </c>
    </row>
    <row r="463" spans="1:20" hidden="1" x14ac:dyDescent="0.25">
      <c r="A463" t="s">
        <v>481</v>
      </c>
      <c r="B463">
        <v>0</v>
      </c>
      <c r="C463" s="1">
        <v>2.34E-5</v>
      </c>
      <c r="D463" s="1">
        <v>1.49E-5</v>
      </c>
      <c r="E463" s="1">
        <v>1.6500000000000001E-5</v>
      </c>
      <c r="F463">
        <v>0</v>
      </c>
      <c r="G463" s="1">
        <v>1.88E-5</v>
      </c>
      <c r="H463" s="1">
        <v>8.14E-6</v>
      </c>
      <c r="I463" s="1">
        <v>1.1399999999999999E-5</v>
      </c>
      <c r="J463">
        <v>0</v>
      </c>
      <c r="K463" s="1">
        <v>1.9300000000000002E-5</v>
      </c>
      <c r="L463" s="1">
        <v>2.4899999999999999E-5</v>
      </c>
      <c r="M463">
        <v>0</v>
      </c>
      <c r="N463" s="1">
        <v>3.8500000000000004E-6</v>
      </c>
      <c r="O463" s="1">
        <v>6.9600000000000003E-6</v>
      </c>
      <c r="P463">
        <v>0</v>
      </c>
      <c r="Q463">
        <v>0</v>
      </c>
      <c r="R463">
        <v>0</v>
      </c>
      <c r="S463" s="1">
        <v>1.24E-5</v>
      </c>
      <c r="T463" s="1">
        <v>1.0499999999999999E-5</v>
      </c>
    </row>
    <row r="464" spans="1:20" hidden="1" x14ac:dyDescent="0.25">
      <c r="A464" t="s">
        <v>482</v>
      </c>
      <c r="B464" s="1">
        <v>2.8E-5</v>
      </c>
      <c r="C464" s="1">
        <v>7.9099999999999998E-5</v>
      </c>
      <c r="D464" s="1">
        <v>4.49E-5</v>
      </c>
      <c r="E464" s="1">
        <v>3.6600000000000002E-5</v>
      </c>
      <c r="F464" s="1">
        <v>5.0000000000000002E-5</v>
      </c>
      <c r="G464" s="1">
        <v>9.3599999999999998E-5</v>
      </c>
      <c r="H464" s="1">
        <v>6.9200000000000002E-5</v>
      </c>
      <c r="I464" s="1">
        <v>6.5900000000000003E-5</v>
      </c>
      <c r="J464" s="1">
        <v>4.0800000000000002E-5</v>
      </c>
      <c r="K464" s="1">
        <v>5.3399999999999997E-5</v>
      </c>
      <c r="L464" s="1">
        <v>5.9200000000000002E-5</v>
      </c>
      <c r="M464" s="1">
        <v>3.6199999999999999E-5</v>
      </c>
      <c r="N464" s="1">
        <v>3.3599999999999997E-5</v>
      </c>
      <c r="O464" s="1">
        <v>3.2799999999999998E-5</v>
      </c>
      <c r="P464" s="1">
        <v>5.38E-5</v>
      </c>
      <c r="Q464" s="1">
        <v>6.3200000000000005E-5</v>
      </c>
      <c r="R464" s="1">
        <v>5.5099999999999998E-5</v>
      </c>
      <c r="S464" s="1">
        <v>5.91E-5</v>
      </c>
      <c r="T464" s="1">
        <v>5.1600000000000001E-5</v>
      </c>
    </row>
    <row r="465" spans="1:20" hidden="1" x14ac:dyDescent="0.25">
      <c r="A465" t="s">
        <v>483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 s="1">
        <v>1.26E-5</v>
      </c>
      <c r="I465" s="1">
        <v>1.1399999999999999E-5</v>
      </c>
      <c r="J465">
        <v>0</v>
      </c>
      <c r="K465">
        <v>0</v>
      </c>
      <c r="L465" s="1">
        <v>1.17E-5</v>
      </c>
      <c r="M465">
        <v>0</v>
      </c>
      <c r="N465" s="1">
        <v>5.5799999999999999E-6</v>
      </c>
      <c r="O465" s="1">
        <v>6.2199999999999997E-6</v>
      </c>
      <c r="P465" s="1">
        <v>7.1300000000000003E-6</v>
      </c>
      <c r="Q465" s="1">
        <v>2.4600000000000002E-5</v>
      </c>
      <c r="R465" s="1">
        <v>1.24E-5</v>
      </c>
      <c r="S465" s="1">
        <v>1.52E-5</v>
      </c>
      <c r="T465" s="1">
        <v>1.7399999999999999E-5</v>
      </c>
    </row>
    <row r="466" spans="1:20" hidden="1" x14ac:dyDescent="0.25">
      <c r="A466" t="s">
        <v>484</v>
      </c>
      <c r="B466" s="1">
        <v>9.0199999999999997E-5</v>
      </c>
      <c r="C466" s="1">
        <v>1.8600000000000001E-5</v>
      </c>
      <c r="D466" s="1">
        <v>4.0599999999999998E-5</v>
      </c>
      <c r="E466" s="1">
        <v>3.0499999999999999E-5</v>
      </c>
      <c r="F466" s="1">
        <v>4.2299999999999998E-5</v>
      </c>
      <c r="G466" s="1">
        <v>2.7500000000000001E-5</v>
      </c>
      <c r="H466" s="1">
        <v>7.1000000000000005E-5</v>
      </c>
      <c r="I466" s="1">
        <v>3.9100000000000002E-5</v>
      </c>
      <c r="J466" s="1">
        <v>5.9599999999999999E-5</v>
      </c>
      <c r="K466" s="1">
        <v>2.3799999999999999E-5</v>
      </c>
      <c r="L466" s="1">
        <v>2.4000000000000001E-5</v>
      </c>
      <c r="M466" s="1">
        <v>6.3899999999999995E-5</v>
      </c>
      <c r="N466">
        <v>1.3966200000000001E-4</v>
      </c>
      <c r="O466" s="1">
        <v>3.6199999999999999E-5</v>
      </c>
      <c r="P466">
        <v>1.09567E-4</v>
      </c>
      <c r="Q466">
        <v>1.5675300000000001E-4</v>
      </c>
      <c r="R466">
        <v>1.2501E-4</v>
      </c>
      <c r="S466" s="1">
        <v>8.9400000000000005E-5</v>
      </c>
      <c r="T466">
        <v>2.2107299999999999E-4</v>
      </c>
    </row>
    <row r="467" spans="1:20" hidden="1" x14ac:dyDescent="0.25">
      <c r="A467" t="s">
        <v>485</v>
      </c>
      <c r="B467">
        <v>0</v>
      </c>
      <c r="C467" s="1">
        <v>9.6299999999999996E-5</v>
      </c>
      <c r="D467" s="1">
        <v>8.9099999999999997E-5</v>
      </c>
      <c r="E467" s="1">
        <v>9.4900000000000003E-5</v>
      </c>
      <c r="F467" s="1">
        <v>3.2400000000000001E-5</v>
      </c>
      <c r="G467">
        <v>0</v>
      </c>
      <c r="H467">
        <v>0</v>
      </c>
      <c r="I467" s="1">
        <v>4.7899999999999999E-5</v>
      </c>
      <c r="J467">
        <v>0</v>
      </c>
      <c r="K467" s="1">
        <v>5.7200000000000001E-5</v>
      </c>
      <c r="L467" s="1">
        <v>2.8E-5</v>
      </c>
      <c r="M467">
        <v>0</v>
      </c>
      <c r="N467" s="1">
        <v>5.66E-5</v>
      </c>
      <c r="O467" s="1">
        <v>5.9200000000000002E-5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hidden="1" x14ac:dyDescent="0.25">
      <c r="A468" t="s">
        <v>486</v>
      </c>
      <c r="B468" s="1">
        <v>8.7800000000000006E-6</v>
      </c>
      <c r="C468" s="1">
        <v>1.42E-5</v>
      </c>
      <c r="D468" s="1">
        <v>1.1199999999999999E-5</v>
      </c>
      <c r="E468" s="1">
        <v>1.13E-5</v>
      </c>
      <c r="F468" s="1">
        <v>1.3699999999999999E-5</v>
      </c>
      <c r="G468" s="1">
        <v>1.22E-5</v>
      </c>
      <c r="H468" s="1">
        <v>1.47E-5</v>
      </c>
      <c r="I468" s="1">
        <v>1.38E-5</v>
      </c>
      <c r="J468">
        <v>0</v>
      </c>
      <c r="K468" s="1">
        <v>1.63E-5</v>
      </c>
      <c r="L468" s="1">
        <v>1.26E-5</v>
      </c>
      <c r="M468" s="1">
        <v>6.7100000000000001E-6</v>
      </c>
      <c r="N468" s="1">
        <v>6.7900000000000002E-6</v>
      </c>
      <c r="O468" s="1">
        <v>1.01E-5</v>
      </c>
      <c r="P468">
        <v>0</v>
      </c>
      <c r="Q468" s="1">
        <v>2.8E-5</v>
      </c>
      <c r="R468" s="1">
        <v>1.8899999999999999E-5</v>
      </c>
      <c r="S468" s="1">
        <v>1.7200000000000001E-5</v>
      </c>
      <c r="T468" s="1">
        <v>2.8600000000000001E-5</v>
      </c>
    </row>
    <row r="469" spans="1:20" hidden="1" x14ac:dyDescent="0.25">
      <c r="A469" t="s">
        <v>487</v>
      </c>
      <c r="B469" s="1">
        <v>2.55E-5</v>
      </c>
      <c r="C469">
        <v>0</v>
      </c>
      <c r="D469" s="1">
        <v>1.6399999999999999E-5</v>
      </c>
      <c r="E469" s="1">
        <v>1.4100000000000001E-5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1.7600000000000001E-5</v>
      </c>
      <c r="L469">
        <v>0</v>
      </c>
      <c r="M469">
        <v>0</v>
      </c>
      <c r="N469">
        <v>0</v>
      </c>
      <c r="O469" s="1">
        <v>3.0899999999999999E-5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hidden="1" x14ac:dyDescent="0.25">
      <c r="A470" t="s">
        <v>488</v>
      </c>
      <c r="B470">
        <v>0</v>
      </c>
      <c r="C470" s="1">
        <v>7.3200000000000004E-5</v>
      </c>
      <c r="D470" s="1">
        <v>3.6100000000000003E-5</v>
      </c>
      <c r="E470" s="1">
        <v>3.6399999999999997E-5</v>
      </c>
      <c r="F470">
        <v>0</v>
      </c>
      <c r="G470">
        <v>1.5549199999999999E-4</v>
      </c>
      <c r="H470" s="1">
        <v>9.0699999999999996E-5</v>
      </c>
      <c r="I470">
        <v>0</v>
      </c>
      <c r="J470" s="1">
        <v>4.3699999999999998E-5</v>
      </c>
      <c r="K470">
        <v>1.01463E-4</v>
      </c>
      <c r="L470">
        <v>1.0521100000000001E-4</v>
      </c>
      <c r="M470" s="1">
        <v>6.2299999999999996E-5</v>
      </c>
      <c r="N470">
        <v>0</v>
      </c>
      <c r="O470" s="1">
        <v>2.65E-5</v>
      </c>
      <c r="P470">
        <v>1.03391E-4</v>
      </c>
      <c r="Q470">
        <v>1.3598500000000001E-4</v>
      </c>
      <c r="R470">
        <v>1.29481E-4</v>
      </c>
      <c r="S470">
        <v>2.4622899999999999E-4</v>
      </c>
      <c r="T470">
        <v>1.5740400000000001E-4</v>
      </c>
    </row>
    <row r="471" spans="1:20" hidden="1" x14ac:dyDescent="0.25">
      <c r="A471" t="s">
        <v>489</v>
      </c>
      <c r="B471">
        <v>0</v>
      </c>
      <c r="C471" s="1">
        <v>4.0000000000000003E-5</v>
      </c>
      <c r="D471">
        <v>0</v>
      </c>
      <c r="E471">
        <v>0</v>
      </c>
      <c r="F471" s="1">
        <v>2.2099999999999998E-5</v>
      </c>
      <c r="G471">
        <v>0</v>
      </c>
      <c r="H471" s="1">
        <v>4.3900000000000003E-5</v>
      </c>
      <c r="I471" s="1">
        <v>2.8399999999999999E-5</v>
      </c>
      <c r="J471" s="1">
        <v>3.3399999999999999E-5</v>
      </c>
      <c r="K471" s="1">
        <v>2.8500000000000002E-5</v>
      </c>
      <c r="L471" s="1">
        <v>2.5000000000000001E-5</v>
      </c>
      <c r="M471">
        <v>0</v>
      </c>
      <c r="N471">
        <v>0</v>
      </c>
      <c r="O471">
        <v>0</v>
      </c>
      <c r="P471">
        <v>0</v>
      </c>
      <c r="Q471" s="1">
        <v>8.7399999999999997E-5</v>
      </c>
      <c r="R471" s="1">
        <v>7.3499999999999998E-5</v>
      </c>
      <c r="S471" s="1">
        <v>8.7499999999999999E-5</v>
      </c>
      <c r="T471" s="1">
        <v>8.9800000000000001E-5</v>
      </c>
    </row>
    <row r="472" spans="1:20" hidden="1" x14ac:dyDescent="0.25">
      <c r="A472" t="s">
        <v>490</v>
      </c>
      <c r="B472" s="1">
        <v>1.19E-5</v>
      </c>
      <c r="C472" s="1">
        <v>9.1700000000000003E-6</v>
      </c>
      <c r="D472" s="1">
        <v>5.5799999999999999E-6</v>
      </c>
      <c r="E472" s="1">
        <v>6.7000000000000002E-6</v>
      </c>
      <c r="F472" s="1">
        <v>1.4100000000000001E-5</v>
      </c>
      <c r="G472" s="1">
        <v>1.2799999999999999E-5</v>
      </c>
      <c r="H472" s="1">
        <v>1.1199999999999999E-5</v>
      </c>
      <c r="I472" s="1">
        <v>9.6600000000000007E-6</v>
      </c>
      <c r="J472" s="1">
        <v>1.01E-5</v>
      </c>
      <c r="K472" s="1">
        <v>7.9699999999999999E-6</v>
      </c>
      <c r="L472" s="1">
        <v>1.13E-5</v>
      </c>
      <c r="M472" s="1">
        <v>7.5900000000000002E-6</v>
      </c>
      <c r="N472" s="1">
        <v>6.2299999999999996E-6</v>
      </c>
      <c r="O472" s="1">
        <v>7.34E-6</v>
      </c>
      <c r="P472" s="1">
        <v>1.1600000000000001E-5</v>
      </c>
      <c r="Q472" s="1">
        <v>5.1499999999999998E-6</v>
      </c>
      <c r="R472" s="1">
        <v>1.1199999999999999E-5</v>
      </c>
      <c r="S472" s="1">
        <v>5.4099999999999999E-6</v>
      </c>
      <c r="T472" s="1">
        <v>5.4700000000000001E-6</v>
      </c>
    </row>
    <row r="473" spans="1:20" hidden="1" x14ac:dyDescent="0.25">
      <c r="A473" t="s">
        <v>491</v>
      </c>
      <c r="B473">
        <v>0</v>
      </c>
      <c r="C473" s="1">
        <v>2.02E-5</v>
      </c>
      <c r="D473" s="1">
        <v>3.82E-5</v>
      </c>
      <c r="E473" s="1">
        <v>2.05E-5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2.23E-5</v>
      </c>
      <c r="L473" s="1">
        <v>2.19E-5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hidden="1" x14ac:dyDescent="0.25">
      <c r="A474" t="s">
        <v>492</v>
      </c>
      <c r="B474">
        <v>0</v>
      </c>
      <c r="C474">
        <v>0</v>
      </c>
      <c r="D474">
        <v>0</v>
      </c>
      <c r="E474">
        <v>0</v>
      </c>
      <c r="F474" s="1">
        <v>3.4600000000000001E-5</v>
      </c>
      <c r="G474" s="1">
        <v>4.3099999999999997E-5</v>
      </c>
      <c r="H474" s="1">
        <v>7.0900000000000002E-5</v>
      </c>
      <c r="I474" s="1">
        <v>3.6100000000000003E-5</v>
      </c>
      <c r="J474" s="1">
        <v>2.4600000000000002E-5</v>
      </c>
      <c r="K474" s="1">
        <v>1.1399999999999999E-5</v>
      </c>
      <c r="L474">
        <v>0</v>
      </c>
      <c r="M474" s="1">
        <v>3.0899999999999999E-5</v>
      </c>
      <c r="N474" s="1">
        <v>3.7200000000000003E-5</v>
      </c>
      <c r="O474" s="1">
        <v>2.65E-5</v>
      </c>
      <c r="P474" s="1">
        <v>3.4E-5</v>
      </c>
      <c r="Q474" s="1">
        <v>4.3099999999999997E-5</v>
      </c>
      <c r="R474" s="1">
        <v>1.7099999999999999E-5</v>
      </c>
      <c r="S474" s="1">
        <v>6.3600000000000001E-5</v>
      </c>
      <c r="T474" s="1">
        <v>5.4200000000000003E-5</v>
      </c>
    </row>
    <row r="475" spans="1:20" hidden="1" x14ac:dyDescent="0.25">
      <c r="A475" t="s">
        <v>493</v>
      </c>
      <c r="B475" s="1">
        <v>1.33E-5</v>
      </c>
      <c r="C475">
        <v>0</v>
      </c>
      <c r="D475" s="1">
        <v>1.4600000000000001E-5</v>
      </c>
      <c r="E475">
        <v>0</v>
      </c>
      <c r="F475" s="1">
        <v>1.45E-5</v>
      </c>
      <c r="G475" s="1">
        <v>1.84E-5</v>
      </c>
      <c r="H475" s="1">
        <v>3.1199999999999999E-5</v>
      </c>
      <c r="I475" s="1">
        <v>1.2799999999999999E-5</v>
      </c>
      <c r="J475">
        <v>0</v>
      </c>
      <c r="K475" s="1">
        <v>1.2099999999999999E-5</v>
      </c>
      <c r="L475" s="1">
        <v>9.0699999999999996E-6</v>
      </c>
      <c r="M475">
        <v>0</v>
      </c>
      <c r="N475" s="1">
        <v>8.5399999999999996E-6</v>
      </c>
      <c r="O475" s="1">
        <v>1.38E-5</v>
      </c>
      <c r="P475" s="1">
        <v>3.01E-5</v>
      </c>
      <c r="Q475" s="1">
        <v>3.4799999999999999E-5</v>
      </c>
      <c r="R475" s="1">
        <v>2.5700000000000001E-5</v>
      </c>
      <c r="S475" s="1">
        <v>2.41E-5</v>
      </c>
      <c r="T475" s="1">
        <v>5.9700000000000001E-5</v>
      </c>
    </row>
    <row r="476" spans="1:20" hidden="1" x14ac:dyDescent="0.25">
      <c r="A476" t="s">
        <v>494</v>
      </c>
      <c r="B476">
        <v>1.22144E-4</v>
      </c>
      <c r="C476" s="1">
        <v>2.12E-5</v>
      </c>
      <c r="D476" s="1">
        <v>4.8300000000000002E-5</v>
      </c>
      <c r="E476" s="1">
        <v>4.4299999999999999E-5</v>
      </c>
      <c r="F476" s="1">
        <v>5.38E-5</v>
      </c>
      <c r="G476" s="1">
        <v>5.2299999999999997E-5</v>
      </c>
      <c r="H476" s="1">
        <v>7.8399999999999995E-5</v>
      </c>
      <c r="I476" s="1">
        <v>2.8E-5</v>
      </c>
      <c r="J476" s="1">
        <v>8.0099999999999995E-5</v>
      </c>
      <c r="K476" s="1">
        <v>4.57E-5</v>
      </c>
      <c r="L476" s="1">
        <v>2.7500000000000001E-5</v>
      </c>
      <c r="M476" s="1">
        <v>5.9899999999999999E-5</v>
      </c>
      <c r="N476" s="1">
        <v>7.3499999999999998E-5</v>
      </c>
      <c r="O476" s="1">
        <v>5.8999999999999998E-5</v>
      </c>
      <c r="P476" s="1">
        <v>8.9699999999999998E-5</v>
      </c>
      <c r="Q476">
        <v>1.2376299999999999E-4</v>
      </c>
      <c r="R476">
        <v>1.50696E-4</v>
      </c>
      <c r="S476" s="1">
        <v>7.8999999999999996E-5</v>
      </c>
      <c r="T476">
        <v>1.8456500000000001E-4</v>
      </c>
    </row>
    <row r="477" spans="1:20" hidden="1" x14ac:dyDescent="0.25">
      <c r="A477" t="s">
        <v>495</v>
      </c>
      <c r="B477" s="1">
        <v>5.5600000000000003E-5</v>
      </c>
      <c r="C477" s="1">
        <v>9.6399999999999999E-5</v>
      </c>
      <c r="D477" s="1">
        <v>9.5699999999999995E-5</v>
      </c>
      <c r="E477" s="1">
        <v>8.3800000000000004E-5</v>
      </c>
      <c r="F477" s="1">
        <v>6.6799999999999997E-5</v>
      </c>
      <c r="G477">
        <v>1.0445100000000001E-4</v>
      </c>
      <c r="H477" s="1">
        <v>3.4999999999999997E-5</v>
      </c>
      <c r="I477" s="1">
        <v>4.57E-5</v>
      </c>
      <c r="J477" s="1">
        <v>4.6600000000000001E-5</v>
      </c>
      <c r="K477" s="1">
        <v>7.1099999999999994E-5</v>
      </c>
      <c r="L477" s="1">
        <v>8.0500000000000005E-5</v>
      </c>
      <c r="M477" s="1">
        <v>4.2299999999999998E-5</v>
      </c>
      <c r="N477" s="1">
        <v>5.8400000000000003E-5</v>
      </c>
      <c r="O477" s="1">
        <v>5.7000000000000003E-5</v>
      </c>
      <c r="P477" s="1">
        <v>2.19E-5</v>
      </c>
      <c r="Q477" s="1">
        <v>4.8000000000000001E-5</v>
      </c>
      <c r="R477" s="1">
        <v>4.4700000000000002E-5</v>
      </c>
      <c r="S477" s="1">
        <v>4.8399999999999997E-5</v>
      </c>
      <c r="T477" s="1">
        <v>5.5300000000000002E-5</v>
      </c>
    </row>
    <row r="478" spans="1:20" hidden="1" x14ac:dyDescent="0.25">
      <c r="A478" t="s">
        <v>496</v>
      </c>
      <c r="B478" s="1">
        <v>6.4200000000000002E-5</v>
      </c>
      <c r="C478" s="1">
        <v>8.6600000000000004E-5</v>
      </c>
      <c r="D478" s="1">
        <v>7.4099999999999999E-5</v>
      </c>
      <c r="E478" s="1">
        <v>8.81E-5</v>
      </c>
      <c r="F478" s="1">
        <v>6.7500000000000001E-5</v>
      </c>
      <c r="G478" s="1">
        <v>6.1299999999999999E-5</v>
      </c>
      <c r="H478" s="1">
        <v>5.5399999999999998E-5</v>
      </c>
      <c r="I478" s="1">
        <v>6.3600000000000001E-5</v>
      </c>
      <c r="J478" s="1">
        <v>6.1400000000000002E-5</v>
      </c>
      <c r="K478" s="1">
        <v>5.0000000000000002E-5</v>
      </c>
      <c r="L478" s="1">
        <v>6.1699999999999995E-5</v>
      </c>
      <c r="M478" s="1">
        <v>4.4199999999999997E-5</v>
      </c>
      <c r="N478" s="1">
        <v>4.6E-5</v>
      </c>
      <c r="O478" s="1">
        <v>6.4399999999999993E-5</v>
      </c>
      <c r="P478" s="1">
        <v>2.7900000000000001E-5</v>
      </c>
      <c r="Q478" s="1">
        <v>1.45E-5</v>
      </c>
      <c r="R478" s="1">
        <v>1.7600000000000001E-5</v>
      </c>
      <c r="S478" s="1">
        <v>1.7900000000000001E-5</v>
      </c>
      <c r="T478" s="1">
        <v>1.49E-5</v>
      </c>
    </row>
    <row r="479" spans="1:20" hidden="1" x14ac:dyDescent="0.25">
      <c r="A479" t="s">
        <v>497</v>
      </c>
      <c r="B479" s="1">
        <v>2.4000000000000001E-5</v>
      </c>
      <c r="C479" s="1">
        <v>3.93E-5</v>
      </c>
      <c r="D479" s="1">
        <v>4.8099999999999997E-5</v>
      </c>
      <c r="E479" s="1">
        <v>3.8399999999999998E-5</v>
      </c>
      <c r="F479" s="1">
        <v>1.4399999999999999E-5</v>
      </c>
      <c r="G479">
        <v>0</v>
      </c>
      <c r="H479" s="1">
        <v>1.31E-5</v>
      </c>
      <c r="I479" s="1">
        <v>1.4800000000000001E-5</v>
      </c>
      <c r="J479" s="1">
        <v>1.0200000000000001E-5</v>
      </c>
      <c r="K479" s="1">
        <v>2.5000000000000001E-5</v>
      </c>
      <c r="L479" s="1">
        <v>2.72E-5</v>
      </c>
      <c r="M479" s="1">
        <v>8.7700000000000007E-6</v>
      </c>
      <c r="N479" s="1">
        <v>9.0499999999999997E-6</v>
      </c>
      <c r="O479" s="1">
        <v>1.26E-5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hidden="1" x14ac:dyDescent="0.25">
      <c r="A480" t="s">
        <v>498</v>
      </c>
      <c r="B480" s="1">
        <v>7.0500000000000006E-5</v>
      </c>
      <c r="C480">
        <v>1.40116E-4</v>
      </c>
      <c r="D480">
        <v>1.0912399999999999E-4</v>
      </c>
      <c r="E480" s="1">
        <v>9.87E-5</v>
      </c>
      <c r="F480" s="1">
        <v>4.8099999999999997E-5</v>
      </c>
      <c r="G480" s="1">
        <v>7.8800000000000004E-5</v>
      </c>
      <c r="H480" s="1">
        <v>4.7700000000000001E-5</v>
      </c>
      <c r="I480" s="1">
        <v>3.9400000000000002E-5</v>
      </c>
      <c r="J480" s="1">
        <v>5.2200000000000002E-5</v>
      </c>
      <c r="K480" s="1">
        <v>5.8999999999999998E-5</v>
      </c>
      <c r="L480" s="1">
        <v>7.86E-5</v>
      </c>
      <c r="M480" s="1">
        <v>4.1199999999999999E-5</v>
      </c>
      <c r="N480" s="1">
        <v>2.1100000000000001E-5</v>
      </c>
      <c r="O480" s="1">
        <v>4.5399999999999999E-5</v>
      </c>
      <c r="P480" s="1">
        <v>2.09E-5</v>
      </c>
      <c r="Q480" s="1">
        <v>9.4399999999999994E-6</v>
      </c>
      <c r="R480">
        <v>0</v>
      </c>
      <c r="S480">
        <v>0</v>
      </c>
      <c r="T480">
        <v>0</v>
      </c>
    </row>
    <row r="481" spans="1:20" hidden="1" x14ac:dyDescent="0.25">
      <c r="A481" t="s">
        <v>499</v>
      </c>
      <c r="B481" s="1">
        <v>7.4499999999999995E-5</v>
      </c>
      <c r="C481">
        <v>0</v>
      </c>
      <c r="D481" s="1">
        <v>5.0699999999999999E-5</v>
      </c>
      <c r="E481">
        <v>0</v>
      </c>
      <c r="F481" s="1">
        <v>7.4400000000000006E-5</v>
      </c>
      <c r="G481" s="1">
        <v>7.7700000000000005E-5</v>
      </c>
      <c r="H481" s="1">
        <v>9.1199999999999994E-5</v>
      </c>
      <c r="I481" s="1">
        <v>4.5500000000000001E-5</v>
      </c>
      <c r="J481" s="1">
        <v>5.52E-5</v>
      </c>
      <c r="K481" s="1">
        <v>4.6999999999999997E-5</v>
      </c>
      <c r="L481" s="1">
        <v>3.7599999999999999E-5</v>
      </c>
      <c r="M481" s="1">
        <v>6.5300000000000002E-5</v>
      </c>
      <c r="N481" s="1">
        <v>9.1100000000000005E-5</v>
      </c>
      <c r="O481" s="1">
        <v>5.0399999999999999E-5</v>
      </c>
      <c r="P481">
        <v>1.15782E-4</v>
      </c>
      <c r="Q481">
        <v>1.3169500000000001E-4</v>
      </c>
      <c r="R481" s="1">
        <v>8.6299999999999997E-5</v>
      </c>
      <c r="S481" s="1">
        <v>6.4999999999999994E-5</v>
      </c>
      <c r="T481">
        <v>2.3880700000000001E-4</v>
      </c>
    </row>
    <row r="482" spans="1:20" hidden="1" x14ac:dyDescent="0.25">
      <c r="A482" t="s">
        <v>500</v>
      </c>
      <c r="B482" s="1">
        <v>2.61E-6</v>
      </c>
      <c r="C482" s="1">
        <v>4.5199999999999999E-6</v>
      </c>
      <c r="D482" s="1">
        <v>2.3800000000000001E-6</v>
      </c>
      <c r="E482" s="1">
        <v>3.27E-6</v>
      </c>
      <c r="F482" s="1">
        <v>2.21E-6</v>
      </c>
      <c r="G482" s="1">
        <v>3.5899999999999999E-6</v>
      </c>
      <c r="H482" s="1">
        <v>7.4000000000000003E-6</v>
      </c>
      <c r="I482" s="1">
        <v>4.5600000000000004E-6</v>
      </c>
      <c r="J482" s="1">
        <v>1.6300000000000001E-6</v>
      </c>
      <c r="K482" s="1">
        <v>3.0400000000000001E-6</v>
      </c>
      <c r="L482" s="1">
        <v>3.2799999999999999E-6</v>
      </c>
      <c r="M482" s="1">
        <v>2.5100000000000001E-6</v>
      </c>
      <c r="N482" s="1">
        <v>2.5299999999999999E-6</v>
      </c>
      <c r="O482" s="1">
        <v>1.3400000000000001E-6</v>
      </c>
      <c r="P482" s="1">
        <v>4.42E-6</v>
      </c>
      <c r="Q482" s="1">
        <v>3.6600000000000001E-6</v>
      </c>
      <c r="R482" s="1">
        <v>3.1E-6</v>
      </c>
      <c r="S482" s="1">
        <v>4.2300000000000002E-6</v>
      </c>
      <c r="T482" s="1">
        <v>5.1100000000000002E-6</v>
      </c>
    </row>
    <row r="483" spans="1:20" hidden="1" x14ac:dyDescent="0.25">
      <c r="A483" t="s">
        <v>501</v>
      </c>
      <c r="B483">
        <v>0</v>
      </c>
      <c r="C483" s="1">
        <v>4.0899999999999998E-5</v>
      </c>
      <c r="D483" s="1">
        <v>4.6E-5</v>
      </c>
      <c r="E483" s="1">
        <v>5.7800000000000002E-5</v>
      </c>
      <c r="F483">
        <v>0</v>
      </c>
      <c r="G483">
        <v>0</v>
      </c>
      <c r="H483">
        <v>0</v>
      </c>
      <c r="I483" s="1">
        <v>3.5200000000000002E-5</v>
      </c>
      <c r="J483" s="1">
        <v>2.6699999999999998E-5</v>
      </c>
      <c r="K483" s="1">
        <v>4.0299999999999997E-5</v>
      </c>
      <c r="L483" s="1">
        <v>2.8200000000000001E-5</v>
      </c>
      <c r="M483">
        <v>0</v>
      </c>
      <c r="N483" s="1">
        <v>1.6099999999999998E-5</v>
      </c>
      <c r="O483" s="1">
        <v>4.3999999999999999E-5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hidden="1" x14ac:dyDescent="0.25">
      <c r="A484" t="s">
        <v>502</v>
      </c>
      <c r="B484" s="1">
        <v>2.8399999999999999E-6</v>
      </c>
      <c r="C484" s="1">
        <v>1.5500000000000001E-5</v>
      </c>
      <c r="D484" s="1">
        <v>2.27E-5</v>
      </c>
      <c r="E484" s="1">
        <v>2.4199999999999999E-5</v>
      </c>
      <c r="F484" s="1">
        <v>3.5300000000000001E-6</v>
      </c>
      <c r="G484" s="1">
        <v>5.4399999999999996E-6</v>
      </c>
      <c r="H484" s="1">
        <v>4.0999999999999997E-6</v>
      </c>
      <c r="I484" s="1">
        <v>1.19E-5</v>
      </c>
      <c r="J484" s="1">
        <v>3.4300000000000002E-6</v>
      </c>
      <c r="K484" s="1">
        <v>1.9199999999999999E-5</v>
      </c>
      <c r="L484" s="1">
        <v>1.7600000000000001E-5</v>
      </c>
      <c r="M484">
        <v>0</v>
      </c>
      <c r="N484">
        <v>0</v>
      </c>
      <c r="O484" s="1">
        <v>7.1999999999999997E-6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hidden="1" x14ac:dyDescent="0.25">
      <c r="A485" t="s">
        <v>503</v>
      </c>
      <c r="B485" s="1">
        <v>4.6E-5</v>
      </c>
      <c r="C485" s="1">
        <v>7.6199999999999995E-5</v>
      </c>
      <c r="D485" s="1">
        <v>6.4700000000000001E-5</v>
      </c>
      <c r="E485" s="1">
        <v>5.9799999999999997E-5</v>
      </c>
      <c r="F485" s="1">
        <v>5.49E-5</v>
      </c>
      <c r="G485" s="1">
        <v>5.1100000000000002E-5</v>
      </c>
      <c r="H485">
        <v>0</v>
      </c>
      <c r="I485" s="1">
        <v>7.5799999999999999E-5</v>
      </c>
      <c r="J485">
        <v>0</v>
      </c>
      <c r="K485" s="1">
        <v>5.5099999999999998E-5</v>
      </c>
      <c r="L485" s="1">
        <v>7.0099999999999996E-5</v>
      </c>
      <c r="M485" s="1">
        <v>5.7000000000000003E-5</v>
      </c>
      <c r="N485" s="1">
        <v>7.1199999999999996E-5</v>
      </c>
      <c r="O485" s="1">
        <v>3.8999999999999999E-5</v>
      </c>
      <c r="P485" s="1">
        <v>5.2599999999999998E-5</v>
      </c>
      <c r="Q485" s="1">
        <v>8.0500000000000005E-5</v>
      </c>
      <c r="R485" s="1">
        <v>6.58E-5</v>
      </c>
      <c r="S485" s="1">
        <v>5.52E-5</v>
      </c>
      <c r="T485" s="1">
        <v>5.8199999999999998E-5</v>
      </c>
    </row>
    <row r="486" spans="1:20" hidden="1" x14ac:dyDescent="0.25">
      <c r="A486" t="s">
        <v>504</v>
      </c>
      <c r="B486" s="1">
        <v>5.0500000000000001E-5</v>
      </c>
      <c r="C486" s="1">
        <v>8.2100000000000003E-5</v>
      </c>
      <c r="D486" s="1">
        <v>7.7000000000000001E-5</v>
      </c>
      <c r="E486" s="1">
        <v>4.1E-5</v>
      </c>
      <c r="F486" s="1">
        <v>8.0400000000000003E-5</v>
      </c>
      <c r="G486" s="1">
        <v>5.77E-5</v>
      </c>
      <c r="H486" s="1">
        <v>4.88E-5</v>
      </c>
      <c r="I486" s="1">
        <v>6.8899999999999994E-5</v>
      </c>
      <c r="J486" s="1">
        <v>4.6100000000000002E-5</v>
      </c>
      <c r="K486" s="1">
        <v>6.6099999999999994E-5</v>
      </c>
      <c r="L486" s="1">
        <v>7.3800000000000005E-5</v>
      </c>
      <c r="M486" s="1">
        <v>5.0399999999999999E-5</v>
      </c>
      <c r="N486" s="1">
        <v>5.94E-5</v>
      </c>
      <c r="O486" s="1">
        <v>3.04E-5</v>
      </c>
      <c r="P486" s="1">
        <v>3.9799999999999998E-5</v>
      </c>
      <c r="Q486" s="1">
        <v>5.4700000000000001E-5</v>
      </c>
      <c r="R486" s="1">
        <v>5.1999999999999997E-5</v>
      </c>
      <c r="S486" s="1">
        <v>4.85E-5</v>
      </c>
      <c r="T486" s="1">
        <v>5.49E-5</v>
      </c>
    </row>
    <row r="487" spans="1:20" hidden="1" x14ac:dyDescent="0.25">
      <c r="A487" t="s">
        <v>505</v>
      </c>
      <c r="B487">
        <v>0</v>
      </c>
      <c r="C487" s="1">
        <v>5.3199999999999999E-5</v>
      </c>
      <c r="D487" s="1">
        <v>4.6699999999999997E-5</v>
      </c>
      <c r="E487" s="1">
        <v>3.4799999999999999E-5</v>
      </c>
      <c r="F487">
        <v>0</v>
      </c>
      <c r="G487" s="1">
        <v>2.94E-5</v>
      </c>
      <c r="H487" s="1">
        <v>2.34E-5</v>
      </c>
      <c r="I487" s="1">
        <v>3.57E-5</v>
      </c>
      <c r="J487" s="1">
        <v>2.3099999999999999E-5</v>
      </c>
      <c r="K487" s="1">
        <v>2.0599999999999999E-5</v>
      </c>
      <c r="L487" s="1">
        <v>4.18E-5</v>
      </c>
      <c r="M487" s="1">
        <v>2.83E-5</v>
      </c>
      <c r="N487" s="1">
        <v>3.2400000000000001E-5</v>
      </c>
      <c r="O487" s="1">
        <v>2.2200000000000001E-5</v>
      </c>
      <c r="P487">
        <v>0</v>
      </c>
      <c r="Q487">
        <v>0</v>
      </c>
      <c r="R487" s="1">
        <v>2.0100000000000001E-5</v>
      </c>
      <c r="S487">
        <v>0</v>
      </c>
      <c r="T487">
        <v>0</v>
      </c>
    </row>
    <row r="488" spans="1:20" hidden="1" x14ac:dyDescent="0.25">
      <c r="A488" t="s">
        <v>506</v>
      </c>
      <c r="B488">
        <v>0</v>
      </c>
      <c r="C488" s="1">
        <v>5.49E-5</v>
      </c>
      <c r="D488" s="1">
        <v>4.5200000000000001E-5</v>
      </c>
      <c r="E488" s="1">
        <v>5.2500000000000002E-5</v>
      </c>
      <c r="F488" s="1">
        <v>4.3099999999999997E-5</v>
      </c>
      <c r="G488" s="1">
        <v>2.9099999999999999E-5</v>
      </c>
      <c r="H488" s="1">
        <v>3.1000000000000001E-5</v>
      </c>
      <c r="I488" s="1">
        <v>3.0499999999999999E-5</v>
      </c>
      <c r="J488" s="1">
        <v>3.1099999999999997E-5</v>
      </c>
      <c r="K488" s="1">
        <v>3.8999999999999999E-5</v>
      </c>
      <c r="L488" s="1">
        <v>3.6300000000000001E-5</v>
      </c>
      <c r="M488">
        <v>0</v>
      </c>
      <c r="N488" s="1">
        <v>3.2299999999999999E-5</v>
      </c>
      <c r="O488" s="1">
        <v>3.6000000000000001E-5</v>
      </c>
      <c r="P488">
        <v>0</v>
      </c>
      <c r="Q488" s="1">
        <v>2.4300000000000001E-5</v>
      </c>
      <c r="R488" s="1">
        <v>1.98E-5</v>
      </c>
      <c r="S488">
        <v>0</v>
      </c>
      <c r="T488">
        <v>0</v>
      </c>
    </row>
    <row r="489" spans="1:20" hidden="1" x14ac:dyDescent="0.25">
      <c r="A489" t="s">
        <v>507</v>
      </c>
      <c r="B489">
        <v>2.3843029999999999E-3</v>
      </c>
      <c r="C489">
        <v>3.6176170000000001E-3</v>
      </c>
      <c r="D489">
        <v>2.4051519999999998E-3</v>
      </c>
      <c r="E489">
        <v>2.4870740000000001E-3</v>
      </c>
      <c r="F489">
        <v>2.9024609999999998E-3</v>
      </c>
      <c r="G489">
        <v>2.4885279999999998E-3</v>
      </c>
      <c r="H489">
        <v>2.8235449999999998E-3</v>
      </c>
      <c r="I489">
        <v>2.3582249999999998E-3</v>
      </c>
      <c r="J489">
        <v>2.1026259999999998E-3</v>
      </c>
      <c r="K489">
        <v>2.3145589999999999E-3</v>
      </c>
      <c r="L489">
        <v>2.0228770000000002E-3</v>
      </c>
      <c r="M489">
        <v>1.1909329999999999E-3</v>
      </c>
      <c r="N489">
        <v>1.014727E-3</v>
      </c>
      <c r="O489">
        <v>1.509942E-3</v>
      </c>
      <c r="P489">
        <v>1.246301E-3</v>
      </c>
      <c r="Q489">
        <v>1.0313869999999999E-3</v>
      </c>
      <c r="R489">
        <v>7.8733199999999996E-4</v>
      </c>
      <c r="S489">
        <v>8.2555900000000002E-4</v>
      </c>
      <c r="T489">
        <v>8.1306599999999998E-4</v>
      </c>
    </row>
    <row r="490" spans="1:20" hidden="1" x14ac:dyDescent="0.25">
      <c r="A490" t="s">
        <v>508</v>
      </c>
      <c r="B490" s="1">
        <v>2.9600000000000001E-5</v>
      </c>
      <c r="C490">
        <v>1.2505700000000001E-4</v>
      </c>
      <c r="D490">
        <v>1.09245E-4</v>
      </c>
      <c r="E490">
        <v>1.01766E-4</v>
      </c>
      <c r="F490" s="1">
        <v>3.0899999999999999E-5</v>
      </c>
      <c r="G490" s="1">
        <v>4.5800000000000002E-5</v>
      </c>
      <c r="H490" s="1">
        <v>3.3800000000000002E-5</v>
      </c>
      <c r="I490" s="1">
        <v>4.0200000000000001E-5</v>
      </c>
      <c r="J490" s="1">
        <v>1.7499999999999998E-5</v>
      </c>
      <c r="K490" s="1">
        <v>7.8899999999999993E-5</v>
      </c>
      <c r="L490">
        <v>1.0429699999999999E-4</v>
      </c>
      <c r="M490" s="1">
        <v>2.6699999999999998E-5</v>
      </c>
      <c r="N490" s="1">
        <v>1.6099999999999998E-5</v>
      </c>
      <c r="O490" s="1">
        <v>4.07E-5</v>
      </c>
      <c r="P490" s="1">
        <v>1.5500000000000001E-5</v>
      </c>
      <c r="Q490">
        <v>0</v>
      </c>
      <c r="R490" s="1">
        <v>9.3999999999999998E-6</v>
      </c>
      <c r="S490" s="1">
        <v>9.8800000000000003E-6</v>
      </c>
      <c r="T490" s="1">
        <v>1.7200000000000001E-5</v>
      </c>
    </row>
    <row r="491" spans="1:20" hidden="1" x14ac:dyDescent="0.25">
      <c r="A491" t="s">
        <v>509</v>
      </c>
      <c r="B491">
        <v>4.0329999999999999E-4</v>
      </c>
      <c r="C491">
        <v>1.008087E-3</v>
      </c>
      <c r="D491">
        <v>7.7726200000000003E-4</v>
      </c>
      <c r="E491">
        <v>8.2545000000000003E-4</v>
      </c>
      <c r="F491">
        <v>4.0395600000000002E-4</v>
      </c>
      <c r="G491">
        <v>5.4440700000000001E-4</v>
      </c>
      <c r="H491">
        <v>3.5874000000000002E-4</v>
      </c>
      <c r="I491">
        <v>3.2633100000000002E-4</v>
      </c>
      <c r="J491">
        <v>3.7084200000000002E-4</v>
      </c>
      <c r="K491">
        <v>5.2720700000000002E-4</v>
      </c>
      <c r="L491">
        <v>5.5974400000000004E-4</v>
      </c>
      <c r="M491">
        <v>3.3129999999999998E-4</v>
      </c>
      <c r="N491">
        <v>1.90516E-4</v>
      </c>
      <c r="O491">
        <v>2.8839799999999999E-4</v>
      </c>
      <c r="P491">
        <v>1.7090399999999999E-4</v>
      </c>
      <c r="Q491">
        <v>1.8349300000000001E-4</v>
      </c>
      <c r="R491">
        <v>1.5027500000000001E-4</v>
      </c>
      <c r="S491" s="1">
        <v>8.8700000000000001E-5</v>
      </c>
      <c r="T491">
        <v>2.0979399999999999E-4</v>
      </c>
    </row>
    <row r="492" spans="1:20" hidden="1" x14ac:dyDescent="0.25">
      <c r="A492" t="s">
        <v>510</v>
      </c>
      <c r="B492">
        <v>1.8456599999999999E-4</v>
      </c>
      <c r="C492">
        <v>2.7868400000000002E-4</v>
      </c>
      <c r="D492">
        <v>3.38284E-4</v>
      </c>
      <c r="E492">
        <v>3.2510299999999998E-4</v>
      </c>
      <c r="F492">
        <v>1.9630900000000001E-4</v>
      </c>
      <c r="G492">
        <v>2.15923E-4</v>
      </c>
      <c r="H492">
        <v>1.8709900000000001E-4</v>
      </c>
      <c r="I492">
        <v>1.7526E-4</v>
      </c>
      <c r="J492">
        <v>1.6641E-4</v>
      </c>
      <c r="K492">
        <v>2.2418899999999999E-4</v>
      </c>
      <c r="L492">
        <v>2.2157899999999999E-4</v>
      </c>
      <c r="M492" s="1">
        <v>8.8700000000000001E-5</v>
      </c>
      <c r="N492" s="1">
        <v>5.0899999999999997E-5</v>
      </c>
      <c r="O492">
        <v>2.118E-4</v>
      </c>
      <c r="P492" s="1">
        <v>8.9099999999999997E-5</v>
      </c>
      <c r="Q492" s="1">
        <v>5.5899999999999997E-5</v>
      </c>
      <c r="R492" s="1">
        <v>6.7700000000000006E-5</v>
      </c>
      <c r="S492" s="1">
        <v>7.3100000000000001E-5</v>
      </c>
      <c r="T492" s="1">
        <v>5.4799999999999997E-5</v>
      </c>
    </row>
    <row r="493" spans="1:20" hidden="1" x14ac:dyDescent="0.25">
      <c r="A493" t="s">
        <v>511</v>
      </c>
      <c r="B493" s="1">
        <v>4.0200000000000001E-5</v>
      </c>
      <c r="C493" s="1">
        <v>9.7999999999999997E-5</v>
      </c>
      <c r="D493" s="1">
        <v>5.8900000000000002E-5</v>
      </c>
      <c r="E493" s="1">
        <v>6.1099999999999994E-5</v>
      </c>
      <c r="F493" s="1">
        <v>2.8500000000000002E-5</v>
      </c>
      <c r="G493" s="1">
        <v>5.1799999999999999E-5</v>
      </c>
      <c r="H493" s="1">
        <v>4.5000000000000003E-5</v>
      </c>
      <c r="I493" s="1">
        <v>4.6E-5</v>
      </c>
      <c r="J493" s="1">
        <v>2.7100000000000001E-5</v>
      </c>
      <c r="K493" s="1">
        <v>5.6799999999999998E-5</v>
      </c>
      <c r="L493" s="1">
        <v>5.6400000000000002E-5</v>
      </c>
      <c r="M493" s="1">
        <v>3.8399999999999998E-5</v>
      </c>
      <c r="N493" s="1">
        <v>2.8900000000000001E-5</v>
      </c>
      <c r="O493" s="1">
        <v>2.4199999999999999E-5</v>
      </c>
      <c r="P493" s="1">
        <v>1.5999999999999999E-5</v>
      </c>
      <c r="Q493" s="1">
        <v>3.0499999999999999E-5</v>
      </c>
      <c r="R493" s="1">
        <v>2.4000000000000001E-5</v>
      </c>
      <c r="S493" s="1">
        <v>2.2099999999999998E-5</v>
      </c>
      <c r="T493" s="1">
        <v>2.34E-5</v>
      </c>
    </row>
    <row r="494" spans="1:20" hidden="1" x14ac:dyDescent="0.25">
      <c r="A494" t="s">
        <v>512</v>
      </c>
      <c r="B494" s="1">
        <v>1.88E-5</v>
      </c>
      <c r="C494" s="1">
        <v>1.43E-5</v>
      </c>
      <c r="D494" s="1">
        <v>1.0000000000000001E-5</v>
      </c>
      <c r="E494" s="1">
        <v>1.5E-5</v>
      </c>
      <c r="F494" s="1">
        <v>1.5800000000000001E-5</v>
      </c>
      <c r="G494" s="1">
        <v>2.37E-5</v>
      </c>
      <c r="H494" s="1">
        <v>3.1399999999999998E-5</v>
      </c>
      <c r="I494" s="1">
        <v>2.9799999999999999E-5</v>
      </c>
      <c r="J494" s="1">
        <v>1.7200000000000001E-5</v>
      </c>
      <c r="K494" s="1">
        <v>2.5400000000000001E-5</v>
      </c>
      <c r="L494" s="1">
        <v>1.8700000000000001E-5</v>
      </c>
      <c r="M494" s="1">
        <v>1.06E-5</v>
      </c>
      <c r="N494" s="1">
        <v>2.6299999999999999E-5</v>
      </c>
      <c r="O494" s="1">
        <v>1.17E-5</v>
      </c>
      <c r="P494" s="1">
        <v>3.4499999999999998E-5</v>
      </c>
      <c r="Q494" s="1">
        <v>3.9499999999999998E-5</v>
      </c>
      <c r="R494" s="1">
        <v>4.8699999999999998E-5</v>
      </c>
      <c r="S494" s="1">
        <v>3.7299999999999999E-5</v>
      </c>
      <c r="T494" s="1">
        <v>4.1699999999999997E-5</v>
      </c>
    </row>
    <row r="495" spans="1:20" hidden="1" x14ac:dyDescent="0.25">
      <c r="A495" t="s">
        <v>513</v>
      </c>
      <c r="B495">
        <v>2.1545900000000001E-4</v>
      </c>
      <c r="C495">
        <v>2.5796899999999998E-4</v>
      </c>
      <c r="D495">
        <v>2.9153600000000001E-4</v>
      </c>
      <c r="E495">
        <v>2.5438099999999998E-4</v>
      </c>
      <c r="F495">
        <v>2.16259E-4</v>
      </c>
      <c r="G495">
        <v>1.7997799999999999E-4</v>
      </c>
      <c r="H495">
        <v>1.8677E-4</v>
      </c>
      <c r="I495">
        <v>1.80337E-4</v>
      </c>
      <c r="J495">
        <v>1.9530900000000001E-4</v>
      </c>
      <c r="K495">
        <v>1.9872800000000001E-4</v>
      </c>
      <c r="L495">
        <v>1.7073300000000001E-4</v>
      </c>
      <c r="M495">
        <v>1.40381E-4</v>
      </c>
      <c r="N495">
        <v>1.49899E-4</v>
      </c>
      <c r="O495">
        <v>1.3920800000000001E-4</v>
      </c>
      <c r="P495" s="1">
        <v>6.2500000000000001E-5</v>
      </c>
      <c r="Q495" s="1">
        <v>4.6699999999999997E-5</v>
      </c>
      <c r="R495" s="1">
        <v>5.5099999999999998E-5</v>
      </c>
      <c r="S495" s="1">
        <v>1.95E-5</v>
      </c>
      <c r="T495" s="1">
        <v>5.6400000000000002E-5</v>
      </c>
    </row>
    <row r="496" spans="1:20" hidden="1" x14ac:dyDescent="0.25">
      <c r="A496" t="s">
        <v>514</v>
      </c>
      <c r="B496" s="1">
        <v>3.8500000000000001E-5</v>
      </c>
      <c r="C496" s="1">
        <v>1.7499999999999998E-5</v>
      </c>
      <c r="D496" s="1">
        <v>2.5700000000000001E-5</v>
      </c>
      <c r="E496" s="1">
        <v>2.3799999999999999E-5</v>
      </c>
      <c r="F496" s="1">
        <v>1.9599999999999999E-5</v>
      </c>
      <c r="G496" s="1">
        <v>3.2799999999999998E-5</v>
      </c>
      <c r="H496" s="1">
        <v>2.44E-5</v>
      </c>
      <c r="I496" s="1">
        <v>3.4400000000000003E-5</v>
      </c>
      <c r="J496" s="1">
        <v>3.0300000000000001E-5</v>
      </c>
      <c r="K496" s="1">
        <v>2.09E-5</v>
      </c>
      <c r="L496" s="1">
        <v>2.16E-5</v>
      </c>
      <c r="M496" s="1">
        <v>2.8399999999999999E-5</v>
      </c>
      <c r="N496" s="1">
        <v>4.7200000000000002E-5</v>
      </c>
      <c r="O496" s="1">
        <v>4.1600000000000002E-5</v>
      </c>
      <c r="P496" s="1">
        <v>2.5899999999999999E-5</v>
      </c>
      <c r="Q496" s="1">
        <v>2.3499999999999999E-5</v>
      </c>
      <c r="R496" s="1">
        <v>2.55E-5</v>
      </c>
      <c r="S496" s="1">
        <v>2.12E-5</v>
      </c>
      <c r="T496" s="1">
        <v>2.3E-5</v>
      </c>
    </row>
    <row r="497" spans="1:20" hidden="1" x14ac:dyDescent="0.25">
      <c r="A497" t="s">
        <v>515</v>
      </c>
      <c r="B497">
        <v>8.1989200000000002E-4</v>
      </c>
      <c r="C497">
        <v>8.8699199999999997E-4</v>
      </c>
      <c r="D497">
        <v>1.056038E-3</v>
      </c>
      <c r="E497">
        <v>9.896900000000001E-4</v>
      </c>
      <c r="F497">
        <v>6.4080099999999998E-4</v>
      </c>
      <c r="G497">
        <v>5.1800800000000003E-4</v>
      </c>
      <c r="H497">
        <v>5.7251800000000005E-4</v>
      </c>
      <c r="I497">
        <v>6.60661E-4</v>
      </c>
      <c r="J497">
        <v>5.7954299999999996E-4</v>
      </c>
      <c r="K497">
        <v>8.4321400000000001E-4</v>
      </c>
      <c r="L497">
        <v>7.0889900000000003E-4</v>
      </c>
      <c r="M497">
        <v>5.0912799999999997E-4</v>
      </c>
      <c r="N497">
        <v>5.5316499999999999E-4</v>
      </c>
      <c r="O497">
        <v>6.3354199999999996E-4</v>
      </c>
      <c r="P497">
        <v>2.5481400000000002E-4</v>
      </c>
      <c r="Q497">
        <v>2.23422E-4</v>
      </c>
      <c r="R497">
        <v>1.5659800000000001E-4</v>
      </c>
      <c r="S497">
        <v>1.68739E-4</v>
      </c>
      <c r="T497">
        <v>2.2593400000000001E-4</v>
      </c>
    </row>
    <row r="498" spans="1:20" hidden="1" x14ac:dyDescent="0.25">
      <c r="A498" t="s">
        <v>516</v>
      </c>
      <c r="B498" s="1">
        <v>1.1E-5</v>
      </c>
      <c r="C498">
        <v>0</v>
      </c>
      <c r="D498">
        <v>0</v>
      </c>
      <c r="E498">
        <v>0</v>
      </c>
      <c r="F498" s="1">
        <v>1.7200000000000001E-5</v>
      </c>
      <c r="G498">
        <v>0</v>
      </c>
      <c r="H498" s="1">
        <v>1.52E-5</v>
      </c>
      <c r="I498" s="1">
        <v>2.16E-5</v>
      </c>
      <c r="J498" s="1">
        <v>1.3499999999999999E-5</v>
      </c>
      <c r="K498">
        <v>0</v>
      </c>
      <c r="L498" s="1">
        <v>9.0999999999999993E-6</v>
      </c>
      <c r="M498" s="1">
        <v>1.6099999999999998E-5</v>
      </c>
      <c r="N498" s="1">
        <v>2.3200000000000001E-5</v>
      </c>
      <c r="O498" s="1">
        <v>6.6699999999999997E-6</v>
      </c>
      <c r="P498" s="1">
        <v>2.72E-5</v>
      </c>
      <c r="Q498" s="1">
        <v>7.75E-5</v>
      </c>
      <c r="R498" s="1">
        <v>3.6900000000000002E-5</v>
      </c>
      <c r="S498" s="1">
        <v>4.8900000000000003E-5</v>
      </c>
      <c r="T498" s="1">
        <v>5.27E-5</v>
      </c>
    </row>
    <row r="499" spans="1:20" hidden="1" x14ac:dyDescent="0.25">
      <c r="A499" t="s">
        <v>517</v>
      </c>
      <c r="B499">
        <v>1.1001518E-2</v>
      </c>
      <c r="C499">
        <v>8.9872189999999994E-3</v>
      </c>
      <c r="D499">
        <v>1.0688367000000001E-2</v>
      </c>
      <c r="E499">
        <v>1.0236153E-2</v>
      </c>
      <c r="F499">
        <v>9.3322570000000001E-3</v>
      </c>
      <c r="G499">
        <v>8.8231709999999994E-3</v>
      </c>
      <c r="H499">
        <v>9.1199460000000003E-3</v>
      </c>
      <c r="I499">
        <v>9.9602809999999996E-3</v>
      </c>
      <c r="J499">
        <v>1.2211893E-2</v>
      </c>
      <c r="K499">
        <v>1.1585949E-2</v>
      </c>
      <c r="L499">
        <v>1.0973326E-2</v>
      </c>
      <c r="M499">
        <v>1.1166855E-2</v>
      </c>
      <c r="N499">
        <v>1.0557486E-2</v>
      </c>
      <c r="O499">
        <v>1.3155610999999999E-2</v>
      </c>
      <c r="P499">
        <v>9.0311320000000007E-3</v>
      </c>
      <c r="Q499">
        <v>6.9034730000000002E-3</v>
      </c>
      <c r="R499">
        <v>7.8304870000000006E-3</v>
      </c>
      <c r="S499">
        <v>5.3607109999999998E-3</v>
      </c>
      <c r="T499">
        <v>6.0532750000000003E-3</v>
      </c>
    </row>
    <row r="500" spans="1:20" hidden="1" x14ac:dyDescent="0.25">
      <c r="A500" t="s">
        <v>518</v>
      </c>
      <c r="B500">
        <v>5.9761500000000002E-4</v>
      </c>
      <c r="C500">
        <v>5.9243100000000003E-4</v>
      </c>
      <c r="D500">
        <v>8.2466500000000003E-4</v>
      </c>
      <c r="E500">
        <v>7.7115799999999998E-4</v>
      </c>
      <c r="F500">
        <v>7.2369700000000003E-4</v>
      </c>
      <c r="G500">
        <v>6.0454699999999998E-4</v>
      </c>
      <c r="H500">
        <v>6.5134500000000001E-4</v>
      </c>
      <c r="I500">
        <v>7.4042699999999999E-4</v>
      </c>
      <c r="J500">
        <v>9.3779099999999999E-4</v>
      </c>
      <c r="K500">
        <v>8.3745100000000002E-4</v>
      </c>
      <c r="L500">
        <v>6.6053300000000004E-4</v>
      </c>
      <c r="M500">
        <v>7.6884299999999996E-4</v>
      </c>
      <c r="N500">
        <v>9.4464500000000003E-4</v>
      </c>
      <c r="O500">
        <v>1.0743440000000001E-3</v>
      </c>
      <c r="P500">
        <v>8.7989100000000005E-4</v>
      </c>
      <c r="Q500">
        <v>9.6483300000000001E-4</v>
      </c>
      <c r="R500">
        <v>1.022322E-3</v>
      </c>
      <c r="S500">
        <v>1.299791E-3</v>
      </c>
      <c r="T500">
        <v>1.1812389999999999E-3</v>
      </c>
    </row>
    <row r="501" spans="1:20" hidden="1" x14ac:dyDescent="0.25">
      <c r="A501" t="s">
        <v>519</v>
      </c>
      <c r="B501">
        <v>1.5721499999999999E-4</v>
      </c>
      <c r="C501">
        <v>1.4590800000000001E-4</v>
      </c>
      <c r="D501">
        <v>2.1480300000000001E-4</v>
      </c>
      <c r="E501">
        <v>2.24236E-4</v>
      </c>
      <c r="F501">
        <v>1.1599600000000001E-4</v>
      </c>
      <c r="G501">
        <v>1.08897E-4</v>
      </c>
      <c r="H501">
        <v>1.2264900000000001E-4</v>
      </c>
      <c r="I501">
        <v>1.2752299999999999E-4</v>
      </c>
      <c r="J501">
        <v>1.4014799999999999E-4</v>
      </c>
      <c r="K501">
        <v>1.4308100000000001E-4</v>
      </c>
      <c r="L501">
        <v>1.05022E-4</v>
      </c>
      <c r="M501" s="1">
        <v>7.1899999999999999E-5</v>
      </c>
      <c r="N501" s="1">
        <v>6.0699999999999998E-5</v>
      </c>
      <c r="O501">
        <v>2.0641E-4</v>
      </c>
      <c r="P501" s="1">
        <v>5.91E-5</v>
      </c>
      <c r="Q501" s="1">
        <v>3.43E-5</v>
      </c>
      <c r="R501" s="1">
        <v>5.3499999999999999E-5</v>
      </c>
      <c r="S501" s="1">
        <v>3.6100000000000003E-5</v>
      </c>
      <c r="T501" s="1">
        <v>3.4799999999999999E-5</v>
      </c>
    </row>
    <row r="502" spans="1:20" hidden="1" x14ac:dyDescent="0.25">
      <c r="A502" t="s">
        <v>520</v>
      </c>
      <c r="B502">
        <v>4.8048600000000002E-4</v>
      </c>
      <c r="C502">
        <v>4.44406E-4</v>
      </c>
      <c r="D502">
        <v>5.9161700000000001E-4</v>
      </c>
      <c r="E502">
        <v>5.2848700000000001E-4</v>
      </c>
      <c r="F502">
        <v>4.8557299999999999E-4</v>
      </c>
      <c r="G502">
        <v>3.3036200000000001E-4</v>
      </c>
      <c r="H502">
        <v>4.2655699999999999E-4</v>
      </c>
      <c r="I502">
        <v>5.5555700000000003E-4</v>
      </c>
      <c r="J502">
        <v>4.6402500000000002E-4</v>
      </c>
      <c r="K502">
        <v>5.0118799999999996E-4</v>
      </c>
      <c r="L502">
        <v>3.6488900000000002E-4</v>
      </c>
      <c r="M502">
        <v>3.14176E-4</v>
      </c>
      <c r="N502">
        <v>3.5181399999999999E-4</v>
      </c>
      <c r="O502">
        <v>5.04985E-4</v>
      </c>
      <c r="P502">
        <v>2.4798300000000001E-4</v>
      </c>
      <c r="Q502">
        <v>9.0530099999999996E-4</v>
      </c>
      <c r="R502">
        <v>4.4803600000000002E-4</v>
      </c>
      <c r="S502">
        <v>1.6708200000000001E-4</v>
      </c>
      <c r="T502">
        <v>3.8538800000000002E-4</v>
      </c>
    </row>
    <row r="503" spans="1:20" hidden="1" x14ac:dyDescent="0.25">
      <c r="A503" t="s">
        <v>521</v>
      </c>
      <c r="B503" s="1">
        <v>1.5400000000000002E-5</v>
      </c>
      <c r="C503" s="1">
        <v>6.2000000000000003E-5</v>
      </c>
      <c r="D503" s="1">
        <v>3.26E-5</v>
      </c>
      <c r="E503" s="1">
        <v>2.3499999999999999E-5</v>
      </c>
      <c r="F503" s="1">
        <v>2.4899999999999999E-5</v>
      </c>
      <c r="G503" s="1">
        <v>3.6999999999999998E-5</v>
      </c>
      <c r="H503" s="1">
        <v>4.3800000000000001E-5</v>
      </c>
      <c r="I503">
        <v>0</v>
      </c>
      <c r="J503">
        <v>0</v>
      </c>
      <c r="K503" s="1">
        <v>1.5699999999999999E-5</v>
      </c>
      <c r="L503" s="1">
        <v>1.11E-5</v>
      </c>
      <c r="M503">
        <v>1.3909799999999999E-4</v>
      </c>
      <c r="N503" s="1">
        <v>6.3800000000000006E-5</v>
      </c>
      <c r="O503" s="1">
        <v>9.9599999999999995E-5</v>
      </c>
      <c r="P503">
        <v>0</v>
      </c>
      <c r="Q503">
        <v>0</v>
      </c>
      <c r="R503">
        <v>0</v>
      </c>
      <c r="S503" s="1">
        <v>5.2800000000000003E-5</v>
      </c>
      <c r="T503" s="1">
        <v>8.3800000000000004E-5</v>
      </c>
    </row>
    <row r="504" spans="1:20" hidden="1" x14ac:dyDescent="0.25">
      <c r="A504" t="s">
        <v>522</v>
      </c>
      <c r="B504" s="1">
        <v>2.55E-5</v>
      </c>
      <c r="C504" s="1">
        <v>9.7499999999999998E-5</v>
      </c>
      <c r="D504" s="1">
        <v>4.4100000000000001E-5</v>
      </c>
      <c r="E504" s="1">
        <v>4.4199999999999997E-5</v>
      </c>
      <c r="F504" s="1">
        <v>3.6900000000000002E-5</v>
      </c>
      <c r="G504" s="1">
        <v>7.0199999999999999E-5</v>
      </c>
      <c r="H504" s="1">
        <v>8.3900000000000006E-5</v>
      </c>
      <c r="I504">
        <v>0</v>
      </c>
      <c r="J504">
        <v>0</v>
      </c>
      <c r="K504" s="1">
        <v>2.2399999999999999E-5</v>
      </c>
      <c r="L504" s="1">
        <v>1.2300000000000001E-5</v>
      </c>
      <c r="M504">
        <v>2.49907E-4</v>
      </c>
      <c r="N504">
        <v>1.08995E-4</v>
      </c>
      <c r="O504">
        <v>1.75608E-4</v>
      </c>
      <c r="P504">
        <v>0</v>
      </c>
      <c r="Q504">
        <v>0</v>
      </c>
      <c r="R504">
        <v>0</v>
      </c>
      <c r="S504" s="1">
        <v>8.9499999999999994E-5</v>
      </c>
      <c r="T504">
        <v>1.3623899999999999E-4</v>
      </c>
    </row>
    <row r="505" spans="1:20" hidden="1" x14ac:dyDescent="0.25">
      <c r="A505" t="s">
        <v>523</v>
      </c>
      <c r="B505" s="1">
        <v>1.42E-5</v>
      </c>
      <c r="C505" s="1">
        <v>8.8700000000000001E-5</v>
      </c>
      <c r="D505" s="1">
        <v>3.5800000000000003E-5</v>
      </c>
      <c r="E505" s="1">
        <v>3.3699999999999999E-5</v>
      </c>
      <c r="F505" s="1">
        <v>3.93E-5</v>
      </c>
      <c r="G505" s="1">
        <v>7.3999999999999996E-5</v>
      </c>
      <c r="H505">
        <v>1.0017E-4</v>
      </c>
      <c r="I505">
        <v>0</v>
      </c>
      <c r="J505">
        <v>0</v>
      </c>
      <c r="K505" s="1">
        <v>1.7499999999999998E-5</v>
      </c>
      <c r="L505" s="1">
        <v>1.1199999999999999E-5</v>
      </c>
      <c r="M505">
        <v>2.1090599999999999E-4</v>
      </c>
      <c r="N505" s="1">
        <v>9.2999999999999997E-5</v>
      </c>
      <c r="O505">
        <v>1.5974000000000001E-4</v>
      </c>
      <c r="P505">
        <v>0</v>
      </c>
      <c r="Q505" s="1">
        <v>4.34E-6</v>
      </c>
      <c r="R505">
        <v>0</v>
      </c>
      <c r="S505" s="1">
        <v>9.3399999999999993E-5</v>
      </c>
      <c r="T505">
        <v>1.47071E-4</v>
      </c>
    </row>
    <row r="506" spans="1:20" hidden="1" x14ac:dyDescent="0.25">
      <c r="A506" t="s">
        <v>524</v>
      </c>
      <c r="B506" s="1">
        <v>3.32E-6</v>
      </c>
      <c r="C506" s="1">
        <v>6.5799999999999997E-6</v>
      </c>
      <c r="D506" s="1">
        <v>4.3100000000000002E-6</v>
      </c>
      <c r="E506" s="1">
        <v>5.13E-6</v>
      </c>
      <c r="F506" s="1">
        <v>4.0899999999999998E-6</v>
      </c>
      <c r="G506" s="1">
        <v>3.8399999999999997E-6</v>
      </c>
      <c r="H506" s="1">
        <v>3.0299999999999998E-6</v>
      </c>
      <c r="I506" s="1">
        <v>3.32E-6</v>
      </c>
      <c r="J506" s="1">
        <v>2.8499999999999998E-6</v>
      </c>
      <c r="K506" s="1">
        <v>5.8599999999999998E-6</v>
      </c>
      <c r="L506" s="1">
        <v>6.8600000000000004E-6</v>
      </c>
      <c r="M506" s="1">
        <v>4.8099999999999997E-6</v>
      </c>
      <c r="N506" s="1">
        <v>5.6300000000000003E-6</v>
      </c>
      <c r="O506" s="1">
        <v>3.2600000000000001E-6</v>
      </c>
      <c r="P506" s="1">
        <v>5.2399999999999998E-6</v>
      </c>
      <c r="Q506" s="1">
        <v>5.0499999999999999E-6</v>
      </c>
      <c r="R506" s="1">
        <v>6.5300000000000002E-6</v>
      </c>
      <c r="S506" s="1">
        <v>4.78E-6</v>
      </c>
      <c r="T506" s="1">
        <v>3.98E-6</v>
      </c>
    </row>
    <row r="507" spans="1:20" hidden="1" x14ac:dyDescent="0.25">
      <c r="A507" t="s">
        <v>525</v>
      </c>
      <c r="B507">
        <v>3.08478E-4</v>
      </c>
      <c r="C507">
        <v>3.1766999999999999E-4</v>
      </c>
      <c r="D507">
        <v>5.8164800000000004E-4</v>
      </c>
      <c r="E507">
        <v>5.7997099999999998E-4</v>
      </c>
      <c r="F507">
        <v>2.9263899999999997E-4</v>
      </c>
      <c r="G507">
        <v>4.7232399999999999E-4</v>
      </c>
      <c r="H507">
        <v>2.9820500000000001E-4</v>
      </c>
      <c r="I507">
        <v>2.24842E-4</v>
      </c>
      <c r="J507">
        <v>2.74541E-4</v>
      </c>
      <c r="K507">
        <v>4.2567899999999999E-4</v>
      </c>
      <c r="L507">
        <v>4.3597900000000002E-4</v>
      </c>
      <c r="M507">
        <v>1.88514E-4</v>
      </c>
      <c r="N507">
        <v>1.98841E-4</v>
      </c>
      <c r="O507">
        <v>4.2377000000000002E-4</v>
      </c>
      <c r="P507">
        <v>2.2322999999999999E-4</v>
      </c>
      <c r="Q507">
        <v>2.8957100000000002E-4</v>
      </c>
      <c r="R507">
        <v>2.5516299999999998E-4</v>
      </c>
      <c r="S507">
        <v>2.4517099999999997E-4</v>
      </c>
      <c r="T507">
        <v>3.0897500000000002E-4</v>
      </c>
    </row>
    <row r="508" spans="1:20" hidden="1" x14ac:dyDescent="0.25">
      <c r="A508" t="s">
        <v>526</v>
      </c>
      <c r="B508" s="1">
        <v>2.5299999999999998E-5</v>
      </c>
      <c r="C508" s="1">
        <v>2.3499999999999999E-5</v>
      </c>
      <c r="D508" s="1">
        <v>1.27E-5</v>
      </c>
      <c r="E508" s="1">
        <v>2.6400000000000001E-5</v>
      </c>
      <c r="F508" s="1">
        <v>3.4999999999999997E-5</v>
      </c>
      <c r="G508" s="1">
        <v>4.0099999999999999E-5</v>
      </c>
      <c r="H508" s="1">
        <v>3.68E-5</v>
      </c>
      <c r="I508" s="1">
        <v>3.54E-5</v>
      </c>
      <c r="J508" s="1">
        <v>4.21E-5</v>
      </c>
      <c r="K508" s="1">
        <v>2.8399999999999999E-5</v>
      </c>
      <c r="L508" s="1">
        <v>2.1800000000000001E-5</v>
      </c>
      <c r="M508" s="1">
        <v>2.4700000000000001E-5</v>
      </c>
      <c r="N508" s="1">
        <v>3.0599999999999998E-5</v>
      </c>
      <c r="O508" s="1">
        <v>2.1100000000000001E-5</v>
      </c>
      <c r="P508" s="1">
        <v>3.01E-5</v>
      </c>
      <c r="Q508" s="1">
        <v>3.0700000000000001E-5</v>
      </c>
      <c r="R508" s="1">
        <v>3.7200000000000003E-5</v>
      </c>
      <c r="S508" s="1">
        <v>3.82E-5</v>
      </c>
      <c r="T508" s="1">
        <v>3.01E-5</v>
      </c>
    </row>
    <row r="509" spans="1:20" hidden="1" x14ac:dyDescent="0.25">
      <c r="A509" t="s">
        <v>527</v>
      </c>
      <c r="B509">
        <v>0</v>
      </c>
      <c r="C509">
        <v>4.3762100000000002E-4</v>
      </c>
      <c r="D509">
        <v>1.79583E-4</v>
      </c>
      <c r="E509">
        <v>1.7070099999999999E-4</v>
      </c>
      <c r="F509">
        <v>0</v>
      </c>
      <c r="G509">
        <v>1.4468599999999999E-4</v>
      </c>
      <c r="H509" s="1">
        <v>5.5399999999999998E-5</v>
      </c>
      <c r="I509">
        <v>1.02927E-4</v>
      </c>
      <c r="J509">
        <v>2.7993799999999998E-4</v>
      </c>
      <c r="K509" s="1">
        <v>8.5199999999999997E-5</v>
      </c>
      <c r="L509">
        <v>1.7829400000000001E-4</v>
      </c>
      <c r="M509">
        <v>0</v>
      </c>
      <c r="N509">
        <v>0</v>
      </c>
      <c r="O509" s="1">
        <v>8.9900000000000003E-5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hidden="1" x14ac:dyDescent="0.25">
      <c r="A510" t="s">
        <v>528</v>
      </c>
      <c r="B510" s="1">
        <v>6.4700000000000001E-5</v>
      </c>
      <c r="C510">
        <v>2.2766600000000001E-4</v>
      </c>
      <c r="D510">
        <v>1.2536700000000001E-4</v>
      </c>
      <c r="E510">
        <v>1.3564600000000001E-4</v>
      </c>
      <c r="F510" s="1">
        <v>8.1299999999999997E-5</v>
      </c>
      <c r="G510">
        <v>1.9518700000000001E-4</v>
      </c>
      <c r="H510">
        <v>1.2032900000000001E-4</v>
      </c>
      <c r="I510">
        <v>1.3387499999999999E-4</v>
      </c>
      <c r="J510" s="1">
        <v>7.36E-5</v>
      </c>
      <c r="K510">
        <v>1.49937E-4</v>
      </c>
      <c r="L510">
        <v>1.70521E-4</v>
      </c>
      <c r="M510" s="1">
        <v>6.4599999999999998E-5</v>
      </c>
      <c r="N510" s="1">
        <v>4.07E-5</v>
      </c>
      <c r="O510">
        <v>1.2367699999999999E-4</v>
      </c>
      <c r="P510" s="1">
        <v>8.1500000000000002E-5</v>
      </c>
      <c r="Q510">
        <v>1.06468E-4</v>
      </c>
      <c r="R510">
        <v>1.07842E-4</v>
      </c>
      <c r="S510">
        <v>1.20575E-4</v>
      </c>
      <c r="T510">
        <v>1.18733E-4</v>
      </c>
    </row>
    <row r="511" spans="1:20" hidden="1" x14ac:dyDescent="0.25">
      <c r="A511" t="s">
        <v>529</v>
      </c>
      <c r="B511" s="1">
        <v>1.8300000000000001E-5</v>
      </c>
      <c r="C511" s="1">
        <v>8.8999999999999995E-5</v>
      </c>
      <c r="D511" s="1">
        <v>2.6999999999999999E-5</v>
      </c>
      <c r="E511" s="1">
        <v>5.1100000000000002E-5</v>
      </c>
      <c r="F511" s="1">
        <v>2.3099999999999999E-5</v>
      </c>
      <c r="G511" s="1">
        <v>3.9700000000000003E-5</v>
      </c>
      <c r="H511" s="1">
        <v>2.1699999999999999E-5</v>
      </c>
      <c r="I511" s="1">
        <v>4.0200000000000001E-5</v>
      </c>
      <c r="J511" s="1">
        <v>2.4700000000000001E-5</v>
      </c>
      <c r="K511" s="1">
        <v>2.9E-5</v>
      </c>
      <c r="L511" s="1">
        <v>4.0399999999999999E-5</v>
      </c>
      <c r="M511" s="1">
        <v>2.4600000000000002E-5</v>
      </c>
      <c r="N511" s="1">
        <v>1.8499999999999999E-5</v>
      </c>
      <c r="O511" s="1">
        <v>2.0299999999999999E-5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hidden="1" x14ac:dyDescent="0.25">
      <c r="A512" t="s">
        <v>530</v>
      </c>
      <c r="B512" s="1">
        <v>1.4E-5</v>
      </c>
      <c r="C512" s="1">
        <v>2.0800000000000001E-5</v>
      </c>
      <c r="D512" s="1">
        <v>1.77E-5</v>
      </c>
      <c r="E512" s="1">
        <v>1.9000000000000001E-5</v>
      </c>
      <c r="F512">
        <v>0</v>
      </c>
      <c r="G512" s="1">
        <v>5.0099999999999998E-5</v>
      </c>
      <c r="H512" s="1">
        <v>2.7100000000000001E-5</v>
      </c>
      <c r="I512" s="1">
        <v>3.65E-5</v>
      </c>
      <c r="J512" s="1">
        <v>1.9899999999999999E-5</v>
      </c>
      <c r="K512" s="1">
        <v>2.2399999999999999E-5</v>
      </c>
      <c r="L512" s="1">
        <v>2.76E-5</v>
      </c>
      <c r="M512" s="1">
        <v>2.0599999999999999E-5</v>
      </c>
      <c r="N512" s="1">
        <v>1.7399999999999999E-5</v>
      </c>
      <c r="O512" s="1">
        <v>2.3900000000000002E-5</v>
      </c>
      <c r="P512" s="1">
        <v>2.5400000000000001E-5</v>
      </c>
      <c r="Q512" s="1">
        <v>2.5599999999999999E-5</v>
      </c>
      <c r="R512" s="1">
        <v>2.1999999999999999E-5</v>
      </c>
      <c r="S512" s="1">
        <v>3.9199999999999997E-5</v>
      </c>
      <c r="T512" s="1">
        <v>3.1900000000000003E-5</v>
      </c>
    </row>
    <row r="513" spans="1:20" hidden="1" x14ac:dyDescent="0.25">
      <c r="A513" t="s">
        <v>531</v>
      </c>
      <c r="B513">
        <v>0</v>
      </c>
      <c r="C513" s="1">
        <v>3.5099999999999999E-5</v>
      </c>
      <c r="D513" s="1">
        <v>2.9200000000000002E-5</v>
      </c>
      <c r="E513" s="1">
        <v>2.5400000000000001E-5</v>
      </c>
      <c r="F513">
        <v>0</v>
      </c>
      <c r="G513" s="1">
        <v>2.6699999999999998E-5</v>
      </c>
      <c r="H513">
        <v>0</v>
      </c>
      <c r="I513" s="1">
        <v>1.6900000000000001E-5</v>
      </c>
      <c r="J513">
        <v>0</v>
      </c>
      <c r="K513" s="1">
        <v>1.3699999999999999E-5</v>
      </c>
      <c r="L513" s="1">
        <v>2.0800000000000001E-5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hidden="1" x14ac:dyDescent="0.25">
      <c r="A514" t="s">
        <v>532</v>
      </c>
      <c r="B514" s="1">
        <v>4.3399999999999998E-5</v>
      </c>
      <c r="C514" s="1">
        <v>6.41E-5</v>
      </c>
      <c r="D514" s="1">
        <v>5.0599999999999997E-5</v>
      </c>
      <c r="E514" s="1">
        <v>5.7500000000000002E-5</v>
      </c>
      <c r="F514" s="1">
        <v>3.4999999999999997E-5</v>
      </c>
      <c r="G514" s="1">
        <v>7.5500000000000006E-5</v>
      </c>
      <c r="H514" s="1">
        <v>5.6199999999999997E-5</v>
      </c>
      <c r="I514" s="1">
        <v>6.7399999999999998E-5</v>
      </c>
      <c r="J514" s="1">
        <v>3.8300000000000003E-5</v>
      </c>
      <c r="K514" s="1">
        <v>4.7500000000000003E-5</v>
      </c>
      <c r="L514" s="1">
        <v>5.7299999999999997E-5</v>
      </c>
      <c r="M514" s="1">
        <v>4.2599999999999999E-5</v>
      </c>
      <c r="N514" s="1">
        <v>3.8999999999999999E-5</v>
      </c>
      <c r="O514" s="1">
        <v>3.7700000000000002E-5</v>
      </c>
      <c r="P514" s="1">
        <v>4.9299999999999999E-5</v>
      </c>
      <c r="Q514" s="1">
        <v>7.5799999999999999E-5</v>
      </c>
      <c r="R514" s="1">
        <v>5.63E-5</v>
      </c>
      <c r="S514" s="1">
        <v>6.4399999999999993E-5</v>
      </c>
      <c r="T514" s="1">
        <v>6.02E-5</v>
      </c>
    </row>
    <row r="515" spans="1:20" hidden="1" x14ac:dyDescent="0.25">
      <c r="A515" t="s">
        <v>533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1">
        <v>1.1800000000000001E-5</v>
      </c>
      <c r="Q515" s="1">
        <v>2.62E-5</v>
      </c>
      <c r="R515" s="1">
        <v>2.0599999999999999E-5</v>
      </c>
      <c r="S515" s="1">
        <v>1.7499999999999998E-5</v>
      </c>
      <c r="T515" s="1">
        <v>2.8E-5</v>
      </c>
    </row>
    <row r="516" spans="1:20" hidden="1" x14ac:dyDescent="0.25">
      <c r="A516" t="s">
        <v>534</v>
      </c>
      <c r="B516" s="1">
        <v>3.26E-5</v>
      </c>
      <c r="C516">
        <v>0</v>
      </c>
      <c r="D516" s="1">
        <v>1.52E-5</v>
      </c>
      <c r="E516">
        <v>0</v>
      </c>
      <c r="F516" s="1">
        <v>1.9300000000000002E-5</v>
      </c>
      <c r="G516" s="1">
        <v>1.5400000000000002E-5</v>
      </c>
      <c r="H516" s="1">
        <v>4.2200000000000003E-5</v>
      </c>
      <c r="I516">
        <v>0</v>
      </c>
      <c r="J516" s="1">
        <v>2.6599999999999999E-5</v>
      </c>
      <c r="K516" s="1">
        <v>2.5400000000000001E-5</v>
      </c>
      <c r="L516" s="1">
        <v>1.43E-5</v>
      </c>
      <c r="M516" s="1">
        <v>3.82E-5</v>
      </c>
      <c r="N516" s="1">
        <v>6.8300000000000007E-5</v>
      </c>
      <c r="O516">
        <v>0</v>
      </c>
      <c r="P516" s="1">
        <v>8.2700000000000004E-5</v>
      </c>
      <c r="Q516" s="1">
        <v>8.6199999999999995E-5</v>
      </c>
      <c r="R516" s="1">
        <v>8.2999999999999998E-5</v>
      </c>
      <c r="S516" s="1">
        <v>5.0000000000000002E-5</v>
      </c>
      <c r="T516" s="1">
        <v>7.2999999999999999E-5</v>
      </c>
    </row>
    <row r="517" spans="1:20" hidden="1" x14ac:dyDescent="0.25">
      <c r="A517" t="s">
        <v>535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 s="1">
        <v>1.4100000000000001E-5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1">
        <v>1.8E-5</v>
      </c>
      <c r="Q517" s="1">
        <v>3.3800000000000002E-5</v>
      </c>
      <c r="R517" s="1">
        <v>3.01E-5</v>
      </c>
      <c r="S517" s="1">
        <v>4.5000000000000003E-5</v>
      </c>
      <c r="T517" s="1">
        <v>3.15E-5</v>
      </c>
    </row>
    <row r="518" spans="1:20" hidden="1" x14ac:dyDescent="0.25">
      <c r="A518" t="s">
        <v>536</v>
      </c>
      <c r="B518" s="1">
        <v>9.0299999999999999E-5</v>
      </c>
      <c r="C518" s="1">
        <v>2.7800000000000001E-5</v>
      </c>
      <c r="D518" s="1">
        <v>4.71E-5</v>
      </c>
      <c r="E518" s="1">
        <v>3.4499999999999998E-5</v>
      </c>
      <c r="F518" s="1">
        <v>5.8499999999999999E-5</v>
      </c>
      <c r="G518" s="1">
        <v>4.49E-5</v>
      </c>
      <c r="H518">
        <v>1.0517400000000001E-4</v>
      </c>
      <c r="I518" s="1">
        <v>3.9700000000000003E-5</v>
      </c>
      <c r="J518" s="1">
        <v>8.4800000000000001E-5</v>
      </c>
      <c r="K518" s="1">
        <v>5.2299999999999997E-5</v>
      </c>
      <c r="L518" s="1">
        <v>1.9700000000000001E-5</v>
      </c>
      <c r="M518" s="1">
        <v>5.1E-5</v>
      </c>
      <c r="N518" s="1">
        <v>7.8300000000000006E-5</v>
      </c>
      <c r="O518" s="1">
        <v>5.9799999999999997E-5</v>
      </c>
      <c r="P518">
        <v>1.28116E-4</v>
      </c>
      <c r="Q518">
        <v>1.40562E-4</v>
      </c>
      <c r="R518">
        <v>1.1293E-4</v>
      </c>
      <c r="S518" s="1">
        <v>6.4300000000000004E-5</v>
      </c>
      <c r="T518">
        <v>1.40402E-4</v>
      </c>
    </row>
    <row r="519" spans="1:20" hidden="1" x14ac:dyDescent="0.25">
      <c r="A519" t="s">
        <v>537</v>
      </c>
      <c r="B519" s="1">
        <v>5.7599999999999997E-5</v>
      </c>
      <c r="C519" s="1">
        <v>5.9899999999999999E-5</v>
      </c>
      <c r="D519">
        <v>1.11172E-4</v>
      </c>
      <c r="E519" s="1">
        <v>3.3800000000000002E-5</v>
      </c>
      <c r="F519" s="1">
        <v>5.3999999999999998E-5</v>
      </c>
      <c r="G519" s="1">
        <v>9.4199999999999999E-5</v>
      </c>
      <c r="H519">
        <v>3.5398E-4</v>
      </c>
      <c r="I519" s="1">
        <v>5.7800000000000002E-5</v>
      </c>
      <c r="J519" s="1">
        <v>5.7500000000000002E-5</v>
      </c>
      <c r="K519" s="1">
        <v>4.7800000000000003E-5</v>
      </c>
      <c r="L519" s="1">
        <v>9.3399999999999993E-5</v>
      </c>
      <c r="M519">
        <v>2.4404400000000001E-4</v>
      </c>
      <c r="N519">
        <v>1.9917599999999999E-4</v>
      </c>
      <c r="O519" s="1">
        <v>9.2399999999999996E-5</v>
      </c>
      <c r="P519">
        <v>1.6658800000000001E-4</v>
      </c>
      <c r="Q519" s="1">
        <v>7.3700000000000002E-5</v>
      </c>
      <c r="R519" s="1">
        <v>8.3800000000000004E-5</v>
      </c>
      <c r="S519">
        <v>1.34232E-4</v>
      </c>
      <c r="T519">
        <v>1.8085099999999999E-4</v>
      </c>
    </row>
    <row r="520" spans="1:20" hidden="1" x14ac:dyDescent="0.25">
      <c r="A520" t="s">
        <v>538</v>
      </c>
      <c r="B520">
        <v>8.0762499999999997E-4</v>
      </c>
      <c r="C520">
        <v>1.379354E-3</v>
      </c>
      <c r="D520">
        <v>9.0205199999999998E-4</v>
      </c>
      <c r="E520">
        <v>1.160169E-3</v>
      </c>
      <c r="F520">
        <v>8.1406100000000004E-4</v>
      </c>
      <c r="G520">
        <v>1.18081E-3</v>
      </c>
      <c r="H520">
        <v>1.653566E-3</v>
      </c>
      <c r="I520">
        <v>1.6949999999999999E-3</v>
      </c>
      <c r="J520">
        <v>9.7657199999999999E-4</v>
      </c>
      <c r="K520">
        <v>1.0094769999999999E-3</v>
      </c>
      <c r="L520">
        <v>1.0759070000000001E-3</v>
      </c>
      <c r="M520">
        <v>1.0352790000000001E-3</v>
      </c>
      <c r="N520">
        <v>1.0686560000000001E-3</v>
      </c>
      <c r="O520">
        <v>9.4329600000000004E-4</v>
      </c>
      <c r="P520">
        <v>1.2912189999999999E-3</v>
      </c>
      <c r="Q520">
        <v>1.6601280000000001E-3</v>
      </c>
      <c r="R520">
        <v>1.5776329999999999E-3</v>
      </c>
      <c r="S520">
        <v>1.6489720000000001E-3</v>
      </c>
      <c r="T520">
        <v>1.4749780000000001E-3</v>
      </c>
    </row>
    <row r="521" spans="1:20" hidden="1" x14ac:dyDescent="0.25">
      <c r="A521" t="s">
        <v>539</v>
      </c>
      <c r="B521">
        <v>1.45234E-4</v>
      </c>
      <c r="C521">
        <v>2.2179200000000001E-4</v>
      </c>
      <c r="D521">
        <v>2.26293E-4</v>
      </c>
      <c r="E521">
        <v>2.1081600000000001E-4</v>
      </c>
      <c r="F521">
        <v>1.9789300000000001E-4</v>
      </c>
      <c r="G521">
        <v>2.02692E-4</v>
      </c>
      <c r="H521">
        <v>2.21902E-4</v>
      </c>
      <c r="I521">
        <v>2.65345E-4</v>
      </c>
      <c r="J521">
        <v>1.68059E-4</v>
      </c>
      <c r="K521">
        <v>1.6683900000000001E-4</v>
      </c>
      <c r="L521">
        <v>1.67121E-4</v>
      </c>
      <c r="M521" s="1">
        <v>9.2E-5</v>
      </c>
      <c r="N521" s="1">
        <v>8.6299999999999997E-5</v>
      </c>
      <c r="O521">
        <v>1.5442599999999999E-4</v>
      </c>
      <c r="P521" s="1">
        <v>9.5099999999999994E-5</v>
      </c>
      <c r="Q521" s="1">
        <v>5.1199999999999998E-5</v>
      </c>
      <c r="R521" s="1">
        <v>5.7299999999999997E-5</v>
      </c>
      <c r="S521" s="1">
        <v>2.1399999999999998E-5</v>
      </c>
      <c r="T521" s="1">
        <v>4.8399999999999997E-5</v>
      </c>
    </row>
    <row r="522" spans="1:20" hidden="1" x14ac:dyDescent="0.25">
      <c r="A522" t="s">
        <v>540</v>
      </c>
      <c r="B522">
        <v>0</v>
      </c>
      <c r="C522" s="1">
        <v>9.7E-5</v>
      </c>
      <c r="D522">
        <v>1.28243E-4</v>
      </c>
      <c r="E522">
        <v>1.06863E-4</v>
      </c>
      <c r="F522">
        <v>1.11606E-4</v>
      </c>
      <c r="G522">
        <v>1.19411E-4</v>
      </c>
      <c r="H522">
        <v>1.03453E-4</v>
      </c>
      <c r="I522">
        <v>1.2905800000000001E-4</v>
      </c>
      <c r="J522">
        <v>1.078E-4</v>
      </c>
      <c r="K522" s="1">
        <v>8.8900000000000006E-5</v>
      </c>
      <c r="L522">
        <v>1.02057E-4</v>
      </c>
      <c r="M522" s="1">
        <v>5.8699999999999997E-5</v>
      </c>
      <c r="N522" s="1">
        <v>5.1900000000000001E-5</v>
      </c>
      <c r="O522" s="1">
        <v>9.7700000000000003E-5</v>
      </c>
      <c r="P522" s="1">
        <v>8.2799999999999993E-5</v>
      </c>
      <c r="Q522" s="1">
        <v>5.5099999999999998E-5</v>
      </c>
      <c r="R522" s="1">
        <v>7.5799999999999999E-5</v>
      </c>
      <c r="S522" s="1">
        <v>7.9200000000000001E-5</v>
      </c>
      <c r="T522" s="1">
        <v>5.3699999999999997E-5</v>
      </c>
    </row>
    <row r="523" spans="1:20" hidden="1" x14ac:dyDescent="0.25">
      <c r="A523" t="s">
        <v>541</v>
      </c>
      <c r="B523" s="1">
        <v>3.5299999999999997E-5</v>
      </c>
      <c r="C523">
        <v>1.00259E-4</v>
      </c>
      <c r="D523" s="1">
        <v>4.35E-5</v>
      </c>
      <c r="E523" s="1">
        <v>5.0800000000000002E-5</v>
      </c>
      <c r="F523" s="1">
        <v>4.6999999999999997E-5</v>
      </c>
      <c r="G523" s="1">
        <v>8.5699999999999996E-5</v>
      </c>
      <c r="H523" s="1">
        <v>3.3300000000000003E-5</v>
      </c>
      <c r="I523" s="1">
        <v>8.6000000000000003E-5</v>
      </c>
      <c r="J523" s="1">
        <v>5.3199999999999999E-5</v>
      </c>
      <c r="K523" s="1">
        <v>4.4299999999999999E-5</v>
      </c>
      <c r="L523" s="1">
        <v>6.02E-5</v>
      </c>
      <c r="M523">
        <v>0</v>
      </c>
      <c r="N523" s="1">
        <v>4.4299999999999999E-5</v>
      </c>
      <c r="O523" s="1">
        <v>6.2299999999999996E-5</v>
      </c>
      <c r="P523">
        <v>1.9148799999999999E-4</v>
      </c>
      <c r="Q523" s="1">
        <v>5.5000000000000002E-5</v>
      </c>
      <c r="R523" s="1">
        <v>5.8100000000000003E-5</v>
      </c>
      <c r="S523" s="1">
        <v>8.0199999999999998E-5</v>
      </c>
      <c r="T523" s="1">
        <v>3.7700000000000002E-5</v>
      </c>
    </row>
    <row r="524" spans="1:20" hidden="1" x14ac:dyDescent="0.25">
      <c r="A524" t="s">
        <v>542</v>
      </c>
      <c r="B524">
        <v>2.20385E-4</v>
      </c>
      <c r="C524">
        <v>2.0974599999999999E-4</v>
      </c>
      <c r="D524">
        <v>1.9440200000000001E-4</v>
      </c>
      <c r="E524">
        <v>2.20466E-4</v>
      </c>
      <c r="F524">
        <v>2.12735E-4</v>
      </c>
      <c r="G524">
        <v>2.6551999999999999E-4</v>
      </c>
      <c r="H524">
        <v>2.0146199999999999E-4</v>
      </c>
      <c r="I524">
        <v>2.59423E-4</v>
      </c>
      <c r="J524">
        <v>2.5728200000000001E-4</v>
      </c>
      <c r="K524">
        <v>1.67632E-4</v>
      </c>
      <c r="L524">
        <v>1.7725E-4</v>
      </c>
      <c r="M524">
        <v>1.71626E-4</v>
      </c>
      <c r="N524">
        <v>1.3447099999999999E-4</v>
      </c>
      <c r="O524">
        <v>2.4325799999999999E-4</v>
      </c>
      <c r="P524">
        <v>1.87923E-4</v>
      </c>
      <c r="Q524">
        <v>1.6917000000000001E-4</v>
      </c>
      <c r="R524">
        <v>1.7466000000000001E-4</v>
      </c>
      <c r="S524">
        <v>1.21387E-4</v>
      </c>
      <c r="T524">
        <v>1.35501E-4</v>
      </c>
    </row>
    <row r="525" spans="1:20" hidden="1" x14ac:dyDescent="0.25">
      <c r="A525" t="s">
        <v>543</v>
      </c>
      <c r="B525" s="1">
        <v>9.8499999999999995E-5</v>
      </c>
      <c r="C525">
        <v>1.3724399999999999E-4</v>
      </c>
      <c r="D525">
        <v>1.3238599999999999E-4</v>
      </c>
      <c r="E525">
        <v>1.0767700000000001E-4</v>
      </c>
      <c r="F525" s="1">
        <v>9.9199999999999999E-5</v>
      </c>
      <c r="G525">
        <v>1.3487699999999999E-4</v>
      </c>
      <c r="H525">
        <v>1.0655E-4</v>
      </c>
      <c r="I525">
        <v>1.3969399999999999E-4</v>
      </c>
      <c r="J525" s="1">
        <v>8.0900000000000001E-5</v>
      </c>
      <c r="K525">
        <v>1.1521799999999999E-4</v>
      </c>
      <c r="L525">
        <v>1.36713E-4</v>
      </c>
      <c r="M525">
        <v>1.04824E-4</v>
      </c>
      <c r="N525">
        <v>1.2353200000000001E-4</v>
      </c>
      <c r="O525" s="1">
        <v>9.8200000000000002E-5</v>
      </c>
      <c r="P525">
        <v>1.1171999999999999E-4</v>
      </c>
      <c r="Q525">
        <v>1.6291E-4</v>
      </c>
      <c r="R525">
        <v>1.39555E-4</v>
      </c>
      <c r="S525">
        <v>1.21833E-4</v>
      </c>
      <c r="T525">
        <v>1.5629199999999999E-4</v>
      </c>
    </row>
    <row r="526" spans="1:20" hidden="1" x14ac:dyDescent="0.25">
      <c r="A526" t="s">
        <v>544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1">
        <v>5.8799999999999996E-6</v>
      </c>
      <c r="Q526" s="1">
        <v>2.97E-5</v>
      </c>
      <c r="R526" s="1">
        <v>1.9000000000000001E-5</v>
      </c>
      <c r="S526" s="1">
        <v>1.9400000000000001E-5</v>
      </c>
      <c r="T526" s="1">
        <v>2.23E-5</v>
      </c>
    </row>
    <row r="527" spans="1:20" hidden="1" x14ac:dyDescent="0.25">
      <c r="A527" t="s">
        <v>545</v>
      </c>
      <c r="B527">
        <v>3.51436E-4</v>
      </c>
      <c r="C527">
        <v>3.7677199999999999E-4</v>
      </c>
      <c r="D527">
        <v>4.8335899999999999E-4</v>
      </c>
      <c r="E527">
        <v>4.4188499999999999E-4</v>
      </c>
      <c r="F527">
        <v>5.3360199999999999E-4</v>
      </c>
      <c r="G527">
        <v>2.9376899999999999E-4</v>
      </c>
      <c r="H527">
        <v>2.9677300000000001E-4</v>
      </c>
      <c r="I527">
        <v>3.1347999999999999E-4</v>
      </c>
      <c r="J527">
        <v>3.5577999999999999E-4</v>
      </c>
      <c r="K527">
        <v>3.5889899999999998E-4</v>
      </c>
      <c r="L527">
        <v>3.73185E-4</v>
      </c>
      <c r="M527">
        <v>3.13181E-4</v>
      </c>
      <c r="N527">
        <v>5.0322300000000002E-4</v>
      </c>
      <c r="O527">
        <v>3.9077900000000001E-4</v>
      </c>
      <c r="P527">
        <v>2.3989200000000001E-4</v>
      </c>
      <c r="Q527">
        <v>1.02973E-4</v>
      </c>
      <c r="R527">
        <v>1.52022E-4</v>
      </c>
      <c r="S527" s="1">
        <v>9.3300000000000005E-5</v>
      </c>
      <c r="T527">
        <v>1.5975200000000001E-4</v>
      </c>
    </row>
    <row r="528" spans="1:20" hidden="1" x14ac:dyDescent="0.25">
      <c r="A528" t="s">
        <v>546</v>
      </c>
      <c r="B528">
        <v>0</v>
      </c>
      <c r="C528" s="1">
        <v>2.4499999999999999E-5</v>
      </c>
      <c r="D528" s="1">
        <v>1.5400000000000002E-5</v>
      </c>
      <c r="E528" s="1">
        <v>1.8899999999999999E-5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 s="1">
        <v>1.04E-5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hidden="1" x14ac:dyDescent="0.25">
      <c r="A529" t="s">
        <v>547</v>
      </c>
      <c r="B529" s="1">
        <v>3.8099999999999998E-5</v>
      </c>
      <c r="C529" s="1">
        <v>4.2400000000000001E-5</v>
      </c>
      <c r="D529" s="1">
        <v>3.5899999999999998E-5</v>
      </c>
      <c r="E529" s="1">
        <v>1.19E-5</v>
      </c>
      <c r="F529" s="1">
        <v>2.7500000000000001E-5</v>
      </c>
      <c r="G529" s="1">
        <v>3.8999999999999999E-5</v>
      </c>
      <c r="H529" s="1">
        <v>3.5899999999999998E-5</v>
      </c>
      <c r="I529" s="1">
        <v>3.5500000000000002E-5</v>
      </c>
      <c r="J529" s="1">
        <v>3.0199999999999999E-5</v>
      </c>
      <c r="K529" s="1">
        <v>5.3600000000000002E-5</v>
      </c>
      <c r="L529" s="1">
        <v>4.9400000000000001E-5</v>
      </c>
      <c r="M529" s="1">
        <v>6.8499999999999998E-5</v>
      </c>
      <c r="N529" s="1">
        <v>4.85E-5</v>
      </c>
      <c r="O529" s="1">
        <v>3.3699999999999999E-5</v>
      </c>
      <c r="P529" s="1">
        <v>4.6E-5</v>
      </c>
      <c r="Q529" s="1">
        <v>5.3900000000000002E-5</v>
      </c>
      <c r="R529" s="1">
        <v>4.8999999999999998E-5</v>
      </c>
      <c r="S529">
        <v>1.09008E-4</v>
      </c>
      <c r="T529" s="1">
        <v>7.8899999999999993E-5</v>
      </c>
    </row>
    <row r="530" spans="1:20" hidden="1" x14ac:dyDescent="0.25">
      <c r="A530" t="s">
        <v>548</v>
      </c>
      <c r="B530" s="1">
        <v>6.7000000000000002E-5</v>
      </c>
      <c r="C530" s="1">
        <v>7.9300000000000003E-5</v>
      </c>
      <c r="D530" s="1">
        <v>5.0399999999999999E-5</v>
      </c>
      <c r="E530" s="1">
        <v>4.7899999999999999E-5</v>
      </c>
      <c r="F530" s="1">
        <v>6.2799999999999995E-5</v>
      </c>
      <c r="G530" s="1">
        <v>8.2100000000000003E-5</v>
      </c>
      <c r="H530" s="1">
        <v>5.9200000000000002E-5</v>
      </c>
      <c r="I530" s="1">
        <v>4.2700000000000001E-5</v>
      </c>
      <c r="J530" s="1">
        <v>6.6600000000000006E-5</v>
      </c>
      <c r="K530" s="1">
        <v>5.52E-5</v>
      </c>
      <c r="L530" s="1">
        <v>5.2899999999999998E-5</v>
      </c>
      <c r="M530" s="1">
        <v>5.8999999999999998E-5</v>
      </c>
      <c r="N530" s="1">
        <v>3.9900000000000001E-5</v>
      </c>
      <c r="O530" s="1">
        <v>3.4600000000000001E-5</v>
      </c>
      <c r="P530" s="1">
        <v>6.2500000000000001E-5</v>
      </c>
      <c r="Q530" s="1">
        <v>8.8800000000000004E-5</v>
      </c>
      <c r="R530" s="1">
        <v>5.0699999999999999E-5</v>
      </c>
      <c r="S530" s="1">
        <v>8.53E-5</v>
      </c>
      <c r="T530" s="1">
        <v>8.9599999999999996E-5</v>
      </c>
    </row>
    <row r="531" spans="1:20" hidden="1" x14ac:dyDescent="0.25">
      <c r="A531" t="s">
        <v>549</v>
      </c>
      <c r="B531" s="1">
        <v>4.4299999999999999E-5</v>
      </c>
      <c r="C531" s="1">
        <v>3.2199999999999997E-5</v>
      </c>
      <c r="D531" s="1">
        <v>3.5099999999999999E-5</v>
      </c>
      <c r="E531" s="1">
        <v>5.6199999999999997E-5</v>
      </c>
      <c r="F531">
        <v>0</v>
      </c>
      <c r="G531" s="1">
        <v>4.8000000000000001E-5</v>
      </c>
      <c r="H531" s="1">
        <v>6.6199999999999996E-5</v>
      </c>
      <c r="I531">
        <v>0</v>
      </c>
      <c r="J531">
        <v>0</v>
      </c>
      <c r="K531" s="1">
        <v>3.8899999999999997E-5</v>
      </c>
      <c r="L531">
        <v>0</v>
      </c>
      <c r="M531" s="1">
        <v>2.83E-5</v>
      </c>
      <c r="N531">
        <v>0</v>
      </c>
      <c r="O531">
        <v>0</v>
      </c>
      <c r="P531" s="1">
        <v>8.8999999999999995E-5</v>
      </c>
      <c r="Q531" s="1">
        <v>8.5000000000000006E-5</v>
      </c>
      <c r="R531" s="1">
        <v>2.34E-5</v>
      </c>
      <c r="S531" s="1">
        <v>7.1199999999999996E-5</v>
      </c>
      <c r="T531">
        <v>1.3350999999999999E-4</v>
      </c>
    </row>
    <row r="532" spans="1:20" hidden="1" x14ac:dyDescent="0.25">
      <c r="A532" t="s">
        <v>550</v>
      </c>
      <c r="B532">
        <v>2.32346E-4</v>
      </c>
      <c r="C532">
        <v>5.5870200000000001E-4</v>
      </c>
      <c r="D532">
        <v>3.9415499999999998E-4</v>
      </c>
      <c r="E532">
        <v>5.1155199999999997E-4</v>
      </c>
      <c r="F532">
        <v>2.4383E-4</v>
      </c>
      <c r="G532">
        <v>4.3713900000000002E-4</v>
      </c>
      <c r="H532">
        <v>2.8507499999999998E-4</v>
      </c>
      <c r="I532">
        <v>2.4772500000000002E-4</v>
      </c>
      <c r="J532">
        <v>2.4102100000000001E-4</v>
      </c>
      <c r="K532">
        <v>3.7597999999999999E-4</v>
      </c>
      <c r="L532">
        <v>4.0883299999999999E-4</v>
      </c>
      <c r="M532">
        <v>2.6063600000000002E-4</v>
      </c>
      <c r="N532">
        <v>1.7012099999999999E-4</v>
      </c>
      <c r="O532">
        <v>2.0207600000000001E-4</v>
      </c>
      <c r="P532">
        <v>1.49214E-4</v>
      </c>
      <c r="Q532">
        <v>2.00142E-4</v>
      </c>
      <c r="R532">
        <v>1.09029E-4</v>
      </c>
      <c r="S532">
        <v>1.7863800000000001E-4</v>
      </c>
      <c r="T532">
        <v>2.2762499999999999E-4</v>
      </c>
    </row>
    <row r="533" spans="1:20" hidden="1" x14ac:dyDescent="0.25">
      <c r="A533" t="s">
        <v>551</v>
      </c>
      <c r="B533">
        <v>0</v>
      </c>
      <c r="C533">
        <v>0</v>
      </c>
      <c r="D533" s="1">
        <v>2.12E-5</v>
      </c>
      <c r="E533">
        <v>0</v>
      </c>
      <c r="F533" s="1">
        <v>2.19E-5</v>
      </c>
      <c r="G533">
        <v>0</v>
      </c>
      <c r="H533" s="1">
        <v>2.1500000000000001E-5</v>
      </c>
      <c r="I533" s="1">
        <v>3.1099999999999997E-5</v>
      </c>
      <c r="J533" s="1">
        <v>2.1800000000000001E-5</v>
      </c>
      <c r="K533" s="1">
        <v>1.9400000000000001E-5</v>
      </c>
      <c r="L533" s="1">
        <v>1.7799999999999999E-5</v>
      </c>
      <c r="M533">
        <v>0</v>
      </c>
      <c r="N533" s="1">
        <v>2.5599999999999999E-5</v>
      </c>
      <c r="O533" s="1">
        <v>1.06E-5</v>
      </c>
      <c r="P533" s="1">
        <v>1.84E-5</v>
      </c>
      <c r="Q533" s="1">
        <v>2.41E-5</v>
      </c>
      <c r="R533" s="1">
        <v>1.2799999999999999E-5</v>
      </c>
      <c r="S533" s="1">
        <v>1.66E-5</v>
      </c>
      <c r="T533" s="1">
        <v>2.5599999999999999E-5</v>
      </c>
    </row>
    <row r="534" spans="1:20" hidden="1" x14ac:dyDescent="0.25">
      <c r="A534" t="s">
        <v>552</v>
      </c>
      <c r="B534" s="1">
        <v>2.83E-5</v>
      </c>
      <c r="C534" s="1">
        <v>3.0199999999999999E-5</v>
      </c>
      <c r="D534" s="1">
        <v>2.87E-5</v>
      </c>
      <c r="E534" s="1">
        <v>2.7500000000000001E-5</v>
      </c>
      <c r="F534" s="1">
        <v>3.5599999999999998E-5</v>
      </c>
      <c r="G534">
        <v>0</v>
      </c>
      <c r="H534" s="1">
        <v>2.3600000000000001E-5</v>
      </c>
      <c r="I534" s="1">
        <v>4.1399999999999997E-5</v>
      </c>
      <c r="J534" s="1">
        <v>2.72E-5</v>
      </c>
      <c r="K534" s="1">
        <v>2.6100000000000001E-5</v>
      </c>
      <c r="L534" s="1">
        <v>1.5299999999999999E-5</v>
      </c>
      <c r="M534" s="1">
        <v>2.7900000000000001E-5</v>
      </c>
      <c r="N534" s="1">
        <v>3.2199999999999997E-5</v>
      </c>
      <c r="O534" s="1">
        <v>3.2499999999999997E-5</v>
      </c>
      <c r="P534" s="1">
        <v>2.5400000000000001E-5</v>
      </c>
      <c r="Q534" s="1">
        <v>2.4899999999999999E-5</v>
      </c>
      <c r="R534" s="1">
        <v>2.7500000000000001E-5</v>
      </c>
      <c r="S534">
        <v>0</v>
      </c>
      <c r="T534">
        <v>0</v>
      </c>
    </row>
    <row r="535" spans="1:20" hidden="1" x14ac:dyDescent="0.25">
      <c r="A535" t="s">
        <v>553</v>
      </c>
      <c r="B535">
        <v>0</v>
      </c>
      <c r="C535">
        <v>0</v>
      </c>
      <c r="D535">
        <v>0</v>
      </c>
      <c r="E535" s="1">
        <v>4.0400000000000003E-6</v>
      </c>
      <c r="F535">
        <v>0</v>
      </c>
      <c r="G535" s="1">
        <v>7.1600000000000001E-6</v>
      </c>
      <c r="H535" s="1">
        <v>1.5099999999999999E-5</v>
      </c>
      <c r="I535" s="1">
        <v>9.91E-6</v>
      </c>
      <c r="J535">
        <v>0</v>
      </c>
      <c r="K535" s="1">
        <v>7.2200000000000003E-6</v>
      </c>
      <c r="L535" s="1">
        <v>5.0200000000000002E-6</v>
      </c>
      <c r="M535">
        <v>0</v>
      </c>
      <c r="N535">
        <v>0</v>
      </c>
      <c r="O535">
        <v>0</v>
      </c>
      <c r="P535" s="1">
        <v>9.7100000000000002E-6</v>
      </c>
      <c r="Q535" s="1">
        <v>1.5800000000000001E-5</v>
      </c>
      <c r="R535" s="1">
        <v>1.3699999999999999E-5</v>
      </c>
      <c r="S535" s="1">
        <v>1.73E-5</v>
      </c>
      <c r="T535" s="1">
        <v>1.7499999999999998E-5</v>
      </c>
    </row>
    <row r="536" spans="1:20" hidden="1" x14ac:dyDescent="0.25">
      <c r="A536" t="s">
        <v>554</v>
      </c>
      <c r="B536" s="1">
        <v>1.4600000000000001E-5</v>
      </c>
      <c r="C536" s="1">
        <v>1.43E-5</v>
      </c>
      <c r="D536">
        <v>0</v>
      </c>
      <c r="E536" s="1">
        <v>1.2099999999999999E-5</v>
      </c>
      <c r="F536">
        <v>0</v>
      </c>
      <c r="G536">
        <v>0</v>
      </c>
      <c r="H536" s="1">
        <v>1.5400000000000002E-5</v>
      </c>
      <c r="I536" s="1">
        <v>1.8099999999999999E-5</v>
      </c>
      <c r="J536" s="1">
        <v>1.26E-5</v>
      </c>
      <c r="K536" s="1">
        <v>9.2499999999999995E-6</v>
      </c>
      <c r="L536" s="1">
        <v>1.0200000000000001E-5</v>
      </c>
      <c r="M536" s="1">
        <v>1.3200000000000001E-5</v>
      </c>
      <c r="N536">
        <v>0</v>
      </c>
      <c r="O536" s="1">
        <v>1.03E-5</v>
      </c>
      <c r="P536" s="1">
        <v>2.1100000000000001E-5</v>
      </c>
      <c r="Q536" s="1">
        <v>2.6999999999999999E-5</v>
      </c>
      <c r="R536" s="1">
        <v>1.91E-5</v>
      </c>
      <c r="S536" s="1">
        <v>1.5099999999999999E-5</v>
      </c>
      <c r="T536">
        <v>0</v>
      </c>
    </row>
    <row r="537" spans="1:20" hidden="1" x14ac:dyDescent="0.25">
      <c r="A537" t="s">
        <v>555</v>
      </c>
      <c r="B537">
        <v>0</v>
      </c>
      <c r="C537" s="1">
        <v>6.7700000000000004E-6</v>
      </c>
      <c r="D537" s="1">
        <v>4.6999999999999999E-6</v>
      </c>
      <c r="E537" s="1">
        <v>4.5900000000000001E-6</v>
      </c>
      <c r="F537">
        <v>0</v>
      </c>
      <c r="G537" s="1">
        <v>8.3699999999999995E-6</v>
      </c>
      <c r="H537" s="1">
        <v>7.5599999999999996E-6</v>
      </c>
      <c r="I537" s="1">
        <v>8.2700000000000004E-6</v>
      </c>
      <c r="J537">
        <v>0</v>
      </c>
      <c r="K537" s="1">
        <v>6.4400000000000002E-6</v>
      </c>
      <c r="L537" s="1">
        <v>5.9100000000000002E-6</v>
      </c>
      <c r="M537">
        <v>0</v>
      </c>
      <c r="N537">
        <v>0</v>
      </c>
      <c r="O537">
        <v>0</v>
      </c>
      <c r="P537">
        <v>0</v>
      </c>
      <c r="Q537" s="1">
        <v>1.2799999999999999E-5</v>
      </c>
      <c r="R537" s="1">
        <v>1.04E-5</v>
      </c>
      <c r="S537" s="1">
        <v>1.04E-5</v>
      </c>
      <c r="T537" s="1">
        <v>7.9300000000000003E-6</v>
      </c>
    </row>
    <row r="538" spans="1:20" hidden="1" x14ac:dyDescent="0.25">
      <c r="A538" t="s">
        <v>556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1">
        <v>1.88E-5</v>
      </c>
      <c r="Q538">
        <v>0</v>
      </c>
      <c r="R538" s="1">
        <v>6.3899999999999995E-5</v>
      </c>
      <c r="S538" s="1">
        <v>2.34E-5</v>
      </c>
      <c r="T538" s="1">
        <v>2.9E-5</v>
      </c>
    </row>
    <row r="539" spans="1:20" hidden="1" x14ac:dyDescent="0.25">
      <c r="A539" t="s">
        <v>557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s="1">
        <v>1.22E-5</v>
      </c>
      <c r="L539">
        <v>0</v>
      </c>
      <c r="M539">
        <v>0</v>
      </c>
      <c r="N539">
        <v>0</v>
      </c>
      <c r="O539">
        <v>0</v>
      </c>
      <c r="P539" s="1">
        <v>2.62E-5</v>
      </c>
      <c r="Q539" s="1">
        <v>2.6100000000000001E-5</v>
      </c>
      <c r="R539" s="1">
        <v>2.3900000000000002E-5</v>
      </c>
      <c r="S539" s="1">
        <v>1.4E-5</v>
      </c>
      <c r="T539" s="1">
        <v>1.5800000000000001E-5</v>
      </c>
    </row>
    <row r="540" spans="1:20" hidden="1" x14ac:dyDescent="0.25">
      <c r="A540" t="s">
        <v>558</v>
      </c>
      <c r="B540" s="1">
        <v>1.31E-5</v>
      </c>
      <c r="C540" s="1">
        <v>1.5500000000000001E-5</v>
      </c>
      <c r="D540" s="1">
        <v>8.4600000000000003E-6</v>
      </c>
      <c r="E540" s="1">
        <v>1.34E-5</v>
      </c>
      <c r="F540">
        <v>0</v>
      </c>
      <c r="G540" s="1">
        <v>1.84E-5</v>
      </c>
      <c r="H540" s="1">
        <v>2.7800000000000001E-5</v>
      </c>
      <c r="I540" s="1">
        <v>1.6099999999999998E-5</v>
      </c>
      <c r="J540">
        <v>0</v>
      </c>
      <c r="K540" s="1">
        <v>9.7100000000000002E-6</v>
      </c>
      <c r="L540" s="1">
        <v>1.31E-5</v>
      </c>
      <c r="M540" s="1">
        <v>1.04E-5</v>
      </c>
      <c r="N540">
        <v>0</v>
      </c>
      <c r="O540" s="1">
        <v>1.42E-5</v>
      </c>
      <c r="P540" s="1">
        <v>1.77E-5</v>
      </c>
      <c r="Q540" s="1">
        <v>2.37E-5</v>
      </c>
      <c r="R540" s="1">
        <v>1.9000000000000001E-5</v>
      </c>
      <c r="S540" s="1">
        <v>1.4800000000000001E-5</v>
      </c>
      <c r="T540" s="1">
        <v>1.4399999999999999E-5</v>
      </c>
    </row>
    <row r="541" spans="1:20" hidden="1" x14ac:dyDescent="0.25">
      <c r="A541" t="s">
        <v>559</v>
      </c>
      <c r="B541" s="1">
        <v>8.3399999999999994E-5</v>
      </c>
      <c r="C541">
        <v>1.41688E-4</v>
      </c>
      <c r="D541">
        <v>1.0545E-4</v>
      </c>
      <c r="E541">
        <v>1.21418E-4</v>
      </c>
      <c r="F541" s="1">
        <v>8.3499999999999997E-5</v>
      </c>
      <c r="G541">
        <v>1.2777700000000001E-4</v>
      </c>
      <c r="H541">
        <v>1.5886200000000001E-4</v>
      </c>
      <c r="I541">
        <v>1.11524E-4</v>
      </c>
      <c r="J541" s="1">
        <v>7.36E-5</v>
      </c>
      <c r="K541" s="1">
        <v>7.2299999999999996E-5</v>
      </c>
      <c r="L541">
        <v>1.05833E-4</v>
      </c>
      <c r="M541" s="1">
        <v>8.9599999999999996E-5</v>
      </c>
      <c r="N541" s="1">
        <v>6.3E-5</v>
      </c>
      <c r="O541" s="1">
        <v>8.2399999999999997E-5</v>
      </c>
      <c r="P541">
        <v>1.0771400000000001E-4</v>
      </c>
      <c r="Q541">
        <v>1.1922E-4</v>
      </c>
      <c r="R541">
        <v>1.15263E-4</v>
      </c>
      <c r="S541" s="1">
        <v>9.8800000000000003E-5</v>
      </c>
      <c r="T541">
        <v>1.0786E-4</v>
      </c>
    </row>
    <row r="542" spans="1:20" hidden="1" x14ac:dyDescent="0.25">
      <c r="A542" t="s">
        <v>560</v>
      </c>
      <c r="B542" s="1">
        <v>1.42E-5</v>
      </c>
      <c r="C542" s="1">
        <v>2.2099999999999998E-5</v>
      </c>
      <c r="D542" s="1">
        <v>1.3200000000000001E-5</v>
      </c>
      <c r="E542" s="1">
        <v>1.34E-5</v>
      </c>
      <c r="F542" s="1">
        <v>1.2300000000000001E-5</v>
      </c>
      <c r="G542" s="1">
        <v>1.4100000000000001E-5</v>
      </c>
      <c r="H542" s="1">
        <v>1.45E-5</v>
      </c>
      <c r="I542" s="1">
        <v>2.83E-5</v>
      </c>
      <c r="J542" s="1">
        <v>2.05E-5</v>
      </c>
      <c r="K542" s="1">
        <v>1.3499999999999999E-5</v>
      </c>
      <c r="L542" s="1">
        <v>1.3900000000000001E-5</v>
      </c>
      <c r="M542" s="1">
        <v>1.0000000000000001E-5</v>
      </c>
      <c r="N542" s="1">
        <v>1.7900000000000001E-5</v>
      </c>
      <c r="O542" s="1">
        <v>1.5699999999999999E-5</v>
      </c>
      <c r="P542" s="1">
        <v>1.0499999999999999E-5</v>
      </c>
      <c r="Q542">
        <v>0</v>
      </c>
      <c r="R542">
        <v>0</v>
      </c>
      <c r="S542" s="1">
        <v>7.7500000000000003E-6</v>
      </c>
      <c r="T542" s="1">
        <v>1.0200000000000001E-5</v>
      </c>
    </row>
    <row r="543" spans="1:20" hidden="1" x14ac:dyDescent="0.25">
      <c r="A543" t="s">
        <v>561</v>
      </c>
      <c r="B543">
        <v>0</v>
      </c>
      <c r="C543" s="1">
        <v>3.29E-5</v>
      </c>
      <c r="D543" s="1">
        <v>3.2499999999999997E-5</v>
      </c>
      <c r="E543" s="1">
        <v>2.9099999999999999E-5</v>
      </c>
      <c r="F543">
        <v>0</v>
      </c>
      <c r="G543">
        <v>0</v>
      </c>
      <c r="H543" s="1">
        <v>1.5999999999999999E-5</v>
      </c>
      <c r="I543">
        <v>0</v>
      </c>
      <c r="J543">
        <v>0</v>
      </c>
      <c r="K543" s="1">
        <v>1.7600000000000001E-5</v>
      </c>
      <c r="L543" s="1">
        <v>2.0100000000000001E-5</v>
      </c>
      <c r="M543">
        <v>0</v>
      </c>
      <c r="N543">
        <v>0</v>
      </c>
      <c r="O543">
        <v>0</v>
      </c>
      <c r="P543">
        <v>0</v>
      </c>
      <c r="Q543" s="1">
        <v>2.87E-5</v>
      </c>
      <c r="R543" s="1">
        <v>2.3600000000000001E-5</v>
      </c>
      <c r="S543" s="1">
        <v>2.41E-5</v>
      </c>
      <c r="T543" s="1">
        <v>2.4700000000000001E-5</v>
      </c>
    </row>
    <row r="544" spans="1:20" hidden="1" x14ac:dyDescent="0.25">
      <c r="A544" t="s">
        <v>562</v>
      </c>
      <c r="B544">
        <v>2.5090900000000001E-4</v>
      </c>
      <c r="C544">
        <v>6.0995299999999999E-4</v>
      </c>
      <c r="D544">
        <v>4.2182999999999999E-4</v>
      </c>
      <c r="E544">
        <v>4.6330200000000002E-4</v>
      </c>
      <c r="F544">
        <v>3.9656199999999999E-4</v>
      </c>
      <c r="G544">
        <v>5.2381300000000003E-4</v>
      </c>
      <c r="H544">
        <v>3.8207300000000003E-4</v>
      </c>
      <c r="I544">
        <v>3.8604200000000001E-4</v>
      </c>
      <c r="J544">
        <v>3.7537699999999998E-4</v>
      </c>
      <c r="K544">
        <v>3.31856E-4</v>
      </c>
      <c r="L544">
        <v>4.8491499999999999E-4</v>
      </c>
      <c r="M544">
        <v>3.0356900000000001E-4</v>
      </c>
      <c r="N544">
        <v>2.7278699999999998E-4</v>
      </c>
      <c r="O544">
        <v>3.4820100000000002E-4</v>
      </c>
      <c r="P544">
        <v>3.3835700000000001E-4</v>
      </c>
      <c r="Q544">
        <v>3.5147800000000001E-4</v>
      </c>
      <c r="R544">
        <v>3.24202E-4</v>
      </c>
      <c r="S544">
        <v>4.9434000000000001E-4</v>
      </c>
      <c r="T544">
        <v>3.4770999999999999E-4</v>
      </c>
    </row>
    <row r="545" spans="1:20" hidden="1" x14ac:dyDescent="0.25">
      <c r="A545" t="s">
        <v>563</v>
      </c>
      <c r="B545">
        <v>0</v>
      </c>
      <c r="C545">
        <v>0</v>
      </c>
      <c r="D545">
        <v>0</v>
      </c>
      <c r="E545">
        <v>0</v>
      </c>
      <c r="F545">
        <v>0</v>
      </c>
      <c r="G545" s="1">
        <v>5.2499999999999997E-6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s="1">
        <v>9.1600000000000004E-6</v>
      </c>
      <c r="R545" s="1">
        <v>5.9599999999999997E-6</v>
      </c>
      <c r="S545" s="1">
        <v>1.42E-5</v>
      </c>
      <c r="T545" s="1">
        <v>1.15E-5</v>
      </c>
    </row>
    <row r="546" spans="1:20" hidden="1" x14ac:dyDescent="0.25">
      <c r="A546" t="s">
        <v>564</v>
      </c>
      <c r="B546" s="1">
        <v>1.0699999999999999E-5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1">
        <v>1.22E-5</v>
      </c>
      <c r="O546">
        <v>0</v>
      </c>
      <c r="P546" s="1">
        <v>1.6399999999999999E-5</v>
      </c>
      <c r="Q546" s="1">
        <v>8.9199999999999993E-6</v>
      </c>
      <c r="R546" s="1">
        <v>9.5999999999999996E-6</v>
      </c>
      <c r="S546" s="1">
        <v>1.0200000000000001E-5</v>
      </c>
      <c r="T546">
        <v>0</v>
      </c>
    </row>
    <row r="547" spans="1:20" hidden="1" x14ac:dyDescent="0.25">
      <c r="A547" t="s">
        <v>565</v>
      </c>
      <c r="B547" s="1">
        <v>2.1800000000000001E-5</v>
      </c>
      <c r="C547" s="1">
        <v>1.84E-5</v>
      </c>
      <c r="D547">
        <v>0</v>
      </c>
      <c r="E547">
        <v>0</v>
      </c>
      <c r="F547" s="1">
        <v>2.1299999999999999E-5</v>
      </c>
      <c r="G547" s="1">
        <v>1.77E-5</v>
      </c>
      <c r="H547" s="1">
        <v>1.49E-5</v>
      </c>
      <c r="I547" s="1">
        <v>1.8499999999999999E-5</v>
      </c>
      <c r="J547" s="1">
        <v>2.9099999999999999E-5</v>
      </c>
      <c r="K547" s="1">
        <v>1.08E-5</v>
      </c>
      <c r="L547">
        <v>0</v>
      </c>
      <c r="M547" s="1">
        <v>1.8700000000000001E-5</v>
      </c>
      <c r="N547" s="1">
        <v>3.3300000000000003E-5</v>
      </c>
      <c r="O547" s="1">
        <v>1.59E-5</v>
      </c>
      <c r="P547" s="1">
        <v>3.0199999999999999E-5</v>
      </c>
      <c r="Q547" s="1">
        <v>3.9199999999999997E-5</v>
      </c>
      <c r="R547" s="1">
        <v>3.6199999999999999E-5</v>
      </c>
      <c r="S547" s="1">
        <v>5.38E-5</v>
      </c>
      <c r="T547" s="1">
        <v>6.0800000000000001E-5</v>
      </c>
    </row>
    <row r="548" spans="1:20" hidden="1" x14ac:dyDescent="0.25">
      <c r="A548" t="s">
        <v>566</v>
      </c>
      <c r="B548" s="1">
        <v>3.9499999999999998E-5</v>
      </c>
      <c r="C548">
        <v>1.40199E-4</v>
      </c>
      <c r="D548" s="1">
        <v>3.3599999999999997E-5</v>
      </c>
      <c r="E548" s="1">
        <v>3.4499999999999998E-5</v>
      </c>
      <c r="F548" s="1">
        <v>7.8100000000000001E-5</v>
      </c>
      <c r="G548">
        <v>3.1205799999999999E-4</v>
      </c>
      <c r="H548">
        <v>1.0707199999999999E-4</v>
      </c>
      <c r="I548" s="1">
        <v>8.2200000000000006E-5</v>
      </c>
      <c r="J548" s="1">
        <v>4.7899999999999999E-5</v>
      </c>
      <c r="K548">
        <v>1.36909E-4</v>
      </c>
      <c r="L548">
        <v>1.8938000000000001E-4</v>
      </c>
      <c r="M548" s="1">
        <v>8.9300000000000002E-5</v>
      </c>
      <c r="N548" s="1">
        <v>7.4200000000000001E-5</v>
      </c>
      <c r="O548" s="1">
        <v>2.27E-5</v>
      </c>
      <c r="P548">
        <v>1.3318999999999999E-4</v>
      </c>
      <c r="Q548">
        <v>1.89934E-4</v>
      </c>
      <c r="R548">
        <v>1.82998E-4</v>
      </c>
      <c r="S548">
        <v>4.3670500000000001E-4</v>
      </c>
      <c r="T548">
        <v>1.84248E-4</v>
      </c>
    </row>
    <row r="549" spans="1:20" hidden="1" x14ac:dyDescent="0.25">
      <c r="A549" t="s">
        <v>567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s="1">
        <v>7.7500000000000003E-6</v>
      </c>
      <c r="M549">
        <v>0</v>
      </c>
      <c r="N549">
        <v>0</v>
      </c>
      <c r="O549">
        <v>0</v>
      </c>
      <c r="P549" s="1">
        <v>1.5999999999999999E-5</v>
      </c>
      <c r="Q549" s="1">
        <v>2.09E-5</v>
      </c>
      <c r="R549">
        <v>0</v>
      </c>
      <c r="S549" s="1">
        <v>1.59E-5</v>
      </c>
      <c r="T549" s="1">
        <v>1.4399999999999999E-5</v>
      </c>
    </row>
    <row r="550" spans="1:20" hidden="1" x14ac:dyDescent="0.25">
      <c r="A550" t="s">
        <v>568</v>
      </c>
      <c r="B550">
        <v>7.8062890000000001E-3</v>
      </c>
      <c r="C550">
        <v>5.7666159999999996E-3</v>
      </c>
      <c r="D550">
        <v>6.5712979999999997E-3</v>
      </c>
      <c r="E550">
        <v>7.159861E-3</v>
      </c>
      <c r="F550">
        <v>7.4453399999999999E-3</v>
      </c>
      <c r="G550">
        <v>7.0052550000000002E-3</v>
      </c>
      <c r="H550">
        <v>5.8513769999999996E-3</v>
      </c>
      <c r="I550">
        <v>7.2601870000000004E-3</v>
      </c>
      <c r="J550">
        <v>7.9769179999999995E-3</v>
      </c>
      <c r="K550">
        <v>6.7478030000000001E-3</v>
      </c>
      <c r="L550">
        <v>5.681541E-3</v>
      </c>
      <c r="M550">
        <v>7.4959309999999999E-3</v>
      </c>
      <c r="N550">
        <v>6.5723910000000003E-3</v>
      </c>
      <c r="O550">
        <v>7.7585019999999996E-3</v>
      </c>
      <c r="P550">
        <v>8.3695039999999998E-3</v>
      </c>
      <c r="Q550">
        <v>7.8569420000000004E-3</v>
      </c>
      <c r="R550">
        <v>1.2553579E-2</v>
      </c>
      <c r="S550">
        <v>9.1574280000000004E-3</v>
      </c>
      <c r="T550">
        <v>8.6025489999999993E-3</v>
      </c>
    </row>
    <row r="551" spans="1:20" hidden="1" x14ac:dyDescent="0.25">
      <c r="A551" t="s">
        <v>569</v>
      </c>
      <c r="B551">
        <v>8.8137270000000004E-3</v>
      </c>
      <c r="C551">
        <v>6.4660280000000004E-3</v>
      </c>
      <c r="D551">
        <v>6.1276810000000003E-3</v>
      </c>
      <c r="E551">
        <v>6.3046259999999998E-3</v>
      </c>
      <c r="F551">
        <v>6.8008249999999999E-3</v>
      </c>
      <c r="G551">
        <v>6.7405529999999998E-3</v>
      </c>
      <c r="H551">
        <v>6.2714199999999998E-3</v>
      </c>
      <c r="I551">
        <v>6.8260960000000002E-3</v>
      </c>
      <c r="J551">
        <v>8.4650679999999992E-3</v>
      </c>
      <c r="K551">
        <v>7.5354710000000002E-3</v>
      </c>
      <c r="L551">
        <v>7.4064939999999996E-3</v>
      </c>
      <c r="M551">
        <v>6.0912900000000001E-3</v>
      </c>
      <c r="N551">
        <v>7.8784349999999996E-3</v>
      </c>
      <c r="O551">
        <v>7.4954590000000003E-3</v>
      </c>
      <c r="P551">
        <v>5.0159389999999996E-3</v>
      </c>
      <c r="Q551">
        <v>2.334483E-3</v>
      </c>
      <c r="R551">
        <v>3.306051E-3</v>
      </c>
      <c r="S551">
        <v>2.2452800000000001E-3</v>
      </c>
      <c r="T551">
        <v>2.239549E-3</v>
      </c>
    </row>
    <row r="552" spans="1:20" hidden="1" x14ac:dyDescent="0.25">
      <c r="A552" t="s">
        <v>570</v>
      </c>
      <c r="B552">
        <v>2.6051500000000001E-4</v>
      </c>
      <c r="C552">
        <v>2.8221300000000002E-4</v>
      </c>
      <c r="D552">
        <v>2.6711299999999998E-4</v>
      </c>
      <c r="E552">
        <v>2.1860799999999999E-4</v>
      </c>
      <c r="F552">
        <v>3.0250900000000001E-4</v>
      </c>
      <c r="G552">
        <v>3.2505499999999998E-4</v>
      </c>
      <c r="H552">
        <v>2.7242899999999998E-4</v>
      </c>
      <c r="I552">
        <v>3.39885E-4</v>
      </c>
      <c r="J552">
        <v>3.1627800000000002E-4</v>
      </c>
      <c r="K552">
        <v>2.7633099999999999E-4</v>
      </c>
      <c r="L552">
        <v>3.2851100000000003E-4</v>
      </c>
      <c r="M552">
        <v>2.0739200000000001E-4</v>
      </c>
      <c r="N552">
        <v>2.7769399999999999E-4</v>
      </c>
      <c r="O552">
        <v>3.0100400000000001E-4</v>
      </c>
      <c r="P552">
        <v>2.8025100000000002E-4</v>
      </c>
      <c r="Q552">
        <v>2.0501300000000001E-4</v>
      </c>
      <c r="R552">
        <v>2.4744900000000001E-4</v>
      </c>
      <c r="S552">
        <v>2.51043E-4</v>
      </c>
      <c r="T552">
        <v>1.5498700000000001E-4</v>
      </c>
    </row>
    <row r="553" spans="1:20" hidden="1" x14ac:dyDescent="0.25">
      <c r="A553" t="s">
        <v>571</v>
      </c>
      <c r="B553">
        <v>0</v>
      </c>
      <c r="C553">
        <v>0</v>
      </c>
      <c r="D553" s="1">
        <v>2.1399999999999998E-5</v>
      </c>
      <c r="E553" s="1">
        <v>1.2099999999999999E-5</v>
      </c>
      <c r="F553" s="1">
        <v>2.4600000000000002E-5</v>
      </c>
      <c r="G553" s="1">
        <v>4.1600000000000002E-5</v>
      </c>
      <c r="H553" s="1">
        <v>2.5899999999999999E-5</v>
      </c>
      <c r="I553" s="1">
        <v>1.9300000000000002E-5</v>
      </c>
      <c r="J553">
        <v>0</v>
      </c>
      <c r="K553" s="1">
        <v>2.3499999999999999E-5</v>
      </c>
      <c r="L553" s="1">
        <v>2.2399999999999999E-5</v>
      </c>
      <c r="M553" s="1">
        <v>1.8E-5</v>
      </c>
      <c r="N553" s="1">
        <v>1.6200000000000001E-5</v>
      </c>
      <c r="O553" s="1">
        <v>1.5E-5</v>
      </c>
      <c r="P553" s="1">
        <v>2.3499999999999999E-5</v>
      </c>
      <c r="Q553" s="1">
        <v>2.8600000000000001E-5</v>
      </c>
      <c r="R553" s="1">
        <v>2.4199999999999999E-5</v>
      </c>
      <c r="S553" s="1">
        <v>2.3099999999999999E-5</v>
      </c>
      <c r="T553" s="1">
        <v>6.4999999999999994E-5</v>
      </c>
    </row>
    <row r="554" spans="1:20" hidden="1" x14ac:dyDescent="0.25">
      <c r="A554" t="s">
        <v>572</v>
      </c>
      <c r="B554">
        <v>6.2485800000000005E-4</v>
      </c>
      <c r="C554">
        <v>3.6403500000000002E-4</v>
      </c>
      <c r="D554">
        <v>2.4230500000000001E-4</v>
      </c>
      <c r="E554">
        <v>1.78357E-4</v>
      </c>
      <c r="F554">
        <v>3.8763699999999998E-4</v>
      </c>
      <c r="G554">
        <v>8.9156499999999998E-4</v>
      </c>
      <c r="H554">
        <v>5.67929E-4</v>
      </c>
      <c r="I554">
        <v>2.0528000000000001E-4</v>
      </c>
      <c r="J554">
        <v>6.7451499999999999E-4</v>
      </c>
      <c r="K554">
        <v>7.6135700000000005E-4</v>
      </c>
      <c r="L554">
        <v>5.6888299999999995E-4</v>
      </c>
      <c r="M554">
        <v>8.3030099999999998E-4</v>
      </c>
      <c r="N554">
        <v>3.5480400000000001E-4</v>
      </c>
      <c r="O554">
        <v>5.9339199999999999E-4</v>
      </c>
      <c r="P554">
        <v>9.0695499999999998E-4</v>
      </c>
      <c r="Q554">
        <v>1.0778960000000001E-3</v>
      </c>
      <c r="R554">
        <v>8.3640400000000001E-4</v>
      </c>
      <c r="S554">
        <v>1.0034390000000001E-3</v>
      </c>
      <c r="T554">
        <v>7.3288699999999999E-4</v>
      </c>
    </row>
    <row r="555" spans="1:20" hidden="1" x14ac:dyDescent="0.25">
      <c r="A555" t="s">
        <v>573</v>
      </c>
      <c r="B555">
        <v>1.39066E-4</v>
      </c>
      <c r="C555">
        <v>1.34003E-4</v>
      </c>
      <c r="D555">
        <v>1.2719200000000001E-4</v>
      </c>
      <c r="E555">
        <v>1.50397E-4</v>
      </c>
      <c r="F555" s="1">
        <v>5.3399999999999997E-5</v>
      </c>
      <c r="G555" s="1">
        <v>9.6700000000000006E-5</v>
      </c>
      <c r="H555">
        <v>1.04467E-4</v>
      </c>
      <c r="I555" s="1">
        <v>8.0400000000000003E-5</v>
      </c>
      <c r="J555">
        <v>1.4032199999999999E-4</v>
      </c>
      <c r="K555">
        <v>1.03535E-4</v>
      </c>
      <c r="L555" s="1">
        <v>6.5599999999999995E-5</v>
      </c>
      <c r="M555" s="1">
        <v>9.4900000000000003E-5</v>
      </c>
      <c r="N555">
        <v>1.0472900000000001E-4</v>
      </c>
      <c r="O555">
        <v>1.5667099999999999E-4</v>
      </c>
      <c r="P555" s="1">
        <v>2.65E-5</v>
      </c>
      <c r="Q555">
        <v>0</v>
      </c>
      <c r="R555" s="1">
        <v>3.1300000000000002E-5</v>
      </c>
      <c r="S555" s="1">
        <v>3.43E-5</v>
      </c>
      <c r="T555">
        <v>0</v>
      </c>
    </row>
    <row r="556" spans="1:20" hidden="1" x14ac:dyDescent="0.25">
      <c r="A556" t="s">
        <v>574</v>
      </c>
      <c r="B556" s="1">
        <v>4.0599999999999998E-5</v>
      </c>
      <c r="C556">
        <v>0</v>
      </c>
      <c r="D556" s="1">
        <v>3.3699999999999999E-5</v>
      </c>
      <c r="E556" s="1">
        <v>3.3599999999999997E-5</v>
      </c>
      <c r="F556" s="1">
        <v>3.9499999999999998E-5</v>
      </c>
      <c r="G556" s="1">
        <v>5.7399999999999999E-5</v>
      </c>
      <c r="H556" s="1">
        <v>6.9499999999999995E-5</v>
      </c>
      <c r="I556" s="1">
        <v>4.9299999999999999E-5</v>
      </c>
      <c r="J556" s="1">
        <v>4.9499999999999997E-5</v>
      </c>
      <c r="K556" s="1">
        <v>4.32E-5</v>
      </c>
      <c r="L556" s="1">
        <v>3.9199999999999997E-5</v>
      </c>
      <c r="M556">
        <v>0</v>
      </c>
      <c r="N556" s="1">
        <v>3.9400000000000002E-5</v>
      </c>
      <c r="O556" s="1">
        <v>3.5800000000000003E-5</v>
      </c>
      <c r="P556" s="1">
        <v>7.8399999999999995E-5</v>
      </c>
      <c r="Q556">
        <v>1.3673799999999999E-4</v>
      </c>
      <c r="R556">
        <v>1.14177E-4</v>
      </c>
      <c r="S556">
        <v>1.0161400000000001E-4</v>
      </c>
      <c r="T556">
        <v>1.4221200000000001E-4</v>
      </c>
    </row>
    <row r="557" spans="1:20" hidden="1" x14ac:dyDescent="0.25">
      <c r="A557" t="s">
        <v>575</v>
      </c>
      <c r="B557">
        <v>1.0064E-4</v>
      </c>
      <c r="C557" s="1">
        <v>2.8099999999999999E-5</v>
      </c>
      <c r="D557" s="1">
        <v>3.01E-5</v>
      </c>
      <c r="E557" s="1">
        <v>3.7799999999999997E-5</v>
      </c>
      <c r="F557">
        <v>2.8718400000000001E-4</v>
      </c>
      <c r="G557">
        <v>1.3154E-4</v>
      </c>
      <c r="H557">
        <v>2.36438E-4</v>
      </c>
      <c r="I557">
        <v>1.67305E-4</v>
      </c>
      <c r="J557">
        <v>2.05484E-4</v>
      </c>
      <c r="K557" s="1">
        <v>9.2200000000000005E-5</v>
      </c>
      <c r="L557">
        <v>1.69817E-4</v>
      </c>
      <c r="M557">
        <v>1.2317900000000001E-4</v>
      </c>
      <c r="N557">
        <v>1.2750700000000001E-4</v>
      </c>
      <c r="O557">
        <v>1.2667700000000001E-4</v>
      </c>
      <c r="P557">
        <v>2.48836E-4</v>
      </c>
      <c r="Q557">
        <v>1.106082E-3</v>
      </c>
      <c r="R557">
        <v>8.8077999999999995E-4</v>
      </c>
      <c r="S557">
        <v>1.545945E-3</v>
      </c>
      <c r="T557">
        <v>9.8848699999999992E-4</v>
      </c>
    </row>
    <row r="558" spans="1:20" hidden="1" x14ac:dyDescent="0.25">
      <c r="A558" t="s">
        <v>576</v>
      </c>
      <c r="B558" s="1">
        <v>2.87E-5</v>
      </c>
      <c r="C558" s="1">
        <v>1.5800000000000001E-5</v>
      </c>
      <c r="D558">
        <v>0</v>
      </c>
      <c r="E558" s="1">
        <v>1.9400000000000001E-5</v>
      </c>
      <c r="F558" s="1">
        <v>2.0599999999999999E-5</v>
      </c>
      <c r="G558">
        <v>0</v>
      </c>
      <c r="H558" s="1">
        <v>1.7499999999999998E-5</v>
      </c>
      <c r="I558" s="1">
        <v>1.52E-5</v>
      </c>
      <c r="J558" s="1">
        <v>2.5599999999999999E-5</v>
      </c>
      <c r="K558" s="1">
        <v>1.2300000000000001E-5</v>
      </c>
      <c r="L558" s="1">
        <v>1.06E-5</v>
      </c>
      <c r="M558">
        <v>0</v>
      </c>
      <c r="N558">
        <v>0</v>
      </c>
      <c r="O558" s="1">
        <v>1.2300000000000001E-5</v>
      </c>
      <c r="P558">
        <v>0</v>
      </c>
      <c r="Q558" s="1">
        <v>1.19E-5</v>
      </c>
      <c r="R558" s="1">
        <v>6.9700000000000002E-6</v>
      </c>
      <c r="S558" s="1">
        <v>1.6699999999999999E-5</v>
      </c>
      <c r="T558">
        <v>0</v>
      </c>
    </row>
    <row r="559" spans="1:20" hidden="1" x14ac:dyDescent="0.25">
      <c r="A559" t="s">
        <v>577</v>
      </c>
      <c r="B559" s="1">
        <v>5.5999999999999999E-5</v>
      </c>
      <c r="C559">
        <v>1.13483E-4</v>
      </c>
      <c r="D559" s="1">
        <v>7.8700000000000002E-5</v>
      </c>
      <c r="E559">
        <v>1.03422E-4</v>
      </c>
      <c r="F559" s="1">
        <v>7.5799999999999999E-5</v>
      </c>
      <c r="G559" s="1">
        <v>9.0699999999999996E-5</v>
      </c>
      <c r="H559" s="1">
        <v>6.4900000000000005E-5</v>
      </c>
      <c r="I559" s="1">
        <v>5.3399999999999997E-5</v>
      </c>
      <c r="J559" s="1">
        <v>6.7999999999999999E-5</v>
      </c>
      <c r="K559" s="1">
        <v>8.1000000000000004E-5</v>
      </c>
      <c r="L559" s="1">
        <v>8.2899999999999996E-5</v>
      </c>
      <c r="M559" s="1">
        <v>5.6799999999999998E-5</v>
      </c>
      <c r="N559" s="1">
        <v>4.3099999999999997E-5</v>
      </c>
      <c r="O559" s="1">
        <v>3.8399999999999998E-5</v>
      </c>
      <c r="P559" s="1">
        <v>4.3600000000000003E-5</v>
      </c>
      <c r="Q559" s="1">
        <v>6.19E-5</v>
      </c>
      <c r="R559" s="1">
        <v>4.7599999999999998E-5</v>
      </c>
      <c r="S559" s="1">
        <v>6.2000000000000003E-5</v>
      </c>
      <c r="T559" s="1">
        <v>5.1400000000000003E-5</v>
      </c>
    </row>
    <row r="560" spans="1:20" hidden="1" x14ac:dyDescent="0.25">
      <c r="A560" t="s">
        <v>578</v>
      </c>
      <c r="B560" s="1">
        <v>9.7200000000000004E-5</v>
      </c>
      <c r="C560" s="1">
        <v>8.7800000000000006E-5</v>
      </c>
      <c r="D560" s="1">
        <v>6.5699999999999998E-5</v>
      </c>
      <c r="E560" s="1">
        <v>9.0400000000000002E-5</v>
      </c>
      <c r="F560" s="1">
        <v>8.42E-5</v>
      </c>
      <c r="G560">
        <v>1.4821499999999999E-4</v>
      </c>
      <c r="H560">
        <v>1.08101E-4</v>
      </c>
      <c r="I560">
        <v>1.07329E-4</v>
      </c>
      <c r="J560" s="1">
        <v>9.2800000000000006E-5</v>
      </c>
      <c r="K560" s="1">
        <v>8.1199999999999995E-5</v>
      </c>
      <c r="L560" s="1">
        <v>8.5199999999999997E-5</v>
      </c>
      <c r="M560">
        <v>1.2040300000000001E-4</v>
      </c>
      <c r="N560">
        <v>1.01327E-4</v>
      </c>
      <c r="O560" s="1">
        <v>8.14E-5</v>
      </c>
      <c r="P560">
        <v>1.1916100000000001E-4</v>
      </c>
      <c r="Q560">
        <v>1.17564E-4</v>
      </c>
      <c r="R560">
        <v>1.12144E-4</v>
      </c>
      <c r="S560">
        <v>1.7296E-4</v>
      </c>
      <c r="T560">
        <v>1.3453E-4</v>
      </c>
    </row>
    <row r="561" spans="1:20" hidden="1" x14ac:dyDescent="0.25">
      <c r="A561" t="s">
        <v>579</v>
      </c>
      <c r="B561">
        <v>1.93201E-4</v>
      </c>
      <c r="C561">
        <v>6.7103599999999996E-4</v>
      </c>
      <c r="D561">
        <v>4.64671E-4</v>
      </c>
      <c r="E561">
        <v>5.3966300000000001E-4</v>
      </c>
      <c r="F561">
        <v>3.5100000000000002E-4</v>
      </c>
      <c r="G561">
        <v>5.0434999999999998E-4</v>
      </c>
      <c r="H561">
        <v>3.27645E-4</v>
      </c>
      <c r="I561">
        <v>3.6717599999999998E-4</v>
      </c>
      <c r="J561">
        <v>3.45621E-4</v>
      </c>
      <c r="K561">
        <v>6.5640399999999997E-4</v>
      </c>
      <c r="L561">
        <v>6.9155400000000004E-4</v>
      </c>
      <c r="M561">
        <v>3.2342999999999998E-4</v>
      </c>
      <c r="N561">
        <v>2.4310299999999999E-4</v>
      </c>
      <c r="O561">
        <v>3.4662400000000002E-4</v>
      </c>
      <c r="P561">
        <v>2.3790899999999999E-4</v>
      </c>
      <c r="Q561">
        <v>2.5362200000000001E-4</v>
      </c>
      <c r="R561">
        <v>1.95713E-4</v>
      </c>
      <c r="S561">
        <v>2.69597E-4</v>
      </c>
      <c r="T561">
        <v>2.4605100000000001E-4</v>
      </c>
    </row>
    <row r="562" spans="1:20" hidden="1" x14ac:dyDescent="0.25">
      <c r="A562" t="s">
        <v>580</v>
      </c>
      <c r="B562">
        <v>1.3946499999999999E-4</v>
      </c>
      <c r="C562">
        <v>1.17805E-4</v>
      </c>
      <c r="D562">
        <v>1.1403700000000001E-4</v>
      </c>
      <c r="E562">
        <v>0</v>
      </c>
      <c r="F562">
        <v>1.3672599999999999E-4</v>
      </c>
      <c r="G562">
        <v>2.9561099999999999E-4</v>
      </c>
      <c r="H562">
        <v>1.7342099999999999E-4</v>
      </c>
      <c r="I562">
        <v>1.9410799999999999E-4</v>
      </c>
      <c r="J562">
        <v>2.06634E-4</v>
      </c>
      <c r="K562">
        <v>1.4830799999999999E-4</v>
      </c>
      <c r="L562">
        <v>2.10115E-4</v>
      </c>
      <c r="M562">
        <v>2.0317499999999999E-4</v>
      </c>
      <c r="N562">
        <v>2.04205E-4</v>
      </c>
      <c r="O562">
        <v>1.0843100000000001E-4</v>
      </c>
      <c r="P562">
        <v>1.6274599999999999E-4</v>
      </c>
      <c r="Q562">
        <v>1.2724500000000001E-4</v>
      </c>
      <c r="R562">
        <v>1.1662700000000001E-4</v>
      </c>
      <c r="S562" s="1">
        <v>6.3399999999999996E-5</v>
      </c>
      <c r="T562">
        <v>1.1114E-4</v>
      </c>
    </row>
    <row r="563" spans="1:20" hidden="1" x14ac:dyDescent="0.25">
      <c r="A563" t="s">
        <v>581</v>
      </c>
      <c r="B563" s="1">
        <v>6.8999999999999997E-5</v>
      </c>
      <c r="C563" s="1">
        <v>7.9200000000000001E-5</v>
      </c>
      <c r="D563" s="1">
        <v>8.6799999999999996E-5</v>
      </c>
      <c r="E563" s="1">
        <v>9.8400000000000007E-5</v>
      </c>
      <c r="F563" s="1">
        <v>7.9699999999999999E-5</v>
      </c>
      <c r="G563" s="1">
        <v>4.0399999999999999E-5</v>
      </c>
      <c r="H563" s="1">
        <v>3.1699999999999998E-5</v>
      </c>
      <c r="I563" s="1">
        <v>5.1799999999999999E-5</v>
      </c>
      <c r="J563" s="1">
        <v>4.4400000000000002E-5</v>
      </c>
      <c r="K563" s="1">
        <v>7.0099999999999996E-5</v>
      </c>
      <c r="L563" s="1">
        <v>6.19E-5</v>
      </c>
      <c r="M563" s="1">
        <v>3.68E-5</v>
      </c>
      <c r="N563" s="1">
        <v>2.7699999999999999E-5</v>
      </c>
      <c r="O563" s="1">
        <v>4.2599999999999999E-5</v>
      </c>
      <c r="P563" s="1">
        <v>1.6200000000000001E-5</v>
      </c>
      <c r="Q563" s="1">
        <v>8.5399999999999996E-6</v>
      </c>
      <c r="R563" s="1">
        <v>8.3499999999999997E-6</v>
      </c>
      <c r="S563" s="1">
        <v>6.7499999999999997E-6</v>
      </c>
      <c r="T563" s="1">
        <v>1.2099999999999999E-5</v>
      </c>
    </row>
    <row r="564" spans="1:20" hidden="1" x14ac:dyDescent="0.25">
      <c r="A564" t="s">
        <v>582</v>
      </c>
      <c r="B564">
        <v>0</v>
      </c>
      <c r="C564" s="1">
        <v>6.1500000000000004E-6</v>
      </c>
      <c r="D564" s="1">
        <v>1.1399999999999999E-5</v>
      </c>
      <c r="E564" s="1">
        <v>3.9899999999999999E-6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s="1">
        <v>5.0699999999999997E-6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hidden="1" x14ac:dyDescent="0.25">
      <c r="A565" t="s">
        <v>583</v>
      </c>
      <c r="B565">
        <v>3.1547299999999998E-4</v>
      </c>
      <c r="C565">
        <v>3.99696E-4</v>
      </c>
      <c r="D565">
        <v>2.0860599999999999E-4</v>
      </c>
      <c r="E565">
        <v>2.42308E-4</v>
      </c>
      <c r="F565">
        <v>5.2873299999999998E-4</v>
      </c>
      <c r="G565">
        <v>1.1372019999999999E-3</v>
      </c>
      <c r="H565">
        <v>6.4087200000000001E-4</v>
      </c>
      <c r="I565">
        <v>5.1162899999999999E-4</v>
      </c>
      <c r="J565">
        <v>5.1315400000000004E-4</v>
      </c>
      <c r="K565">
        <v>8.1224599999999997E-4</v>
      </c>
      <c r="L565">
        <v>4.3964900000000002E-4</v>
      </c>
      <c r="M565">
        <v>4.5840699999999998E-4</v>
      </c>
      <c r="N565">
        <v>2.9622399999999999E-4</v>
      </c>
      <c r="O565">
        <v>2.97134E-4</v>
      </c>
      <c r="P565">
        <v>9.8035000000000006E-4</v>
      </c>
      <c r="Q565">
        <v>1.294637E-3</v>
      </c>
      <c r="R565">
        <v>1.0794349999999999E-3</v>
      </c>
      <c r="S565">
        <v>2.2296059999999999E-3</v>
      </c>
      <c r="T565">
        <v>1.099196E-3</v>
      </c>
    </row>
    <row r="566" spans="1:20" hidden="1" x14ac:dyDescent="0.25">
      <c r="A566" t="s">
        <v>584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s="1">
        <v>1.2300000000000001E-5</v>
      </c>
      <c r="K566" s="1">
        <v>1.27E-5</v>
      </c>
      <c r="L566">
        <v>0</v>
      </c>
      <c r="M566">
        <v>0</v>
      </c>
      <c r="N566">
        <v>1.4047500000000001E-4</v>
      </c>
      <c r="O566">
        <v>0</v>
      </c>
      <c r="P566">
        <v>0</v>
      </c>
      <c r="Q566" s="1">
        <v>2.4199999999999999E-5</v>
      </c>
      <c r="R566" s="1">
        <v>3.3899999999999997E-5</v>
      </c>
      <c r="S566" s="1">
        <v>2.1100000000000001E-5</v>
      </c>
      <c r="T566" s="1">
        <v>6.2000000000000003E-5</v>
      </c>
    </row>
    <row r="567" spans="1:20" hidden="1" x14ac:dyDescent="0.25">
      <c r="A567" t="s">
        <v>585</v>
      </c>
      <c r="B567" s="1">
        <v>7.47E-5</v>
      </c>
      <c r="C567">
        <v>1.5946800000000001E-4</v>
      </c>
      <c r="D567">
        <v>2.6923000000000002E-4</v>
      </c>
      <c r="E567">
        <v>2.1560700000000001E-4</v>
      </c>
      <c r="F567">
        <v>1.35711E-4</v>
      </c>
      <c r="G567">
        <v>1.2250600000000001E-4</v>
      </c>
      <c r="H567">
        <v>1.0393800000000001E-4</v>
      </c>
      <c r="I567">
        <v>1.4726999999999999E-4</v>
      </c>
      <c r="J567">
        <v>1.4097799999999999E-4</v>
      </c>
      <c r="K567">
        <v>2.2832399999999999E-4</v>
      </c>
      <c r="L567">
        <v>2.0532600000000001E-4</v>
      </c>
      <c r="M567" s="1">
        <v>9.6399999999999999E-5</v>
      </c>
      <c r="N567" s="1">
        <v>8.4300000000000003E-5</v>
      </c>
      <c r="O567">
        <v>1.3323999999999999E-4</v>
      </c>
      <c r="P567" s="1">
        <v>9.31E-5</v>
      </c>
      <c r="Q567">
        <v>0</v>
      </c>
      <c r="R567" s="1">
        <v>3.5899999999999998E-5</v>
      </c>
      <c r="S567" s="1">
        <v>4.8000000000000001E-5</v>
      </c>
      <c r="T567">
        <v>0</v>
      </c>
    </row>
    <row r="568" spans="1:20" hidden="1" x14ac:dyDescent="0.25">
      <c r="A568" t="s">
        <v>586</v>
      </c>
      <c r="B568" s="1">
        <v>1.1600000000000001E-5</v>
      </c>
      <c r="C568" s="1">
        <v>9.5799999999999998E-6</v>
      </c>
      <c r="D568" s="1">
        <v>8.0299999999999994E-6</v>
      </c>
      <c r="E568" s="1">
        <v>8.4300000000000006E-6</v>
      </c>
      <c r="F568" s="1">
        <v>5.0300000000000001E-6</v>
      </c>
      <c r="G568" s="1">
        <v>9.5799999999999998E-6</v>
      </c>
      <c r="H568" s="1">
        <v>9.7799999999999995E-6</v>
      </c>
      <c r="I568" s="1">
        <v>1.2099999999999999E-5</v>
      </c>
      <c r="J568" s="1">
        <v>8.3999999999999992E-6</v>
      </c>
      <c r="K568" s="1">
        <v>8.4700000000000002E-6</v>
      </c>
      <c r="L568" s="1">
        <v>7.0199999999999997E-6</v>
      </c>
      <c r="M568" s="1">
        <v>1.06E-5</v>
      </c>
      <c r="N568" s="1">
        <v>9.6099999999999995E-6</v>
      </c>
      <c r="O568" s="1">
        <v>1.11E-5</v>
      </c>
      <c r="P568" s="1">
        <v>1.27E-5</v>
      </c>
      <c r="Q568" s="1">
        <v>8.7099999999999996E-6</v>
      </c>
      <c r="R568" s="1">
        <v>8.7099999999999996E-6</v>
      </c>
      <c r="S568" s="1">
        <v>5.4500000000000003E-6</v>
      </c>
      <c r="T568" s="1">
        <v>5.31E-6</v>
      </c>
    </row>
    <row r="569" spans="1:20" hidden="1" x14ac:dyDescent="0.25">
      <c r="A569" t="s">
        <v>587</v>
      </c>
      <c r="B569">
        <v>0</v>
      </c>
      <c r="C569">
        <v>0</v>
      </c>
      <c r="D569">
        <v>0</v>
      </c>
      <c r="E569">
        <v>0</v>
      </c>
      <c r="F569">
        <v>0</v>
      </c>
      <c r="G569" s="1">
        <v>8.8699999999999998E-6</v>
      </c>
      <c r="H569">
        <v>0</v>
      </c>
      <c r="I569">
        <v>0</v>
      </c>
      <c r="J569">
        <v>0</v>
      </c>
      <c r="K569">
        <v>0</v>
      </c>
      <c r="L569">
        <v>0</v>
      </c>
      <c r="M569" s="1">
        <v>7.4399999999999999E-6</v>
      </c>
      <c r="N569" s="1">
        <v>9.7699999999999996E-6</v>
      </c>
      <c r="O569" s="1">
        <v>5.5500000000000002E-6</v>
      </c>
      <c r="P569">
        <v>0</v>
      </c>
      <c r="Q569" s="1">
        <v>7.9300000000000003E-6</v>
      </c>
      <c r="R569" s="1">
        <v>7.0099999999999998E-6</v>
      </c>
      <c r="S569" s="1">
        <v>8.5099999999999998E-6</v>
      </c>
      <c r="T569" s="1">
        <v>8.3599999999999996E-6</v>
      </c>
    </row>
    <row r="570" spans="1:20" hidden="1" x14ac:dyDescent="0.25">
      <c r="A570" t="s">
        <v>588</v>
      </c>
      <c r="B570" s="1">
        <v>2.4499999999999999E-5</v>
      </c>
      <c r="C570" s="1">
        <v>3.5099999999999999E-5</v>
      </c>
      <c r="D570" s="1">
        <v>2.8099999999999999E-5</v>
      </c>
      <c r="E570" s="1">
        <v>2.8200000000000001E-5</v>
      </c>
      <c r="F570" s="1">
        <v>2.7100000000000001E-5</v>
      </c>
      <c r="G570" s="1">
        <v>2.12E-5</v>
      </c>
      <c r="H570" s="1">
        <v>1.45E-5</v>
      </c>
      <c r="I570" s="1">
        <v>2.0800000000000001E-5</v>
      </c>
      <c r="J570" s="1">
        <v>2.0699999999999998E-5</v>
      </c>
      <c r="K570" s="1">
        <v>1.7499999999999998E-5</v>
      </c>
      <c r="L570" s="1">
        <v>3.01E-5</v>
      </c>
      <c r="M570" s="1">
        <v>1.9000000000000001E-5</v>
      </c>
      <c r="N570" s="1">
        <v>2.9300000000000001E-5</v>
      </c>
      <c r="O570" s="1">
        <v>2.34E-5</v>
      </c>
      <c r="P570" s="1">
        <v>1.84E-5</v>
      </c>
      <c r="Q570" s="1">
        <v>1.84E-5</v>
      </c>
      <c r="R570" s="1">
        <v>1.4800000000000001E-5</v>
      </c>
      <c r="S570" s="1">
        <v>1.08E-5</v>
      </c>
      <c r="T570" s="1">
        <v>1.29E-5</v>
      </c>
    </row>
    <row r="571" spans="1:20" hidden="1" x14ac:dyDescent="0.25">
      <c r="A571" t="s">
        <v>589</v>
      </c>
      <c r="B571">
        <v>0</v>
      </c>
      <c r="C571">
        <v>0</v>
      </c>
      <c r="D571">
        <v>0</v>
      </c>
      <c r="E571">
        <v>0</v>
      </c>
      <c r="F571">
        <v>0</v>
      </c>
      <c r="G571" s="1">
        <v>7.4900000000000003E-6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1">
        <v>9.2799999999999992E-6</v>
      </c>
      <c r="Q571" s="1">
        <v>2.3900000000000002E-5</v>
      </c>
      <c r="R571" s="1">
        <v>1.7E-5</v>
      </c>
      <c r="S571" s="1">
        <v>2.3300000000000001E-5</v>
      </c>
      <c r="T571" s="1">
        <v>1.1199999999999999E-5</v>
      </c>
    </row>
    <row r="572" spans="1:20" hidden="1" x14ac:dyDescent="0.25">
      <c r="A572" t="s">
        <v>590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s="1">
        <v>7.8900000000000007E-6</v>
      </c>
      <c r="R572" s="1">
        <v>1.0699999999999999E-5</v>
      </c>
      <c r="S572" s="1">
        <v>5.3299999999999998E-6</v>
      </c>
      <c r="T572" s="1">
        <v>4.6800000000000001E-6</v>
      </c>
    </row>
    <row r="573" spans="1:20" hidden="1" x14ac:dyDescent="0.25">
      <c r="A573" t="s">
        <v>591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s="1">
        <v>7.1600000000000006E-5</v>
      </c>
      <c r="R573" s="1">
        <v>3.2400000000000001E-5</v>
      </c>
      <c r="S573" s="1">
        <v>8.8499999999999996E-5</v>
      </c>
      <c r="T573" s="1">
        <v>6.2500000000000001E-5</v>
      </c>
    </row>
    <row r="574" spans="1:20" hidden="1" x14ac:dyDescent="0.25">
      <c r="A574" t="s">
        <v>592</v>
      </c>
      <c r="B574">
        <v>0</v>
      </c>
      <c r="C574">
        <v>0</v>
      </c>
      <c r="D574">
        <v>0</v>
      </c>
      <c r="E574">
        <v>0</v>
      </c>
      <c r="F574" s="1">
        <v>5.0000000000000002E-5</v>
      </c>
      <c r="G574">
        <v>1.51139E-4</v>
      </c>
      <c r="H574" s="1">
        <v>6.5900000000000003E-5</v>
      </c>
      <c r="I574" s="1">
        <v>3.3200000000000001E-5</v>
      </c>
      <c r="J574" s="1">
        <v>5.2500000000000002E-5</v>
      </c>
      <c r="K574" s="1">
        <v>4.1100000000000003E-5</v>
      </c>
      <c r="L574" s="1">
        <v>3.1199999999999999E-5</v>
      </c>
      <c r="M574">
        <v>0</v>
      </c>
      <c r="N574">
        <v>0</v>
      </c>
      <c r="O574" s="1">
        <v>1.15E-5</v>
      </c>
      <c r="P574">
        <v>1.3909400000000001E-4</v>
      </c>
      <c r="Q574">
        <v>3.4429600000000001E-4</v>
      </c>
      <c r="R574">
        <v>2.76934E-4</v>
      </c>
      <c r="S574">
        <v>3.1749000000000002E-4</v>
      </c>
      <c r="T574">
        <v>2.98101E-4</v>
      </c>
    </row>
    <row r="575" spans="1:20" hidden="1" x14ac:dyDescent="0.25">
      <c r="A575" t="s">
        <v>593</v>
      </c>
      <c r="B575">
        <v>0</v>
      </c>
      <c r="C575">
        <v>0</v>
      </c>
      <c r="D575">
        <v>0</v>
      </c>
      <c r="E575">
        <v>0</v>
      </c>
      <c r="F575">
        <v>0</v>
      </c>
      <c r="G575" s="1">
        <v>5.49E-5</v>
      </c>
      <c r="H575" s="1">
        <v>2.2200000000000001E-5</v>
      </c>
      <c r="I575">
        <v>0</v>
      </c>
      <c r="J575">
        <v>0</v>
      </c>
      <c r="K575" s="1">
        <v>3.3300000000000003E-5</v>
      </c>
      <c r="L575" s="1">
        <v>2.3799999999999999E-5</v>
      </c>
      <c r="M575" s="1">
        <v>2.8500000000000002E-5</v>
      </c>
      <c r="N575" s="1">
        <v>1.5400000000000002E-5</v>
      </c>
      <c r="O575">
        <v>0</v>
      </c>
      <c r="P575" s="1">
        <v>2.97E-5</v>
      </c>
      <c r="Q575" s="1">
        <v>3.9400000000000002E-5</v>
      </c>
      <c r="R575" s="1">
        <v>2.7100000000000001E-5</v>
      </c>
      <c r="S575" s="1">
        <v>8.1799999999999996E-5</v>
      </c>
      <c r="T575" s="1">
        <v>8.7200000000000005E-5</v>
      </c>
    </row>
    <row r="576" spans="1:20" hidden="1" x14ac:dyDescent="0.25">
      <c r="A576" t="s">
        <v>594</v>
      </c>
      <c r="B576" s="1">
        <v>4.3699999999999998E-5</v>
      </c>
      <c r="C576" s="1">
        <v>7.3700000000000002E-5</v>
      </c>
      <c r="D576" s="1">
        <v>4.7299999999999998E-5</v>
      </c>
      <c r="E576">
        <v>0</v>
      </c>
      <c r="F576" s="1">
        <v>5.38E-5</v>
      </c>
      <c r="G576">
        <v>2.20263E-4</v>
      </c>
      <c r="H576" s="1">
        <v>5.4400000000000001E-5</v>
      </c>
      <c r="I576" s="1">
        <v>8.9800000000000001E-5</v>
      </c>
      <c r="J576" s="1">
        <v>5.7099999999999999E-5</v>
      </c>
      <c r="K576" s="1">
        <v>7.3800000000000005E-5</v>
      </c>
      <c r="L576" s="1">
        <v>8.1100000000000006E-5</v>
      </c>
      <c r="M576" s="1">
        <v>9.2100000000000003E-5</v>
      </c>
      <c r="N576">
        <v>1.4141300000000001E-4</v>
      </c>
      <c r="O576" s="1">
        <v>5.9200000000000002E-5</v>
      </c>
      <c r="P576">
        <v>1.2338099999999999E-4</v>
      </c>
      <c r="Q576">
        <v>1.21477E-4</v>
      </c>
      <c r="R576">
        <v>1.6682599999999999E-4</v>
      </c>
      <c r="S576">
        <v>5.6410200000000003E-4</v>
      </c>
      <c r="T576">
        <v>3.17237E-4</v>
      </c>
    </row>
    <row r="577" spans="1:20" hidden="1" x14ac:dyDescent="0.25">
      <c r="A577" t="s">
        <v>595</v>
      </c>
      <c r="B577">
        <v>0</v>
      </c>
      <c r="C577">
        <v>0</v>
      </c>
      <c r="D577" s="1">
        <v>4.9599999999999999E-5</v>
      </c>
      <c r="E577">
        <v>0</v>
      </c>
      <c r="F577">
        <v>0</v>
      </c>
      <c r="G577">
        <v>1.0590900000000001E-4</v>
      </c>
      <c r="H577" s="1">
        <v>5.63E-5</v>
      </c>
      <c r="I577" s="1">
        <v>4.46E-5</v>
      </c>
      <c r="J577" s="1">
        <v>5.0000000000000002E-5</v>
      </c>
      <c r="K577" s="1">
        <v>5.5800000000000001E-5</v>
      </c>
      <c r="L577" s="1">
        <v>4.6999999999999997E-5</v>
      </c>
      <c r="M577" s="1">
        <v>4.6300000000000001E-5</v>
      </c>
      <c r="N577" s="1">
        <v>3.3599999999999997E-5</v>
      </c>
      <c r="O577">
        <v>0</v>
      </c>
      <c r="P577" s="1">
        <v>5.52E-5</v>
      </c>
      <c r="Q577" s="1">
        <v>9.0199999999999997E-5</v>
      </c>
      <c r="R577" s="1">
        <v>8.1600000000000005E-5</v>
      </c>
      <c r="S577">
        <v>1.4603899999999999E-4</v>
      </c>
      <c r="T577" s="1">
        <v>9.7E-5</v>
      </c>
    </row>
    <row r="578" spans="1:20" hidden="1" x14ac:dyDescent="0.25">
      <c r="A578" t="s">
        <v>596</v>
      </c>
      <c r="B578">
        <v>6.0066899999999996E-4</v>
      </c>
      <c r="C578">
        <v>4.4417700000000003E-4</v>
      </c>
      <c r="D578">
        <v>4.7075300000000002E-4</v>
      </c>
      <c r="E578">
        <v>5.9897599999999998E-4</v>
      </c>
      <c r="F578">
        <v>7.2332500000000003E-4</v>
      </c>
      <c r="G578">
        <v>4.2870199999999999E-4</v>
      </c>
      <c r="H578">
        <v>6.4035399999999999E-4</v>
      </c>
      <c r="I578">
        <v>7.3151300000000004E-4</v>
      </c>
      <c r="J578">
        <v>8.0354999999999999E-4</v>
      </c>
      <c r="K578">
        <v>6.5341800000000001E-4</v>
      </c>
      <c r="L578">
        <v>5.4857500000000004E-4</v>
      </c>
      <c r="M578">
        <v>6.5190500000000004E-4</v>
      </c>
      <c r="N578">
        <v>9.782809999999999E-4</v>
      </c>
      <c r="O578">
        <v>7.1384300000000003E-4</v>
      </c>
      <c r="P578">
        <v>9.8938999999999993E-4</v>
      </c>
      <c r="Q578">
        <v>1.075374E-3</v>
      </c>
      <c r="R578">
        <v>1.21583E-3</v>
      </c>
      <c r="S578">
        <v>9.0933599999999996E-4</v>
      </c>
      <c r="T578">
        <v>9.7284699999999999E-4</v>
      </c>
    </row>
    <row r="579" spans="1:20" hidden="1" x14ac:dyDescent="0.25">
      <c r="A579" t="s">
        <v>597</v>
      </c>
      <c r="B579" s="1">
        <v>1.1199999999999999E-5</v>
      </c>
      <c r="C579" s="1">
        <v>2.76E-5</v>
      </c>
      <c r="D579" s="1">
        <v>2.1699999999999999E-5</v>
      </c>
      <c r="E579" s="1">
        <v>1.29E-5</v>
      </c>
      <c r="F579" s="1">
        <v>1.1E-5</v>
      </c>
      <c r="G579" s="1">
        <v>1.9300000000000002E-5</v>
      </c>
      <c r="H579" s="1">
        <v>8.0199999999999994E-6</v>
      </c>
      <c r="I579" s="1">
        <v>1.2E-5</v>
      </c>
      <c r="J579" s="1">
        <v>1.6900000000000001E-5</v>
      </c>
      <c r="K579" s="1">
        <v>2.5400000000000001E-5</v>
      </c>
      <c r="L579" s="1">
        <v>2.41E-5</v>
      </c>
      <c r="M579" s="1">
        <v>1.03E-5</v>
      </c>
      <c r="N579" s="1">
        <v>8.3000000000000002E-6</v>
      </c>
      <c r="O579" s="1">
        <v>1.0000000000000001E-5</v>
      </c>
      <c r="P579" s="1">
        <v>1.04E-5</v>
      </c>
      <c r="Q579" s="1">
        <v>1.2999999999999999E-5</v>
      </c>
      <c r="R579" s="1">
        <v>8.7099999999999996E-6</v>
      </c>
      <c r="S579" s="1">
        <v>7.6599999999999995E-6</v>
      </c>
      <c r="T579" s="1">
        <v>1.13E-5</v>
      </c>
    </row>
    <row r="580" spans="1:20" hidden="1" x14ac:dyDescent="0.25">
      <c r="A580" t="s">
        <v>598</v>
      </c>
      <c r="B580" s="1">
        <v>9.0499999999999997E-6</v>
      </c>
      <c r="C580" s="1">
        <v>1.3699999999999999E-5</v>
      </c>
      <c r="D580" s="1">
        <v>5.75E-6</v>
      </c>
      <c r="E580">
        <v>0</v>
      </c>
      <c r="F580">
        <v>0</v>
      </c>
      <c r="G580">
        <v>0</v>
      </c>
      <c r="H580" s="1">
        <v>7.1999999999999997E-6</v>
      </c>
      <c r="I580" s="1">
        <v>1.0699999999999999E-5</v>
      </c>
      <c r="J580">
        <v>0</v>
      </c>
      <c r="K580" s="1">
        <v>1.06E-5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hidden="1" x14ac:dyDescent="0.25">
      <c r="A581" t="s">
        <v>599</v>
      </c>
      <c r="B581" s="1">
        <v>7.1000000000000005E-5</v>
      </c>
      <c r="C581">
        <v>0</v>
      </c>
      <c r="D581" s="1">
        <v>6.1299999999999999E-5</v>
      </c>
      <c r="E581" s="1">
        <v>3.8000000000000002E-5</v>
      </c>
      <c r="F581" s="1">
        <v>3.6399999999999997E-5</v>
      </c>
      <c r="G581">
        <v>0</v>
      </c>
      <c r="H581" s="1">
        <v>7.1899999999999999E-5</v>
      </c>
      <c r="I581" s="1">
        <v>3.8300000000000003E-5</v>
      </c>
      <c r="J581" s="1">
        <v>6.4999999999999994E-5</v>
      </c>
      <c r="K581" s="1">
        <v>3.8999999999999999E-5</v>
      </c>
      <c r="L581" s="1">
        <v>3.6399999999999997E-5</v>
      </c>
      <c r="M581" s="1">
        <v>7.1000000000000005E-5</v>
      </c>
      <c r="N581" s="1">
        <v>9.6199999999999994E-5</v>
      </c>
      <c r="O581" s="1">
        <v>5.0800000000000002E-5</v>
      </c>
      <c r="P581">
        <v>1.10494E-4</v>
      </c>
      <c r="Q581">
        <v>1.02737E-4</v>
      </c>
      <c r="R581" s="1">
        <v>8.5699999999999996E-5</v>
      </c>
      <c r="S581" s="1">
        <v>5.1E-5</v>
      </c>
      <c r="T581">
        <v>1.1717700000000001E-4</v>
      </c>
    </row>
    <row r="582" spans="1:20" hidden="1" x14ac:dyDescent="0.25">
      <c r="A582" t="s">
        <v>600</v>
      </c>
      <c r="B582">
        <v>1.1557699999999999E-4</v>
      </c>
      <c r="C582">
        <v>0</v>
      </c>
      <c r="D582">
        <v>0</v>
      </c>
      <c r="E582">
        <v>0</v>
      </c>
      <c r="F582">
        <v>0</v>
      </c>
      <c r="G582">
        <v>0</v>
      </c>
      <c r="H582" s="1">
        <v>9.7600000000000001E-5</v>
      </c>
      <c r="I582" s="1">
        <v>5.4599999999999999E-5</v>
      </c>
      <c r="J582" s="1">
        <v>8.8200000000000003E-5</v>
      </c>
      <c r="K582">
        <v>0</v>
      </c>
      <c r="L582">
        <v>0</v>
      </c>
      <c r="M582" s="1">
        <v>5.8900000000000002E-5</v>
      </c>
      <c r="N582">
        <v>1.04737E-4</v>
      </c>
      <c r="O582">
        <v>0</v>
      </c>
      <c r="P582">
        <v>1.40467E-4</v>
      </c>
      <c r="Q582">
        <v>1.2518300000000001E-4</v>
      </c>
      <c r="R582">
        <v>1.4476300000000001E-4</v>
      </c>
      <c r="S582" s="1">
        <v>6.2299999999999996E-5</v>
      </c>
      <c r="T582">
        <v>1.1631E-4</v>
      </c>
    </row>
    <row r="583" spans="1:20" hidden="1" x14ac:dyDescent="0.25">
      <c r="A583" t="s">
        <v>601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1">
        <v>2.3900000000000002E-5</v>
      </c>
      <c r="Q583" s="1">
        <v>6.8399999999999996E-5</v>
      </c>
      <c r="R583" s="1">
        <v>6.4300000000000004E-5</v>
      </c>
      <c r="S583" s="1">
        <v>3.9700000000000003E-5</v>
      </c>
      <c r="T583">
        <v>1.15127E-4</v>
      </c>
    </row>
    <row r="584" spans="1:20" hidden="1" x14ac:dyDescent="0.25">
      <c r="A584" t="s">
        <v>602</v>
      </c>
      <c r="B584" s="1">
        <v>3.8600000000000003E-6</v>
      </c>
      <c r="C584" s="1">
        <v>1.15E-5</v>
      </c>
      <c r="D584" s="1">
        <v>8.4400000000000005E-6</v>
      </c>
      <c r="E584" s="1">
        <v>6.55E-6</v>
      </c>
      <c r="F584" s="1">
        <v>5.8000000000000004E-6</v>
      </c>
      <c r="G584" s="1">
        <v>7.08E-6</v>
      </c>
      <c r="H584" s="1">
        <v>7.2400000000000001E-6</v>
      </c>
      <c r="I584" s="1">
        <v>6.4200000000000004E-6</v>
      </c>
      <c r="J584" s="1">
        <v>2.61E-6</v>
      </c>
      <c r="K584" s="1">
        <v>8.67E-6</v>
      </c>
      <c r="L584" s="1">
        <v>8.0700000000000007E-6</v>
      </c>
      <c r="M584" s="1">
        <v>4.5199999999999999E-6</v>
      </c>
      <c r="N584" s="1">
        <v>4.4000000000000002E-6</v>
      </c>
      <c r="O584" s="1">
        <v>3.8800000000000001E-6</v>
      </c>
      <c r="P584">
        <v>0</v>
      </c>
      <c r="Q584" s="1">
        <v>9.8400000000000007E-6</v>
      </c>
      <c r="R584" s="1">
        <v>6.1600000000000003E-6</v>
      </c>
      <c r="S584" s="1">
        <v>6.3899999999999998E-6</v>
      </c>
      <c r="T584" s="1">
        <v>1.04E-5</v>
      </c>
    </row>
    <row r="585" spans="1:20" hidden="1" x14ac:dyDescent="0.25">
      <c r="A585" t="s">
        <v>603</v>
      </c>
      <c r="B585">
        <v>4.3654799999999998E-4</v>
      </c>
      <c r="C585">
        <v>2.6950500000000002E-4</v>
      </c>
      <c r="D585">
        <v>3.2028900000000002E-4</v>
      </c>
      <c r="E585">
        <v>2.7708499999999999E-4</v>
      </c>
      <c r="F585">
        <v>5.1391999999999996E-4</v>
      </c>
      <c r="G585">
        <v>4.2448399999999998E-4</v>
      </c>
      <c r="H585">
        <v>4.1375199999999998E-4</v>
      </c>
      <c r="I585">
        <v>4.4776700000000001E-4</v>
      </c>
      <c r="J585">
        <v>4.3622700000000002E-4</v>
      </c>
      <c r="K585">
        <v>3.0051299999999997E-4</v>
      </c>
      <c r="L585">
        <v>3.1116599999999998E-4</v>
      </c>
      <c r="M585">
        <v>4.5020100000000001E-4</v>
      </c>
      <c r="N585">
        <v>4.9652699999999997E-4</v>
      </c>
      <c r="O585">
        <v>3.9762400000000001E-4</v>
      </c>
      <c r="P585">
        <v>5.7987100000000003E-4</v>
      </c>
      <c r="Q585">
        <v>7.4655999999999995E-4</v>
      </c>
      <c r="R585">
        <v>6.3853800000000002E-4</v>
      </c>
      <c r="S585">
        <v>9.3650799999999996E-4</v>
      </c>
      <c r="T585">
        <v>1.098697E-3</v>
      </c>
    </row>
    <row r="586" spans="1:20" hidden="1" x14ac:dyDescent="0.25">
      <c r="A586" t="s">
        <v>604</v>
      </c>
      <c r="B586">
        <v>0</v>
      </c>
      <c r="C586">
        <v>0</v>
      </c>
      <c r="D586">
        <v>0</v>
      </c>
      <c r="E586">
        <v>0</v>
      </c>
      <c r="F586">
        <v>0</v>
      </c>
      <c r="G586" s="1">
        <v>1.6099999999999998E-5</v>
      </c>
      <c r="H586">
        <v>0</v>
      </c>
      <c r="I586">
        <v>0</v>
      </c>
      <c r="J586">
        <v>0</v>
      </c>
      <c r="K586" s="1">
        <v>1.7399999999999999E-5</v>
      </c>
      <c r="L586">
        <v>0</v>
      </c>
      <c r="M586">
        <v>0</v>
      </c>
      <c r="N586">
        <v>0</v>
      </c>
      <c r="O586" s="1">
        <v>4.1200000000000004E-6</v>
      </c>
      <c r="P586" s="1">
        <v>4.3099999999999997E-5</v>
      </c>
      <c r="Q586" s="1">
        <v>2.5000000000000001E-5</v>
      </c>
      <c r="R586" s="1">
        <v>7.6799999999999993E-6</v>
      </c>
      <c r="S586" s="1">
        <v>1.4E-5</v>
      </c>
      <c r="T586" s="1">
        <v>1.11E-5</v>
      </c>
    </row>
    <row r="587" spans="1:20" hidden="1" x14ac:dyDescent="0.25">
      <c r="A587" t="s">
        <v>605</v>
      </c>
      <c r="B587">
        <v>4.9401399999999998E-4</v>
      </c>
      <c r="C587">
        <v>5.5879900000000001E-4</v>
      </c>
      <c r="D587">
        <v>4.2535199999999999E-4</v>
      </c>
      <c r="E587">
        <v>5.0570900000000002E-4</v>
      </c>
      <c r="F587">
        <v>4.7777399999999998E-4</v>
      </c>
      <c r="G587">
        <v>4.43008E-4</v>
      </c>
      <c r="H587">
        <v>7.0052899999999997E-4</v>
      </c>
      <c r="I587">
        <v>4.1989600000000001E-4</v>
      </c>
      <c r="J587">
        <v>4.5960400000000001E-4</v>
      </c>
      <c r="K587">
        <v>5.9724500000000005E-4</v>
      </c>
      <c r="L587">
        <v>5.0700099999999998E-4</v>
      </c>
      <c r="M587">
        <v>4.7010500000000001E-4</v>
      </c>
      <c r="N587">
        <v>4.0523099999999998E-4</v>
      </c>
      <c r="O587">
        <v>3.7469400000000001E-4</v>
      </c>
      <c r="P587">
        <v>7.47114E-4</v>
      </c>
      <c r="Q587">
        <v>8.1659300000000001E-4</v>
      </c>
      <c r="R587">
        <v>8.2723599999999997E-4</v>
      </c>
      <c r="S587">
        <v>9.26526E-4</v>
      </c>
      <c r="T587">
        <v>5.5977200000000005E-4</v>
      </c>
    </row>
    <row r="588" spans="1:20" hidden="1" x14ac:dyDescent="0.25">
      <c r="A588" t="s">
        <v>606</v>
      </c>
      <c r="B588">
        <v>1.4665240000000001E-3</v>
      </c>
      <c r="C588">
        <v>1.660871E-3</v>
      </c>
      <c r="D588">
        <v>1.904202E-3</v>
      </c>
      <c r="E588">
        <v>2.0463510000000001E-3</v>
      </c>
      <c r="F588">
        <v>1.349107E-3</v>
      </c>
      <c r="G588">
        <v>1.0913190000000001E-3</v>
      </c>
      <c r="H588">
        <v>9.5510899999999999E-4</v>
      </c>
      <c r="I588">
        <v>1.115022E-3</v>
      </c>
      <c r="J588">
        <v>1.2954419999999999E-3</v>
      </c>
      <c r="K588">
        <v>9.7287100000000004E-4</v>
      </c>
      <c r="L588">
        <v>1.1991020000000001E-3</v>
      </c>
      <c r="M588">
        <v>1.204334E-3</v>
      </c>
      <c r="N588">
        <v>1.960753E-3</v>
      </c>
      <c r="O588">
        <v>1.430209E-3</v>
      </c>
      <c r="P588">
        <v>7.4705699999999997E-4</v>
      </c>
      <c r="Q588">
        <v>3.6759800000000001E-4</v>
      </c>
      <c r="R588">
        <v>3.8942000000000002E-4</v>
      </c>
      <c r="S588">
        <v>3.0095700000000003E-4</v>
      </c>
      <c r="T588">
        <v>2.2950800000000001E-4</v>
      </c>
    </row>
    <row r="589" spans="1:20" hidden="1" x14ac:dyDescent="0.25">
      <c r="A589" t="s">
        <v>607</v>
      </c>
      <c r="B589">
        <v>6.55056E-4</v>
      </c>
      <c r="C589">
        <v>9.8160999999999995E-4</v>
      </c>
      <c r="D589">
        <v>1.155866E-3</v>
      </c>
      <c r="E589">
        <v>1.101735E-3</v>
      </c>
      <c r="F589">
        <v>1.2263930000000001E-3</v>
      </c>
      <c r="G589">
        <v>8.6296799999999998E-4</v>
      </c>
      <c r="H589">
        <v>8.2006600000000005E-4</v>
      </c>
      <c r="I589">
        <v>1.0927980000000001E-3</v>
      </c>
      <c r="J589">
        <v>1.6372019999999999E-3</v>
      </c>
      <c r="K589">
        <v>9.0561000000000005E-4</v>
      </c>
      <c r="L589">
        <v>1.099771E-3</v>
      </c>
      <c r="M589">
        <v>2.7822200000000002E-3</v>
      </c>
      <c r="N589">
        <v>2.735791E-3</v>
      </c>
      <c r="O589">
        <v>2.1622500000000001E-3</v>
      </c>
      <c r="P589">
        <v>2.0016639999999998E-3</v>
      </c>
      <c r="Q589">
        <v>4.010507E-3</v>
      </c>
      <c r="R589">
        <v>3.5425819999999998E-3</v>
      </c>
      <c r="S589">
        <v>6.08779E-3</v>
      </c>
      <c r="T589">
        <v>3.8479270000000001E-3</v>
      </c>
    </row>
    <row r="590" spans="1:20" hidden="1" x14ac:dyDescent="0.25">
      <c r="A590" t="s">
        <v>608</v>
      </c>
      <c r="B590">
        <v>5.7441199999999995E-4</v>
      </c>
      <c r="C590">
        <v>4.8133300000000002E-4</v>
      </c>
      <c r="D590">
        <v>7.8476800000000003E-4</v>
      </c>
      <c r="E590">
        <v>8.3954799999999997E-4</v>
      </c>
      <c r="F590">
        <v>4.4460000000000002E-4</v>
      </c>
      <c r="G590">
        <v>3.6631499999999998E-4</v>
      </c>
      <c r="H590">
        <v>6.0589900000000002E-4</v>
      </c>
      <c r="I590">
        <v>5.3690499999999996E-4</v>
      </c>
      <c r="J590">
        <v>6.2147000000000005E-4</v>
      </c>
      <c r="K590">
        <v>4.7184899999999999E-4</v>
      </c>
      <c r="L590">
        <v>4.0785300000000001E-4</v>
      </c>
      <c r="M590">
        <v>5.1838199999999996E-4</v>
      </c>
      <c r="N590">
        <v>7.10708E-4</v>
      </c>
      <c r="O590">
        <v>6.8132499999999999E-4</v>
      </c>
      <c r="P590">
        <v>5.4977800000000001E-4</v>
      </c>
      <c r="Q590">
        <v>4.47336E-4</v>
      </c>
      <c r="R590">
        <v>8.6560000000000001E-4</v>
      </c>
      <c r="S590">
        <v>7.9538299999999998E-4</v>
      </c>
      <c r="T590">
        <v>5.6772599999999995E-4</v>
      </c>
    </row>
    <row r="591" spans="1:20" hidden="1" x14ac:dyDescent="0.25">
      <c r="A591" t="s">
        <v>609</v>
      </c>
      <c r="B591" s="1">
        <v>2.0400000000000001E-5</v>
      </c>
      <c r="C591" s="1">
        <v>2.34E-5</v>
      </c>
      <c r="D591">
        <v>0</v>
      </c>
      <c r="E591" s="1">
        <v>1.29E-5</v>
      </c>
      <c r="F591" s="1">
        <v>3.2499999999999997E-5</v>
      </c>
      <c r="G591" s="1">
        <v>1.9599999999999999E-5</v>
      </c>
      <c r="H591" s="1">
        <v>1.63E-5</v>
      </c>
      <c r="I591" s="1">
        <v>2.6299999999999999E-5</v>
      </c>
      <c r="J591" s="1">
        <v>2.8600000000000001E-5</v>
      </c>
      <c r="K591">
        <v>0</v>
      </c>
      <c r="L591" s="1">
        <v>1.2500000000000001E-5</v>
      </c>
      <c r="M591" s="1">
        <v>2.0299999999999999E-5</v>
      </c>
      <c r="N591" s="1">
        <v>3.1900000000000003E-5</v>
      </c>
      <c r="O591" s="1">
        <v>1.7399999999999999E-5</v>
      </c>
      <c r="P591" s="1">
        <v>5.5600000000000003E-5</v>
      </c>
      <c r="Q591" s="1">
        <v>3.9400000000000002E-5</v>
      </c>
      <c r="R591" s="1">
        <v>6.3700000000000003E-5</v>
      </c>
      <c r="S591" s="1">
        <v>5.9500000000000003E-5</v>
      </c>
      <c r="T591" s="1">
        <v>6.3399999999999996E-5</v>
      </c>
    </row>
    <row r="592" spans="1:20" hidden="1" x14ac:dyDescent="0.25">
      <c r="A592" t="s">
        <v>610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s="1">
        <v>3.93E-5</v>
      </c>
      <c r="O592">
        <v>0</v>
      </c>
      <c r="P592" s="1">
        <v>4.7599999999999998E-5</v>
      </c>
      <c r="Q592" s="1">
        <v>4.7599999999999998E-5</v>
      </c>
      <c r="R592" s="1">
        <v>6.8100000000000002E-5</v>
      </c>
      <c r="S592" s="1">
        <v>4.5599999999999997E-5</v>
      </c>
      <c r="T592" s="1">
        <v>8.6199999999999995E-5</v>
      </c>
    </row>
    <row r="593" spans="1:20" hidden="1" x14ac:dyDescent="0.25">
      <c r="A593" t="s">
        <v>611</v>
      </c>
      <c r="B593">
        <v>0</v>
      </c>
      <c r="C593" s="1">
        <v>2.37E-5</v>
      </c>
      <c r="D593" s="1">
        <v>2.0299999999999999E-5</v>
      </c>
      <c r="E593" s="1">
        <v>1.49E-5</v>
      </c>
      <c r="F593">
        <v>0</v>
      </c>
      <c r="G593">
        <v>0</v>
      </c>
      <c r="H593">
        <v>0</v>
      </c>
      <c r="I593">
        <v>0</v>
      </c>
      <c r="J593">
        <v>0</v>
      </c>
      <c r="K593" s="1">
        <v>1.06E-5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hidden="1" x14ac:dyDescent="0.25">
      <c r="A594" t="s">
        <v>612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1">
        <v>1.11E-5</v>
      </c>
      <c r="Q594" s="1">
        <v>2.3E-5</v>
      </c>
      <c r="R594">
        <v>0</v>
      </c>
      <c r="S594" s="1">
        <v>1.17E-5</v>
      </c>
      <c r="T594" s="1">
        <v>1.06E-5</v>
      </c>
    </row>
    <row r="595" spans="1:20" hidden="1" x14ac:dyDescent="0.25">
      <c r="A595" t="s">
        <v>613</v>
      </c>
      <c r="B595" s="1">
        <v>1.52E-5</v>
      </c>
      <c r="C595" s="1">
        <v>1.7E-5</v>
      </c>
      <c r="D595" s="1">
        <v>1.2099999999999999E-5</v>
      </c>
      <c r="E595" s="1">
        <v>1.9300000000000002E-5</v>
      </c>
      <c r="F595" s="1">
        <v>1.38E-5</v>
      </c>
      <c r="G595" s="1">
        <v>2.1500000000000001E-5</v>
      </c>
      <c r="H595" s="1">
        <v>2.9200000000000002E-5</v>
      </c>
      <c r="I595" s="1">
        <v>2.1800000000000001E-5</v>
      </c>
      <c r="J595" s="1">
        <v>2.05E-5</v>
      </c>
      <c r="K595" s="1">
        <v>1.0900000000000001E-5</v>
      </c>
      <c r="L595" s="1">
        <v>2.0000000000000002E-5</v>
      </c>
      <c r="M595" s="1">
        <v>2.5700000000000001E-5</v>
      </c>
      <c r="N595" s="1">
        <v>2.0100000000000001E-5</v>
      </c>
      <c r="O595" s="1">
        <v>2.1100000000000001E-5</v>
      </c>
      <c r="P595" s="1">
        <v>1.5299999999999999E-5</v>
      </c>
      <c r="Q595" s="1">
        <v>3.6699999999999998E-5</v>
      </c>
      <c r="R595" s="1">
        <v>4.0299999999999997E-5</v>
      </c>
      <c r="S595" s="1">
        <v>1.95E-5</v>
      </c>
      <c r="T595" s="1">
        <v>2.7900000000000001E-5</v>
      </c>
    </row>
    <row r="596" spans="1:20" hidden="1" x14ac:dyDescent="0.25">
      <c r="A596" t="s">
        <v>614</v>
      </c>
      <c r="B596" s="1">
        <v>7.0300000000000001E-5</v>
      </c>
      <c r="C596">
        <v>0</v>
      </c>
      <c r="D596" s="1">
        <v>6.8899999999999994E-5</v>
      </c>
      <c r="E596" s="1">
        <v>4.6400000000000003E-5</v>
      </c>
      <c r="F596">
        <v>0</v>
      </c>
      <c r="G596">
        <v>2.2886299999999999E-4</v>
      </c>
      <c r="H596">
        <v>1.21428E-4</v>
      </c>
      <c r="I596" s="1">
        <v>6.7000000000000002E-5</v>
      </c>
      <c r="J596">
        <v>0</v>
      </c>
      <c r="K596">
        <v>1.4916800000000001E-4</v>
      </c>
      <c r="L596">
        <v>1.3540199999999999E-4</v>
      </c>
      <c r="M596">
        <v>1.13999E-4</v>
      </c>
      <c r="N596" s="1">
        <v>5.9799999999999997E-5</v>
      </c>
      <c r="O596">
        <v>0</v>
      </c>
      <c r="P596">
        <v>1.91273E-4</v>
      </c>
      <c r="Q596">
        <v>2.76538E-4</v>
      </c>
      <c r="R596">
        <v>1.9362000000000001E-4</v>
      </c>
      <c r="S596">
        <v>4.0601500000000002E-4</v>
      </c>
      <c r="T596">
        <v>2.7975100000000001E-4</v>
      </c>
    </row>
    <row r="597" spans="1:20" hidden="1" x14ac:dyDescent="0.25">
      <c r="A597" t="s">
        <v>615</v>
      </c>
      <c r="B597" s="1">
        <v>1.9599999999999999E-5</v>
      </c>
      <c r="C597" s="1">
        <v>7.5599999999999994E-5</v>
      </c>
      <c r="D597" s="1">
        <v>7.7399999999999998E-5</v>
      </c>
      <c r="E597" s="1">
        <v>8.2299999999999995E-5</v>
      </c>
      <c r="F597" s="1">
        <v>2.37E-5</v>
      </c>
      <c r="G597" s="1">
        <v>7.2999999999999999E-5</v>
      </c>
      <c r="H597" s="1">
        <v>4.6E-5</v>
      </c>
      <c r="I597" s="1">
        <v>3.2799999999999998E-5</v>
      </c>
      <c r="J597" s="1">
        <v>2.6599999999999999E-5</v>
      </c>
      <c r="K597" s="1">
        <v>4.4199999999999997E-5</v>
      </c>
      <c r="L597" s="1">
        <v>5.1600000000000001E-5</v>
      </c>
      <c r="M597" s="1">
        <v>2.65E-5</v>
      </c>
      <c r="N597" s="1">
        <v>2.02E-5</v>
      </c>
      <c r="O597" s="1">
        <v>4.18E-5</v>
      </c>
      <c r="P597" s="1">
        <v>2.5599999999999999E-5</v>
      </c>
      <c r="Q597" s="1">
        <v>3.7499999999999997E-5</v>
      </c>
      <c r="R597" s="1">
        <v>3.1900000000000003E-5</v>
      </c>
      <c r="S597" s="1">
        <v>2.9099999999999999E-5</v>
      </c>
      <c r="T597" s="1">
        <v>4.3699999999999998E-5</v>
      </c>
    </row>
    <row r="598" spans="1:20" hidden="1" x14ac:dyDescent="0.25">
      <c r="A598" t="s">
        <v>616</v>
      </c>
      <c r="B598">
        <v>2.1310400000000001E-4</v>
      </c>
      <c r="C598">
        <v>2.5390500000000002E-4</v>
      </c>
      <c r="D598">
        <v>4.3682299999999997E-4</v>
      </c>
      <c r="E598">
        <v>3.4393800000000001E-4</v>
      </c>
      <c r="F598">
        <v>2.08357E-4</v>
      </c>
      <c r="G598">
        <v>1.54062E-4</v>
      </c>
      <c r="H598">
        <v>1.7505600000000001E-4</v>
      </c>
      <c r="I598">
        <v>2.1609299999999999E-4</v>
      </c>
      <c r="J598">
        <v>2.09292E-4</v>
      </c>
      <c r="K598">
        <v>3.1913900000000002E-4</v>
      </c>
      <c r="L598">
        <v>3.4193599999999999E-4</v>
      </c>
      <c r="M598">
        <v>1.4610799999999999E-4</v>
      </c>
      <c r="N598">
        <v>2.3614099999999999E-4</v>
      </c>
      <c r="O598">
        <v>3.4217600000000003E-4</v>
      </c>
      <c r="P598">
        <v>1.4910100000000001E-4</v>
      </c>
      <c r="Q598" s="1">
        <v>9.0600000000000007E-5</v>
      </c>
      <c r="R598">
        <v>1.43361E-4</v>
      </c>
      <c r="S598">
        <v>1.68813E-4</v>
      </c>
      <c r="T598">
        <v>1.7795500000000001E-4</v>
      </c>
    </row>
    <row r="599" spans="1:20" hidden="1" x14ac:dyDescent="0.25">
      <c r="A599" t="s">
        <v>617</v>
      </c>
      <c r="B599" s="1">
        <v>6.86E-5</v>
      </c>
      <c r="C599" s="1">
        <v>3.6300000000000001E-5</v>
      </c>
      <c r="D599" s="1">
        <v>2.27E-5</v>
      </c>
      <c r="E599" s="1">
        <v>2.9300000000000001E-5</v>
      </c>
      <c r="F599" s="1">
        <v>5.4299999999999998E-5</v>
      </c>
      <c r="G599" s="1">
        <v>3.0800000000000003E-5</v>
      </c>
      <c r="H599" s="1">
        <v>9.9699999999999998E-5</v>
      </c>
      <c r="I599" s="1">
        <v>6.6000000000000005E-5</v>
      </c>
      <c r="J599" s="1">
        <v>6.7199999999999994E-5</v>
      </c>
      <c r="K599" s="1">
        <v>4.8399999999999997E-5</v>
      </c>
      <c r="L599" s="1">
        <v>4.7700000000000001E-5</v>
      </c>
      <c r="M599" s="1">
        <v>8.0599999999999994E-5</v>
      </c>
      <c r="N599" s="1">
        <v>6.0099999999999997E-5</v>
      </c>
      <c r="O599" s="1">
        <v>6.3100000000000002E-5</v>
      </c>
      <c r="P599" s="1">
        <v>6.6000000000000005E-5</v>
      </c>
      <c r="Q599">
        <v>1.08374E-4</v>
      </c>
      <c r="R599" s="1">
        <v>8.81E-5</v>
      </c>
      <c r="S599" s="1">
        <v>5.3000000000000001E-5</v>
      </c>
      <c r="T599">
        <v>1.108E-4</v>
      </c>
    </row>
    <row r="600" spans="1:20" hidden="1" x14ac:dyDescent="0.25">
      <c r="A600" t="s">
        <v>618</v>
      </c>
      <c r="B600" s="1">
        <v>1.43E-5</v>
      </c>
      <c r="C600" s="1">
        <v>8.3399999999999994E-5</v>
      </c>
      <c r="D600" s="1">
        <v>5.1100000000000002E-5</v>
      </c>
      <c r="E600" s="1">
        <v>7.2100000000000004E-5</v>
      </c>
      <c r="F600" s="1">
        <v>3.8600000000000003E-5</v>
      </c>
      <c r="G600" s="1">
        <v>5.5800000000000001E-5</v>
      </c>
      <c r="H600" s="1">
        <v>8.9800000000000001E-5</v>
      </c>
      <c r="I600" s="1">
        <v>4.6600000000000001E-5</v>
      </c>
      <c r="J600" s="1">
        <v>3.01E-5</v>
      </c>
      <c r="K600" s="1">
        <v>4.7800000000000003E-5</v>
      </c>
      <c r="L600" s="1">
        <v>4.5800000000000002E-5</v>
      </c>
      <c r="M600" s="1">
        <v>2.1100000000000001E-5</v>
      </c>
      <c r="N600" s="1">
        <v>2.1699999999999999E-5</v>
      </c>
      <c r="O600" s="1">
        <v>4.3800000000000001E-5</v>
      </c>
      <c r="P600" s="1">
        <v>2.9899999999999998E-5</v>
      </c>
      <c r="Q600" s="1">
        <v>2.6299999999999999E-5</v>
      </c>
      <c r="R600" s="1">
        <v>3.3500000000000001E-5</v>
      </c>
      <c r="S600" s="1">
        <v>3.15E-5</v>
      </c>
      <c r="T600" s="1">
        <v>3.8899999999999997E-5</v>
      </c>
    </row>
    <row r="601" spans="1:20" hidden="1" x14ac:dyDescent="0.25">
      <c r="A601" t="s">
        <v>619</v>
      </c>
      <c r="B601" s="1">
        <v>4.3999999999999999E-5</v>
      </c>
      <c r="C601" s="1">
        <v>9.7100000000000002E-5</v>
      </c>
      <c r="D601" s="1">
        <v>8.3399999999999994E-5</v>
      </c>
      <c r="E601" s="1">
        <v>8.8999999999999995E-5</v>
      </c>
      <c r="F601" s="1">
        <v>3.1000000000000001E-5</v>
      </c>
      <c r="G601" s="1">
        <v>9.3900000000000006E-5</v>
      </c>
      <c r="H601" s="1">
        <v>5.52E-5</v>
      </c>
      <c r="I601" s="1">
        <v>6.3100000000000002E-5</v>
      </c>
      <c r="J601" s="1">
        <v>3.7499999999999997E-5</v>
      </c>
      <c r="K601" s="1">
        <v>7.7799999999999994E-5</v>
      </c>
      <c r="L601" s="1">
        <v>8.8300000000000005E-5</v>
      </c>
      <c r="M601" s="1">
        <v>3.68E-5</v>
      </c>
      <c r="N601" s="1">
        <v>3.2799999999999998E-5</v>
      </c>
      <c r="O601" s="1">
        <v>4.8199999999999999E-5</v>
      </c>
      <c r="P601" s="1">
        <v>3.0700000000000001E-5</v>
      </c>
      <c r="Q601" s="1">
        <v>3.6000000000000001E-5</v>
      </c>
      <c r="R601" s="1">
        <v>2.9899999999999998E-5</v>
      </c>
      <c r="S601" s="1">
        <v>3.5500000000000002E-5</v>
      </c>
      <c r="T601" s="1">
        <v>3.1000000000000001E-5</v>
      </c>
    </row>
    <row r="602" spans="1:20" hidden="1" x14ac:dyDescent="0.25">
      <c r="A602" t="s">
        <v>620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s="1">
        <v>2.37E-5</v>
      </c>
      <c r="R602" s="1">
        <v>1.5800000000000001E-5</v>
      </c>
      <c r="S602" s="1">
        <v>8.9299999999999992E-6</v>
      </c>
      <c r="T602" s="1">
        <v>1.73E-5</v>
      </c>
    </row>
    <row r="603" spans="1:20" hidden="1" x14ac:dyDescent="0.25">
      <c r="A603" t="s">
        <v>621</v>
      </c>
      <c r="B603" s="1">
        <v>5.2899999999999998E-5</v>
      </c>
      <c r="C603" s="1">
        <v>8.7700000000000007E-6</v>
      </c>
      <c r="D603" s="1">
        <v>1.43E-5</v>
      </c>
      <c r="E603" s="1">
        <v>3.5300000000000001E-6</v>
      </c>
      <c r="F603">
        <v>1.09126E-4</v>
      </c>
      <c r="G603">
        <v>2.1674899999999999E-4</v>
      </c>
      <c r="H603" s="1">
        <v>5.4799999999999997E-5</v>
      </c>
      <c r="I603" s="1">
        <v>5.9299999999999998E-5</v>
      </c>
      <c r="J603">
        <v>2.1268200000000001E-4</v>
      </c>
      <c r="K603">
        <v>4.0569500000000002E-4</v>
      </c>
      <c r="L603" s="1">
        <v>3.9400000000000002E-5</v>
      </c>
      <c r="M603" s="1">
        <v>8.9599999999999996E-5</v>
      </c>
      <c r="N603" s="1">
        <v>3.3599999999999997E-5</v>
      </c>
      <c r="O603">
        <v>1.41302E-4</v>
      </c>
      <c r="P603">
        <v>1.68887E-4</v>
      </c>
      <c r="Q603">
        <v>7.5224099999999996E-4</v>
      </c>
      <c r="R603">
        <v>2.2321400000000001E-4</v>
      </c>
      <c r="S603">
        <v>6.3969899999999998E-4</v>
      </c>
      <c r="T603">
        <v>4.3730400000000001E-4</v>
      </c>
    </row>
    <row r="604" spans="1:20" hidden="1" x14ac:dyDescent="0.25">
      <c r="A604" t="s">
        <v>622</v>
      </c>
      <c r="B604" s="1">
        <v>1.34E-5</v>
      </c>
      <c r="C604" s="1">
        <v>1.1199999999999999E-5</v>
      </c>
      <c r="D604" s="1">
        <v>1.5400000000000002E-5</v>
      </c>
      <c r="E604" s="1">
        <v>1.17E-5</v>
      </c>
      <c r="F604" s="1">
        <v>2.2099999999999998E-5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s="1">
        <v>1.0900000000000001E-5</v>
      </c>
      <c r="N604">
        <v>0</v>
      </c>
      <c r="O604" s="1">
        <v>9.3600000000000002E-6</v>
      </c>
      <c r="P604" s="1">
        <v>1.11E-5</v>
      </c>
      <c r="Q604">
        <v>0</v>
      </c>
      <c r="R604">
        <v>0</v>
      </c>
      <c r="S604">
        <v>0</v>
      </c>
      <c r="T604">
        <v>0</v>
      </c>
    </row>
    <row r="605" spans="1:20" hidden="1" x14ac:dyDescent="0.25">
      <c r="A605" t="s">
        <v>623</v>
      </c>
      <c r="B605">
        <v>3.95664E-4</v>
      </c>
      <c r="C605">
        <v>5.1037100000000002E-4</v>
      </c>
      <c r="D605">
        <v>5.3222399999999998E-4</v>
      </c>
      <c r="E605">
        <v>5.21566E-4</v>
      </c>
      <c r="F605">
        <v>4.8330299999999998E-4</v>
      </c>
      <c r="G605">
        <v>5.8278599999999996E-4</v>
      </c>
      <c r="H605">
        <v>6.17039E-4</v>
      </c>
      <c r="I605">
        <v>8.4089099999999997E-4</v>
      </c>
      <c r="J605">
        <v>5.6375900000000005E-4</v>
      </c>
      <c r="K605">
        <v>5.0626299999999996E-4</v>
      </c>
      <c r="L605">
        <v>5.3289400000000001E-4</v>
      </c>
      <c r="M605">
        <v>4.86954E-4</v>
      </c>
      <c r="N605">
        <v>3.2881099999999998E-4</v>
      </c>
      <c r="O605">
        <v>4.6609700000000001E-4</v>
      </c>
      <c r="P605">
        <v>5.3518399999999996E-4</v>
      </c>
      <c r="Q605">
        <v>6.7435499999999996E-4</v>
      </c>
      <c r="R605">
        <v>6.4507599999999996E-4</v>
      </c>
      <c r="S605">
        <v>9.9059600000000005E-4</v>
      </c>
      <c r="T605">
        <v>5.3018300000000004E-4</v>
      </c>
    </row>
    <row r="606" spans="1:20" hidden="1" x14ac:dyDescent="0.25">
      <c r="A606" t="s">
        <v>624</v>
      </c>
      <c r="B606">
        <v>0</v>
      </c>
      <c r="C606">
        <v>0</v>
      </c>
      <c r="D606">
        <v>0</v>
      </c>
      <c r="E606">
        <v>0</v>
      </c>
      <c r="F606" s="1">
        <v>2.0600000000000002E-6</v>
      </c>
      <c r="G606" s="1">
        <v>7.7600000000000002E-6</v>
      </c>
      <c r="H606" s="1">
        <v>3.0000000000000001E-6</v>
      </c>
      <c r="I606" s="1">
        <v>1.61E-6</v>
      </c>
      <c r="J606">
        <v>0</v>
      </c>
      <c r="K606" s="1">
        <v>2.48E-6</v>
      </c>
      <c r="L606" s="1">
        <v>5.2599999999999996E-6</v>
      </c>
      <c r="M606" s="1">
        <v>8.8300000000000002E-6</v>
      </c>
      <c r="N606" s="1">
        <v>1.86E-6</v>
      </c>
      <c r="O606">
        <v>0</v>
      </c>
      <c r="P606" s="1">
        <v>2.19E-5</v>
      </c>
      <c r="Q606" s="1">
        <v>8.8300000000000002E-6</v>
      </c>
      <c r="R606" s="1">
        <v>8.3100000000000001E-6</v>
      </c>
      <c r="S606" s="1">
        <v>1.79E-6</v>
      </c>
      <c r="T606">
        <v>0</v>
      </c>
    </row>
    <row r="607" spans="1:20" hidden="1" x14ac:dyDescent="0.25">
      <c r="A607" t="s">
        <v>625</v>
      </c>
      <c r="B607" s="1">
        <v>1.77E-5</v>
      </c>
      <c r="C607" s="1">
        <v>4.8999999999999998E-5</v>
      </c>
      <c r="D607">
        <v>0</v>
      </c>
      <c r="E607">
        <v>0</v>
      </c>
      <c r="F607" s="1">
        <v>7.6000000000000004E-5</v>
      </c>
      <c r="G607" s="1">
        <v>5.2800000000000003E-5</v>
      </c>
      <c r="H607">
        <v>0</v>
      </c>
      <c r="I607" s="1">
        <v>6.8100000000000002E-5</v>
      </c>
      <c r="J607" s="1">
        <v>3.7400000000000001E-5</v>
      </c>
      <c r="K607" s="1">
        <v>5.8799999999999999E-5</v>
      </c>
      <c r="L607" s="1">
        <v>5.9899999999999999E-5</v>
      </c>
      <c r="M607" s="1">
        <v>2.23E-5</v>
      </c>
      <c r="N607" s="1">
        <v>2.2900000000000001E-5</v>
      </c>
      <c r="O607" s="1">
        <v>4.9100000000000001E-5</v>
      </c>
      <c r="P607" s="1">
        <v>8.8999999999999995E-5</v>
      </c>
      <c r="Q607" s="1">
        <v>5.2899999999999998E-5</v>
      </c>
      <c r="R607">
        <v>1.2769300000000001E-4</v>
      </c>
      <c r="S607">
        <v>0</v>
      </c>
      <c r="T607">
        <v>0</v>
      </c>
    </row>
    <row r="608" spans="1:20" hidden="1" x14ac:dyDescent="0.25">
      <c r="A608" t="s">
        <v>626</v>
      </c>
      <c r="B608">
        <v>1.9444300000000001E-4</v>
      </c>
      <c r="C608">
        <v>1.3577899999999999E-4</v>
      </c>
      <c r="D608">
        <v>1.62404E-4</v>
      </c>
      <c r="E608">
        <v>2.0669699999999999E-4</v>
      </c>
      <c r="F608">
        <v>2.24804E-4</v>
      </c>
      <c r="G608">
        <v>1.2490299999999999E-4</v>
      </c>
      <c r="H608">
        <v>1.3856299999999999E-4</v>
      </c>
      <c r="I608">
        <v>1.3395200000000001E-4</v>
      </c>
      <c r="J608">
        <v>1.3209300000000001E-4</v>
      </c>
      <c r="K608">
        <v>2.2018E-4</v>
      </c>
      <c r="L608">
        <v>1.8201799999999999E-4</v>
      </c>
      <c r="M608">
        <v>2.3794699999999999E-4</v>
      </c>
      <c r="N608">
        <v>2.62384E-4</v>
      </c>
      <c r="O608">
        <v>1.7171600000000001E-4</v>
      </c>
      <c r="P608">
        <v>1.29376E-4</v>
      </c>
      <c r="Q608">
        <v>1.2519300000000001E-4</v>
      </c>
      <c r="R608">
        <v>1.2555500000000001E-4</v>
      </c>
      <c r="S608" s="1">
        <v>9.8800000000000003E-5</v>
      </c>
      <c r="T608">
        <v>1.37797E-4</v>
      </c>
    </row>
    <row r="609" spans="1:20" hidden="1" x14ac:dyDescent="0.25">
      <c r="A609" t="s">
        <v>627</v>
      </c>
      <c r="B609" s="1">
        <v>2.09E-5</v>
      </c>
      <c r="C609" s="1">
        <v>1.4E-5</v>
      </c>
      <c r="D609" s="1">
        <v>1.8899999999999999E-5</v>
      </c>
      <c r="E609" s="1">
        <v>1.63E-5</v>
      </c>
      <c r="F609" s="1">
        <v>1.8899999999999999E-5</v>
      </c>
      <c r="G609" s="1">
        <v>1.6799999999999998E-5</v>
      </c>
      <c r="H609" s="1">
        <v>2.6299999999999999E-5</v>
      </c>
      <c r="I609" s="1">
        <v>2.0299999999999999E-5</v>
      </c>
      <c r="J609" s="1">
        <v>2.0299999999999999E-5</v>
      </c>
      <c r="K609" s="1">
        <v>2.34E-5</v>
      </c>
      <c r="L609" s="1">
        <v>1.5299999999999999E-5</v>
      </c>
      <c r="M609" s="1">
        <v>2.3799999999999999E-5</v>
      </c>
      <c r="N609" s="1">
        <v>2.27E-5</v>
      </c>
      <c r="O609" s="1">
        <v>1.9700000000000001E-5</v>
      </c>
      <c r="P609" s="1">
        <v>3.68E-5</v>
      </c>
      <c r="Q609" s="1">
        <v>4.3600000000000003E-5</v>
      </c>
      <c r="R609" s="1">
        <v>3.8300000000000003E-5</v>
      </c>
      <c r="S609" s="1">
        <v>4.9400000000000001E-5</v>
      </c>
      <c r="T609" s="1">
        <v>4.2599999999999999E-5</v>
      </c>
    </row>
    <row r="610" spans="1:20" hidden="1" x14ac:dyDescent="0.25">
      <c r="A610" t="s">
        <v>628</v>
      </c>
      <c r="B610" s="1">
        <v>3.1999999999999999E-5</v>
      </c>
      <c r="C610">
        <v>0</v>
      </c>
      <c r="D610">
        <v>0</v>
      </c>
      <c r="E610">
        <v>0</v>
      </c>
      <c r="F610" s="1">
        <v>2.3E-5</v>
      </c>
      <c r="G610" s="1">
        <v>2.4300000000000001E-5</v>
      </c>
      <c r="H610" s="1">
        <v>5.7099999999999999E-5</v>
      </c>
      <c r="I610" s="1">
        <v>2.2099999999999998E-5</v>
      </c>
      <c r="J610" s="1">
        <v>9.5100000000000004E-6</v>
      </c>
      <c r="K610" s="1">
        <v>1.03E-5</v>
      </c>
      <c r="L610" s="1">
        <v>5.38E-5</v>
      </c>
      <c r="M610" s="1">
        <v>2.3499999999999999E-5</v>
      </c>
      <c r="N610" s="1">
        <v>4.0200000000000001E-5</v>
      </c>
      <c r="O610" s="1">
        <v>3.82E-5</v>
      </c>
      <c r="P610" s="1">
        <v>8.2000000000000001E-5</v>
      </c>
      <c r="Q610" s="1">
        <v>4.7899999999999999E-5</v>
      </c>
      <c r="R610" s="1">
        <v>2.7500000000000001E-5</v>
      </c>
      <c r="S610">
        <v>1.3616600000000001E-4</v>
      </c>
      <c r="T610" s="1">
        <v>3.7299999999999999E-5</v>
      </c>
    </row>
    <row r="611" spans="1:20" hidden="1" x14ac:dyDescent="0.25">
      <c r="A611" t="s">
        <v>629</v>
      </c>
      <c r="B611" s="1">
        <v>9.2200000000000005E-5</v>
      </c>
      <c r="C611">
        <v>0</v>
      </c>
      <c r="D611">
        <v>0</v>
      </c>
      <c r="E611">
        <v>0</v>
      </c>
      <c r="F611" s="1">
        <v>5.1400000000000003E-5</v>
      </c>
      <c r="G611" s="1">
        <v>4.85E-5</v>
      </c>
      <c r="H611">
        <v>1.28789E-4</v>
      </c>
      <c r="I611" s="1">
        <v>3.8399999999999998E-5</v>
      </c>
      <c r="J611" s="1">
        <v>1.7E-5</v>
      </c>
      <c r="K611" s="1">
        <v>2.26E-5</v>
      </c>
      <c r="L611">
        <v>1.34313E-4</v>
      </c>
      <c r="M611" s="1">
        <v>5.9700000000000001E-5</v>
      </c>
      <c r="N611">
        <v>1.06986E-4</v>
      </c>
      <c r="O611" s="1">
        <v>9.59E-5</v>
      </c>
      <c r="P611">
        <v>1.6272300000000001E-4</v>
      </c>
      <c r="Q611" s="1">
        <v>8.2200000000000006E-5</v>
      </c>
      <c r="R611" s="1">
        <v>7.0400000000000004E-5</v>
      </c>
      <c r="S611">
        <v>3.3207700000000001E-4</v>
      </c>
      <c r="T611" s="1">
        <v>5.6199999999999997E-5</v>
      </c>
    </row>
    <row r="612" spans="1:20" hidden="1" x14ac:dyDescent="0.25">
      <c r="A612" t="s">
        <v>630</v>
      </c>
      <c r="B612">
        <v>0</v>
      </c>
      <c r="C612">
        <v>0</v>
      </c>
      <c r="D612" s="1">
        <v>7.4400000000000006E-5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1.3525000000000001E-4</v>
      </c>
      <c r="L612">
        <v>1.59166E-4</v>
      </c>
      <c r="M612">
        <v>1.6881399999999999E-4</v>
      </c>
      <c r="N612">
        <v>1.79199E-4</v>
      </c>
      <c r="O612">
        <v>1.6083100000000001E-4</v>
      </c>
      <c r="P612">
        <v>2.3228699999999999E-4</v>
      </c>
      <c r="Q612">
        <v>0</v>
      </c>
      <c r="R612">
        <v>2.8202499999999998E-4</v>
      </c>
      <c r="S612">
        <v>2.3461599999999999E-4</v>
      </c>
      <c r="T612">
        <v>2.0036000000000001E-4</v>
      </c>
    </row>
    <row r="613" spans="1:20" hidden="1" x14ac:dyDescent="0.25">
      <c r="A613" t="s">
        <v>631</v>
      </c>
      <c r="B613" s="1">
        <v>8.2600000000000002E-5</v>
      </c>
      <c r="C613" s="1">
        <v>1.77E-5</v>
      </c>
      <c r="D613" s="1">
        <v>1.8199999999999999E-5</v>
      </c>
      <c r="E613">
        <v>0</v>
      </c>
      <c r="F613" s="1">
        <v>4.3600000000000003E-5</v>
      </c>
      <c r="G613" s="1">
        <v>5.91E-5</v>
      </c>
      <c r="H613">
        <v>1.3297100000000001E-4</v>
      </c>
      <c r="I613" s="1">
        <v>5.1900000000000001E-5</v>
      </c>
      <c r="J613" s="1">
        <v>3.1000000000000001E-5</v>
      </c>
      <c r="K613" s="1">
        <v>3.4400000000000003E-5</v>
      </c>
      <c r="L613">
        <v>1.5639899999999999E-4</v>
      </c>
      <c r="M613" s="1">
        <v>6.6099999999999994E-5</v>
      </c>
      <c r="N613">
        <v>1.4833399999999999E-4</v>
      </c>
      <c r="O613">
        <v>1.4192299999999999E-4</v>
      </c>
      <c r="P613">
        <v>1.9017700000000001E-4</v>
      </c>
      <c r="Q613" s="1">
        <v>9.09E-5</v>
      </c>
      <c r="R613" s="1">
        <v>6.2899999999999997E-5</v>
      </c>
      <c r="S613">
        <v>4.4605799999999999E-4</v>
      </c>
      <c r="T613" s="1">
        <v>9.6500000000000001E-5</v>
      </c>
    </row>
    <row r="614" spans="1:20" hidden="1" x14ac:dyDescent="0.25">
      <c r="A614" t="s">
        <v>632</v>
      </c>
      <c r="B614">
        <v>4.6245100000000001E-4</v>
      </c>
      <c r="C614">
        <v>3.4746199999999999E-4</v>
      </c>
      <c r="D614">
        <v>4.7627699999999999E-4</v>
      </c>
      <c r="E614">
        <v>5.4221599999999999E-4</v>
      </c>
      <c r="F614">
        <v>3.5017499999999999E-4</v>
      </c>
      <c r="G614">
        <v>2.4752999999999998E-4</v>
      </c>
      <c r="H614">
        <v>1.73232E-4</v>
      </c>
      <c r="I614" s="1">
        <v>9.8300000000000004E-5</v>
      </c>
      <c r="J614">
        <v>3.2845999999999998E-4</v>
      </c>
      <c r="K614">
        <v>2.8330599999999999E-4</v>
      </c>
      <c r="L614">
        <v>2.8543299999999998E-4</v>
      </c>
      <c r="M614">
        <v>2.82133E-4</v>
      </c>
      <c r="N614">
        <v>2.8311200000000002E-4</v>
      </c>
      <c r="O614">
        <v>3.9980000000000001E-4</v>
      </c>
      <c r="P614">
        <v>1.14166E-4</v>
      </c>
      <c r="Q614">
        <v>1.7154799999999999E-4</v>
      </c>
      <c r="R614">
        <v>1.9433800000000001E-4</v>
      </c>
      <c r="S614" s="1">
        <v>6.3299999999999994E-5</v>
      </c>
      <c r="T614">
        <v>2.1129300000000001E-4</v>
      </c>
    </row>
    <row r="615" spans="1:20" hidden="1" x14ac:dyDescent="0.25">
      <c r="A615" t="s">
        <v>633</v>
      </c>
      <c r="B615">
        <v>1.5045100000000001E-4</v>
      </c>
      <c r="C615">
        <v>2.56514E-4</v>
      </c>
      <c r="D615">
        <v>3.1168599999999998E-4</v>
      </c>
      <c r="E615">
        <v>3.5446099999999998E-4</v>
      </c>
      <c r="F615">
        <v>3.3769300000000002E-4</v>
      </c>
      <c r="G615">
        <v>2.3733599999999999E-4</v>
      </c>
      <c r="H615">
        <v>1.8865700000000001E-4</v>
      </c>
      <c r="I615">
        <v>3.0298800000000002E-4</v>
      </c>
      <c r="J615">
        <v>2.28655E-4</v>
      </c>
      <c r="K615">
        <v>3.8351800000000001E-4</v>
      </c>
      <c r="L615">
        <v>3.5896300000000001E-4</v>
      </c>
      <c r="M615">
        <v>3.9251800000000001E-4</v>
      </c>
      <c r="N615">
        <v>3.0506700000000001E-4</v>
      </c>
      <c r="O615">
        <v>2.7356499999999997E-4</v>
      </c>
      <c r="P615">
        <v>2.0051100000000001E-4</v>
      </c>
      <c r="Q615">
        <v>4.0306199999999998E-4</v>
      </c>
      <c r="R615">
        <v>3.7308699999999997E-4</v>
      </c>
      <c r="S615">
        <v>6.6778599999999997E-4</v>
      </c>
      <c r="T615">
        <v>5.7439299999999997E-4</v>
      </c>
    </row>
    <row r="616" spans="1:20" hidden="1" x14ac:dyDescent="0.25">
      <c r="A616" t="s">
        <v>634</v>
      </c>
      <c r="B616">
        <v>0</v>
      </c>
      <c r="C616" s="1">
        <v>5.4200000000000003E-5</v>
      </c>
      <c r="D616" s="1">
        <v>5.6900000000000001E-5</v>
      </c>
      <c r="E616" s="1">
        <v>6.1099999999999994E-5</v>
      </c>
      <c r="F616">
        <v>0</v>
      </c>
      <c r="G616" s="1">
        <v>3.8999999999999999E-5</v>
      </c>
      <c r="H616">
        <v>0</v>
      </c>
      <c r="I616">
        <v>0</v>
      </c>
      <c r="J616">
        <v>0</v>
      </c>
      <c r="K616" s="1">
        <v>4.8999999999999998E-5</v>
      </c>
      <c r="L616" s="1">
        <v>5.9200000000000002E-5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s="1">
        <v>3.7799999999999997E-5</v>
      </c>
    </row>
    <row r="617" spans="1:20" hidden="1" x14ac:dyDescent="0.25">
      <c r="A617" t="s">
        <v>635</v>
      </c>
      <c r="B617">
        <v>0</v>
      </c>
      <c r="C617">
        <v>1.6753800000000001E-4</v>
      </c>
      <c r="D617">
        <v>0</v>
      </c>
      <c r="E617">
        <v>1.37711E-4</v>
      </c>
      <c r="F617">
        <v>1.29646E-4</v>
      </c>
      <c r="G617">
        <v>1.8298000000000001E-4</v>
      </c>
      <c r="H617">
        <v>1.7598200000000001E-4</v>
      </c>
      <c r="I617">
        <v>1.5502100000000001E-4</v>
      </c>
      <c r="J617">
        <v>1.7977499999999999E-4</v>
      </c>
      <c r="K617">
        <v>1.6217200000000001E-4</v>
      </c>
      <c r="L617">
        <v>1.8833200000000001E-4</v>
      </c>
      <c r="M617">
        <v>1.5080900000000001E-4</v>
      </c>
      <c r="N617">
        <v>2.5798800000000001E-4</v>
      </c>
      <c r="O617">
        <v>1.7538699999999999E-4</v>
      </c>
      <c r="P617">
        <v>1.4606100000000001E-4</v>
      </c>
      <c r="Q617">
        <v>1.66983E-4</v>
      </c>
      <c r="R617" s="1">
        <v>9.7999999999999997E-5</v>
      </c>
      <c r="S617">
        <v>1.24945E-4</v>
      </c>
      <c r="T617">
        <v>1.5093300000000001E-4</v>
      </c>
    </row>
    <row r="618" spans="1:20" hidden="1" x14ac:dyDescent="0.25">
      <c r="A618" t="s">
        <v>636</v>
      </c>
      <c r="B618">
        <v>7.7841200000000003E-4</v>
      </c>
      <c r="C618">
        <v>1.160381E-3</v>
      </c>
      <c r="D618">
        <v>1.800236E-3</v>
      </c>
      <c r="E618">
        <v>1.722014E-3</v>
      </c>
      <c r="F618">
        <v>1.350221E-3</v>
      </c>
      <c r="G618">
        <v>7.0699900000000004E-4</v>
      </c>
      <c r="H618">
        <v>1.2076540000000001E-3</v>
      </c>
      <c r="I618">
        <v>1.458906E-3</v>
      </c>
      <c r="J618">
        <v>8.5643299999999998E-4</v>
      </c>
      <c r="K618">
        <v>9.790720000000001E-4</v>
      </c>
      <c r="L618">
        <v>1.081446E-3</v>
      </c>
      <c r="M618">
        <v>9.1065999999999999E-4</v>
      </c>
      <c r="N618">
        <v>1.757511E-3</v>
      </c>
      <c r="O618">
        <v>1.821493E-3</v>
      </c>
      <c r="P618">
        <v>6.1857399999999999E-4</v>
      </c>
      <c r="Q618">
        <v>0</v>
      </c>
      <c r="R618">
        <v>0</v>
      </c>
      <c r="S618">
        <v>0</v>
      </c>
      <c r="T618">
        <v>0</v>
      </c>
    </row>
    <row r="619" spans="1:20" hidden="1" x14ac:dyDescent="0.25">
      <c r="A619" t="s">
        <v>637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2.05701E-4</v>
      </c>
      <c r="H619">
        <v>0</v>
      </c>
      <c r="I619">
        <v>0</v>
      </c>
      <c r="J619">
        <v>0</v>
      </c>
      <c r="K619">
        <v>1.3152699999999999E-4</v>
      </c>
      <c r="L619">
        <v>1.2081100000000001E-4</v>
      </c>
      <c r="M619">
        <v>0</v>
      </c>
      <c r="N619" s="1">
        <v>9.8900000000000005E-5</v>
      </c>
      <c r="O619">
        <v>0</v>
      </c>
      <c r="P619">
        <v>1.4845700000000001E-4</v>
      </c>
      <c r="Q619">
        <v>2.6717599999999999E-4</v>
      </c>
      <c r="R619">
        <v>2.7714800000000001E-4</v>
      </c>
      <c r="S619">
        <v>7.19529E-4</v>
      </c>
      <c r="T619">
        <v>2.8069299999999999E-4</v>
      </c>
    </row>
    <row r="620" spans="1:20" hidden="1" x14ac:dyDescent="0.25">
      <c r="A620" t="s">
        <v>638</v>
      </c>
      <c r="B620">
        <v>1.0655200000000001E-4</v>
      </c>
      <c r="C620">
        <v>1.53418E-4</v>
      </c>
      <c r="D620">
        <v>1.83532E-4</v>
      </c>
      <c r="E620">
        <v>1.5639899999999999E-4</v>
      </c>
      <c r="F620">
        <v>1.9165799999999999E-4</v>
      </c>
      <c r="G620">
        <v>0</v>
      </c>
      <c r="H620">
        <v>1.8345699999999999E-4</v>
      </c>
      <c r="I620">
        <v>2.3280600000000001E-4</v>
      </c>
      <c r="J620" s="1">
        <v>9.31E-5</v>
      </c>
      <c r="K620">
        <v>1.69915E-4</v>
      </c>
      <c r="L620">
        <v>1.6473900000000001E-4</v>
      </c>
      <c r="M620">
        <v>1.3628300000000001E-4</v>
      </c>
      <c r="N620">
        <v>2.94128E-4</v>
      </c>
      <c r="O620">
        <v>1.6061100000000001E-4</v>
      </c>
      <c r="P620">
        <v>1.0000099999999999E-4</v>
      </c>
      <c r="Q620">
        <v>0</v>
      </c>
      <c r="R620">
        <v>0</v>
      </c>
      <c r="S620">
        <v>1.45227E-4</v>
      </c>
      <c r="T620">
        <v>0</v>
      </c>
    </row>
    <row r="621" spans="1:20" hidden="1" x14ac:dyDescent="0.25">
      <c r="A621" t="s">
        <v>639</v>
      </c>
      <c r="B621">
        <v>1.0237400000000001E-4</v>
      </c>
      <c r="C621">
        <v>1.7502800000000001E-4</v>
      </c>
      <c r="D621">
        <v>1.2653799999999999E-4</v>
      </c>
      <c r="E621" s="1">
        <v>9.7299999999999993E-5</v>
      </c>
      <c r="F621">
        <v>1.15707E-4</v>
      </c>
      <c r="G621">
        <v>1.4927500000000001E-4</v>
      </c>
      <c r="H621" s="1">
        <v>8.0900000000000001E-5</v>
      </c>
      <c r="I621" s="1">
        <v>9.1100000000000005E-5</v>
      </c>
      <c r="J621">
        <v>1.26697E-4</v>
      </c>
      <c r="K621" s="1">
        <v>8.7600000000000002E-5</v>
      </c>
      <c r="L621">
        <v>1.1921000000000001E-4</v>
      </c>
      <c r="M621" s="1">
        <v>7.7700000000000005E-5</v>
      </c>
      <c r="N621" s="1">
        <v>6.2500000000000001E-5</v>
      </c>
      <c r="O621">
        <v>1.28336E-4</v>
      </c>
      <c r="P621" s="1">
        <v>8.5400000000000002E-5</v>
      </c>
      <c r="Q621" s="1">
        <v>3.7299999999999999E-5</v>
      </c>
      <c r="R621" s="1">
        <v>5.1100000000000002E-5</v>
      </c>
      <c r="S621" s="1">
        <v>4.35E-5</v>
      </c>
      <c r="T621" s="1">
        <v>4.8600000000000002E-5</v>
      </c>
    </row>
    <row r="622" spans="1:20" hidden="1" x14ac:dyDescent="0.25">
      <c r="A622" t="s">
        <v>640</v>
      </c>
      <c r="B622" s="1">
        <v>3.1000000000000001E-5</v>
      </c>
      <c r="C622" s="1">
        <v>1.9899999999999999E-5</v>
      </c>
      <c r="D622" s="1">
        <v>1.63E-5</v>
      </c>
      <c r="E622" s="1">
        <v>1.63E-5</v>
      </c>
      <c r="F622" s="1">
        <v>3.9900000000000001E-5</v>
      </c>
      <c r="G622" s="1">
        <v>3.93E-5</v>
      </c>
      <c r="H622" s="1">
        <v>4.21E-5</v>
      </c>
      <c r="I622" s="1">
        <v>3.6399999999999997E-5</v>
      </c>
      <c r="J622" s="1">
        <v>4.4400000000000002E-5</v>
      </c>
      <c r="K622" s="1">
        <v>4.9700000000000002E-5</v>
      </c>
      <c r="L622" s="1">
        <v>2.1500000000000001E-5</v>
      </c>
      <c r="M622" s="1">
        <v>4.4700000000000002E-5</v>
      </c>
      <c r="N622" s="1">
        <v>4.21E-5</v>
      </c>
      <c r="O622" s="1">
        <v>3.1399999999999998E-5</v>
      </c>
      <c r="P622">
        <v>1.0448199999999999E-4</v>
      </c>
      <c r="Q622">
        <v>1.3981200000000001E-4</v>
      </c>
      <c r="R622">
        <v>1.38195E-4</v>
      </c>
      <c r="S622">
        <v>1.5274099999999999E-4</v>
      </c>
      <c r="T622">
        <v>1.5976E-4</v>
      </c>
    </row>
    <row r="623" spans="1:20" hidden="1" x14ac:dyDescent="0.25">
      <c r="A623" t="s">
        <v>641</v>
      </c>
      <c r="B623" s="1">
        <v>6.8600000000000004E-6</v>
      </c>
      <c r="C623">
        <v>0</v>
      </c>
      <c r="D623">
        <v>0</v>
      </c>
      <c r="E623">
        <v>0</v>
      </c>
      <c r="F623" s="1">
        <v>5.13E-6</v>
      </c>
      <c r="G623" s="1">
        <v>1.2500000000000001E-5</v>
      </c>
      <c r="H623" s="1">
        <v>1.5999999999999999E-5</v>
      </c>
      <c r="I623" s="1">
        <v>6.37E-6</v>
      </c>
      <c r="J623" s="1">
        <v>1.15E-5</v>
      </c>
      <c r="K623" s="1">
        <v>9.6800000000000005E-6</v>
      </c>
      <c r="L623" s="1">
        <v>1.0200000000000001E-5</v>
      </c>
      <c r="M623" s="1">
        <v>1.9599999999999999E-5</v>
      </c>
      <c r="N623" s="1">
        <v>1.5699999999999999E-5</v>
      </c>
      <c r="O623" s="1">
        <v>6.99E-6</v>
      </c>
      <c r="P623" s="1">
        <v>2.12E-5</v>
      </c>
      <c r="Q623" s="1">
        <v>2.51E-5</v>
      </c>
      <c r="R623" s="1">
        <v>2.5000000000000001E-5</v>
      </c>
      <c r="S623" s="1">
        <v>3.8399999999999998E-5</v>
      </c>
      <c r="T623" s="1">
        <v>2.3799999999999999E-5</v>
      </c>
    </row>
    <row r="624" spans="1:20" hidden="1" x14ac:dyDescent="0.25">
      <c r="A624" t="s">
        <v>642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s="1">
        <v>5.1000000000000003E-6</v>
      </c>
      <c r="M624">
        <v>0</v>
      </c>
      <c r="N624" s="1">
        <v>4.6600000000000003E-6</v>
      </c>
      <c r="O624">
        <v>0</v>
      </c>
      <c r="P624" s="1">
        <v>1.4100000000000001E-5</v>
      </c>
      <c r="Q624" s="1">
        <v>1.43E-5</v>
      </c>
      <c r="R624" s="1">
        <v>3.54E-5</v>
      </c>
      <c r="S624" s="1">
        <v>1.7099999999999999E-5</v>
      </c>
      <c r="T624" s="1">
        <v>1.63E-5</v>
      </c>
    </row>
    <row r="625" spans="1:20" hidden="1" x14ac:dyDescent="0.25">
      <c r="A625" t="s">
        <v>643</v>
      </c>
      <c r="B625">
        <v>4.20794E-4</v>
      </c>
      <c r="C625">
        <v>4.0060200000000001E-4</v>
      </c>
      <c r="D625">
        <v>2.9994599999999999E-4</v>
      </c>
      <c r="E625">
        <v>4.0903800000000002E-4</v>
      </c>
      <c r="F625">
        <v>4.1071100000000002E-4</v>
      </c>
      <c r="G625">
        <v>3.8099100000000001E-4</v>
      </c>
      <c r="H625">
        <v>5.9346500000000005E-4</v>
      </c>
      <c r="I625">
        <v>5.1752099999999995E-4</v>
      </c>
      <c r="J625">
        <v>4.0747E-4</v>
      </c>
      <c r="K625">
        <v>4.7838500000000001E-4</v>
      </c>
      <c r="L625">
        <v>2.9197499999999998E-4</v>
      </c>
      <c r="M625">
        <v>3.38952E-4</v>
      </c>
      <c r="N625">
        <v>3.2426200000000002E-4</v>
      </c>
      <c r="O625">
        <v>3.39527E-4</v>
      </c>
      <c r="P625">
        <v>2.3418000000000001E-4</v>
      </c>
      <c r="Q625">
        <v>1.61569E-4</v>
      </c>
      <c r="R625">
        <v>1.6809999999999999E-4</v>
      </c>
      <c r="S625">
        <v>1.4536400000000001E-4</v>
      </c>
      <c r="T625">
        <v>1.6423699999999999E-4</v>
      </c>
    </row>
    <row r="626" spans="1:20" hidden="1" x14ac:dyDescent="0.25">
      <c r="A626" t="s">
        <v>644</v>
      </c>
      <c r="B626">
        <v>4.69643E-4</v>
      </c>
      <c r="C626">
        <v>4.47429E-4</v>
      </c>
      <c r="D626">
        <v>3.7348500000000001E-4</v>
      </c>
      <c r="E626">
        <v>4.7090400000000002E-4</v>
      </c>
      <c r="F626">
        <v>4.8565499999999998E-4</v>
      </c>
      <c r="G626">
        <v>5.0487600000000002E-4</v>
      </c>
      <c r="H626">
        <v>5.5305100000000004E-4</v>
      </c>
      <c r="I626">
        <v>5.0399699999999995E-4</v>
      </c>
      <c r="J626">
        <v>4.0457900000000002E-4</v>
      </c>
      <c r="K626">
        <v>4.9450600000000003E-4</v>
      </c>
      <c r="L626">
        <v>3.50871E-4</v>
      </c>
      <c r="M626">
        <v>3.6277999999999999E-4</v>
      </c>
      <c r="N626">
        <v>3.7668199999999998E-4</v>
      </c>
      <c r="O626">
        <v>3.6586300000000002E-4</v>
      </c>
      <c r="P626">
        <v>3.1585199999999998E-4</v>
      </c>
      <c r="Q626">
        <v>2.2195E-4</v>
      </c>
      <c r="R626">
        <v>2.4373299999999999E-4</v>
      </c>
      <c r="S626">
        <v>2.09569E-4</v>
      </c>
      <c r="T626">
        <v>2.7400699999999999E-4</v>
      </c>
    </row>
    <row r="627" spans="1:20" hidden="1" x14ac:dyDescent="0.25">
      <c r="A627" t="s">
        <v>645</v>
      </c>
      <c r="B627" s="1">
        <v>7.7000000000000008E-6</v>
      </c>
      <c r="C627" s="1">
        <v>8.6300000000000004E-6</v>
      </c>
      <c r="D627" s="1">
        <v>1.24E-5</v>
      </c>
      <c r="E627" s="1">
        <v>8.9199999999999993E-6</v>
      </c>
      <c r="F627" s="1">
        <v>7.2300000000000002E-6</v>
      </c>
      <c r="G627">
        <v>0</v>
      </c>
      <c r="H627">
        <v>0</v>
      </c>
      <c r="I627">
        <v>0</v>
      </c>
      <c r="J627" s="1">
        <v>7.1899999999999998E-6</v>
      </c>
      <c r="K627" s="1">
        <v>7.6000000000000001E-6</v>
      </c>
      <c r="L627" s="1">
        <v>8.8100000000000004E-6</v>
      </c>
      <c r="M627">
        <v>0</v>
      </c>
      <c r="N627" s="1">
        <v>6.1199999999999999E-6</v>
      </c>
      <c r="O627" s="1">
        <v>4.2699999999999998E-6</v>
      </c>
      <c r="P627">
        <v>0</v>
      </c>
      <c r="Q627" s="1">
        <v>9.2499999999999995E-6</v>
      </c>
      <c r="R627" s="1">
        <v>6.3199999999999996E-6</v>
      </c>
      <c r="S627" s="1">
        <v>1.2E-5</v>
      </c>
      <c r="T627" s="1">
        <v>8.8999999999999995E-6</v>
      </c>
    </row>
    <row r="628" spans="1:20" hidden="1" x14ac:dyDescent="0.25">
      <c r="A628" t="s">
        <v>646</v>
      </c>
      <c r="B628" s="1">
        <v>3.6399999999999997E-5</v>
      </c>
      <c r="C628" s="1">
        <v>5.2299999999999997E-5</v>
      </c>
      <c r="D628" s="1">
        <v>3.43E-5</v>
      </c>
      <c r="E628" s="1">
        <v>3.54E-5</v>
      </c>
      <c r="F628" s="1">
        <v>5.3900000000000002E-5</v>
      </c>
      <c r="G628" s="1">
        <v>8.4599999999999996E-5</v>
      </c>
      <c r="H628" s="1">
        <v>4.0000000000000003E-5</v>
      </c>
      <c r="I628" s="1">
        <v>4.2899999999999999E-5</v>
      </c>
      <c r="J628" s="1">
        <v>3.2700000000000002E-5</v>
      </c>
      <c r="K628" s="1">
        <v>5.5300000000000002E-5</v>
      </c>
      <c r="L628" s="1">
        <v>6.3999999999999997E-5</v>
      </c>
      <c r="M628" s="1">
        <v>2.9600000000000001E-5</v>
      </c>
      <c r="N628" s="1">
        <v>2.9600000000000001E-5</v>
      </c>
      <c r="O628" s="1">
        <v>3.01E-5</v>
      </c>
      <c r="P628" s="1">
        <v>4.3099999999999997E-5</v>
      </c>
      <c r="Q628" s="1">
        <v>5.5099999999999998E-5</v>
      </c>
      <c r="R628" s="1">
        <v>5.8900000000000002E-5</v>
      </c>
      <c r="S628" s="1">
        <v>5.8999999999999998E-5</v>
      </c>
      <c r="T628" s="1">
        <v>4.2200000000000003E-5</v>
      </c>
    </row>
    <row r="629" spans="1:20" hidden="1" x14ac:dyDescent="0.25">
      <c r="A629" t="s">
        <v>647</v>
      </c>
      <c r="B629">
        <v>1.22617E-4</v>
      </c>
      <c r="C629">
        <v>1.36339E-4</v>
      </c>
      <c r="D629">
        <v>1.2551399999999999E-4</v>
      </c>
      <c r="E629">
        <v>1.40607E-4</v>
      </c>
      <c r="F629" s="1">
        <v>9.8999999999999994E-5</v>
      </c>
      <c r="G629">
        <v>1.4907599999999999E-4</v>
      </c>
      <c r="H629">
        <v>1.79805E-4</v>
      </c>
      <c r="I629">
        <v>1.36067E-4</v>
      </c>
      <c r="J629">
        <v>1.1076700000000001E-4</v>
      </c>
      <c r="K629">
        <v>1.4035600000000001E-4</v>
      </c>
      <c r="L629">
        <v>1.5480100000000001E-4</v>
      </c>
      <c r="M629">
        <v>1.2259799999999999E-4</v>
      </c>
      <c r="N629">
        <v>1.18446E-4</v>
      </c>
      <c r="O629">
        <v>1.66515E-4</v>
      </c>
      <c r="P629">
        <v>1.4429199999999999E-4</v>
      </c>
      <c r="Q629">
        <v>1.3223799999999999E-4</v>
      </c>
      <c r="R629">
        <v>2.02676E-4</v>
      </c>
      <c r="S629">
        <v>1.4423499999999999E-4</v>
      </c>
      <c r="T629">
        <v>1.01569E-4</v>
      </c>
    </row>
    <row r="630" spans="1:20" hidden="1" x14ac:dyDescent="0.25">
      <c r="A630" t="s">
        <v>648</v>
      </c>
      <c r="B630" s="1">
        <v>9.0699999999999996E-5</v>
      </c>
      <c r="C630">
        <v>1.2295900000000001E-4</v>
      </c>
      <c r="D630">
        <v>1.21845E-4</v>
      </c>
      <c r="E630">
        <v>1.3891700000000001E-4</v>
      </c>
      <c r="F630">
        <v>1.5468799999999999E-4</v>
      </c>
      <c r="G630">
        <v>1.57904E-4</v>
      </c>
      <c r="H630">
        <v>1.20092E-4</v>
      </c>
      <c r="I630">
        <v>1.5509399999999999E-4</v>
      </c>
      <c r="J630" s="1">
        <v>7.8499999999999997E-5</v>
      </c>
      <c r="K630">
        <v>1.4054399999999999E-4</v>
      </c>
      <c r="L630">
        <v>1.21107E-4</v>
      </c>
      <c r="M630" s="1">
        <v>9.2E-5</v>
      </c>
      <c r="N630">
        <v>1.07599E-4</v>
      </c>
      <c r="O630" s="1">
        <v>8.1199999999999995E-5</v>
      </c>
      <c r="P630" s="1">
        <v>8.2999999999999998E-5</v>
      </c>
      <c r="Q630" s="1">
        <v>8.3200000000000003E-5</v>
      </c>
      <c r="R630">
        <v>1.17112E-4</v>
      </c>
      <c r="S630">
        <v>1.34819E-4</v>
      </c>
      <c r="T630">
        <v>1.2731799999999999E-4</v>
      </c>
    </row>
    <row r="631" spans="1:20" hidden="1" x14ac:dyDescent="0.25">
      <c r="A631" t="s">
        <v>649</v>
      </c>
      <c r="B631">
        <v>0</v>
      </c>
      <c r="C631">
        <v>0</v>
      </c>
      <c r="D631">
        <v>0</v>
      </c>
      <c r="E631">
        <v>0</v>
      </c>
      <c r="F631">
        <v>0</v>
      </c>
      <c r="G631" s="1">
        <v>2.0800000000000001E-5</v>
      </c>
      <c r="H631">
        <v>0</v>
      </c>
      <c r="I631" s="1">
        <v>3.0000000000000001E-5</v>
      </c>
      <c r="J631" s="1">
        <v>1.66E-5</v>
      </c>
      <c r="K631" s="1">
        <v>1.9400000000000001E-5</v>
      </c>
      <c r="L631" s="1">
        <v>2.3799999999999999E-5</v>
      </c>
      <c r="M631">
        <v>0</v>
      </c>
      <c r="N631">
        <v>0</v>
      </c>
      <c r="O631">
        <v>0</v>
      </c>
      <c r="P631" s="1">
        <v>3.1699999999999998E-5</v>
      </c>
      <c r="Q631" s="1">
        <v>2.05E-5</v>
      </c>
      <c r="R631" s="1">
        <v>4.0299999999999997E-5</v>
      </c>
      <c r="S631" s="1">
        <v>2.55E-5</v>
      </c>
      <c r="T631" s="1">
        <v>2.9600000000000001E-5</v>
      </c>
    </row>
    <row r="632" spans="1:20" hidden="1" x14ac:dyDescent="0.25">
      <c r="A632" t="s">
        <v>650</v>
      </c>
      <c r="B632">
        <v>1.42504E-4</v>
      </c>
      <c r="C632" s="1">
        <v>6.2500000000000001E-5</v>
      </c>
      <c r="D632">
        <v>1.15918E-4</v>
      </c>
      <c r="E632">
        <v>1.32273E-4</v>
      </c>
      <c r="F632">
        <v>2.1987800000000001E-4</v>
      </c>
      <c r="G632">
        <v>2.36674E-4</v>
      </c>
      <c r="H632" s="1">
        <v>8.6799999999999996E-5</v>
      </c>
      <c r="I632" s="1">
        <v>9.7499999999999998E-5</v>
      </c>
      <c r="J632" s="1">
        <v>9.4400000000000004E-5</v>
      </c>
      <c r="K632">
        <v>2.77626E-4</v>
      </c>
      <c r="L632" s="1">
        <v>9.2E-5</v>
      </c>
      <c r="M632">
        <v>1.18526E-4</v>
      </c>
      <c r="N632" s="1">
        <v>5.7399999999999999E-5</v>
      </c>
      <c r="O632" s="1">
        <v>5.5699999999999999E-5</v>
      </c>
      <c r="P632">
        <v>4.4746E-4</v>
      </c>
      <c r="Q632">
        <v>5.5819599999999995E-4</v>
      </c>
      <c r="R632">
        <v>4.0508900000000002E-4</v>
      </c>
      <c r="S632">
        <v>2.9629500000000002E-4</v>
      </c>
      <c r="T632">
        <v>5.4109600000000002E-4</v>
      </c>
    </row>
    <row r="633" spans="1:20" hidden="1" x14ac:dyDescent="0.25">
      <c r="A633" t="s">
        <v>651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s="1">
        <v>1.36E-5</v>
      </c>
      <c r="J633" s="1">
        <v>9.5699999999999999E-6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s="1">
        <v>2.4199999999999999E-5</v>
      </c>
      <c r="R633" s="1">
        <v>4.9299999999999999E-5</v>
      </c>
      <c r="S633" s="1">
        <v>2.2500000000000001E-5</v>
      </c>
      <c r="T633" s="1">
        <v>8.0399999999999993E-6</v>
      </c>
    </row>
    <row r="634" spans="1:20" hidden="1" x14ac:dyDescent="0.25">
      <c r="A634" t="s">
        <v>652</v>
      </c>
      <c r="B634" s="1">
        <v>2.62E-5</v>
      </c>
      <c r="C634" s="1">
        <v>3.1300000000000002E-5</v>
      </c>
      <c r="D634" s="1">
        <v>5.6700000000000003E-5</v>
      </c>
      <c r="E634" s="1">
        <v>5.4799999999999997E-5</v>
      </c>
      <c r="F634" s="1">
        <v>2.73E-5</v>
      </c>
      <c r="G634">
        <v>0</v>
      </c>
      <c r="H634" s="1">
        <v>2.09E-5</v>
      </c>
      <c r="I634">
        <v>0</v>
      </c>
      <c r="J634">
        <v>0</v>
      </c>
      <c r="K634">
        <v>0</v>
      </c>
      <c r="L634">
        <v>0</v>
      </c>
      <c r="M634" s="1">
        <v>2.94E-5</v>
      </c>
      <c r="N634" s="1">
        <v>2.0299999999999999E-5</v>
      </c>
      <c r="O634" s="1">
        <v>3.79E-5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hidden="1" x14ac:dyDescent="0.25">
      <c r="A635" t="s">
        <v>653</v>
      </c>
      <c r="B635">
        <v>5.5736700000000002E-4</v>
      </c>
      <c r="C635">
        <v>8.8898799999999995E-4</v>
      </c>
      <c r="D635">
        <v>1.0043630000000001E-3</v>
      </c>
      <c r="E635">
        <v>9.5902599999999998E-4</v>
      </c>
      <c r="F635">
        <v>6.1876699999999999E-4</v>
      </c>
      <c r="G635">
        <v>7.7269399999999999E-4</v>
      </c>
      <c r="H635">
        <v>6.4701500000000003E-4</v>
      </c>
      <c r="I635">
        <v>7.4003000000000003E-4</v>
      </c>
      <c r="J635">
        <v>5.9266899999999999E-4</v>
      </c>
      <c r="K635">
        <v>6.1925499999999998E-4</v>
      </c>
      <c r="L635">
        <v>7.2011299999999998E-4</v>
      </c>
      <c r="M635">
        <v>5.2837700000000001E-4</v>
      </c>
      <c r="N635">
        <v>6.2122700000000002E-4</v>
      </c>
      <c r="O635">
        <v>9.0358699999999997E-4</v>
      </c>
      <c r="P635">
        <v>4.2831800000000001E-4</v>
      </c>
      <c r="Q635">
        <v>2.2457400000000001E-4</v>
      </c>
      <c r="R635">
        <v>2.5017000000000003E-4</v>
      </c>
      <c r="S635">
        <v>2.09972E-4</v>
      </c>
      <c r="T635">
        <v>1.9696000000000001E-4</v>
      </c>
    </row>
    <row r="636" spans="1:20" hidden="1" x14ac:dyDescent="0.25">
      <c r="A636" t="s">
        <v>654</v>
      </c>
      <c r="B636">
        <v>0</v>
      </c>
      <c r="C636" s="1">
        <v>3.6000000000000001E-5</v>
      </c>
      <c r="D636" s="1">
        <v>3.3500000000000001E-5</v>
      </c>
      <c r="E636" s="1">
        <v>4.1999999999999998E-5</v>
      </c>
      <c r="F636">
        <v>0</v>
      </c>
      <c r="G636">
        <v>0</v>
      </c>
      <c r="H636">
        <v>0</v>
      </c>
      <c r="I636">
        <v>0</v>
      </c>
      <c r="J636">
        <v>0</v>
      </c>
      <c r="K636" s="1">
        <v>2.27E-5</v>
      </c>
      <c r="L636" s="1">
        <v>2.3799999999999999E-5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hidden="1" x14ac:dyDescent="0.25">
      <c r="A637" t="s">
        <v>655</v>
      </c>
      <c r="B637">
        <v>7.0225080000000002E-3</v>
      </c>
      <c r="C637">
        <v>6.9201339999999997E-3</v>
      </c>
      <c r="D637">
        <v>5.1009159999999996E-3</v>
      </c>
      <c r="E637">
        <v>4.846614E-3</v>
      </c>
      <c r="F637">
        <v>1.2634466E-2</v>
      </c>
      <c r="G637">
        <v>1.0129254000000001E-2</v>
      </c>
      <c r="H637">
        <v>1.415085E-2</v>
      </c>
      <c r="I637">
        <v>1.0162674E-2</v>
      </c>
      <c r="J637">
        <v>7.9660700000000004E-3</v>
      </c>
      <c r="K637">
        <v>8.9232870000000002E-3</v>
      </c>
      <c r="L637">
        <v>1.0421969999999999E-2</v>
      </c>
      <c r="M637">
        <v>1.0121448999999999E-2</v>
      </c>
      <c r="N637">
        <v>1.2304927E-2</v>
      </c>
      <c r="O637">
        <v>9.8016570000000001E-3</v>
      </c>
      <c r="P637">
        <v>1.2742687000000001E-2</v>
      </c>
      <c r="Q637">
        <v>1.3221841999999999E-2</v>
      </c>
      <c r="R637">
        <v>1.0975082000000001E-2</v>
      </c>
      <c r="S637">
        <v>1.1689335E-2</v>
      </c>
      <c r="T637">
        <v>1.3247075000000001E-2</v>
      </c>
    </row>
    <row r="638" spans="1:20" hidden="1" x14ac:dyDescent="0.25">
      <c r="A638" t="s">
        <v>656</v>
      </c>
      <c r="B638">
        <v>3.1989229999999998E-3</v>
      </c>
      <c r="C638">
        <v>3.4207410000000001E-3</v>
      </c>
      <c r="D638">
        <v>2.6595820000000002E-3</v>
      </c>
      <c r="E638">
        <v>3.1489090000000001E-3</v>
      </c>
      <c r="F638">
        <v>8.1315290000000002E-3</v>
      </c>
      <c r="G638">
        <v>4.748848E-3</v>
      </c>
      <c r="H638">
        <v>7.1910760000000002E-3</v>
      </c>
      <c r="I638">
        <v>5.1462060000000004E-3</v>
      </c>
      <c r="J638">
        <v>6.368734E-3</v>
      </c>
      <c r="K638">
        <v>3.8662979999999998E-3</v>
      </c>
      <c r="L638">
        <v>3.3881380000000002E-3</v>
      </c>
      <c r="M638">
        <v>4.5814530000000001E-3</v>
      </c>
      <c r="N638">
        <v>6.3380190000000003E-3</v>
      </c>
      <c r="O638">
        <v>3.7967740000000002E-3</v>
      </c>
      <c r="P638">
        <v>1.2418370999999999E-2</v>
      </c>
      <c r="Q638">
        <v>1.8979363999999999E-2</v>
      </c>
      <c r="R638">
        <v>1.3820961E-2</v>
      </c>
      <c r="S638">
        <v>1.518458E-2</v>
      </c>
      <c r="T638">
        <v>1.3801582999999999E-2</v>
      </c>
    </row>
    <row r="639" spans="1:20" hidden="1" x14ac:dyDescent="0.25">
      <c r="A639" t="s">
        <v>657</v>
      </c>
      <c r="B639" s="1">
        <v>2.0999999999999999E-5</v>
      </c>
      <c r="C639" s="1">
        <v>3.0499999999999999E-5</v>
      </c>
      <c r="D639" s="1">
        <v>2.7699999999999999E-5</v>
      </c>
      <c r="E639" s="1">
        <v>3.43E-5</v>
      </c>
      <c r="F639" s="1">
        <v>2.4899999999999999E-5</v>
      </c>
      <c r="G639" s="1">
        <v>2.0999999999999999E-5</v>
      </c>
      <c r="H639" s="1">
        <v>1.5299999999999999E-5</v>
      </c>
      <c r="I639" s="1">
        <v>2.26E-5</v>
      </c>
      <c r="J639" s="1">
        <v>1.2300000000000001E-5</v>
      </c>
      <c r="K639" s="1">
        <v>2.9E-5</v>
      </c>
      <c r="L639" s="1">
        <v>2.19E-5</v>
      </c>
      <c r="M639" s="1">
        <v>2.0000000000000002E-5</v>
      </c>
      <c r="N639" s="1">
        <v>1.3499999999999999E-5</v>
      </c>
      <c r="O639" s="1">
        <v>1.5999999999999999E-5</v>
      </c>
      <c r="P639">
        <v>0</v>
      </c>
      <c r="Q639">
        <v>0</v>
      </c>
      <c r="R639" s="1">
        <v>1.9700000000000001E-5</v>
      </c>
      <c r="S639" s="1">
        <v>1.7099999999999999E-5</v>
      </c>
      <c r="T639" s="1">
        <v>1.04E-5</v>
      </c>
    </row>
    <row r="640" spans="1:20" hidden="1" x14ac:dyDescent="0.25">
      <c r="A640" t="s">
        <v>658</v>
      </c>
      <c r="B640" s="1">
        <v>6.9300000000000004E-5</v>
      </c>
      <c r="C640" s="1">
        <v>6.69E-5</v>
      </c>
      <c r="D640" s="1">
        <v>6.5300000000000002E-5</v>
      </c>
      <c r="E640" s="1">
        <v>7.7000000000000001E-5</v>
      </c>
      <c r="F640" s="1">
        <v>9.5199999999999997E-5</v>
      </c>
      <c r="G640" s="1">
        <v>9.59E-5</v>
      </c>
      <c r="H640" s="1">
        <v>7.2899999999999997E-5</v>
      </c>
      <c r="I640" s="1">
        <v>7.7000000000000001E-5</v>
      </c>
      <c r="J640" s="1">
        <v>9.6600000000000003E-5</v>
      </c>
      <c r="K640" s="1">
        <v>9.2499999999999999E-5</v>
      </c>
      <c r="L640" s="1">
        <v>7.4999999999999993E-5</v>
      </c>
      <c r="M640" s="1">
        <v>6.7100000000000005E-5</v>
      </c>
      <c r="N640" s="1">
        <v>7.6000000000000004E-5</v>
      </c>
      <c r="O640" s="1">
        <v>8.3100000000000001E-5</v>
      </c>
      <c r="P640" s="1">
        <v>9.6600000000000003E-5</v>
      </c>
      <c r="Q640" s="1">
        <v>9.48E-5</v>
      </c>
      <c r="R640" s="1">
        <v>8.3100000000000001E-5</v>
      </c>
      <c r="S640">
        <v>1.0063799999999999E-4</v>
      </c>
      <c r="T640" s="1">
        <v>8.0099999999999995E-5</v>
      </c>
    </row>
    <row r="641" spans="1:20" hidden="1" x14ac:dyDescent="0.25">
      <c r="A641" t="s">
        <v>659</v>
      </c>
      <c r="B641" s="1">
        <v>5.1200000000000001E-6</v>
      </c>
      <c r="C641">
        <v>0</v>
      </c>
      <c r="D641">
        <v>0</v>
      </c>
      <c r="E641">
        <v>0</v>
      </c>
      <c r="F641" s="1">
        <v>9.8099999999999992E-6</v>
      </c>
      <c r="G641" s="1">
        <v>1.84E-5</v>
      </c>
      <c r="H641" s="1">
        <v>7.2699999999999999E-6</v>
      </c>
      <c r="I641" s="1">
        <v>6.2600000000000002E-6</v>
      </c>
      <c r="J641" s="1">
        <v>7.7100000000000007E-6</v>
      </c>
      <c r="K641">
        <v>0</v>
      </c>
      <c r="L641" s="1">
        <v>1.06E-5</v>
      </c>
      <c r="M641">
        <v>0</v>
      </c>
      <c r="N641" s="1">
        <v>1.1199999999999999E-5</v>
      </c>
      <c r="O641">
        <v>0</v>
      </c>
      <c r="P641" s="1">
        <v>1.6500000000000001E-5</v>
      </c>
      <c r="Q641" s="1">
        <v>1.9599999999999999E-5</v>
      </c>
      <c r="R641" s="1">
        <v>2.1399999999999998E-5</v>
      </c>
      <c r="S641" s="1">
        <v>2.44E-5</v>
      </c>
      <c r="T641" s="1">
        <v>2.7800000000000001E-5</v>
      </c>
    </row>
    <row r="642" spans="1:20" hidden="1" x14ac:dyDescent="0.25">
      <c r="A642" t="s">
        <v>660</v>
      </c>
      <c r="B642">
        <v>2.65727E-4</v>
      </c>
      <c r="C642">
        <v>3.3039799999999998E-4</v>
      </c>
      <c r="D642">
        <v>0</v>
      </c>
      <c r="E642">
        <v>2.8213700000000001E-4</v>
      </c>
      <c r="F642">
        <v>2.6437500000000002E-4</v>
      </c>
      <c r="G642">
        <v>1.9870099999999999E-4</v>
      </c>
      <c r="H642">
        <v>2.0156199999999999E-4</v>
      </c>
      <c r="I642">
        <v>3.1515900000000002E-4</v>
      </c>
      <c r="J642">
        <v>3.4846299999999997E-4</v>
      </c>
      <c r="K642">
        <v>2.21516E-4</v>
      </c>
      <c r="L642">
        <v>2.7877799999999998E-4</v>
      </c>
      <c r="M642">
        <v>2.5073199999999998E-4</v>
      </c>
      <c r="N642">
        <v>4.16043E-4</v>
      </c>
      <c r="O642">
        <v>2.4346599999999999E-4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hidden="1" x14ac:dyDescent="0.25">
      <c r="A643" t="s">
        <v>661</v>
      </c>
      <c r="B643" s="1">
        <v>1.63E-5</v>
      </c>
      <c r="C643" s="1">
        <v>1.8899999999999999E-5</v>
      </c>
      <c r="D643" s="1">
        <v>2.9799999999999999E-5</v>
      </c>
      <c r="E643" s="1">
        <v>3.0599999999999998E-5</v>
      </c>
      <c r="F643" s="1">
        <v>1.49E-5</v>
      </c>
      <c r="G643">
        <v>0</v>
      </c>
      <c r="H643" s="1">
        <v>1.42E-5</v>
      </c>
      <c r="I643" s="1">
        <v>8.8000000000000004E-6</v>
      </c>
      <c r="J643" s="1">
        <v>1.6699999999999999E-5</v>
      </c>
      <c r="K643" s="1">
        <v>1.9199999999999999E-5</v>
      </c>
      <c r="L643" s="1">
        <v>1.6500000000000001E-5</v>
      </c>
      <c r="M643" s="1">
        <v>1.24E-5</v>
      </c>
      <c r="N643" s="1">
        <v>8.0099999999999995E-6</v>
      </c>
      <c r="O643" s="1">
        <v>1.2300000000000001E-5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hidden="1" x14ac:dyDescent="0.25">
      <c r="A644" t="s">
        <v>662</v>
      </c>
      <c r="B644" s="1">
        <v>3.8699999999999999E-5</v>
      </c>
      <c r="C644" s="1">
        <v>3.3300000000000003E-5</v>
      </c>
      <c r="D644" s="1">
        <v>7.1199999999999996E-5</v>
      </c>
      <c r="E644" s="1">
        <v>5.0300000000000003E-5</v>
      </c>
      <c r="F644" s="1">
        <v>3.0800000000000003E-5</v>
      </c>
      <c r="G644" s="1">
        <v>2.1800000000000001E-5</v>
      </c>
      <c r="H644" s="1">
        <v>2.16E-5</v>
      </c>
      <c r="I644" s="1">
        <v>2.5700000000000001E-5</v>
      </c>
      <c r="J644" s="1">
        <v>2.4600000000000002E-5</v>
      </c>
      <c r="K644" s="1">
        <v>2.6599999999999999E-5</v>
      </c>
      <c r="L644" s="1">
        <v>3.1300000000000002E-5</v>
      </c>
      <c r="M644" s="1">
        <v>3.0899999999999999E-5</v>
      </c>
      <c r="N644" s="1">
        <v>1.77E-5</v>
      </c>
      <c r="O644" s="1">
        <v>2.7399999999999999E-5</v>
      </c>
      <c r="P644">
        <v>0</v>
      </c>
      <c r="Q644" s="1">
        <v>1.0900000000000001E-5</v>
      </c>
      <c r="R644" s="1">
        <v>8.9800000000000004E-6</v>
      </c>
      <c r="S644">
        <v>0</v>
      </c>
      <c r="T644" s="1">
        <v>1.8E-5</v>
      </c>
    </row>
    <row r="645" spans="1:20" hidden="1" x14ac:dyDescent="0.25">
      <c r="A645" t="s">
        <v>663</v>
      </c>
      <c r="B645">
        <v>0</v>
      </c>
      <c r="C645">
        <v>0</v>
      </c>
      <c r="D645" s="1">
        <v>4.1399999999999997E-5</v>
      </c>
      <c r="E645">
        <v>0</v>
      </c>
      <c r="F645" s="1">
        <v>6.3700000000000003E-5</v>
      </c>
      <c r="G645" s="1">
        <v>9.2E-5</v>
      </c>
      <c r="H645" s="1">
        <v>8.2299999999999995E-5</v>
      </c>
      <c r="I645" s="1">
        <v>2.9200000000000002E-5</v>
      </c>
      <c r="J645">
        <v>1.0115000000000001E-4</v>
      </c>
      <c r="K645" s="1">
        <v>3.4199999999999998E-5</v>
      </c>
      <c r="L645" s="1">
        <v>4.0899999999999998E-5</v>
      </c>
      <c r="M645" s="1">
        <v>8.7000000000000001E-5</v>
      </c>
      <c r="N645" s="1">
        <v>7.2000000000000002E-5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hidden="1" x14ac:dyDescent="0.25">
      <c r="A646" t="s">
        <v>664</v>
      </c>
      <c r="B646" s="1">
        <v>3.7400000000000001E-5</v>
      </c>
      <c r="C646" s="1">
        <v>2.23E-5</v>
      </c>
      <c r="D646" s="1">
        <v>3.26E-5</v>
      </c>
      <c r="E646">
        <v>0</v>
      </c>
      <c r="F646" s="1">
        <v>1.88E-5</v>
      </c>
      <c r="G646" s="1">
        <v>3.0199999999999999E-5</v>
      </c>
      <c r="H646" s="1">
        <v>2.0599999999999999E-5</v>
      </c>
      <c r="I646" s="1">
        <v>1.9199999999999999E-5</v>
      </c>
      <c r="J646" s="1">
        <v>3.6000000000000001E-5</v>
      </c>
      <c r="K646">
        <v>0</v>
      </c>
      <c r="L646" s="1">
        <v>2.3799999999999999E-5</v>
      </c>
      <c r="M646" s="1">
        <v>3.9100000000000002E-5</v>
      </c>
      <c r="N646" s="1">
        <v>1.7200000000000001E-5</v>
      </c>
      <c r="O646" s="1">
        <v>1.3200000000000001E-5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hidden="1" x14ac:dyDescent="0.25">
      <c r="A647" t="s">
        <v>665</v>
      </c>
      <c r="B647" s="1">
        <v>1.5500000000000001E-5</v>
      </c>
      <c r="C647" s="1">
        <v>4.2799999999999997E-5</v>
      </c>
      <c r="D647" s="1">
        <v>2.9300000000000001E-5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s="1">
        <v>1.9700000000000001E-5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s="1">
        <v>2.0400000000000001E-5</v>
      </c>
    </row>
    <row r="648" spans="1:20" hidden="1" x14ac:dyDescent="0.25">
      <c r="A648" t="s">
        <v>666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s="1">
        <v>2.2500000000000001E-5</v>
      </c>
      <c r="R648" s="1">
        <v>2.8099999999999999E-5</v>
      </c>
      <c r="S648" s="1">
        <v>2.5400000000000001E-5</v>
      </c>
      <c r="T648" s="1">
        <v>2.3099999999999999E-5</v>
      </c>
    </row>
    <row r="649" spans="1:20" hidden="1" x14ac:dyDescent="0.25">
      <c r="A649" t="s">
        <v>667</v>
      </c>
      <c r="B649" s="1">
        <v>5.1E-5</v>
      </c>
      <c r="C649" s="1">
        <v>3.3800000000000002E-5</v>
      </c>
      <c r="D649" s="1">
        <v>3.9499999999999998E-5</v>
      </c>
      <c r="E649" s="1">
        <v>3.68E-5</v>
      </c>
      <c r="F649" s="1">
        <v>6.97E-5</v>
      </c>
      <c r="G649">
        <v>1.87006E-4</v>
      </c>
      <c r="H649">
        <v>1.2798200000000001E-4</v>
      </c>
      <c r="I649" s="1">
        <v>8.5400000000000002E-5</v>
      </c>
      <c r="J649" s="1">
        <v>8.0799999999999999E-5</v>
      </c>
      <c r="K649" s="1">
        <v>9.4199999999999999E-5</v>
      </c>
      <c r="L649">
        <v>1.05241E-4</v>
      </c>
      <c r="M649" s="1">
        <v>8.1799999999999996E-5</v>
      </c>
      <c r="N649" s="1">
        <v>5.3499999999999999E-5</v>
      </c>
      <c r="O649" s="1">
        <v>4.7200000000000002E-5</v>
      </c>
      <c r="P649">
        <v>1.62017E-4</v>
      </c>
      <c r="Q649">
        <v>2.5543199999999999E-4</v>
      </c>
      <c r="R649">
        <v>2.09796E-4</v>
      </c>
      <c r="S649">
        <v>5.6086999999999999E-4</v>
      </c>
      <c r="T649">
        <v>3.5858500000000002E-4</v>
      </c>
    </row>
    <row r="650" spans="1:20" hidden="1" x14ac:dyDescent="0.25">
      <c r="A650" t="s">
        <v>668</v>
      </c>
      <c r="B650">
        <v>1.8668884E-2</v>
      </c>
      <c r="C650">
        <v>1.5779346999999999E-2</v>
      </c>
      <c r="D650">
        <v>1.4426484999999999E-2</v>
      </c>
      <c r="E650">
        <v>1.8149981999999999E-2</v>
      </c>
      <c r="F650">
        <v>1.6978131E-2</v>
      </c>
      <c r="G650">
        <v>1.2979729000000001E-2</v>
      </c>
      <c r="H650">
        <v>8.7413520000000008E-3</v>
      </c>
      <c r="I650">
        <v>1.4784735E-2</v>
      </c>
      <c r="J650">
        <v>1.5408735E-2</v>
      </c>
      <c r="K650">
        <v>1.1329518E-2</v>
      </c>
      <c r="L650">
        <v>1.0474394E-2</v>
      </c>
      <c r="M650">
        <v>1.2515188E-2</v>
      </c>
      <c r="N650">
        <v>9.9236329999999994E-3</v>
      </c>
      <c r="O650">
        <v>1.3450192999999999E-2</v>
      </c>
      <c r="P650">
        <v>5.2795170000000001E-3</v>
      </c>
      <c r="Q650">
        <v>3.609265E-3</v>
      </c>
      <c r="R650">
        <v>2.9558589999999999E-3</v>
      </c>
      <c r="S650">
        <v>2.0960599999999999E-3</v>
      </c>
      <c r="T650">
        <v>2.535439E-3</v>
      </c>
    </row>
    <row r="651" spans="1:20" hidden="1" x14ac:dyDescent="0.25">
      <c r="A651" t="s">
        <v>669</v>
      </c>
      <c r="B651">
        <v>2.0410347999999998E-2</v>
      </c>
      <c r="C651">
        <v>1.3651422999999999E-2</v>
      </c>
      <c r="D651">
        <v>1.4836228999999999E-2</v>
      </c>
      <c r="E651">
        <v>1.6221378000000002E-2</v>
      </c>
      <c r="F651">
        <v>1.6718592000000001E-2</v>
      </c>
      <c r="G651">
        <v>1.5503684E-2</v>
      </c>
      <c r="H651">
        <v>1.7491216E-2</v>
      </c>
      <c r="I651">
        <v>1.8532204E-2</v>
      </c>
      <c r="J651">
        <v>2.2380062999999999E-2</v>
      </c>
      <c r="K651">
        <v>1.7694135999999999E-2</v>
      </c>
      <c r="L651">
        <v>1.4252287000000001E-2</v>
      </c>
      <c r="M651">
        <v>1.7618689E-2</v>
      </c>
      <c r="N651">
        <v>1.6635062999999999E-2</v>
      </c>
      <c r="O651">
        <v>1.7834556000000001E-2</v>
      </c>
      <c r="P651">
        <v>2.0218344999999999E-2</v>
      </c>
      <c r="Q651">
        <v>1.4394605E-2</v>
      </c>
      <c r="R651">
        <v>1.7208285E-2</v>
      </c>
      <c r="S651">
        <v>1.2524532999999999E-2</v>
      </c>
      <c r="T651">
        <v>1.2376887E-2</v>
      </c>
    </row>
    <row r="652" spans="1:20" hidden="1" x14ac:dyDescent="0.25">
      <c r="A652" t="s">
        <v>670</v>
      </c>
      <c r="B652">
        <v>1.18779E-4</v>
      </c>
      <c r="C652" s="1">
        <v>9.1399999999999999E-5</v>
      </c>
      <c r="D652" s="1">
        <v>9.6199999999999994E-5</v>
      </c>
      <c r="E652">
        <v>1.0699700000000001E-4</v>
      </c>
      <c r="F652">
        <v>1.02017E-4</v>
      </c>
      <c r="G652" s="1">
        <v>9.9199999999999999E-5</v>
      </c>
      <c r="H652">
        <v>1.18238E-4</v>
      </c>
      <c r="I652">
        <v>1.38329E-4</v>
      </c>
      <c r="J652">
        <v>1.51256E-4</v>
      </c>
      <c r="K652">
        <v>1.0299E-4</v>
      </c>
      <c r="L652">
        <v>1.04443E-4</v>
      </c>
      <c r="M652" s="1">
        <v>8.4599999999999996E-5</v>
      </c>
      <c r="N652" s="1">
        <v>6.4300000000000004E-5</v>
      </c>
      <c r="O652">
        <v>1.0985E-4</v>
      </c>
      <c r="P652" s="1">
        <v>9.8400000000000007E-5</v>
      </c>
      <c r="Q652" s="1">
        <v>5.7800000000000002E-5</v>
      </c>
      <c r="R652" s="1">
        <v>4.8199999999999999E-5</v>
      </c>
      <c r="S652" s="1">
        <v>4.1499999999999999E-5</v>
      </c>
      <c r="T652" s="1">
        <v>4.6699999999999997E-5</v>
      </c>
    </row>
    <row r="653" spans="1:20" hidden="1" x14ac:dyDescent="0.25">
      <c r="A653" t="s">
        <v>671</v>
      </c>
      <c r="B653" s="1">
        <v>8.1799999999999996E-5</v>
      </c>
      <c r="C653">
        <v>1.01865E-4</v>
      </c>
      <c r="D653">
        <v>1.17224E-4</v>
      </c>
      <c r="E653">
        <v>1.04818E-4</v>
      </c>
      <c r="F653">
        <v>1.07112E-4</v>
      </c>
      <c r="G653" s="1">
        <v>7.4099999999999999E-5</v>
      </c>
      <c r="H653" s="1">
        <v>5.0099999999999998E-5</v>
      </c>
      <c r="I653" s="1">
        <v>4.18E-5</v>
      </c>
      <c r="J653" s="1">
        <v>6.3499999999999999E-5</v>
      </c>
      <c r="K653" s="1">
        <v>9.3300000000000005E-5</v>
      </c>
      <c r="L653" s="1">
        <v>7.7600000000000002E-5</v>
      </c>
      <c r="M653" s="1">
        <v>4.0099999999999999E-5</v>
      </c>
      <c r="N653">
        <v>0</v>
      </c>
      <c r="O653" s="1">
        <v>5.1199999999999998E-5</v>
      </c>
      <c r="P653" s="1">
        <v>4.4199999999999997E-5</v>
      </c>
      <c r="Q653" s="1">
        <v>2.2500000000000001E-5</v>
      </c>
      <c r="R653" s="1">
        <v>3.0199999999999999E-5</v>
      </c>
      <c r="S653" s="1">
        <v>1.9199999999999999E-5</v>
      </c>
      <c r="T653" s="1">
        <v>3.2100000000000001E-5</v>
      </c>
    </row>
    <row r="654" spans="1:20" hidden="1" x14ac:dyDescent="0.25">
      <c r="A654" t="s">
        <v>672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s="1">
        <v>1.7499999999999998E-5</v>
      </c>
      <c r="O654">
        <v>0</v>
      </c>
      <c r="P654" s="1">
        <v>2.4899999999999999E-5</v>
      </c>
      <c r="Q654" s="1">
        <v>4.1199999999999999E-5</v>
      </c>
      <c r="R654" s="1">
        <v>3.0000000000000001E-5</v>
      </c>
      <c r="S654" s="1">
        <v>2.8E-5</v>
      </c>
      <c r="T654" s="1">
        <v>4.8699999999999998E-5</v>
      </c>
    </row>
    <row r="655" spans="1:20" hidden="1" x14ac:dyDescent="0.25">
      <c r="A655" t="s">
        <v>673</v>
      </c>
      <c r="B655" s="1">
        <v>1.0699999999999999E-5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s="1">
        <v>1.26E-5</v>
      </c>
      <c r="M655">
        <v>0</v>
      </c>
      <c r="N655">
        <v>0</v>
      </c>
      <c r="O655">
        <v>0</v>
      </c>
      <c r="P655" s="1">
        <v>1.56E-5</v>
      </c>
      <c r="Q655" s="1">
        <v>2.3200000000000001E-5</v>
      </c>
      <c r="R655" s="1">
        <v>9.4599999999999992E-6</v>
      </c>
      <c r="S655">
        <v>0</v>
      </c>
      <c r="T655" s="1">
        <v>4.3600000000000003E-5</v>
      </c>
    </row>
    <row r="656" spans="1:20" hidden="1" x14ac:dyDescent="0.25">
      <c r="A656" t="s">
        <v>674</v>
      </c>
      <c r="B656" s="1">
        <v>8.6399999999999999E-5</v>
      </c>
      <c r="C656" s="1">
        <v>2.3200000000000001E-5</v>
      </c>
      <c r="D656" s="1">
        <v>4.6199999999999998E-5</v>
      </c>
      <c r="E656" s="1">
        <v>3.5800000000000003E-5</v>
      </c>
      <c r="F656" s="1">
        <v>6.0000000000000002E-5</v>
      </c>
      <c r="G656" s="1">
        <v>1.9599999999999999E-5</v>
      </c>
      <c r="H656" s="1">
        <v>6.6099999999999994E-5</v>
      </c>
      <c r="I656" s="1">
        <v>2.7500000000000001E-5</v>
      </c>
      <c r="J656" s="1">
        <v>5.2200000000000002E-5</v>
      </c>
      <c r="K656" s="1">
        <v>5.5800000000000001E-5</v>
      </c>
      <c r="L656" s="1">
        <v>2.1500000000000001E-5</v>
      </c>
      <c r="M656" s="1">
        <v>7.3300000000000006E-5</v>
      </c>
      <c r="N656" s="1">
        <v>8.4699999999999999E-5</v>
      </c>
      <c r="O656" s="1">
        <v>2.1999999999999999E-5</v>
      </c>
      <c r="P656" s="1">
        <v>8.0500000000000005E-5</v>
      </c>
      <c r="Q656">
        <v>1.9796899999999999E-4</v>
      </c>
      <c r="R656">
        <v>1.6391800000000001E-4</v>
      </c>
      <c r="S656" s="1">
        <v>7.3800000000000005E-5</v>
      </c>
      <c r="T656">
        <v>3.08072E-4</v>
      </c>
    </row>
    <row r="657" spans="1:20" hidden="1" x14ac:dyDescent="0.25">
      <c r="A657" t="s">
        <v>675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1">
        <v>1.6699999999999999E-5</v>
      </c>
      <c r="Q657" s="1">
        <v>2.5199999999999999E-5</v>
      </c>
      <c r="R657" s="1">
        <v>2.2500000000000001E-5</v>
      </c>
      <c r="S657" s="1">
        <v>2.4199999999999999E-5</v>
      </c>
      <c r="T657" s="1">
        <v>2.12E-5</v>
      </c>
    </row>
    <row r="658" spans="1:20" hidden="1" x14ac:dyDescent="0.25">
      <c r="A658" t="s">
        <v>676</v>
      </c>
      <c r="B658">
        <v>0</v>
      </c>
      <c r="C658">
        <v>1.4675499999999999E-4</v>
      </c>
      <c r="D658" s="1">
        <v>6.5300000000000002E-5</v>
      </c>
      <c r="E658">
        <v>1.1316599999999999E-4</v>
      </c>
      <c r="F658">
        <v>1.00151E-4</v>
      </c>
      <c r="G658">
        <v>1.5689400000000001E-4</v>
      </c>
      <c r="H658">
        <v>1.8498200000000001E-4</v>
      </c>
      <c r="I658" s="1">
        <v>8.8599999999999999E-5</v>
      </c>
      <c r="J658" s="1">
        <v>7.36E-5</v>
      </c>
      <c r="K658">
        <v>1.92225E-4</v>
      </c>
      <c r="L658">
        <v>2.0599400000000001E-4</v>
      </c>
      <c r="M658">
        <v>1.07299E-4</v>
      </c>
      <c r="N658">
        <v>1.01462E-4</v>
      </c>
      <c r="O658" s="1">
        <v>6.0900000000000003E-5</v>
      </c>
      <c r="P658" s="1">
        <v>8.2200000000000006E-5</v>
      </c>
      <c r="Q658">
        <v>0</v>
      </c>
      <c r="R658">
        <v>1.28023E-4</v>
      </c>
      <c r="S658">
        <v>2.3492200000000001E-4</v>
      </c>
      <c r="T658">
        <v>1.3964899999999999E-4</v>
      </c>
    </row>
    <row r="659" spans="1:20" hidden="1" x14ac:dyDescent="0.25">
      <c r="A659" t="s">
        <v>677</v>
      </c>
      <c r="B659" s="1">
        <v>1.2300000000000001E-5</v>
      </c>
      <c r="C659" s="1">
        <v>2.7699999999999999E-5</v>
      </c>
      <c r="D659" s="1">
        <v>2.1800000000000001E-5</v>
      </c>
      <c r="E659" s="1">
        <v>2.51E-5</v>
      </c>
      <c r="F659">
        <v>0</v>
      </c>
      <c r="G659" s="1">
        <v>3.3500000000000001E-5</v>
      </c>
      <c r="H659" s="1">
        <v>2.5599999999999999E-5</v>
      </c>
      <c r="I659" s="1">
        <v>2.65E-5</v>
      </c>
      <c r="J659" s="1">
        <v>1.9899999999999999E-5</v>
      </c>
      <c r="K659" s="1">
        <v>2.76E-5</v>
      </c>
      <c r="L659" s="1">
        <v>3.3899999999999997E-5</v>
      </c>
      <c r="M659">
        <v>0</v>
      </c>
      <c r="N659">
        <v>0</v>
      </c>
      <c r="O659" s="1">
        <v>1.98E-5</v>
      </c>
      <c r="P659" s="1">
        <v>2.2399999999999999E-5</v>
      </c>
      <c r="Q659" s="1">
        <v>2.5700000000000001E-5</v>
      </c>
      <c r="R659" s="1">
        <v>1.8600000000000001E-5</v>
      </c>
      <c r="S659" s="1">
        <v>2.9600000000000001E-5</v>
      </c>
      <c r="T659" s="1">
        <v>3.0599999999999998E-5</v>
      </c>
    </row>
    <row r="660" spans="1:20" hidden="1" x14ac:dyDescent="0.25">
      <c r="A660" t="s">
        <v>678</v>
      </c>
      <c r="B660">
        <v>7.5845999999999997E-4</v>
      </c>
      <c r="C660">
        <v>6.1053699999999997E-4</v>
      </c>
      <c r="D660">
        <v>9.1737199999999996E-4</v>
      </c>
      <c r="E660">
        <v>1.0044400000000001E-3</v>
      </c>
      <c r="F660">
        <v>8.6489599999999998E-4</v>
      </c>
      <c r="G660">
        <v>4.2456900000000002E-4</v>
      </c>
      <c r="H660">
        <v>5.5127500000000005E-4</v>
      </c>
      <c r="I660">
        <v>6.8877599999999999E-4</v>
      </c>
      <c r="J660">
        <v>6.1718500000000002E-4</v>
      </c>
      <c r="K660">
        <v>8.3755500000000003E-4</v>
      </c>
      <c r="L660">
        <v>5.53248E-4</v>
      </c>
      <c r="M660">
        <v>5.2558399999999995E-4</v>
      </c>
      <c r="N660">
        <v>5.6218700000000002E-4</v>
      </c>
      <c r="O660">
        <v>9.1102999999999996E-4</v>
      </c>
      <c r="P660">
        <v>3.1649599999999999E-4</v>
      </c>
      <c r="Q660">
        <v>1.7948000000000001E-4</v>
      </c>
      <c r="R660">
        <v>1.99204E-4</v>
      </c>
      <c r="S660">
        <v>3.0725000000000001E-4</v>
      </c>
      <c r="T660">
        <v>1.76167E-4</v>
      </c>
    </row>
    <row r="661" spans="1:20" hidden="1" x14ac:dyDescent="0.25">
      <c r="A661" t="s">
        <v>679</v>
      </c>
      <c r="B661">
        <v>1.936941E-3</v>
      </c>
      <c r="C661">
        <v>1.648411E-3</v>
      </c>
      <c r="D661">
        <v>2.0387109999999999E-3</v>
      </c>
      <c r="E661">
        <v>1.9855630000000001E-3</v>
      </c>
      <c r="F661">
        <v>2.0820869999999998E-3</v>
      </c>
      <c r="G661">
        <v>1.64178E-3</v>
      </c>
      <c r="H661">
        <v>1.309167E-3</v>
      </c>
      <c r="I661">
        <v>1.5440759999999999E-3</v>
      </c>
      <c r="J661">
        <v>1.8902809999999999E-3</v>
      </c>
      <c r="K661">
        <v>1.8094859999999999E-3</v>
      </c>
      <c r="L661">
        <v>1.866997E-3</v>
      </c>
      <c r="M661">
        <v>1.727604E-3</v>
      </c>
      <c r="N661">
        <v>1.9971989999999998E-3</v>
      </c>
      <c r="O661">
        <v>2.0477920000000001E-3</v>
      </c>
      <c r="P661">
        <v>1.319357E-3</v>
      </c>
      <c r="Q661">
        <v>1.042432E-3</v>
      </c>
      <c r="R661">
        <v>1.171154E-3</v>
      </c>
      <c r="S661">
        <v>1.0966260000000001E-3</v>
      </c>
      <c r="T661">
        <v>1.1795099999999999E-3</v>
      </c>
    </row>
    <row r="662" spans="1:20" hidden="1" x14ac:dyDescent="0.25">
      <c r="A662" t="s">
        <v>680</v>
      </c>
      <c r="B662">
        <v>1.839547E-3</v>
      </c>
      <c r="C662">
        <v>1.581439E-3</v>
      </c>
      <c r="D662">
        <v>1.5631849999999999E-3</v>
      </c>
      <c r="E662">
        <v>1.518574E-3</v>
      </c>
      <c r="F662">
        <v>1.869711E-3</v>
      </c>
      <c r="G662">
        <v>1.45853E-3</v>
      </c>
      <c r="H662">
        <v>1.2870729999999999E-3</v>
      </c>
      <c r="I662">
        <v>1.502895E-3</v>
      </c>
      <c r="J662">
        <v>1.833438E-3</v>
      </c>
      <c r="K662">
        <v>1.6827330000000001E-3</v>
      </c>
      <c r="L662">
        <v>1.5723779999999999E-3</v>
      </c>
      <c r="M662">
        <v>1.3797169999999999E-3</v>
      </c>
      <c r="N662">
        <v>1.6806049999999999E-3</v>
      </c>
      <c r="O662">
        <v>1.6922110000000001E-3</v>
      </c>
      <c r="P662">
        <v>1.404052E-3</v>
      </c>
      <c r="Q662">
        <v>1.1985870000000001E-3</v>
      </c>
      <c r="R662">
        <v>1.254231E-3</v>
      </c>
      <c r="S662">
        <v>1.2371789999999999E-3</v>
      </c>
      <c r="T662">
        <v>1.44487E-3</v>
      </c>
    </row>
    <row r="663" spans="1:20" hidden="1" x14ac:dyDescent="0.25">
      <c r="A663" t="s">
        <v>681</v>
      </c>
      <c r="B663">
        <v>9.6758399999999996E-4</v>
      </c>
      <c r="C663">
        <v>4.3699840000000004E-3</v>
      </c>
      <c r="D663">
        <v>6.8605599999999999E-4</v>
      </c>
      <c r="E663">
        <v>1.070561E-3</v>
      </c>
      <c r="F663">
        <v>1.034194E-3</v>
      </c>
      <c r="G663">
        <v>1.7480589999999999E-3</v>
      </c>
      <c r="H663">
        <v>2.1588029999999999E-3</v>
      </c>
      <c r="I663">
        <v>3.5817079999999999E-3</v>
      </c>
      <c r="J663">
        <v>1.8490589999999999E-3</v>
      </c>
      <c r="K663">
        <v>3.0230840000000001E-3</v>
      </c>
      <c r="L663">
        <v>6.7532540000000002E-3</v>
      </c>
      <c r="M663">
        <v>1.007474E-3</v>
      </c>
      <c r="N663">
        <v>3.7548120000000002E-3</v>
      </c>
      <c r="O663">
        <v>1.638151E-3</v>
      </c>
      <c r="P663">
        <v>4.0198250000000003E-3</v>
      </c>
      <c r="Q663">
        <v>9.8829439999999994E-3</v>
      </c>
      <c r="R663">
        <v>1.0672233E-2</v>
      </c>
      <c r="S663">
        <v>1.8760485E-2</v>
      </c>
      <c r="T663">
        <v>1.2027390000000001E-2</v>
      </c>
    </row>
    <row r="664" spans="1:20" hidden="1" x14ac:dyDescent="0.25">
      <c r="A664" t="s">
        <v>682</v>
      </c>
      <c r="B664">
        <v>1.02335E-4</v>
      </c>
      <c r="C664">
        <v>1.3273199999999999E-4</v>
      </c>
      <c r="D664">
        <v>1.6299500000000001E-4</v>
      </c>
      <c r="E664">
        <v>1.67725E-4</v>
      </c>
      <c r="F664" s="1">
        <v>7.64E-5</v>
      </c>
      <c r="G664" s="1">
        <v>9.2100000000000003E-5</v>
      </c>
      <c r="H664" s="1">
        <v>9.7299999999999993E-5</v>
      </c>
      <c r="I664">
        <v>1.28777E-4</v>
      </c>
      <c r="J664">
        <v>1.04057E-4</v>
      </c>
      <c r="K664" s="1">
        <v>7.3499999999999998E-5</v>
      </c>
      <c r="L664" s="1">
        <v>9.2299999999999994E-5</v>
      </c>
      <c r="M664">
        <v>1.45575E-4</v>
      </c>
      <c r="N664">
        <v>1.3772200000000001E-4</v>
      </c>
      <c r="O664">
        <v>1.8760900000000001E-4</v>
      </c>
      <c r="P664" s="1">
        <v>7.0599999999999995E-5</v>
      </c>
      <c r="Q664" s="1">
        <v>4.46E-5</v>
      </c>
      <c r="R664" s="1">
        <v>6.4200000000000002E-5</v>
      </c>
      <c r="S664" s="1">
        <v>5.8100000000000003E-5</v>
      </c>
      <c r="T664" s="1">
        <v>5.0500000000000001E-5</v>
      </c>
    </row>
    <row r="665" spans="1:20" hidden="1" x14ac:dyDescent="0.25">
      <c r="A665" t="s">
        <v>683</v>
      </c>
      <c r="B665" s="1">
        <v>5.0300000000000003E-5</v>
      </c>
      <c r="C665" s="1">
        <v>3.4799999999999999E-5</v>
      </c>
      <c r="D665" s="1">
        <v>3.29E-5</v>
      </c>
      <c r="E665" s="1">
        <v>2.12E-5</v>
      </c>
      <c r="F665" s="1">
        <v>2.37E-5</v>
      </c>
      <c r="G665" s="1">
        <v>3.79E-5</v>
      </c>
      <c r="H665" s="1">
        <v>4.1300000000000001E-5</v>
      </c>
      <c r="I665" s="1">
        <v>5.4799999999999997E-5</v>
      </c>
      <c r="J665">
        <v>0</v>
      </c>
      <c r="K665" s="1">
        <v>2.72E-5</v>
      </c>
      <c r="L665" s="1">
        <v>3.3500000000000001E-5</v>
      </c>
      <c r="M665" s="1">
        <v>7.47E-5</v>
      </c>
      <c r="N665" s="1">
        <v>7.3899999999999994E-5</v>
      </c>
      <c r="O665" s="1">
        <v>4.2700000000000001E-5</v>
      </c>
      <c r="P665" s="1">
        <v>4.0299999999999997E-5</v>
      </c>
      <c r="Q665" s="1">
        <v>4.5399999999999999E-5</v>
      </c>
      <c r="R665" s="1">
        <v>3.8999999999999999E-5</v>
      </c>
      <c r="S665">
        <v>0</v>
      </c>
      <c r="T665" s="1">
        <v>7.2799999999999994E-5</v>
      </c>
    </row>
    <row r="666" spans="1:20" hidden="1" x14ac:dyDescent="0.25">
      <c r="A666" t="s">
        <v>684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1">
        <v>2.48E-5</v>
      </c>
      <c r="Q666" s="1">
        <v>3.2799999999999998E-5</v>
      </c>
      <c r="R666" s="1">
        <v>3.18E-5</v>
      </c>
      <c r="S666" s="1">
        <v>2.3600000000000001E-5</v>
      </c>
      <c r="T666" s="1">
        <v>2.34E-5</v>
      </c>
    </row>
    <row r="667" spans="1:20" hidden="1" x14ac:dyDescent="0.25">
      <c r="A667" t="s">
        <v>685</v>
      </c>
      <c r="B667" s="1">
        <v>9.8300000000000004E-5</v>
      </c>
      <c r="C667" s="1">
        <v>2.5400000000000001E-5</v>
      </c>
      <c r="D667" s="1">
        <v>3.6999999999999998E-5</v>
      </c>
      <c r="E667" s="1">
        <v>3.5899999999999998E-5</v>
      </c>
      <c r="F667" s="1">
        <v>4.3099999999999997E-5</v>
      </c>
      <c r="G667" s="1">
        <v>5.7500000000000002E-5</v>
      </c>
      <c r="H667" s="1">
        <v>5.5099999999999998E-5</v>
      </c>
      <c r="I667" s="1">
        <v>2.51E-5</v>
      </c>
      <c r="J667" s="1">
        <v>9.0299999999999999E-5</v>
      </c>
      <c r="K667" s="1">
        <v>6.7399999999999998E-5</v>
      </c>
      <c r="L667" s="1">
        <v>3.8899999999999997E-5</v>
      </c>
      <c r="M667" s="1">
        <v>5.6799999999999998E-5</v>
      </c>
      <c r="N667" s="1">
        <v>4.0099999999999999E-5</v>
      </c>
      <c r="O667" s="1">
        <v>5.7800000000000002E-5</v>
      </c>
      <c r="P667">
        <v>1.5014E-4</v>
      </c>
      <c r="Q667">
        <v>2.4378099999999999E-4</v>
      </c>
      <c r="R667">
        <v>1.7714E-4</v>
      </c>
      <c r="S667">
        <v>1.52366E-4</v>
      </c>
      <c r="T667">
        <v>1.4929599999999999E-4</v>
      </c>
    </row>
    <row r="668" spans="1:20" hidden="1" x14ac:dyDescent="0.25">
      <c r="A668" t="s">
        <v>686</v>
      </c>
      <c r="B668" s="1">
        <v>1.9599999999999999E-5</v>
      </c>
      <c r="C668" s="1">
        <v>3.6900000000000002E-5</v>
      </c>
      <c r="D668" s="1">
        <v>3.7499999999999997E-5</v>
      </c>
      <c r="E668" s="1">
        <v>4.0000000000000003E-5</v>
      </c>
      <c r="F668" s="1">
        <v>2.2200000000000001E-5</v>
      </c>
      <c r="G668" s="1">
        <v>3.1399999999999998E-5</v>
      </c>
      <c r="H668" s="1">
        <v>3.5500000000000002E-5</v>
      </c>
      <c r="I668" s="1">
        <v>2.2900000000000001E-5</v>
      </c>
      <c r="J668" s="1">
        <v>1.6699999999999999E-5</v>
      </c>
      <c r="K668" s="1">
        <v>4.49E-5</v>
      </c>
      <c r="L668" s="1">
        <v>4.6199999999999998E-5</v>
      </c>
      <c r="M668" s="1">
        <v>1.9000000000000001E-5</v>
      </c>
      <c r="N668" s="1">
        <v>2.6100000000000001E-5</v>
      </c>
      <c r="O668" s="1">
        <v>2.55E-5</v>
      </c>
      <c r="P668" s="1">
        <v>1.98E-5</v>
      </c>
      <c r="Q668" s="1">
        <v>2.0699999999999998E-5</v>
      </c>
      <c r="R668">
        <v>0</v>
      </c>
      <c r="S668" s="1">
        <v>1.11E-5</v>
      </c>
      <c r="T668" s="1">
        <v>2.69E-5</v>
      </c>
    </row>
    <row r="669" spans="1:20" hidden="1" x14ac:dyDescent="0.25">
      <c r="A669" t="s">
        <v>687</v>
      </c>
      <c r="B669" s="1">
        <v>1.6500000000000001E-5</v>
      </c>
      <c r="C669" s="1">
        <v>3.68E-5</v>
      </c>
      <c r="D669" s="1">
        <v>4.1600000000000002E-5</v>
      </c>
      <c r="E669" s="1">
        <v>3.68E-5</v>
      </c>
      <c r="F669" s="1">
        <v>1.49E-5</v>
      </c>
      <c r="G669" s="1">
        <v>1.49E-5</v>
      </c>
      <c r="H669" s="1">
        <v>1.11E-5</v>
      </c>
      <c r="I669" s="1">
        <v>1.7200000000000001E-5</v>
      </c>
      <c r="J669" s="1">
        <v>1.3900000000000001E-5</v>
      </c>
      <c r="K669" s="1">
        <v>2.2900000000000001E-5</v>
      </c>
      <c r="L669" s="1">
        <v>2.3499999999999999E-5</v>
      </c>
      <c r="M669" s="1">
        <v>1.49E-5</v>
      </c>
      <c r="N669" s="1">
        <v>1.0699999999999999E-5</v>
      </c>
      <c r="O669" s="1">
        <v>8.0700000000000007E-6</v>
      </c>
      <c r="P669">
        <v>0</v>
      </c>
      <c r="Q669" s="1">
        <v>8.8799999999999997E-6</v>
      </c>
      <c r="R669" s="1">
        <v>6.4799999999999998E-6</v>
      </c>
      <c r="S669">
        <v>0</v>
      </c>
      <c r="T669" s="1">
        <v>1.15E-5</v>
      </c>
    </row>
    <row r="670" spans="1:20" hidden="1" x14ac:dyDescent="0.25">
      <c r="A670" t="s">
        <v>688</v>
      </c>
      <c r="B670">
        <v>7.3801599999999998E-4</v>
      </c>
      <c r="C670">
        <v>4.8228700000000003E-4</v>
      </c>
      <c r="D670">
        <v>3.9155700000000001E-4</v>
      </c>
      <c r="E670">
        <v>7.3382799999999995E-4</v>
      </c>
      <c r="F670">
        <v>6.4591699999999998E-4</v>
      </c>
      <c r="G670">
        <v>7.8158700000000004E-4</v>
      </c>
      <c r="H670">
        <v>6.3313699999999998E-4</v>
      </c>
      <c r="I670">
        <v>5.8043600000000004E-4</v>
      </c>
      <c r="J670">
        <v>9.3274700000000005E-4</v>
      </c>
      <c r="K670">
        <v>3.89887E-4</v>
      </c>
      <c r="L670">
        <v>4.22509E-4</v>
      </c>
      <c r="M670">
        <v>1.2143290000000001E-3</v>
      </c>
      <c r="N670">
        <v>5.94646E-4</v>
      </c>
      <c r="O670">
        <v>5.1034699999999997E-4</v>
      </c>
      <c r="P670">
        <v>9.9747000000000008E-4</v>
      </c>
      <c r="Q670">
        <v>2.4766570000000002E-3</v>
      </c>
      <c r="R670">
        <v>1.990913E-3</v>
      </c>
      <c r="S670">
        <v>1.921098E-3</v>
      </c>
      <c r="T670">
        <v>2.5992290000000002E-3</v>
      </c>
    </row>
    <row r="671" spans="1:20" hidden="1" x14ac:dyDescent="0.25">
      <c r="A671" t="s">
        <v>689</v>
      </c>
      <c r="B671" s="1">
        <v>1.59E-5</v>
      </c>
      <c r="C671">
        <v>0</v>
      </c>
      <c r="D671" s="1">
        <v>1.42E-5</v>
      </c>
      <c r="E671" s="1">
        <v>9.9299999999999998E-6</v>
      </c>
      <c r="F671" s="1">
        <v>1.66E-5</v>
      </c>
      <c r="G671" s="1">
        <v>3.79E-5</v>
      </c>
      <c r="H671" s="1">
        <v>2.1299999999999999E-5</v>
      </c>
      <c r="I671" s="1">
        <v>1.7799999999999999E-5</v>
      </c>
      <c r="J671" s="1">
        <v>1.4600000000000001E-5</v>
      </c>
      <c r="K671" s="1">
        <v>1.1399999999999999E-5</v>
      </c>
      <c r="L671" s="1">
        <v>8.2099999999999993E-6</v>
      </c>
      <c r="M671" s="1">
        <v>1.9599999999999999E-5</v>
      </c>
      <c r="N671" s="1">
        <v>1.3200000000000001E-5</v>
      </c>
      <c r="O671" s="1">
        <v>6.6900000000000003E-6</v>
      </c>
      <c r="P671" s="1">
        <v>1.7799999999999999E-5</v>
      </c>
      <c r="Q671" s="1">
        <v>5.1E-5</v>
      </c>
      <c r="R671" s="1">
        <v>2.5599999999999999E-5</v>
      </c>
      <c r="S671" s="1">
        <v>6.5300000000000002E-5</v>
      </c>
      <c r="T671" s="1">
        <v>5.8199999999999998E-5</v>
      </c>
    </row>
    <row r="672" spans="1:20" hidden="1" x14ac:dyDescent="0.25">
      <c r="A672" t="s">
        <v>690</v>
      </c>
      <c r="B672">
        <v>1.09867E-4</v>
      </c>
      <c r="C672">
        <v>0</v>
      </c>
      <c r="D672">
        <v>1.0005699999999999E-4</v>
      </c>
      <c r="E672">
        <v>1.5151699999999999E-4</v>
      </c>
      <c r="F672">
        <v>1.94427E-4</v>
      </c>
      <c r="G672">
        <v>2.0553699999999999E-4</v>
      </c>
      <c r="H672">
        <v>1.75145E-4</v>
      </c>
      <c r="I672">
        <v>1.0883999999999999E-4</v>
      </c>
      <c r="J672">
        <v>1.3216399999999999E-4</v>
      </c>
      <c r="K672">
        <v>1.25327E-4</v>
      </c>
      <c r="L672">
        <v>1.57293E-4</v>
      </c>
      <c r="M672">
        <v>1.4743499999999999E-4</v>
      </c>
      <c r="N672">
        <v>1.2058299999999999E-4</v>
      </c>
      <c r="O672">
        <v>1.64859E-4</v>
      </c>
      <c r="P672">
        <v>2.6542500000000001E-4</v>
      </c>
      <c r="Q672">
        <v>2.27316E-4</v>
      </c>
      <c r="R672">
        <v>5.6819900000000003E-4</v>
      </c>
      <c r="S672">
        <v>4.5850099999999999E-4</v>
      </c>
      <c r="T672">
        <v>3.4267599999999998E-4</v>
      </c>
    </row>
    <row r="673" spans="1:20" hidden="1" x14ac:dyDescent="0.25">
      <c r="A673" t="s">
        <v>691</v>
      </c>
      <c r="B673">
        <v>1.3291780000000001E-3</v>
      </c>
      <c r="C673">
        <v>1.197128E-3</v>
      </c>
      <c r="D673">
        <v>1.3707459999999999E-3</v>
      </c>
      <c r="E673">
        <v>1.071128E-3</v>
      </c>
      <c r="F673">
        <v>1.220947E-3</v>
      </c>
      <c r="G673">
        <v>1.0238090000000001E-3</v>
      </c>
      <c r="H673">
        <v>1.0631729999999999E-3</v>
      </c>
      <c r="I673">
        <v>1.2511709999999999E-3</v>
      </c>
      <c r="J673">
        <v>1.19407E-3</v>
      </c>
      <c r="K673">
        <v>1.096554E-3</v>
      </c>
      <c r="L673">
        <v>1.3243249999999999E-3</v>
      </c>
      <c r="M673">
        <v>1.1538309999999999E-3</v>
      </c>
      <c r="N673">
        <v>1.835873E-3</v>
      </c>
      <c r="O673">
        <v>1.311902E-3</v>
      </c>
      <c r="P673">
        <v>1.0298449999999999E-3</v>
      </c>
      <c r="Q673">
        <v>1.1434609999999999E-3</v>
      </c>
      <c r="R673">
        <v>1.0013559999999999E-3</v>
      </c>
      <c r="S673">
        <v>1.3127480000000001E-3</v>
      </c>
      <c r="T673">
        <v>1.4601639999999999E-3</v>
      </c>
    </row>
    <row r="674" spans="1:20" hidden="1" x14ac:dyDescent="0.25">
      <c r="A674" t="s">
        <v>692</v>
      </c>
      <c r="B674">
        <v>1.23893E-4</v>
      </c>
      <c r="C674">
        <v>1.0609E-4</v>
      </c>
      <c r="D674">
        <v>1.0083500000000001E-4</v>
      </c>
      <c r="E674">
        <v>1.0349300000000001E-4</v>
      </c>
      <c r="F674">
        <v>1.6534199999999999E-4</v>
      </c>
      <c r="G674">
        <v>1.11508E-4</v>
      </c>
      <c r="H674" s="1">
        <v>9.2399999999999996E-5</v>
      </c>
      <c r="I674" s="1">
        <v>9.1700000000000006E-5</v>
      </c>
      <c r="J674">
        <v>1.19033E-4</v>
      </c>
      <c r="K674">
        <v>1.03811E-4</v>
      </c>
      <c r="L674" s="1">
        <v>9.5099999999999994E-5</v>
      </c>
      <c r="M674" s="1">
        <v>9.3700000000000001E-5</v>
      </c>
      <c r="N674">
        <v>1.40894E-4</v>
      </c>
      <c r="O674">
        <v>1.2052E-4</v>
      </c>
      <c r="P674" s="1">
        <v>9.7600000000000001E-5</v>
      </c>
      <c r="Q674" s="1">
        <v>9.0699999999999996E-5</v>
      </c>
      <c r="R674">
        <v>1.1958799999999999E-4</v>
      </c>
      <c r="S674">
        <v>1.0365E-4</v>
      </c>
      <c r="T674" s="1">
        <v>9.5699999999999995E-5</v>
      </c>
    </row>
    <row r="675" spans="1:20" hidden="1" x14ac:dyDescent="0.25">
      <c r="A675" t="s">
        <v>693</v>
      </c>
      <c r="B675">
        <v>0</v>
      </c>
      <c r="C675" s="1">
        <v>9.1700000000000006E-5</v>
      </c>
      <c r="D675" s="1">
        <v>6.2000000000000003E-5</v>
      </c>
      <c r="E675">
        <v>0</v>
      </c>
      <c r="F675">
        <v>1.04851E-4</v>
      </c>
      <c r="G675">
        <v>2.1824999999999999E-4</v>
      </c>
      <c r="H675">
        <v>1.8752499999999999E-4</v>
      </c>
      <c r="I675">
        <v>1.4546900000000001E-4</v>
      </c>
      <c r="J675">
        <v>1.30949E-4</v>
      </c>
      <c r="K675" s="1">
        <v>8.5099999999999995E-5</v>
      </c>
      <c r="L675">
        <v>2.18101E-4</v>
      </c>
      <c r="M675">
        <v>0</v>
      </c>
      <c r="N675">
        <v>2.2328499999999999E-4</v>
      </c>
      <c r="O675">
        <v>1.01697E-4</v>
      </c>
      <c r="P675">
        <v>1.5605600000000001E-4</v>
      </c>
      <c r="Q675">
        <v>1.3189300000000001E-4</v>
      </c>
      <c r="R675">
        <v>1.55265E-4</v>
      </c>
      <c r="S675">
        <v>0</v>
      </c>
      <c r="T675" s="1">
        <v>7.6600000000000005E-5</v>
      </c>
    </row>
    <row r="676" spans="1:20" hidden="1" x14ac:dyDescent="0.25">
      <c r="A676" t="s">
        <v>694</v>
      </c>
      <c r="B676">
        <v>4.6487999999999998E-4</v>
      </c>
      <c r="C676">
        <v>2.4018499999999999E-4</v>
      </c>
      <c r="D676">
        <v>4.0341200000000002E-4</v>
      </c>
      <c r="E676">
        <v>5.7673700000000002E-4</v>
      </c>
      <c r="F676">
        <v>6.7616300000000002E-4</v>
      </c>
      <c r="G676">
        <v>3.3881299999999998E-4</v>
      </c>
      <c r="H676">
        <v>1.248807E-3</v>
      </c>
      <c r="I676">
        <v>4.1046300000000002E-4</v>
      </c>
      <c r="J676">
        <v>6.2743599999999999E-4</v>
      </c>
      <c r="K676">
        <v>5.9336100000000004E-4</v>
      </c>
      <c r="L676">
        <v>2.9201999999999999E-4</v>
      </c>
      <c r="M676">
        <v>5.6146400000000002E-4</v>
      </c>
      <c r="N676">
        <v>6.1905499999999997E-4</v>
      </c>
      <c r="O676">
        <v>4.3711200000000003E-4</v>
      </c>
      <c r="P676">
        <v>8.6039799999999996E-4</v>
      </c>
      <c r="Q676">
        <v>8.7989199999999996E-4</v>
      </c>
      <c r="R676">
        <v>1.1702520000000001E-3</v>
      </c>
      <c r="S676">
        <v>5.8952899999999999E-4</v>
      </c>
      <c r="T676">
        <v>1.1116850000000001E-3</v>
      </c>
    </row>
    <row r="677" spans="1:20" hidden="1" x14ac:dyDescent="0.25">
      <c r="A677" t="s">
        <v>695</v>
      </c>
      <c r="B677">
        <v>2.435586E-3</v>
      </c>
      <c r="C677">
        <v>2.0897659999999998E-3</v>
      </c>
      <c r="D677">
        <v>3.061242E-3</v>
      </c>
      <c r="E677">
        <v>3.1820970000000001E-3</v>
      </c>
      <c r="F677">
        <v>1.4036140000000001E-3</v>
      </c>
      <c r="G677">
        <v>1.745143E-3</v>
      </c>
      <c r="H677">
        <v>2.3507279999999998E-3</v>
      </c>
      <c r="I677">
        <v>2.813257E-3</v>
      </c>
      <c r="J677">
        <v>1.3135040000000001E-3</v>
      </c>
      <c r="K677">
        <v>1.8550089999999999E-3</v>
      </c>
      <c r="L677">
        <v>2.193731E-3</v>
      </c>
      <c r="M677">
        <v>2.465194E-3</v>
      </c>
      <c r="N677">
        <v>3.4238290000000002E-3</v>
      </c>
      <c r="O677">
        <v>1.2405280000000001E-3</v>
      </c>
      <c r="P677">
        <v>1.7137910000000001E-3</v>
      </c>
      <c r="Q677">
        <v>6.0460899999999998E-4</v>
      </c>
      <c r="R677">
        <v>6.8708400000000002E-4</v>
      </c>
      <c r="S677">
        <v>6.07578E-4</v>
      </c>
      <c r="T677">
        <v>5.7151100000000002E-4</v>
      </c>
    </row>
    <row r="678" spans="1:20" hidden="1" x14ac:dyDescent="0.25">
      <c r="A678" t="s">
        <v>696</v>
      </c>
      <c r="B678">
        <v>4.35854E-4</v>
      </c>
      <c r="C678">
        <v>5.2784399999999997E-4</v>
      </c>
      <c r="D678">
        <v>5.6342199999999995E-4</v>
      </c>
      <c r="E678">
        <v>4.1371799999999999E-4</v>
      </c>
      <c r="F678">
        <v>6.8854099999999998E-4</v>
      </c>
      <c r="G678">
        <v>4.7711100000000001E-4</v>
      </c>
      <c r="H678">
        <v>3.9354599999999999E-4</v>
      </c>
      <c r="I678">
        <v>5.5937300000000005E-4</v>
      </c>
      <c r="J678">
        <v>5.1703800000000005E-4</v>
      </c>
      <c r="K678">
        <v>4.0544499999999999E-4</v>
      </c>
      <c r="L678">
        <v>3.9157900000000003E-4</v>
      </c>
      <c r="M678">
        <v>4.1728099999999998E-4</v>
      </c>
      <c r="N678">
        <v>6.4290099999999998E-4</v>
      </c>
      <c r="O678">
        <v>5.1239700000000005E-4</v>
      </c>
      <c r="P678">
        <v>3.6753900000000001E-4</v>
      </c>
      <c r="Q678">
        <v>5.0760200000000001E-4</v>
      </c>
      <c r="R678">
        <v>4.1850299999999997E-4</v>
      </c>
      <c r="S678">
        <v>4.1948700000000002E-4</v>
      </c>
      <c r="T678">
        <v>3.8125700000000003E-4</v>
      </c>
    </row>
    <row r="679" spans="1:20" hidden="1" x14ac:dyDescent="0.25">
      <c r="A679" t="s">
        <v>697</v>
      </c>
      <c r="B679" s="1">
        <v>1.5400000000000002E-5</v>
      </c>
      <c r="C679" s="1">
        <v>5.5000000000000002E-5</v>
      </c>
      <c r="D679" s="1">
        <v>9.3399999999999993E-5</v>
      </c>
      <c r="E679">
        <v>1.64248E-4</v>
      </c>
      <c r="F679" s="1">
        <v>3.26E-5</v>
      </c>
      <c r="G679">
        <v>0</v>
      </c>
      <c r="H679">
        <v>1.07923E-4</v>
      </c>
      <c r="I679">
        <v>1.02698E-4</v>
      </c>
      <c r="J679">
        <v>0</v>
      </c>
      <c r="K679">
        <v>0</v>
      </c>
      <c r="L679" s="1">
        <v>7.75E-5</v>
      </c>
      <c r="M679">
        <v>0</v>
      </c>
      <c r="N679">
        <v>1.17682E-4</v>
      </c>
      <c r="O679">
        <v>2.1496699999999999E-4</v>
      </c>
      <c r="P679" s="1">
        <v>2.7699999999999999E-5</v>
      </c>
      <c r="Q679" s="1">
        <v>7.9200000000000001E-5</v>
      </c>
      <c r="R679" s="1">
        <v>3.7799999999999997E-5</v>
      </c>
      <c r="S679" s="1">
        <v>4.9100000000000001E-5</v>
      </c>
      <c r="T679" s="1">
        <v>3.3000000000000003E-5</v>
      </c>
    </row>
    <row r="680" spans="1:20" hidden="1" x14ac:dyDescent="0.25">
      <c r="A680" t="s">
        <v>698</v>
      </c>
      <c r="B680">
        <v>0</v>
      </c>
      <c r="C680">
        <v>0</v>
      </c>
      <c r="D680">
        <v>0</v>
      </c>
      <c r="E680">
        <v>0</v>
      </c>
      <c r="F680" s="1">
        <v>3.9900000000000001E-5</v>
      </c>
      <c r="G680" s="1">
        <v>1.95E-5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s="1">
        <v>2.1500000000000001E-5</v>
      </c>
      <c r="O680">
        <v>0</v>
      </c>
      <c r="P680" s="1">
        <v>5.6400000000000002E-5</v>
      </c>
      <c r="Q680">
        <v>1.4198600000000001E-4</v>
      </c>
      <c r="R680" s="1">
        <v>8.7000000000000001E-5</v>
      </c>
      <c r="S680">
        <v>1.7109800000000001E-4</v>
      </c>
      <c r="T680">
        <v>1.7174000000000001E-4</v>
      </c>
    </row>
    <row r="681" spans="1:20" hidden="1" x14ac:dyDescent="0.25">
      <c r="A681" t="s">
        <v>699</v>
      </c>
      <c r="B681" s="1">
        <v>8.03E-5</v>
      </c>
      <c r="C681" s="1">
        <v>4.5599999999999997E-5</v>
      </c>
      <c r="D681" s="1">
        <v>4.6999999999999997E-5</v>
      </c>
      <c r="E681" s="1">
        <v>3.8300000000000003E-5</v>
      </c>
      <c r="F681" s="1">
        <v>9.7700000000000003E-5</v>
      </c>
      <c r="G681" s="1">
        <v>4.8699999999999998E-5</v>
      </c>
      <c r="H681" s="1">
        <v>4.8600000000000002E-5</v>
      </c>
      <c r="I681" s="1">
        <v>5.8499999999999999E-5</v>
      </c>
      <c r="J681" s="1">
        <v>7.2399999999999998E-5</v>
      </c>
      <c r="K681" s="1">
        <v>5.7500000000000002E-5</v>
      </c>
      <c r="L681" s="1">
        <v>6.3800000000000006E-5</v>
      </c>
      <c r="M681" s="1">
        <v>8.81E-5</v>
      </c>
      <c r="N681" s="1">
        <v>6.7299999999999996E-5</v>
      </c>
      <c r="O681" s="1">
        <v>8.9900000000000003E-5</v>
      </c>
      <c r="P681" s="1">
        <v>7.4800000000000002E-5</v>
      </c>
      <c r="Q681" s="1">
        <v>6.4499999999999996E-5</v>
      </c>
      <c r="R681" s="1">
        <v>6.1699999999999995E-5</v>
      </c>
      <c r="S681" s="1">
        <v>5.2899999999999998E-5</v>
      </c>
      <c r="T681" s="1">
        <v>7.1600000000000006E-5</v>
      </c>
    </row>
    <row r="682" spans="1:20" hidden="1" x14ac:dyDescent="0.25">
      <c r="A682" t="s">
        <v>700</v>
      </c>
      <c r="B682" s="1">
        <v>1.8899999999999999E-5</v>
      </c>
      <c r="C682" s="1">
        <v>2.6800000000000001E-5</v>
      </c>
      <c r="D682" s="1">
        <v>2.41E-5</v>
      </c>
      <c r="E682" s="1">
        <v>2.7100000000000001E-5</v>
      </c>
      <c r="F682" s="1">
        <v>1.47E-5</v>
      </c>
      <c r="G682" s="1">
        <v>2.0999999999999999E-5</v>
      </c>
      <c r="H682" s="1">
        <v>1.29E-5</v>
      </c>
      <c r="I682" s="1">
        <v>1.24E-5</v>
      </c>
      <c r="J682" s="1">
        <v>1.6200000000000001E-5</v>
      </c>
      <c r="K682" s="1">
        <v>2.5000000000000001E-5</v>
      </c>
      <c r="L682" s="1">
        <v>2.0599999999999999E-5</v>
      </c>
      <c r="M682">
        <v>0</v>
      </c>
      <c r="N682">
        <v>0</v>
      </c>
      <c r="O682" s="1">
        <v>1.7799999999999999E-5</v>
      </c>
      <c r="P682" s="1">
        <v>7.3799999999999996E-6</v>
      </c>
      <c r="Q682">
        <v>0</v>
      </c>
      <c r="R682" s="1">
        <v>5.9100000000000002E-6</v>
      </c>
      <c r="S682">
        <v>0</v>
      </c>
      <c r="T682">
        <v>0</v>
      </c>
    </row>
    <row r="683" spans="1:20" hidden="1" x14ac:dyDescent="0.25">
      <c r="A683" t="s">
        <v>701</v>
      </c>
      <c r="B683" s="1">
        <v>7.4599999999999997E-5</v>
      </c>
      <c r="C683" s="1">
        <v>7.75E-5</v>
      </c>
      <c r="D683" s="1">
        <v>6.6799999999999997E-5</v>
      </c>
      <c r="E683" s="1">
        <v>6.5900000000000003E-5</v>
      </c>
      <c r="F683" s="1">
        <v>8.1699999999999994E-5</v>
      </c>
      <c r="G683">
        <v>1.39195E-4</v>
      </c>
      <c r="H683" s="1">
        <v>6.8499999999999998E-5</v>
      </c>
      <c r="I683" s="1">
        <v>4.88E-5</v>
      </c>
      <c r="J683" s="1">
        <v>8.4099999999999998E-5</v>
      </c>
      <c r="K683" s="1">
        <v>8.9499999999999994E-5</v>
      </c>
      <c r="L683" s="1">
        <v>5.9599999999999999E-5</v>
      </c>
      <c r="M683" s="1">
        <v>5.5999999999999999E-5</v>
      </c>
      <c r="N683" s="1">
        <v>2.6800000000000001E-5</v>
      </c>
      <c r="O683" s="1">
        <v>4.6600000000000001E-5</v>
      </c>
      <c r="P683" s="1">
        <v>7.0900000000000002E-5</v>
      </c>
      <c r="Q683" s="1">
        <v>8.5599999999999994E-5</v>
      </c>
      <c r="R683" s="1">
        <v>6.7000000000000002E-5</v>
      </c>
      <c r="S683">
        <v>1.2886899999999999E-4</v>
      </c>
      <c r="T683" s="1">
        <v>9.0099999999999995E-5</v>
      </c>
    </row>
    <row r="684" spans="1:20" hidden="1" x14ac:dyDescent="0.25">
      <c r="A684" t="s">
        <v>702</v>
      </c>
      <c r="B684">
        <v>2.5406199999999999E-4</v>
      </c>
      <c r="C684">
        <v>3.7906499999999999E-4</v>
      </c>
      <c r="D684">
        <v>2.4215099999999999E-4</v>
      </c>
      <c r="E684">
        <v>2.9052499999999997E-4</v>
      </c>
      <c r="F684">
        <v>3.8382899999999997E-4</v>
      </c>
      <c r="G684">
        <v>4.5540700000000001E-4</v>
      </c>
      <c r="H684">
        <v>4.1153199999999999E-4</v>
      </c>
      <c r="I684">
        <v>4.2328400000000001E-4</v>
      </c>
      <c r="J684">
        <v>2.8935899999999999E-4</v>
      </c>
      <c r="K684">
        <v>2.67018E-4</v>
      </c>
      <c r="L684">
        <v>4.0265599999999999E-4</v>
      </c>
      <c r="M684">
        <v>3.3373099999999998E-4</v>
      </c>
      <c r="N684">
        <v>2.6706199999999999E-4</v>
      </c>
      <c r="O684">
        <v>2.5011100000000002E-4</v>
      </c>
      <c r="P684">
        <v>4.5778300000000002E-4</v>
      </c>
      <c r="Q684">
        <v>4.2416099999999999E-4</v>
      </c>
      <c r="R684">
        <v>4.9286200000000005E-4</v>
      </c>
      <c r="S684">
        <v>7.3600399999999996E-4</v>
      </c>
      <c r="T684">
        <v>3.7678100000000002E-4</v>
      </c>
    </row>
    <row r="685" spans="1:20" hidden="1" x14ac:dyDescent="0.25">
      <c r="A685" t="s">
        <v>703</v>
      </c>
      <c r="B685">
        <v>1.2741009999999999E-3</v>
      </c>
      <c r="C685">
        <v>9.74163E-4</v>
      </c>
      <c r="D685">
        <v>1.3781749999999999E-3</v>
      </c>
      <c r="E685">
        <v>1.046932E-3</v>
      </c>
      <c r="F685">
        <v>9.7085699999999999E-4</v>
      </c>
      <c r="G685">
        <v>8.7008099999999998E-4</v>
      </c>
      <c r="H685">
        <v>7.7758099999999995E-4</v>
      </c>
      <c r="I685">
        <v>8.7282199999999999E-4</v>
      </c>
      <c r="J685">
        <v>6.5504300000000001E-4</v>
      </c>
      <c r="K685">
        <v>9.1899500000000003E-4</v>
      </c>
      <c r="L685">
        <v>8.6826600000000002E-4</v>
      </c>
      <c r="M685">
        <v>8.9368E-4</v>
      </c>
      <c r="N685">
        <v>5.40027E-4</v>
      </c>
      <c r="O685">
        <v>9.7262800000000001E-4</v>
      </c>
      <c r="P685">
        <v>4.1115299999999999E-4</v>
      </c>
      <c r="Q685">
        <v>3.1639400000000001E-4</v>
      </c>
      <c r="R685">
        <v>2.10371E-4</v>
      </c>
      <c r="S685">
        <v>2.0348499999999999E-4</v>
      </c>
      <c r="T685">
        <v>3.5583799999999998E-4</v>
      </c>
    </row>
    <row r="686" spans="1:20" hidden="1" x14ac:dyDescent="0.25">
      <c r="A686" t="s">
        <v>704</v>
      </c>
      <c r="B686">
        <v>3.0272400000000001E-3</v>
      </c>
      <c r="C686">
        <v>3.23939E-3</v>
      </c>
      <c r="D686">
        <v>3.3541640000000002E-3</v>
      </c>
      <c r="E686">
        <v>3.5474510000000001E-3</v>
      </c>
      <c r="F686">
        <v>4.4501209999999996E-3</v>
      </c>
      <c r="G686">
        <v>3.5033030000000001E-3</v>
      </c>
      <c r="H686">
        <v>3.0447809999999999E-3</v>
      </c>
      <c r="I686">
        <v>2.9628079999999999E-3</v>
      </c>
      <c r="J686">
        <v>3.3583649999999999E-3</v>
      </c>
      <c r="K686">
        <v>3.268656E-3</v>
      </c>
      <c r="L686">
        <v>3.4489939999999999E-3</v>
      </c>
      <c r="M686">
        <v>3.8659499999999999E-3</v>
      </c>
      <c r="N686">
        <v>2.0679969999999998E-3</v>
      </c>
      <c r="O686">
        <v>3.4258650000000002E-3</v>
      </c>
      <c r="P686">
        <v>3.8477799999999999E-3</v>
      </c>
      <c r="Q686">
        <v>3.9629449999999998E-3</v>
      </c>
      <c r="R686">
        <v>4.0674200000000004E-3</v>
      </c>
      <c r="S686">
        <v>4.6547969999999996E-3</v>
      </c>
      <c r="T686">
        <v>3.9816540000000003E-3</v>
      </c>
    </row>
    <row r="687" spans="1:20" hidden="1" x14ac:dyDescent="0.25">
      <c r="A687" t="s">
        <v>705</v>
      </c>
      <c r="B687">
        <v>2.3338100000000001E-4</v>
      </c>
      <c r="C687">
        <v>1.74098E-4</v>
      </c>
      <c r="D687">
        <v>1.85661E-4</v>
      </c>
      <c r="E687">
        <v>1.71206E-4</v>
      </c>
      <c r="F687">
        <v>2.6598399999999998E-4</v>
      </c>
      <c r="G687">
        <v>2.35372E-4</v>
      </c>
      <c r="H687">
        <v>1.7744000000000001E-4</v>
      </c>
      <c r="I687">
        <v>1.95191E-4</v>
      </c>
      <c r="J687">
        <v>2.4115700000000001E-4</v>
      </c>
      <c r="K687">
        <v>2.0359100000000001E-4</v>
      </c>
      <c r="L687">
        <v>1.94761E-4</v>
      </c>
      <c r="M687">
        <v>2.6719200000000003E-4</v>
      </c>
      <c r="N687">
        <v>1.5902000000000001E-4</v>
      </c>
      <c r="O687">
        <v>1.95961E-4</v>
      </c>
      <c r="P687">
        <v>3.4405200000000002E-4</v>
      </c>
      <c r="Q687">
        <v>3.5668100000000002E-4</v>
      </c>
      <c r="R687">
        <v>3.7485600000000002E-4</v>
      </c>
      <c r="S687">
        <v>4.20488E-4</v>
      </c>
      <c r="T687">
        <v>4.0965499999999998E-4</v>
      </c>
    </row>
    <row r="688" spans="1:20" hidden="1" x14ac:dyDescent="0.25">
      <c r="A688" t="s">
        <v>706</v>
      </c>
      <c r="B688">
        <v>2.4733709999999999E-2</v>
      </c>
      <c r="C688">
        <v>2.3231948999999998E-2</v>
      </c>
      <c r="D688">
        <v>2.2074972000000002E-2</v>
      </c>
      <c r="E688">
        <v>2.7754424E-2</v>
      </c>
      <c r="F688">
        <v>2.9789198999999999E-2</v>
      </c>
      <c r="G688">
        <v>2.1422315000000001E-2</v>
      </c>
      <c r="H688">
        <v>1.8867552999999999E-2</v>
      </c>
      <c r="I688">
        <v>1.7852066999999999E-2</v>
      </c>
      <c r="J688">
        <v>2.2408266999999999E-2</v>
      </c>
      <c r="K688">
        <v>2.0156747999999999E-2</v>
      </c>
      <c r="L688">
        <v>1.9970752000000001E-2</v>
      </c>
      <c r="M688">
        <v>2.3058728000000001E-2</v>
      </c>
      <c r="N688">
        <v>1.5047875E-2</v>
      </c>
      <c r="O688">
        <v>2.3608251E-2</v>
      </c>
      <c r="P688">
        <v>1.7379166000000001E-2</v>
      </c>
      <c r="Q688">
        <v>1.3419110999999999E-2</v>
      </c>
      <c r="R688">
        <v>1.2294316E-2</v>
      </c>
      <c r="S688">
        <v>1.1640139000000001E-2</v>
      </c>
      <c r="T688">
        <v>1.4574742E-2</v>
      </c>
    </row>
    <row r="689" spans="1:20" hidden="1" x14ac:dyDescent="0.25">
      <c r="A689" t="s">
        <v>707</v>
      </c>
      <c r="B689">
        <v>6.3436600000000003E-4</v>
      </c>
      <c r="C689">
        <v>7.3270300000000002E-4</v>
      </c>
      <c r="D689">
        <v>6.7587500000000004E-4</v>
      </c>
      <c r="E689">
        <v>6.9074000000000002E-4</v>
      </c>
      <c r="F689">
        <v>1.0896090000000001E-3</v>
      </c>
      <c r="G689">
        <v>8.7221599999999999E-4</v>
      </c>
      <c r="H689">
        <v>8.3068699999999998E-4</v>
      </c>
      <c r="I689">
        <v>8.65221E-4</v>
      </c>
      <c r="J689">
        <v>7.87658E-4</v>
      </c>
      <c r="K689">
        <v>7.93766E-4</v>
      </c>
      <c r="L689">
        <v>8.4020799999999995E-4</v>
      </c>
      <c r="M689">
        <v>6.3693400000000002E-4</v>
      </c>
      <c r="N689">
        <v>4.4134600000000001E-4</v>
      </c>
      <c r="O689">
        <v>6.6356800000000001E-4</v>
      </c>
      <c r="P689">
        <v>6.2874399999999998E-4</v>
      </c>
      <c r="Q689">
        <v>6.0374699999999996E-4</v>
      </c>
      <c r="R689">
        <v>5.8762500000000004E-4</v>
      </c>
      <c r="S689">
        <v>7.5725499999999997E-4</v>
      </c>
      <c r="T689">
        <v>5.3823300000000005E-4</v>
      </c>
    </row>
    <row r="690" spans="1:20" hidden="1" x14ac:dyDescent="0.25">
      <c r="A690" t="s">
        <v>708</v>
      </c>
      <c r="B690">
        <v>4.1610900000000001E-4</v>
      </c>
      <c r="C690">
        <v>3.0042600000000001E-4</v>
      </c>
      <c r="D690">
        <v>3.9806200000000003E-4</v>
      </c>
      <c r="E690">
        <v>3.2779700000000001E-4</v>
      </c>
      <c r="F690">
        <v>5.4713600000000004E-4</v>
      </c>
      <c r="G690">
        <v>4.7889699999999999E-4</v>
      </c>
      <c r="H690">
        <v>4.4224899999999997E-4</v>
      </c>
      <c r="I690">
        <v>3.4229699999999998E-4</v>
      </c>
      <c r="J690">
        <v>5.3361900000000004E-4</v>
      </c>
      <c r="K690">
        <v>4.3440800000000001E-4</v>
      </c>
      <c r="L690">
        <v>4.9514899999999996E-4</v>
      </c>
      <c r="M690">
        <v>4.6770500000000001E-4</v>
      </c>
      <c r="N690">
        <v>2.5029499999999999E-4</v>
      </c>
      <c r="O690">
        <v>4.98677E-4</v>
      </c>
      <c r="P690">
        <v>5.04069E-4</v>
      </c>
      <c r="Q690">
        <v>6.1437600000000003E-4</v>
      </c>
      <c r="R690">
        <v>8.1291999999999996E-4</v>
      </c>
      <c r="S690">
        <v>5.8775600000000004E-4</v>
      </c>
      <c r="T690">
        <v>6.71961E-4</v>
      </c>
    </row>
    <row r="691" spans="1:20" hidden="1" x14ac:dyDescent="0.25">
      <c r="A691" t="s">
        <v>709</v>
      </c>
      <c r="B691">
        <v>1.3846999999999999E-4</v>
      </c>
      <c r="C691">
        <v>3.1208700000000001E-4</v>
      </c>
      <c r="D691">
        <v>2.9771399999999998E-4</v>
      </c>
      <c r="E691">
        <v>2.55629E-4</v>
      </c>
      <c r="F691">
        <v>1.63373E-4</v>
      </c>
      <c r="G691">
        <v>2.02151E-4</v>
      </c>
      <c r="H691">
        <v>1.25551E-4</v>
      </c>
      <c r="I691" s="1">
        <v>9.5400000000000001E-5</v>
      </c>
      <c r="J691">
        <v>1.2330699999999999E-4</v>
      </c>
      <c r="K691">
        <v>1.9755400000000001E-4</v>
      </c>
      <c r="L691">
        <v>2.1187699999999999E-4</v>
      </c>
      <c r="M691" s="1">
        <v>9.6799999999999995E-5</v>
      </c>
      <c r="N691" s="1">
        <v>5.38E-5</v>
      </c>
      <c r="O691">
        <v>1.01038E-4</v>
      </c>
      <c r="P691" s="1">
        <v>6.6500000000000004E-5</v>
      </c>
      <c r="Q691" s="1">
        <v>7.5500000000000006E-5</v>
      </c>
      <c r="R691" s="1">
        <v>4.0099999999999999E-5</v>
      </c>
      <c r="S691" s="1">
        <v>7.0400000000000004E-5</v>
      </c>
      <c r="T691" s="1">
        <v>7.6799999999999997E-5</v>
      </c>
    </row>
    <row r="692" spans="1:20" hidden="1" x14ac:dyDescent="0.25">
      <c r="A692" t="s">
        <v>710</v>
      </c>
      <c r="B692">
        <v>1.9497989E-2</v>
      </c>
      <c r="C692">
        <v>1.8563364999999998E-2</v>
      </c>
      <c r="D692">
        <v>1.7377640999999999E-2</v>
      </c>
      <c r="E692">
        <v>1.9636926999999998E-2</v>
      </c>
      <c r="F692">
        <v>1.8050534E-2</v>
      </c>
      <c r="G692">
        <v>1.7642074000000001E-2</v>
      </c>
      <c r="H692">
        <v>1.5342516E-2</v>
      </c>
      <c r="I692">
        <v>1.3964786E-2</v>
      </c>
      <c r="J692">
        <v>1.8060474999999999E-2</v>
      </c>
      <c r="K692">
        <v>1.5624523E-2</v>
      </c>
      <c r="L692">
        <v>1.5190891E-2</v>
      </c>
      <c r="M692">
        <v>1.8282162000000001E-2</v>
      </c>
      <c r="N692">
        <v>1.1961164E-2</v>
      </c>
      <c r="O692">
        <v>1.9877710999999999E-2</v>
      </c>
      <c r="P692">
        <v>1.7128866E-2</v>
      </c>
      <c r="Q692">
        <v>1.1909904000000001E-2</v>
      </c>
      <c r="R692">
        <v>1.3442212E-2</v>
      </c>
      <c r="S692">
        <v>1.2609482999999999E-2</v>
      </c>
      <c r="T692">
        <v>1.2215108000000001E-2</v>
      </c>
    </row>
    <row r="693" spans="1:20" hidden="1" x14ac:dyDescent="0.25">
      <c r="A693" t="s">
        <v>711</v>
      </c>
      <c r="B693">
        <v>1.450858E-3</v>
      </c>
      <c r="C693">
        <v>3.2327219999999999E-3</v>
      </c>
      <c r="D693">
        <v>3.1497729999999998E-3</v>
      </c>
      <c r="E693">
        <v>3.4302999999999998E-3</v>
      </c>
      <c r="F693">
        <v>2.2412349999999998E-3</v>
      </c>
      <c r="G693">
        <v>3.764164E-3</v>
      </c>
      <c r="H693">
        <v>2.5371759999999999E-3</v>
      </c>
      <c r="I693">
        <v>2.2713149999999999E-3</v>
      </c>
      <c r="J693">
        <v>1.947123E-3</v>
      </c>
      <c r="K693">
        <v>3.1945250000000001E-3</v>
      </c>
      <c r="L693">
        <v>3.1059640000000001E-3</v>
      </c>
      <c r="M693">
        <v>1.325767E-3</v>
      </c>
      <c r="N693">
        <v>1.029449E-3</v>
      </c>
      <c r="O693">
        <v>2.4713729999999998E-3</v>
      </c>
      <c r="P693">
        <v>2.0320609999999999E-3</v>
      </c>
      <c r="Q693">
        <v>1.6421560000000001E-3</v>
      </c>
      <c r="R693">
        <v>1.542238E-3</v>
      </c>
      <c r="S693">
        <v>3.2338169999999999E-3</v>
      </c>
      <c r="T693">
        <v>1.443256E-3</v>
      </c>
    </row>
    <row r="694" spans="1:20" hidden="1" x14ac:dyDescent="0.25">
      <c r="A694" t="s">
        <v>712</v>
      </c>
      <c r="B694" s="1">
        <v>2.6100000000000001E-5</v>
      </c>
      <c r="C694" s="1">
        <v>3.1999999999999999E-5</v>
      </c>
      <c r="D694" s="1">
        <v>2.34E-5</v>
      </c>
      <c r="E694" s="1">
        <v>1.7399999999999999E-5</v>
      </c>
      <c r="F694" s="1">
        <v>1.63E-5</v>
      </c>
      <c r="G694" s="1">
        <v>1.7200000000000001E-5</v>
      </c>
      <c r="H694" s="1">
        <v>2.3E-5</v>
      </c>
      <c r="I694" s="1">
        <v>3.0300000000000001E-5</v>
      </c>
      <c r="J694" s="1">
        <v>1.66E-5</v>
      </c>
      <c r="K694" s="1">
        <v>3.9700000000000003E-5</v>
      </c>
      <c r="L694" s="1">
        <v>2.4899999999999999E-5</v>
      </c>
      <c r="M694" s="1">
        <v>2.2399999999999999E-5</v>
      </c>
      <c r="N694" s="1">
        <v>3.4999999999999997E-5</v>
      </c>
      <c r="O694" s="1">
        <v>2.3200000000000001E-5</v>
      </c>
      <c r="P694" s="1">
        <v>3.04E-5</v>
      </c>
      <c r="Q694" s="1">
        <v>4.5000000000000003E-5</v>
      </c>
      <c r="R694">
        <v>1.06561E-4</v>
      </c>
      <c r="S694" s="1">
        <v>3.8999999999999999E-5</v>
      </c>
      <c r="T694" s="1">
        <v>3.68E-5</v>
      </c>
    </row>
    <row r="695" spans="1:20" hidden="1" x14ac:dyDescent="0.25">
      <c r="A695" t="s">
        <v>713</v>
      </c>
      <c r="B695">
        <v>4.1083800000000001E-4</v>
      </c>
      <c r="C695">
        <v>4.3710100000000002E-4</v>
      </c>
      <c r="D695">
        <v>6.3536300000000001E-4</v>
      </c>
      <c r="E695">
        <v>5.8825399999999997E-4</v>
      </c>
      <c r="F695">
        <v>8.0700499999999996E-4</v>
      </c>
      <c r="G695">
        <v>4.4606700000000002E-4</v>
      </c>
      <c r="H695">
        <v>4.5771800000000002E-4</v>
      </c>
      <c r="I695">
        <v>2.3521499999999999E-4</v>
      </c>
      <c r="J695">
        <v>4.3287000000000002E-4</v>
      </c>
      <c r="K695">
        <v>4.7587900000000002E-4</v>
      </c>
      <c r="L695">
        <v>4.0703199999999999E-4</v>
      </c>
      <c r="M695">
        <v>4.1248400000000002E-4</v>
      </c>
      <c r="N695">
        <v>3.2162899999999998E-4</v>
      </c>
      <c r="O695">
        <v>5.7039899999999997E-4</v>
      </c>
      <c r="P695">
        <v>6.1275399999999997E-4</v>
      </c>
      <c r="Q695">
        <v>6.3135800000000005E-4</v>
      </c>
      <c r="R695">
        <v>7.1466300000000004E-4</v>
      </c>
      <c r="S695">
        <v>9.9016699999999991E-4</v>
      </c>
      <c r="T695">
        <v>6.9388299999999996E-4</v>
      </c>
    </row>
    <row r="696" spans="1:20" hidden="1" x14ac:dyDescent="0.25">
      <c r="A696" t="s">
        <v>714</v>
      </c>
      <c r="B696">
        <v>3.61968E-4</v>
      </c>
      <c r="C696">
        <v>3.3198400000000001E-4</v>
      </c>
      <c r="D696">
        <v>4.3249199999999998E-4</v>
      </c>
      <c r="E696">
        <v>3.35144E-4</v>
      </c>
      <c r="F696">
        <v>2.5541700000000002E-4</v>
      </c>
      <c r="G696">
        <v>2.2915500000000001E-4</v>
      </c>
      <c r="H696" s="1">
        <v>9.9500000000000006E-5</v>
      </c>
      <c r="I696">
        <v>1.3585299999999999E-4</v>
      </c>
      <c r="J696">
        <v>2.6722999999999997E-4</v>
      </c>
      <c r="K696">
        <v>1.8493700000000001E-4</v>
      </c>
      <c r="L696">
        <v>2.2833700000000001E-4</v>
      </c>
      <c r="M696">
        <v>1.47775E-4</v>
      </c>
      <c r="N696" s="1">
        <v>5.8199999999999998E-5</v>
      </c>
      <c r="O696">
        <v>1.8542E-4</v>
      </c>
      <c r="P696">
        <v>1.20421E-4</v>
      </c>
      <c r="Q696" s="1">
        <v>4.3300000000000002E-5</v>
      </c>
      <c r="R696" s="1">
        <v>6.4900000000000005E-5</v>
      </c>
      <c r="S696" s="1">
        <v>3.1300000000000002E-5</v>
      </c>
      <c r="T696" s="1">
        <v>4.2400000000000001E-5</v>
      </c>
    </row>
    <row r="697" spans="1:20" hidden="1" x14ac:dyDescent="0.25">
      <c r="A697" t="s">
        <v>715</v>
      </c>
      <c r="B697">
        <v>2.1568529999999998E-3</v>
      </c>
      <c r="C697">
        <v>2.106606E-3</v>
      </c>
      <c r="D697">
        <v>1.861592E-3</v>
      </c>
      <c r="E697">
        <v>1.943553E-3</v>
      </c>
      <c r="F697">
        <v>3.8713789999999999E-3</v>
      </c>
      <c r="G697">
        <v>3.5822660000000002E-3</v>
      </c>
      <c r="H697">
        <v>2.850006E-3</v>
      </c>
      <c r="I697">
        <v>3.205313E-3</v>
      </c>
      <c r="J697">
        <v>4.6257119999999997E-3</v>
      </c>
      <c r="K697">
        <v>3.1105799999999999E-3</v>
      </c>
      <c r="L697">
        <v>2.906755E-3</v>
      </c>
      <c r="M697">
        <v>3.4736279999999999E-3</v>
      </c>
      <c r="N697">
        <v>2.4787490000000001E-3</v>
      </c>
      <c r="O697">
        <v>3.614473E-3</v>
      </c>
      <c r="P697">
        <v>8.1395449999999998E-3</v>
      </c>
      <c r="Q697">
        <v>7.8349170000000003E-3</v>
      </c>
      <c r="R697">
        <v>1.2755729E-2</v>
      </c>
      <c r="S697">
        <v>1.0415087E-2</v>
      </c>
      <c r="T697">
        <v>6.8681280000000003E-3</v>
      </c>
    </row>
    <row r="698" spans="1:20" hidden="1" x14ac:dyDescent="0.25">
      <c r="A698" t="s">
        <v>716</v>
      </c>
      <c r="B698">
        <v>6.5737169999999998E-3</v>
      </c>
      <c r="C698">
        <v>0</v>
      </c>
      <c r="D698">
        <v>9.5830780000000001E-3</v>
      </c>
      <c r="E698">
        <v>1.1274065E-2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1.1059723E-2</v>
      </c>
      <c r="L698">
        <v>0</v>
      </c>
      <c r="M698">
        <v>0</v>
      </c>
      <c r="N698">
        <v>0</v>
      </c>
      <c r="O698">
        <v>9.9344399999999992E-3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hidden="1" x14ac:dyDescent="0.25">
      <c r="A699" t="s">
        <v>717</v>
      </c>
      <c r="B699">
        <v>4.5763299999999999E-4</v>
      </c>
      <c r="C699">
        <v>4.67501E-4</v>
      </c>
      <c r="D699">
        <v>5.71062E-4</v>
      </c>
      <c r="E699">
        <v>6.8886800000000003E-4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4.7466799999999998E-4</v>
      </c>
      <c r="L699">
        <v>4.1090700000000001E-4</v>
      </c>
      <c r="M699">
        <v>0</v>
      </c>
      <c r="N699">
        <v>3.0688200000000002E-4</v>
      </c>
      <c r="O699">
        <v>4.2503199999999999E-4</v>
      </c>
      <c r="P699">
        <v>3.4459399999999999E-4</v>
      </c>
      <c r="Q699">
        <v>3.4962699999999998E-4</v>
      </c>
      <c r="R699">
        <v>0</v>
      </c>
      <c r="S699">
        <v>5.5946800000000003E-4</v>
      </c>
      <c r="T699">
        <v>3.5727900000000001E-4</v>
      </c>
    </row>
    <row r="700" spans="1:20" hidden="1" x14ac:dyDescent="0.25">
      <c r="A700" t="s">
        <v>718</v>
      </c>
      <c r="B700">
        <v>5.3662700000000002E-3</v>
      </c>
      <c r="C700">
        <v>4.7994140000000001E-3</v>
      </c>
      <c r="D700">
        <v>5.6078509999999996E-3</v>
      </c>
      <c r="E700">
        <v>5.2292709999999997E-3</v>
      </c>
      <c r="F700">
        <v>4.0948540000000002E-3</v>
      </c>
      <c r="G700">
        <v>4.2232140000000003E-3</v>
      </c>
      <c r="H700">
        <v>4.5405439999999997E-3</v>
      </c>
      <c r="I700">
        <v>3.690994E-3</v>
      </c>
      <c r="J700">
        <v>4.5563950000000004E-3</v>
      </c>
      <c r="K700">
        <v>4.1864190000000003E-3</v>
      </c>
      <c r="L700">
        <v>3.892085E-3</v>
      </c>
      <c r="M700">
        <v>3.9350909999999999E-3</v>
      </c>
      <c r="N700">
        <v>3.0192359999999998E-3</v>
      </c>
      <c r="O700">
        <v>3.8841399999999999E-3</v>
      </c>
      <c r="P700">
        <v>4.4636980000000003E-3</v>
      </c>
      <c r="Q700">
        <v>3.7375860000000002E-3</v>
      </c>
      <c r="R700">
        <v>3.9212559999999997E-3</v>
      </c>
      <c r="S700">
        <v>3.5718999999999998E-3</v>
      </c>
      <c r="T700">
        <v>3.8450450000000001E-3</v>
      </c>
    </row>
    <row r="701" spans="1:20" hidden="1" x14ac:dyDescent="0.25">
      <c r="A701" t="s">
        <v>719</v>
      </c>
      <c r="B701">
        <v>0</v>
      </c>
      <c r="C701" s="1">
        <v>3.01E-5</v>
      </c>
      <c r="D701" s="1">
        <v>2.27E-5</v>
      </c>
      <c r="E701" s="1">
        <v>1.77E-5</v>
      </c>
      <c r="F701" s="1">
        <v>9.5899999999999997E-6</v>
      </c>
      <c r="G701" s="1">
        <v>1.6099999999999998E-5</v>
      </c>
      <c r="H701" s="1">
        <v>1.9400000000000001E-5</v>
      </c>
      <c r="I701" s="1">
        <v>1.31E-5</v>
      </c>
      <c r="J701">
        <v>0</v>
      </c>
      <c r="K701" s="1">
        <v>1.5099999999999999E-5</v>
      </c>
      <c r="L701" s="1">
        <v>1.5500000000000001E-5</v>
      </c>
      <c r="M701">
        <v>0</v>
      </c>
      <c r="N701">
        <v>0</v>
      </c>
      <c r="O701" s="1">
        <v>1.0699999999999999E-5</v>
      </c>
      <c r="P701">
        <v>0</v>
      </c>
      <c r="Q701" s="1">
        <v>1.47E-5</v>
      </c>
      <c r="R701" s="1">
        <v>1.1399999999999999E-5</v>
      </c>
      <c r="S701">
        <v>0</v>
      </c>
      <c r="T701" s="1">
        <v>1.6500000000000001E-5</v>
      </c>
    </row>
    <row r="702" spans="1:20" hidden="1" x14ac:dyDescent="0.25">
      <c r="A702" t="s">
        <v>720</v>
      </c>
      <c r="B702" s="1">
        <v>7.5799999999999999E-5</v>
      </c>
      <c r="C702" s="1">
        <v>5.7800000000000002E-5</v>
      </c>
      <c r="D702" s="1">
        <v>6.0099999999999997E-5</v>
      </c>
      <c r="E702" s="1">
        <v>9.5199999999999997E-5</v>
      </c>
      <c r="F702">
        <v>1.07876E-4</v>
      </c>
      <c r="G702" s="1">
        <v>6.4999999999999994E-5</v>
      </c>
      <c r="H702" s="1">
        <v>9.0199999999999997E-5</v>
      </c>
      <c r="I702">
        <v>1.0689299999999999E-4</v>
      </c>
      <c r="J702" s="1">
        <v>9.8200000000000002E-5</v>
      </c>
      <c r="K702" s="1">
        <v>7.5599999999999994E-5</v>
      </c>
      <c r="L702" s="1">
        <v>8.1899999999999999E-5</v>
      </c>
      <c r="M702" s="1">
        <v>7.1699999999999995E-5</v>
      </c>
      <c r="N702" s="1">
        <v>9.2899999999999995E-5</v>
      </c>
      <c r="O702">
        <v>1.02385E-4</v>
      </c>
      <c r="P702" s="1">
        <v>8.0199999999999998E-5</v>
      </c>
      <c r="Q702" s="1">
        <v>5.5899999999999997E-5</v>
      </c>
      <c r="R702" s="1">
        <v>4.7200000000000002E-5</v>
      </c>
      <c r="S702" s="1">
        <v>4.88E-5</v>
      </c>
      <c r="T702" s="1">
        <v>6.9499999999999995E-5</v>
      </c>
    </row>
    <row r="703" spans="1:20" hidden="1" x14ac:dyDescent="0.25">
      <c r="A703" t="s">
        <v>721</v>
      </c>
      <c r="B703" s="1">
        <v>7.2000000000000002E-5</v>
      </c>
      <c r="C703" s="1">
        <v>4.5899999999999998E-5</v>
      </c>
      <c r="D703" s="1">
        <v>4.71E-5</v>
      </c>
      <c r="E703" s="1">
        <v>6.2700000000000006E-5</v>
      </c>
      <c r="F703" s="1">
        <v>6.9499999999999995E-5</v>
      </c>
      <c r="G703" s="1">
        <v>5.7399999999999999E-5</v>
      </c>
      <c r="H703" s="1">
        <v>7.9599999999999997E-5</v>
      </c>
      <c r="I703" s="1">
        <v>6.6000000000000005E-5</v>
      </c>
      <c r="J703" s="1">
        <v>9.7299999999999993E-5</v>
      </c>
      <c r="K703" s="1">
        <v>5.38E-5</v>
      </c>
      <c r="L703" s="1">
        <v>5.8900000000000002E-5</v>
      </c>
      <c r="M703" s="1">
        <v>6.3700000000000003E-5</v>
      </c>
      <c r="N703" s="1">
        <v>8.5199999999999997E-5</v>
      </c>
      <c r="O703">
        <v>1.04602E-4</v>
      </c>
      <c r="P703" s="1">
        <v>5.5000000000000002E-5</v>
      </c>
      <c r="Q703" s="1">
        <v>5.6700000000000003E-5</v>
      </c>
      <c r="R703" s="1">
        <v>5.6199999999999997E-5</v>
      </c>
      <c r="S703" s="1">
        <v>3.6699999999999998E-5</v>
      </c>
      <c r="T703" s="1">
        <v>5.9799999999999997E-5</v>
      </c>
    </row>
    <row r="704" spans="1:20" hidden="1" x14ac:dyDescent="0.25">
      <c r="A704" t="s">
        <v>722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1.06653E-4</v>
      </c>
      <c r="R704" s="1">
        <v>5.0500000000000001E-5</v>
      </c>
      <c r="S704" s="1">
        <v>3.15E-5</v>
      </c>
      <c r="T704" s="1">
        <v>4.4700000000000002E-5</v>
      </c>
    </row>
    <row r="705" spans="1:20" hidden="1" x14ac:dyDescent="0.25">
      <c r="A705" t="s">
        <v>723</v>
      </c>
      <c r="B705">
        <v>3.0766019999999999E-3</v>
      </c>
      <c r="C705">
        <v>1.9794270000000002E-3</v>
      </c>
      <c r="D705">
        <v>2.1449479999999998E-3</v>
      </c>
      <c r="E705">
        <v>2.2716910000000002E-3</v>
      </c>
      <c r="F705">
        <v>1.8928180000000001E-3</v>
      </c>
      <c r="G705">
        <v>1.7178969999999999E-3</v>
      </c>
      <c r="H705">
        <v>1.63769E-3</v>
      </c>
      <c r="I705">
        <v>1.875902E-3</v>
      </c>
      <c r="J705">
        <v>2.1115209999999999E-3</v>
      </c>
      <c r="K705">
        <v>2.3496400000000001E-3</v>
      </c>
      <c r="L705">
        <v>2.477796E-3</v>
      </c>
      <c r="M705">
        <v>2.2487789999999998E-3</v>
      </c>
      <c r="N705">
        <v>2.468806E-3</v>
      </c>
      <c r="O705">
        <v>2.5927699999999999E-3</v>
      </c>
      <c r="P705">
        <v>1.83007E-3</v>
      </c>
      <c r="Q705">
        <v>8.2575499999999996E-4</v>
      </c>
      <c r="R705">
        <v>1.1364350000000001E-3</v>
      </c>
      <c r="S705">
        <v>6.7553800000000005E-4</v>
      </c>
      <c r="T705">
        <v>8.7057300000000003E-4</v>
      </c>
    </row>
    <row r="706" spans="1:20" hidden="1" x14ac:dyDescent="0.25">
      <c r="A706" t="s">
        <v>724</v>
      </c>
      <c r="B706">
        <v>3.65101E-4</v>
      </c>
      <c r="C706" s="1">
        <v>4.2799999999999997E-5</v>
      </c>
      <c r="D706">
        <v>1.39763E-4</v>
      </c>
      <c r="E706" s="1">
        <v>8.2600000000000002E-5</v>
      </c>
      <c r="F706">
        <v>1.24463E-4</v>
      </c>
      <c r="G706" s="1">
        <v>9.6299999999999996E-5</v>
      </c>
      <c r="H706">
        <v>2.1148400000000001E-4</v>
      </c>
      <c r="I706">
        <v>1.45088E-4</v>
      </c>
      <c r="J706">
        <v>2.4129300000000001E-4</v>
      </c>
      <c r="K706">
        <v>1.12199E-4</v>
      </c>
      <c r="L706" s="1">
        <v>6.0800000000000001E-5</v>
      </c>
      <c r="M706">
        <v>2.0954400000000001E-4</v>
      </c>
      <c r="N706">
        <v>1.81182E-4</v>
      </c>
      <c r="O706">
        <v>1.5618899999999999E-4</v>
      </c>
      <c r="P706">
        <v>2.30304E-4</v>
      </c>
      <c r="Q706">
        <v>2.5746200000000002E-4</v>
      </c>
      <c r="R706">
        <v>3.4811500000000002E-4</v>
      </c>
      <c r="S706" s="1">
        <v>8.7100000000000003E-5</v>
      </c>
      <c r="T706">
        <v>2.25319E-4</v>
      </c>
    </row>
    <row r="707" spans="1:20" hidden="1" x14ac:dyDescent="0.25">
      <c r="A707" t="s">
        <v>725</v>
      </c>
      <c r="B707" s="1">
        <v>3.7200000000000003E-5</v>
      </c>
      <c r="C707" s="1">
        <v>4.2700000000000001E-5</v>
      </c>
      <c r="D707" s="1">
        <v>4.1999999999999998E-5</v>
      </c>
      <c r="E707" s="1">
        <v>4.8199999999999999E-5</v>
      </c>
      <c r="F707" s="1">
        <v>4.8699999999999998E-5</v>
      </c>
      <c r="G707" s="1">
        <v>7.0099999999999996E-5</v>
      </c>
      <c r="H707" s="1">
        <v>4.9599999999999999E-5</v>
      </c>
      <c r="I707" s="1">
        <v>3.2199999999999997E-5</v>
      </c>
      <c r="J707" s="1">
        <v>4.8399999999999997E-5</v>
      </c>
      <c r="K707" s="1">
        <v>4.6100000000000002E-5</v>
      </c>
      <c r="L707" s="1">
        <v>8.4800000000000001E-5</v>
      </c>
      <c r="M707" s="1">
        <v>2.48E-5</v>
      </c>
      <c r="N707" s="1">
        <v>3.3599999999999997E-5</v>
      </c>
      <c r="O707" s="1">
        <v>4.1E-5</v>
      </c>
      <c r="P707" s="1">
        <v>6.9200000000000002E-5</v>
      </c>
      <c r="Q707">
        <v>1.6037899999999999E-4</v>
      </c>
      <c r="R707">
        <v>1.11693E-4</v>
      </c>
      <c r="S707" s="1">
        <v>3.2400000000000001E-5</v>
      </c>
      <c r="T707" s="1">
        <v>7.3399999999999995E-5</v>
      </c>
    </row>
    <row r="708" spans="1:20" hidden="1" x14ac:dyDescent="0.25">
      <c r="A708" t="s">
        <v>726</v>
      </c>
      <c r="B708">
        <v>1.08774E-4</v>
      </c>
      <c r="C708" s="1">
        <v>8.0099999999999995E-5</v>
      </c>
      <c r="D708">
        <v>1.12761E-4</v>
      </c>
      <c r="E708">
        <v>1.53389E-4</v>
      </c>
      <c r="F708">
        <v>1.2543299999999999E-4</v>
      </c>
      <c r="G708" s="1">
        <v>6.0099999999999997E-5</v>
      </c>
      <c r="H708" s="1">
        <v>8.53E-5</v>
      </c>
      <c r="I708">
        <v>1.0746E-4</v>
      </c>
      <c r="J708">
        <v>1.03417E-4</v>
      </c>
      <c r="K708">
        <v>1.09666E-4</v>
      </c>
      <c r="L708" s="1">
        <v>9.8499999999999995E-5</v>
      </c>
      <c r="M708" s="1">
        <v>9.3700000000000001E-5</v>
      </c>
      <c r="N708" s="1">
        <v>6.2199999999999994E-5</v>
      </c>
      <c r="O708">
        <v>1.4170599999999999E-4</v>
      </c>
      <c r="P708" s="1">
        <v>4.4100000000000001E-5</v>
      </c>
      <c r="Q708" s="1">
        <v>3.8800000000000001E-5</v>
      </c>
      <c r="R708" s="1">
        <v>4.1300000000000001E-5</v>
      </c>
      <c r="S708" s="1">
        <v>2.2200000000000001E-5</v>
      </c>
      <c r="T708" s="1">
        <v>7.1299999999999998E-5</v>
      </c>
    </row>
    <row r="709" spans="1:20" hidden="1" x14ac:dyDescent="0.25">
      <c r="A709" t="s">
        <v>727</v>
      </c>
      <c r="B709" s="1">
        <v>1.34E-5</v>
      </c>
      <c r="C709">
        <v>0</v>
      </c>
      <c r="D709">
        <v>0</v>
      </c>
      <c r="E709">
        <v>0</v>
      </c>
      <c r="F709" s="1">
        <v>4.3900000000000003E-5</v>
      </c>
      <c r="G709" s="1">
        <v>3.9400000000000002E-5</v>
      </c>
      <c r="H709" s="1">
        <v>2.1999999999999999E-5</v>
      </c>
      <c r="I709" s="1">
        <v>3.01E-5</v>
      </c>
      <c r="J709" s="1">
        <v>1.88E-5</v>
      </c>
      <c r="K709" s="1">
        <v>3.2100000000000001E-5</v>
      </c>
      <c r="L709">
        <v>0</v>
      </c>
      <c r="M709" s="1">
        <v>2.44E-5</v>
      </c>
      <c r="N709" s="1">
        <v>1.9599999999999999E-5</v>
      </c>
      <c r="O709">
        <v>0</v>
      </c>
      <c r="P709" s="1">
        <v>6.9300000000000004E-5</v>
      </c>
      <c r="Q709">
        <v>2.0950799999999999E-4</v>
      </c>
      <c r="R709">
        <v>1.3861900000000001E-4</v>
      </c>
      <c r="S709" s="1">
        <v>7.6000000000000004E-5</v>
      </c>
      <c r="T709">
        <v>2.7525500000000002E-4</v>
      </c>
    </row>
    <row r="710" spans="1:20" hidden="1" x14ac:dyDescent="0.25">
      <c r="A710" t="s">
        <v>728</v>
      </c>
      <c r="B710" s="1">
        <v>2.62E-5</v>
      </c>
      <c r="C710" s="1">
        <v>3.6100000000000003E-5</v>
      </c>
      <c r="D710" s="1">
        <v>3.3500000000000001E-5</v>
      </c>
      <c r="E710" s="1">
        <v>2.6100000000000001E-5</v>
      </c>
      <c r="F710" s="1">
        <v>4.3099999999999997E-5</v>
      </c>
      <c r="G710" s="1">
        <v>3.6300000000000001E-5</v>
      </c>
      <c r="H710" s="1">
        <v>3.1399999999999998E-5</v>
      </c>
      <c r="I710" s="1">
        <v>4.1499999999999999E-5</v>
      </c>
      <c r="J710" s="1">
        <v>3.1600000000000002E-5</v>
      </c>
      <c r="K710" s="1">
        <v>2.6100000000000001E-5</v>
      </c>
      <c r="L710" s="1">
        <v>2.0000000000000002E-5</v>
      </c>
      <c r="M710" s="1">
        <v>2.2099999999999998E-5</v>
      </c>
      <c r="N710" s="1">
        <v>3.68E-5</v>
      </c>
      <c r="O710" s="1">
        <v>3.29E-5</v>
      </c>
      <c r="P710" s="1">
        <v>2.4300000000000001E-5</v>
      </c>
      <c r="Q710" s="1">
        <v>1.5099999999999999E-5</v>
      </c>
      <c r="R710" s="1">
        <v>1.5400000000000002E-5</v>
      </c>
      <c r="S710" s="1">
        <v>6.3999999999999997E-6</v>
      </c>
      <c r="T710" s="1">
        <v>1.84E-5</v>
      </c>
    </row>
    <row r="711" spans="1:20" hidden="1" x14ac:dyDescent="0.25">
      <c r="A711" t="s">
        <v>729</v>
      </c>
      <c r="B711">
        <v>2.1021709999999999E-3</v>
      </c>
      <c r="C711">
        <v>2.1234470000000001E-3</v>
      </c>
      <c r="D711">
        <v>2.7346409999999999E-3</v>
      </c>
      <c r="E711">
        <v>2.9798479999999998E-3</v>
      </c>
      <c r="F711">
        <v>2.502177E-3</v>
      </c>
      <c r="G711">
        <v>2.1278619999999999E-3</v>
      </c>
      <c r="H711">
        <v>1.7362429999999999E-3</v>
      </c>
      <c r="I711">
        <v>2.3220200000000002E-3</v>
      </c>
      <c r="J711">
        <v>1.8754189999999999E-3</v>
      </c>
      <c r="K711">
        <v>3.1556850000000001E-3</v>
      </c>
      <c r="L711">
        <v>2.9423119999999999E-3</v>
      </c>
      <c r="M711">
        <v>1.201496E-3</v>
      </c>
      <c r="N711">
        <v>1.0292949999999999E-3</v>
      </c>
      <c r="O711">
        <v>2.6045970000000002E-3</v>
      </c>
      <c r="P711">
        <v>1.1830759999999999E-3</v>
      </c>
      <c r="Q711">
        <v>6.2427200000000004E-4</v>
      </c>
      <c r="R711">
        <v>8.1224400000000005E-4</v>
      </c>
      <c r="S711">
        <v>8.2103899999999997E-4</v>
      </c>
      <c r="T711">
        <v>8.2392200000000004E-4</v>
      </c>
    </row>
    <row r="712" spans="1:20" hidden="1" x14ac:dyDescent="0.25">
      <c r="A712" t="s">
        <v>730</v>
      </c>
      <c r="B712">
        <v>2.4037124999999999E-2</v>
      </c>
      <c r="C712">
        <v>2.1964540000000001E-2</v>
      </c>
      <c r="D712">
        <v>2.2421396999999999E-2</v>
      </c>
      <c r="E712">
        <v>2.5025048000000001E-2</v>
      </c>
      <c r="F712">
        <v>3.2416358999999999E-2</v>
      </c>
      <c r="G712">
        <v>1.5256837000000001E-2</v>
      </c>
      <c r="H712">
        <v>1.9683215E-2</v>
      </c>
      <c r="I712">
        <v>1.5731065999999998E-2</v>
      </c>
      <c r="J712">
        <v>1.9303631000000002E-2</v>
      </c>
      <c r="K712">
        <v>1.9366574000000001E-2</v>
      </c>
      <c r="L712">
        <v>1.7616264E-2</v>
      </c>
      <c r="M712">
        <v>2.4654991000000001E-2</v>
      </c>
      <c r="N712">
        <v>1.7686799E-2</v>
      </c>
      <c r="O712">
        <v>1.8381458E-2</v>
      </c>
      <c r="P712">
        <v>1.5704474E-2</v>
      </c>
      <c r="Q712">
        <v>1.2826344999999999E-2</v>
      </c>
      <c r="R712">
        <v>1.5805636000000001E-2</v>
      </c>
      <c r="S712">
        <v>1.1203090000000001E-2</v>
      </c>
      <c r="T712">
        <v>1.4675037E-2</v>
      </c>
    </row>
    <row r="713" spans="1:20" hidden="1" x14ac:dyDescent="0.25">
      <c r="A713" t="s">
        <v>731</v>
      </c>
      <c r="B713">
        <v>6.9978760000000001E-3</v>
      </c>
      <c r="C713">
        <v>5.6765740000000002E-3</v>
      </c>
      <c r="D713">
        <v>7.3415160000000002E-3</v>
      </c>
      <c r="E713">
        <v>6.5074429999999999E-3</v>
      </c>
      <c r="F713">
        <v>9.6730830000000007E-3</v>
      </c>
      <c r="G713">
        <v>5.9586819999999999E-3</v>
      </c>
      <c r="H713">
        <v>9.7080080000000006E-3</v>
      </c>
      <c r="I713">
        <v>6.8383059999999997E-3</v>
      </c>
      <c r="J713">
        <v>4.9233749999999998E-3</v>
      </c>
      <c r="K713">
        <v>7.9217880000000008E-3</v>
      </c>
      <c r="L713">
        <v>8.5285789999999997E-3</v>
      </c>
      <c r="M713">
        <v>1.0289062999999999E-2</v>
      </c>
      <c r="N713">
        <v>9.3176390000000008E-3</v>
      </c>
      <c r="O713">
        <v>6.352768E-3</v>
      </c>
      <c r="P713">
        <v>8.8627589999999996E-3</v>
      </c>
      <c r="Q713">
        <v>8.7797680000000003E-3</v>
      </c>
      <c r="R713">
        <v>1.0698911E-2</v>
      </c>
      <c r="S713">
        <v>9.3665129999999999E-3</v>
      </c>
      <c r="T713">
        <v>7.8887599999999999E-3</v>
      </c>
    </row>
    <row r="714" spans="1:20" hidden="1" x14ac:dyDescent="0.25">
      <c r="A714" t="s">
        <v>732</v>
      </c>
      <c r="B714" s="1">
        <v>2.2900000000000001E-5</v>
      </c>
      <c r="C714" s="1">
        <v>2.8399999999999999E-5</v>
      </c>
      <c r="D714" s="1">
        <v>3.1300000000000002E-5</v>
      </c>
      <c r="E714" s="1">
        <v>2.48E-5</v>
      </c>
      <c r="F714" s="1">
        <v>7.7800000000000001E-6</v>
      </c>
      <c r="G714" s="1">
        <v>1.0000000000000001E-5</v>
      </c>
      <c r="H714" s="1">
        <v>6.6900000000000003E-6</v>
      </c>
      <c r="I714" s="1">
        <v>1.0699999999999999E-5</v>
      </c>
      <c r="J714" s="1">
        <v>1.29E-5</v>
      </c>
      <c r="K714" s="1">
        <v>1.1800000000000001E-5</v>
      </c>
      <c r="L714" s="1">
        <v>1.4800000000000001E-5</v>
      </c>
      <c r="M714" s="1">
        <v>6.1999999999999999E-6</v>
      </c>
      <c r="N714" s="1">
        <v>4.6399999999999996E-6</v>
      </c>
      <c r="O714" s="1">
        <v>6.1199999999999999E-6</v>
      </c>
      <c r="P714">
        <v>0</v>
      </c>
      <c r="Q714">
        <v>0</v>
      </c>
      <c r="R714">
        <v>0</v>
      </c>
      <c r="S714">
        <v>0</v>
      </c>
      <c r="T714" s="1">
        <v>4.9899999999999997E-6</v>
      </c>
    </row>
    <row r="715" spans="1:20" hidden="1" x14ac:dyDescent="0.25">
      <c r="A715" t="s">
        <v>733</v>
      </c>
      <c r="B715">
        <v>7.7097299999999999E-4</v>
      </c>
      <c r="C715">
        <v>6.1939500000000002E-4</v>
      </c>
      <c r="D715">
        <v>1.1582300000000001E-4</v>
      </c>
      <c r="E715">
        <v>5.3906699999999995E-4</v>
      </c>
      <c r="F715">
        <v>5.4193700000000004E-4</v>
      </c>
      <c r="G715">
        <v>4.4016299999999998E-4</v>
      </c>
      <c r="H715">
        <v>9.47301E-4</v>
      </c>
      <c r="I715">
        <v>7.4015300000000001E-4</v>
      </c>
      <c r="J715">
        <v>4.8664200000000002E-4</v>
      </c>
      <c r="K715">
        <v>1.72418E-4</v>
      </c>
      <c r="L715">
        <v>1.8452299999999999E-4</v>
      </c>
      <c r="M715">
        <v>2.04432E-4</v>
      </c>
      <c r="N715">
        <v>5.2625100000000004E-4</v>
      </c>
      <c r="O715">
        <v>3.9888499999999997E-4</v>
      </c>
      <c r="P715">
        <v>5.2284399999999996E-4</v>
      </c>
      <c r="Q715">
        <v>3.6944899999999999E-4</v>
      </c>
      <c r="R715">
        <v>9.1144000000000001E-4</v>
      </c>
      <c r="S715">
        <v>6.0912200000000003E-4</v>
      </c>
      <c r="T715">
        <v>5.4067299999999998E-4</v>
      </c>
    </row>
    <row r="716" spans="1:20" hidden="1" x14ac:dyDescent="0.25">
      <c r="A716" t="s">
        <v>734</v>
      </c>
      <c r="B716" s="1">
        <v>1.52E-5</v>
      </c>
      <c r="C716" s="1">
        <v>1.8E-5</v>
      </c>
      <c r="D716" s="1">
        <v>3.7299999999999999E-5</v>
      </c>
      <c r="E716" s="1">
        <v>3.6699999999999998E-5</v>
      </c>
      <c r="F716" s="1">
        <v>1.56E-5</v>
      </c>
      <c r="G716" s="1">
        <v>1.6200000000000001E-5</v>
      </c>
      <c r="H716" s="1">
        <v>1.42E-5</v>
      </c>
      <c r="I716" s="1">
        <v>1.9899999999999999E-5</v>
      </c>
      <c r="J716" s="1">
        <v>2.19E-5</v>
      </c>
      <c r="K716" s="1">
        <v>1.24E-5</v>
      </c>
      <c r="L716" s="1">
        <v>8.2700000000000004E-6</v>
      </c>
      <c r="M716" s="1">
        <v>1.0499999999999999E-5</v>
      </c>
      <c r="N716" s="1">
        <v>1.27E-5</v>
      </c>
      <c r="O716" s="1">
        <v>2.7800000000000001E-5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hidden="1" x14ac:dyDescent="0.25">
      <c r="A717" t="s">
        <v>735</v>
      </c>
      <c r="B717" s="1">
        <v>4.6199999999999998E-5</v>
      </c>
      <c r="C717" s="1">
        <v>9.0099999999999995E-5</v>
      </c>
      <c r="D717">
        <v>1.0614499999999999E-4</v>
      </c>
      <c r="E717">
        <v>1.0252299999999999E-4</v>
      </c>
      <c r="F717" s="1">
        <v>7.4999999999999993E-5</v>
      </c>
      <c r="G717" s="1">
        <v>8.1600000000000005E-5</v>
      </c>
      <c r="H717" s="1">
        <v>7.8499999999999997E-5</v>
      </c>
      <c r="I717" s="1">
        <v>9.0400000000000002E-5</v>
      </c>
      <c r="J717" s="1">
        <v>6.5500000000000006E-5</v>
      </c>
      <c r="K717" s="1">
        <v>9.0099999999999995E-5</v>
      </c>
      <c r="L717" s="1">
        <v>9.3900000000000006E-5</v>
      </c>
      <c r="M717" s="1">
        <v>4.3399999999999998E-5</v>
      </c>
      <c r="N717" s="1">
        <v>3.2299999999999999E-5</v>
      </c>
      <c r="O717">
        <v>1.0108200000000001E-4</v>
      </c>
      <c r="P717" s="1">
        <v>3.6999999999999998E-5</v>
      </c>
      <c r="Q717" s="1">
        <v>3.2499999999999997E-5</v>
      </c>
      <c r="R717" s="1">
        <v>3.2299999999999999E-5</v>
      </c>
      <c r="S717" s="1">
        <v>2.34E-5</v>
      </c>
      <c r="T717" s="1">
        <v>5.4700000000000001E-5</v>
      </c>
    </row>
    <row r="718" spans="1:20" hidden="1" x14ac:dyDescent="0.25">
      <c r="A718" t="s">
        <v>736</v>
      </c>
      <c r="B718">
        <v>1.19691E-4</v>
      </c>
      <c r="C718" s="1">
        <v>6.3800000000000006E-5</v>
      </c>
      <c r="D718" s="1">
        <v>9.1899999999999998E-5</v>
      </c>
      <c r="E718" s="1">
        <v>9.0500000000000004E-5</v>
      </c>
      <c r="F718">
        <v>1.4245300000000001E-4</v>
      </c>
      <c r="G718">
        <v>1.03619E-4</v>
      </c>
      <c r="H718">
        <v>1.08216E-4</v>
      </c>
      <c r="I718">
        <v>1.07909E-4</v>
      </c>
      <c r="J718">
        <v>1.2290000000000001E-4</v>
      </c>
      <c r="K718">
        <v>1.13577E-4</v>
      </c>
      <c r="L718">
        <v>1.2835900000000001E-4</v>
      </c>
      <c r="M718">
        <v>1.0867899999999999E-4</v>
      </c>
      <c r="N718">
        <v>1.6427799999999999E-4</v>
      </c>
      <c r="O718">
        <v>1.15401E-4</v>
      </c>
      <c r="P718">
        <v>1.8550399999999999E-4</v>
      </c>
      <c r="Q718">
        <v>1.6228400000000001E-4</v>
      </c>
      <c r="R718">
        <v>1.7997E-4</v>
      </c>
      <c r="S718">
        <v>1.74041E-4</v>
      </c>
      <c r="T718">
        <v>1.8345199999999999E-4</v>
      </c>
    </row>
    <row r="719" spans="1:20" hidden="1" x14ac:dyDescent="0.25">
      <c r="A719" t="s">
        <v>737</v>
      </c>
      <c r="B719">
        <v>4.6304199999999999E-4</v>
      </c>
      <c r="C719">
        <v>3.60384E-4</v>
      </c>
      <c r="D719">
        <v>2.6437999999999999E-4</v>
      </c>
      <c r="E719">
        <v>2.17235E-4</v>
      </c>
      <c r="F719">
        <v>4.2297800000000001E-4</v>
      </c>
      <c r="G719">
        <v>2.8824900000000002E-4</v>
      </c>
      <c r="H719">
        <v>3.5444300000000002E-4</v>
      </c>
      <c r="I719">
        <v>3.2547700000000001E-4</v>
      </c>
      <c r="J719">
        <v>4.3649900000000002E-4</v>
      </c>
      <c r="K719">
        <v>3.1366800000000002E-4</v>
      </c>
      <c r="L719">
        <v>2.7127899999999998E-4</v>
      </c>
      <c r="M719">
        <v>2.4636699999999999E-4</v>
      </c>
      <c r="N719">
        <v>3.62319E-4</v>
      </c>
      <c r="O719">
        <v>3.0981999999999998E-4</v>
      </c>
      <c r="P719">
        <v>4.6368199999999998E-4</v>
      </c>
      <c r="Q719">
        <v>5.3221300000000002E-4</v>
      </c>
      <c r="R719">
        <v>3.6171700000000001E-4</v>
      </c>
      <c r="S719">
        <v>3.7029000000000001E-4</v>
      </c>
      <c r="T719">
        <v>5.0781800000000005E-4</v>
      </c>
    </row>
    <row r="720" spans="1:20" hidden="1" x14ac:dyDescent="0.25">
      <c r="A720" t="s">
        <v>738</v>
      </c>
      <c r="B720">
        <v>1.22991E-4</v>
      </c>
      <c r="C720">
        <v>2.3844200000000001E-4</v>
      </c>
      <c r="D720">
        <v>2.07297E-4</v>
      </c>
      <c r="E720">
        <v>1.78121E-4</v>
      </c>
      <c r="F720">
        <v>1.8919100000000001E-4</v>
      </c>
      <c r="G720">
        <v>1.87653E-4</v>
      </c>
      <c r="H720">
        <v>1.1202800000000001E-4</v>
      </c>
      <c r="I720">
        <v>2.09963E-4</v>
      </c>
      <c r="J720">
        <v>1.2679400000000001E-4</v>
      </c>
      <c r="K720">
        <v>1.84494E-4</v>
      </c>
      <c r="L720">
        <v>2.3337499999999999E-4</v>
      </c>
      <c r="M720">
        <v>1.3166400000000001E-4</v>
      </c>
      <c r="N720">
        <v>2.29807E-4</v>
      </c>
      <c r="O720">
        <v>1.5702500000000001E-4</v>
      </c>
      <c r="P720">
        <v>1.04521E-4</v>
      </c>
      <c r="Q720">
        <v>1.0030399999999999E-4</v>
      </c>
      <c r="R720" s="1">
        <v>8.9900000000000003E-5</v>
      </c>
      <c r="S720">
        <v>1.79407E-4</v>
      </c>
      <c r="T720">
        <v>1.18164E-4</v>
      </c>
    </row>
    <row r="721" spans="1:20" hidden="1" x14ac:dyDescent="0.25">
      <c r="A721" t="s">
        <v>739</v>
      </c>
      <c r="B721">
        <v>2.8055499999999999E-4</v>
      </c>
      <c r="C721">
        <v>1.7155800000000001E-4</v>
      </c>
      <c r="D721">
        <v>2.1984500000000001E-4</v>
      </c>
      <c r="E721">
        <v>2.0232900000000001E-4</v>
      </c>
      <c r="F721">
        <v>2.9807800000000001E-4</v>
      </c>
      <c r="G721">
        <v>2.6483700000000003E-4</v>
      </c>
      <c r="H721">
        <v>2.6349099999999997E-4</v>
      </c>
      <c r="I721">
        <v>2.4132299999999999E-4</v>
      </c>
      <c r="J721">
        <v>3.1584899999999999E-4</v>
      </c>
      <c r="K721">
        <v>2.6827099999999999E-4</v>
      </c>
      <c r="L721">
        <v>2.8126200000000001E-4</v>
      </c>
      <c r="M721">
        <v>2.3166500000000001E-4</v>
      </c>
      <c r="N721">
        <v>3.4468299999999998E-4</v>
      </c>
      <c r="O721">
        <v>2.59974E-4</v>
      </c>
      <c r="P721">
        <v>3.1173300000000002E-4</v>
      </c>
      <c r="Q721">
        <v>3.18549E-4</v>
      </c>
      <c r="R721">
        <v>3.6474100000000002E-4</v>
      </c>
      <c r="S721">
        <v>2.77912E-4</v>
      </c>
      <c r="T721">
        <v>3.55991E-4</v>
      </c>
    </row>
    <row r="722" spans="1:20" hidden="1" x14ac:dyDescent="0.25">
      <c r="A722" t="s">
        <v>740</v>
      </c>
      <c r="B722" s="1">
        <v>2.4000000000000001E-5</v>
      </c>
      <c r="C722">
        <v>0</v>
      </c>
      <c r="D722" s="1">
        <v>1.03E-5</v>
      </c>
      <c r="E722" s="1">
        <v>1.1600000000000001E-5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s="1">
        <v>1.17E-5</v>
      </c>
      <c r="N722" s="1">
        <v>8.1300000000000001E-6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hidden="1" x14ac:dyDescent="0.25">
      <c r="A723" t="s">
        <v>741</v>
      </c>
      <c r="B723" s="1">
        <v>7.4800000000000002E-5</v>
      </c>
      <c r="C723">
        <v>1.00268E-4</v>
      </c>
      <c r="D723">
        <v>1.27527E-4</v>
      </c>
      <c r="E723" s="1">
        <v>8.3800000000000004E-5</v>
      </c>
      <c r="F723" s="1">
        <v>5.2899999999999998E-5</v>
      </c>
      <c r="G723" s="1">
        <v>4.3399999999999998E-5</v>
      </c>
      <c r="H723" s="1">
        <v>5.38E-5</v>
      </c>
      <c r="I723" s="1">
        <v>2.4000000000000001E-5</v>
      </c>
      <c r="J723" s="1">
        <v>5.6400000000000002E-5</v>
      </c>
      <c r="K723" s="1">
        <v>8.5199999999999997E-5</v>
      </c>
      <c r="L723" s="1">
        <v>6.8399999999999996E-5</v>
      </c>
      <c r="M723" s="1">
        <v>4.2700000000000001E-5</v>
      </c>
      <c r="N723" s="1">
        <v>3.1300000000000002E-5</v>
      </c>
      <c r="O723" s="1">
        <v>4.0899999999999998E-5</v>
      </c>
      <c r="P723" s="1">
        <v>2.7500000000000001E-5</v>
      </c>
      <c r="Q723" s="1">
        <v>2.7100000000000001E-5</v>
      </c>
      <c r="R723" s="1">
        <v>1.56E-5</v>
      </c>
      <c r="S723">
        <v>0</v>
      </c>
      <c r="T723" s="1">
        <v>2.48E-5</v>
      </c>
    </row>
    <row r="724" spans="1:20" hidden="1" x14ac:dyDescent="0.25">
      <c r="A724" t="s">
        <v>742</v>
      </c>
      <c r="B724">
        <v>1.18917E-4</v>
      </c>
      <c r="C724">
        <v>1.8855400000000001E-4</v>
      </c>
      <c r="D724">
        <v>2.92479E-4</v>
      </c>
      <c r="E724">
        <v>2.5732799999999997E-4</v>
      </c>
      <c r="F724" s="1">
        <v>6.4399999999999993E-5</v>
      </c>
      <c r="G724" s="1">
        <v>6.8499999999999998E-5</v>
      </c>
      <c r="H724">
        <v>1.1987E-4</v>
      </c>
      <c r="I724" s="1">
        <v>8.3700000000000002E-5</v>
      </c>
      <c r="J724" s="1">
        <v>5.52E-5</v>
      </c>
      <c r="K724">
        <v>1.12583E-4</v>
      </c>
      <c r="L724" s="1">
        <v>7.4099999999999999E-5</v>
      </c>
      <c r="M724" s="1">
        <v>6.4999999999999994E-5</v>
      </c>
      <c r="N724" s="1">
        <v>4.1900000000000002E-5</v>
      </c>
      <c r="O724" s="1">
        <v>5.6900000000000001E-5</v>
      </c>
      <c r="P724" s="1">
        <v>2.9300000000000001E-5</v>
      </c>
      <c r="Q724" s="1">
        <v>2.9E-5</v>
      </c>
      <c r="R724" s="1">
        <v>2.05E-5</v>
      </c>
      <c r="S724">
        <v>0</v>
      </c>
      <c r="T724" s="1">
        <v>2.2500000000000001E-5</v>
      </c>
    </row>
    <row r="725" spans="1:20" hidden="1" x14ac:dyDescent="0.25">
      <c r="A725" t="s">
        <v>743</v>
      </c>
      <c r="B725" s="1">
        <v>3.6200000000000001E-6</v>
      </c>
      <c r="C725">
        <v>0</v>
      </c>
      <c r="D725" s="1">
        <v>4.3200000000000001E-6</v>
      </c>
      <c r="E725" s="1">
        <v>3.5099999999999999E-6</v>
      </c>
      <c r="F725" s="1">
        <v>5.9699999999999996E-6</v>
      </c>
      <c r="G725" s="1">
        <v>3.9099999999999998E-6</v>
      </c>
      <c r="H725" s="1">
        <v>4.7899999999999999E-6</v>
      </c>
      <c r="I725">
        <v>0</v>
      </c>
      <c r="J725">
        <v>0</v>
      </c>
      <c r="K725">
        <v>0</v>
      </c>
      <c r="L725">
        <v>0</v>
      </c>
      <c r="M725" s="1">
        <v>6.1399999999999997E-6</v>
      </c>
      <c r="N725" s="1">
        <v>3.8600000000000003E-6</v>
      </c>
      <c r="O725">
        <v>0</v>
      </c>
      <c r="P725">
        <v>0</v>
      </c>
      <c r="Q725" s="1">
        <v>4.2699999999999998E-6</v>
      </c>
      <c r="R725">
        <v>0</v>
      </c>
      <c r="S725">
        <v>0</v>
      </c>
      <c r="T725">
        <v>0</v>
      </c>
    </row>
    <row r="726" spans="1:20" hidden="1" x14ac:dyDescent="0.25">
      <c r="A726" t="s">
        <v>744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1">
        <v>2.3099999999999999E-5</v>
      </c>
      <c r="Q726" s="1">
        <v>3.43E-5</v>
      </c>
      <c r="R726" s="1">
        <v>2.7900000000000001E-5</v>
      </c>
      <c r="S726" s="1">
        <v>2.9600000000000001E-5</v>
      </c>
      <c r="T726" s="1">
        <v>3.9199999999999997E-5</v>
      </c>
    </row>
    <row r="727" spans="1:20" hidden="1" x14ac:dyDescent="0.25">
      <c r="A727" t="s">
        <v>745</v>
      </c>
      <c r="B727" s="1">
        <v>2.4899999999999999E-5</v>
      </c>
      <c r="C727" s="1">
        <v>3.4799999999999999E-5</v>
      </c>
      <c r="D727" s="1">
        <v>5.2899999999999998E-5</v>
      </c>
      <c r="E727" s="1">
        <v>4.8000000000000001E-5</v>
      </c>
      <c r="F727">
        <v>0</v>
      </c>
      <c r="G727">
        <v>0</v>
      </c>
      <c r="H727" s="1">
        <v>4.21E-5</v>
      </c>
      <c r="I727" s="1">
        <v>3.6000000000000001E-5</v>
      </c>
      <c r="J727" s="1">
        <v>3.3300000000000003E-5</v>
      </c>
      <c r="K727" s="1">
        <v>3.26E-5</v>
      </c>
      <c r="L727" s="1">
        <v>3.5200000000000002E-5</v>
      </c>
      <c r="M727">
        <v>0</v>
      </c>
      <c r="N727">
        <v>0</v>
      </c>
      <c r="O727" s="1">
        <v>2.0400000000000001E-5</v>
      </c>
      <c r="P727" s="1">
        <v>1.8700000000000001E-5</v>
      </c>
      <c r="Q727">
        <v>0</v>
      </c>
      <c r="R727">
        <v>0</v>
      </c>
      <c r="S727">
        <v>0</v>
      </c>
      <c r="T727">
        <v>0</v>
      </c>
    </row>
    <row r="728" spans="1:20" hidden="1" x14ac:dyDescent="0.25">
      <c r="A728" t="s">
        <v>746</v>
      </c>
      <c r="B728">
        <v>0</v>
      </c>
      <c r="C728" s="1">
        <v>2.8600000000000001E-5</v>
      </c>
      <c r="D728" s="1">
        <v>2.6699999999999998E-5</v>
      </c>
      <c r="E728" s="1">
        <v>2.48E-5</v>
      </c>
      <c r="F728" s="1">
        <v>1.38E-5</v>
      </c>
      <c r="G728" s="1">
        <v>2.6699999999999998E-5</v>
      </c>
      <c r="H728" s="1">
        <v>2.05E-5</v>
      </c>
      <c r="I728">
        <v>0</v>
      </c>
      <c r="J728" s="1">
        <v>9.5699999999999999E-6</v>
      </c>
      <c r="K728" s="1">
        <v>2.6299999999999999E-5</v>
      </c>
      <c r="L728" s="1">
        <v>3.0700000000000001E-5</v>
      </c>
      <c r="M728" s="1">
        <v>1.26E-5</v>
      </c>
      <c r="N728" s="1">
        <v>1.27E-5</v>
      </c>
      <c r="O728" s="1">
        <v>1.6699999999999999E-5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hidden="1" x14ac:dyDescent="0.25">
      <c r="A729" t="s">
        <v>747</v>
      </c>
      <c r="B729" s="1">
        <v>9.8400000000000007E-5</v>
      </c>
      <c r="C729" s="1">
        <v>4.7200000000000002E-5</v>
      </c>
      <c r="D729" s="1">
        <v>5.0000000000000002E-5</v>
      </c>
      <c r="E729" s="1">
        <v>5.7899999999999998E-5</v>
      </c>
      <c r="F729" s="1">
        <v>6.0999999999999999E-5</v>
      </c>
      <c r="G729" s="1">
        <v>5.7000000000000003E-5</v>
      </c>
      <c r="H729" s="1">
        <v>6.2299999999999996E-5</v>
      </c>
      <c r="I729" s="1">
        <v>8.25E-5</v>
      </c>
      <c r="J729">
        <v>1.0077E-4</v>
      </c>
      <c r="K729" s="1">
        <v>6.1500000000000004E-5</v>
      </c>
      <c r="L729" s="1">
        <v>5.5699999999999999E-5</v>
      </c>
      <c r="M729" s="1">
        <v>6.6400000000000001E-5</v>
      </c>
      <c r="N729" s="1">
        <v>7.6299999999999998E-5</v>
      </c>
      <c r="O729" s="1">
        <v>8.2700000000000004E-5</v>
      </c>
      <c r="P729">
        <v>1.08217E-4</v>
      </c>
      <c r="Q729">
        <v>1.2383000000000001E-4</v>
      </c>
      <c r="R729">
        <v>1.4460100000000001E-4</v>
      </c>
      <c r="S729">
        <v>1.03064E-4</v>
      </c>
      <c r="T729">
        <v>1.13743E-4</v>
      </c>
    </row>
    <row r="730" spans="1:20" hidden="1" x14ac:dyDescent="0.25">
      <c r="A730" t="s">
        <v>748</v>
      </c>
      <c r="B730">
        <v>1.4068699999999999E-4</v>
      </c>
      <c r="C730">
        <v>1.01962E-4</v>
      </c>
      <c r="D730">
        <v>1.1143500000000001E-4</v>
      </c>
      <c r="E730">
        <v>1.40006E-4</v>
      </c>
      <c r="F730">
        <v>1.0906800000000001E-4</v>
      </c>
      <c r="G730">
        <v>1.00695E-4</v>
      </c>
      <c r="H730" s="1">
        <v>8.1299999999999997E-5</v>
      </c>
      <c r="I730">
        <v>1.1961299999999999E-4</v>
      </c>
      <c r="J730">
        <v>1.2640899999999999E-4</v>
      </c>
      <c r="K730">
        <v>1.2130599999999999E-4</v>
      </c>
      <c r="L730" s="1">
        <v>7.9800000000000002E-5</v>
      </c>
      <c r="M730" s="1">
        <v>9.09E-5</v>
      </c>
      <c r="N730" s="1">
        <v>1E-4</v>
      </c>
      <c r="O730">
        <v>1.3757400000000001E-4</v>
      </c>
      <c r="P730">
        <v>1.2305899999999999E-4</v>
      </c>
      <c r="Q730" s="1">
        <v>6.2199999999999994E-5</v>
      </c>
      <c r="R730">
        <v>1.32836E-4</v>
      </c>
      <c r="S730" s="1">
        <v>4.32E-5</v>
      </c>
      <c r="T730" s="1">
        <v>5.9899999999999999E-5</v>
      </c>
    </row>
    <row r="731" spans="1:20" hidden="1" x14ac:dyDescent="0.25">
      <c r="A731" t="s">
        <v>749</v>
      </c>
      <c r="B731">
        <v>1.9038900000000001E-4</v>
      </c>
      <c r="C731">
        <v>5.8639599999999999E-4</v>
      </c>
      <c r="D731" s="1">
        <v>4.6600000000000001E-5</v>
      </c>
      <c r="E731">
        <v>1.21381E-4</v>
      </c>
      <c r="F731">
        <v>1.3597520000000001E-3</v>
      </c>
      <c r="G731">
        <v>4.3964299999999998E-4</v>
      </c>
      <c r="H731">
        <v>0</v>
      </c>
      <c r="I731">
        <v>8.00321E-4</v>
      </c>
      <c r="J731">
        <v>5.0379799999999996E-4</v>
      </c>
      <c r="K731">
        <v>5.2280100000000004E-4</v>
      </c>
      <c r="L731">
        <v>3.39406E-4</v>
      </c>
      <c r="M731">
        <v>0</v>
      </c>
      <c r="N731">
        <v>0</v>
      </c>
      <c r="O731">
        <v>0</v>
      </c>
      <c r="P731" s="1">
        <v>4.1499999999999999E-5</v>
      </c>
      <c r="Q731">
        <v>9.6818399999999997E-4</v>
      </c>
      <c r="R731">
        <v>8.31783E-4</v>
      </c>
      <c r="S731">
        <v>0</v>
      </c>
      <c r="T731">
        <v>9.0406199999999996E-4</v>
      </c>
    </row>
    <row r="732" spans="1:20" hidden="1" x14ac:dyDescent="0.25">
      <c r="A732" t="s">
        <v>750</v>
      </c>
      <c r="B732">
        <v>6.1564599999999997E-4</v>
      </c>
      <c r="C732">
        <v>7.4671999999999998E-4</v>
      </c>
      <c r="D732">
        <v>6.5545499999999999E-4</v>
      </c>
      <c r="E732">
        <v>7.5876199999999996E-4</v>
      </c>
      <c r="F732">
        <v>8.5767500000000002E-4</v>
      </c>
      <c r="G732">
        <v>9.24288E-4</v>
      </c>
      <c r="H732">
        <v>7.4908400000000001E-4</v>
      </c>
      <c r="I732">
        <v>1.060531E-3</v>
      </c>
      <c r="J732">
        <v>8.5111699999999998E-4</v>
      </c>
      <c r="K732">
        <v>7.48911E-4</v>
      </c>
      <c r="L732">
        <v>7.2054599999999997E-4</v>
      </c>
      <c r="M732">
        <v>7.40689E-4</v>
      </c>
      <c r="N732">
        <v>8.9150899999999996E-4</v>
      </c>
      <c r="O732">
        <v>7.8244199999999995E-4</v>
      </c>
      <c r="P732">
        <v>1.0032330000000001E-3</v>
      </c>
      <c r="Q732">
        <v>1.5542469999999999E-3</v>
      </c>
      <c r="R732">
        <v>1.467578E-3</v>
      </c>
      <c r="S732">
        <v>1.48116E-3</v>
      </c>
      <c r="T732">
        <v>1.54309E-3</v>
      </c>
    </row>
    <row r="733" spans="1:20" hidden="1" x14ac:dyDescent="0.25">
      <c r="A733" t="s">
        <v>751</v>
      </c>
      <c r="B733">
        <v>3.5330799999999999E-4</v>
      </c>
      <c r="C733">
        <v>6.5667799999999995E-4</v>
      </c>
      <c r="D733">
        <v>4.9369400000000003E-4</v>
      </c>
      <c r="E733">
        <v>9.9241299999999993E-4</v>
      </c>
      <c r="F733">
        <v>4.6824300000000002E-4</v>
      </c>
      <c r="G733">
        <v>9.1368899999999997E-4</v>
      </c>
      <c r="H733">
        <v>1.254284E-3</v>
      </c>
      <c r="I733">
        <v>7.2702599999999997E-4</v>
      </c>
      <c r="J733">
        <v>5.3455199999999999E-4</v>
      </c>
      <c r="K733">
        <v>8.3306600000000004E-4</v>
      </c>
      <c r="L733">
        <v>9.8279899999999991E-4</v>
      </c>
      <c r="M733">
        <v>6.2929499999999998E-4</v>
      </c>
      <c r="N733">
        <v>6.0072900000000004E-4</v>
      </c>
      <c r="O733">
        <v>4.7760899999999999E-4</v>
      </c>
      <c r="P733">
        <v>4.5050599999999999E-4</v>
      </c>
      <c r="Q733">
        <v>1.540745E-3</v>
      </c>
      <c r="R733">
        <v>1.518904E-3</v>
      </c>
      <c r="S733">
        <v>1.2638090000000001E-3</v>
      </c>
      <c r="T733">
        <v>1.540266E-3</v>
      </c>
    </row>
    <row r="734" spans="1:20" hidden="1" x14ac:dyDescent="0.25">
      <c r="A734" t="s">
        <v>752</v>
      </c>
      <c r="B734">
        <v>0</v>
      </c>
      <c r="C734">
        <v>0</v>
      </c>
      <c r="D734" s="1">
        <v>6.9800000000000003E-5</v>
      </c>
      <c r="E734" s="1">
        <v>8.14E-5</v>
      </c>
      <c r="F734">
        <v>1.4265099999999999E-4</v>
      </c>
      <c r="G734" s="1">
        <v>6.6699999999999995E-5</v>
      </c>
      <c r="H734" s="1">
        <v>3.1399999999999998E-5</v>
      </c>
      <c r="I734">
        <v>1.07805E-4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s="1">
        <v>9.8099999999999999E-5</v>
      </c>
      <c r="R734" s="1">
        <v>5.4599999999999999E-5</v>
      </c>
      <c r="S734" s="1">
        <v>5.1499999999999998E-5</v>
      </c>
      <c r="T734" s="1">
        <v>5.7000000000000003E-5</v>
      </c>
    </row>
    <row r="735" spans="1:20" hidden="1" x14ac:dyDescent="0.25">
      <c r="A735" t="s">
        <v>753</v>
      </c>
      <c r="B735">
        <v>7.5328799999999996E-4</v>
      </c>
      <c r="C735">
        <v>5.62888E-4</v>
      </c>
      <c r="D735">
        <v>7.5514899999999999E-4</v>
      </c>
      <c r="E735">
        <v>7.13972E-4</v>
      </c>
      <c r="F735">
        <v>7.0450999999999999E-4</v>
      </c>
      <c r="G735">
        <v>6.3697099999999996E-4</v>
      </c>
      <c r="H735">
        <v>6.8139600000000002E-4</v>
      </c>
      <c r="I735">
        <v>7.5437799999999999E-4</v>
      </c>
      <c r="J735">
        <v>8.3229599999999995E-4</v>
      </c>
      <c r="K735">
        <v>8.0823699999999995E-4</v>
      </c>
      <c r="L735">
        <v>7.3964699999999996E-4</v>
      </c>
      <c r="M735">
        <v>7.43788E-4</v>
      </c>
      <c r="N735">
        <v>9.808620000000001E-4</v>
      </c>
      <c r="O735">
        <v>3.6668300000000003E-4</v>
      </c>
      <c r="P735">
        <v>7.12705E-4</v>
      </c>
      <c r="Q735">
        <v>4.6329599999999998E-4</v>
      </c>
      <c r="R735">
        <v>6.1309999999999999E-4</v>
      </c>
      <c r="S735">
        <v>5.1527699999999997E-4</v>
      </c>
      <c r="T735">
        <v>4.6614399999999999E-4</v>
      </c>
    </row>
    <row r="736" spans="1:20" hidden="1" x14ac:dyDescent="0.25">
      <c r="A736" t="s">
        <v>754</v>
      </c>
      <c r="B736">
        <v>1.072663E-3</v>
      </c>
      <c r="C736">
        <v>1.278799E-3</v>
      </c>
      <c r="D736">
        <v>1.3677240000000001E-3</v>
      </c>
      <c r="E736">
        <v>9.1335699999999995E-4</v>
      </c>
      <c r="F736">
        <v>1.9808709999999999E-3</v>
      </c>
      <c r="G736">
        <v>1.4053900000000001E-3</v>
      </c>
      <c r="H736">
        <v>1.373895E-3</v>
      </c>
      <c r="I736">
        <v>1.6974119999999999E-3</v>
      </c>
      <c r="J736">
        <v>2.1714550000000001E-3</v>
      </c>
      <c r="K736">
        <v>1.2641740000000001E-3</v>
      </c>
      <c r="L736">
        <v>1.2579069999999999E-3</v>
      </c>
      <c r="M736">
        <v>2.108141E-3</v>
      </c>
      <c r="N736">
        <v>2.1812720000000002E-3</v>
      </c>
      <c r="O736">
        <v>1.4650920000000001E-3</v>
      </c>
      <c r="P736">
        <v>2.3737799999999998E-3</v>
      </c>
      <c r="Q736">
        <v>2.8731429999999999E-3</v>
      </c>
      <c r="R736">
        <v>3.1134829999999998E-3</v>
      </c>
      <c r="S736">
        <v>3.226666E-3</v>
      </c>
      <c r="T736">
        <v>2.0114820000000002E-3</v>
      </c>
    </row>
    <row r="737" spans="1:20" hidden="1" x14ac:dyDescent="0.25">
      <c r="A737" t="s">
        <v>755</v>
      </c>
      <c r="B737">
        <v>0</v>
      </c>
      <c r="C737" s="1">
        <v>7.7399999999999998E-5</v>
      </c>
      <c r="D737">
        <v>1.6490400000000001E-4</v>
      </c>
      <c r="E737">
        <v>0</v>
      </c>
      <c r="F737">
        <v>2.8715099999999998E-4</v>
      </c>
      <c r="G737" s="1">
        <v>6.9900000000000005E-5</v>
      </c>
      <c r="H737">
        <v>0</v>
      </c>
      <c r="I737">
        <v>0</v>
      </c>
      <c r="J737" s="1">
        <v>7.3300000000000006E-5</v>
      </c>
      <c r="K737">
        <v>5.4708700000000003E-4</v>
      </c>
      <c r="L737">
        <v>1.01277E-4</v>
      </c>
      <c r="M737">
        <v>3.1644600000000001E-4</v>
      </c>
      <c r="N737" s="1">
        <v>7.9900000000000004E-5</v>
      </c>
      <c r="O737" s="1">
        <v>9.1899999999999998E-5</v>
      </c>
      <c r="P737">
        <v>0</v>
      </c>
      <c r="Q737">
        <v>0</v>
      </c>
      <c r="R737">
        <v>1.9069700000000001E-4</v>
      </c>
      <c r="S737">
        <v>2.0484100000000001E-4</v>
      </c>
      <c r="T737">
        <v>0</v>
      </c>
    </row>
    <row r="738" spans="1:20" hidden="1" x14ac:dyDescent="0.25">
      <c r="A738" t="s">
        <v>756</v>
      </c>
      <c r="B738">
        <v>0</v>
      </c>
      <c r="C738" s="1">
        <v>1.3699999999999999E-5</v>
      </c>
      <c r="D738" s="1">
        <v>1.11E-5</v>
      </c>
      <c r="E738" s="1">
        <v>1.34E-5</v>
      </c>
      <c r="F738" s="1">
        <v>9.3600000000000002E-6</v>
      </c>
      <c r="G738">
        <v>0</v>
      </c>
      <c r="H738" s="1">
        <v>6.9600000000000003E-6</v>
      </c>
      <c r="I738">
        <v>0</v>
      </c>
      <c r="J738">
        <v>0</v>
      </c>
      <c r="K738" s="1">
        <v>1.1E-5</v>
      </c>
      <c r="L738" s="1">
        <v>1.2799999999999999E-5</v>
      </c>
      <c r="M738" s="1">
        <v>8.6200000000000005E-6</v>
      </c>
      <c r="N738" s="1">
        <v>3.9500000000000003E-6</v>
      </c>
      <c r="O738" s="1">
        <v>8.7499999999999992E-6</v>
      </c>
      <c r="P738">
        <v>0</v>
      </c>
      <c r="Q738">
        <v>0</v>
      </c>
      <c r="R738">
        <v>0</v>
      </c>
      <c r="S738">
        <v>0</v>
      </c>
      <c r="T738" s="1">
        <v>6.0599999999999996E-6</v>
      </c>
    </row>
    <row r="739" spans="1:20" hidden="1" x14ac:dyDescent="0.25">
      <c r="A739" t="s">
        <v>757</v>
      </c>
      <c r="B739">
        <v>0</v>
      </c>
      <c r="C739" s="1">
        <v>4.4799999999999998E-5</v>
      </c>
      <c r="D739" s="1">
        <v>3.79E-5</v>
      </c>
      <c r="E739" s="1">
        <v>4.5800000000000002E-5</v>
      </c>
      <c r="F739" s="1">
        <v>2.65E-5</v>
      </c>
      <c r="G739">
        <v>0</v>
      </c>
      <c r="H739" s="1">
        <v>3.6999999999999998E-5</v>
      </c>
      <c r="I739" s="1">
        <v>3.7100000000000001E-5</v>
      </c>
      <c r="J739">
        <v>0</v>
      </c>
      <c r="K739" s="1">
        <v>2.6999999999999999E-5</v>
      </c>
      <c r="L739" s="1">
        <v>5.8999999999999998E-5</v>
      </c>
      <c r="M739">
        <v>0</v>
      </c>
      <c r="N739">
        <v>0</v>
      </c>
      <c r="O739">
        <v>0</v>
      </c>
      <c r="P739" s="1">
        <v>1.9400000000000001E-5</v>
      </c>
      <c r="Q739" s="1">
        <v>3.93E-5</v>
      </c>
      <c r="R739" s="1">
        <v>2.7699999999999999E-5</v>
      </c>
      <c r="S739" s="1">
        <v>2.94E-5</v>
      </c>
      <c r="T739" s="1">
        <v>3.15E-5</v>
      </c>
    </row>
    <row r="740" spans="1:20" hidden="1" x14ac:dyDescent="0.25">
      <c r="A740" t="s">
        <v>758</v>
      </c>
      <c r="B740" s="1">
        <v>4.32E-5</v>
      </c>
      <c r="C740">
        <v>0</v>
      </c>
      <c r="D740">
        <v>0</v>
      </c>
      <c r="E740" s="1">
        <v>2.0000000000000002E-5</v>
      </c>
      <c r="F740">
        <v>0</v>
      </c>
      <c r="G740">
        <v>0</v>
      </c>
      <c r="H740" s="1">
        <v>4.1900000000000002E-5</v>
      </c>
      <c r="I740" s="1">
        <v>5.4599999999999999E-5</v>
      </c>
      <c r="J740" s="1">
        <v>5.1499999999999998E-5</v>
      </c>
      <c r="K740">
        <v>0</v>
      </c>
      <c r="L740">
        <v>0</v>
      </c>
      <c r="M740" s="1">
        <v>9.7E-5</v>
      </c>
      <c r="N740" s="1">
        <v>5.0399999999999999E-5</v>
      </c>
      <c r="O740" s="1">
        <v>5.1799999999999999E-5</v>
      </c>
      <c r="P740" s="1">
        <v>6.6799999999999997E-5</v>
      </c>
      <c r="Q740" s="1">
        <v>8.0199999999999998E-5</v>
      </c>
      <c r="R740" s="1">
        <v>6.8399999999999996E-5</v>
      </c>
      <c r="S740" s="1">
        <v>4.9700000000000002E-5</v>
      </c>
      <c r="T740">
        <v>2.5969200000000001E-4</v>
      </c>
    </row>
    <row r="741" spans="1:20" hidden="1" x14ac:dyDescent="0.25">
      <c r="A741" t="s">
        <v>759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s="1">
        <v>7.8599999999999993E-6</v>
      </c>
      <c r="R741" s="1">
        <v>1.63E-5</v>
      </c>
      <c r="S741" s="1">
        <v>2.0699999999999998E-5</v>
      </c>
      <c r="T741" s="1">
        <v>1.4100000000000001E-5</v>
      </c>
    </row>
    <row r="742" spans="1:20" hidden="1" x14ac:dyDescent="0.25">
      <c r="A742" t="s">
        <v>760</v>
      </c>
      <c r="B742" s="1">
        <v>3.8099999999999998E-5</v>
      </c>
      <c r="C742">
        <v>0</v>
      </c>
      <c r="D742" s="1">
        <v>3.65E-5</v>
      </c>
      <c r="E742" s="1">
        <v>1.6900000000000001E-5</v>
      </c>
      <c r="F742" s="1">
        <v>4.1399999999999997E-5</v>
      </c>
      <c r="G742">
        <v>0</v>
      </c>
      <c r="H742" s="1">
        <v>4.0899999999999998E-5</v>
      </c>
      <c r="I742" s="1">
        <v>2.4199999999999999E-5</v>
      </c>
      <c r="J742">
        <v>0</v>
      </c>
      <c r="K742" s="1">
        <v>5.5600000000000003E-5</v>
      </c>
      <c r="L742">
        <v>0</v>
      </c>
      <c r="M742" s="1">
        <v>3.4900000000000001E-5</v>
      </c>
      <c r="N742" s="1">
        <v>7.9900000000000004E-5</v>
      </c>
      <c r="O742" s="1">
        <v>3.2499999999999997E-5</v>
      </c>
      <c r="P742" s="1">
        <v>9.8200000000000002E-5</v>
      </c>
      <c r="Q742">
        <v>1.41297E-4</v>
      </c>
      <c r="R742">
        <v>1.7998499999999999E-4</v>
      </c>
      <c r="S742" s="1">
        <v>9.2800000000000006E-5</v>
      </c>
      <c r="T742">
        <v>1.8145800000000001E-4</v>
      </c>
    </row>
    <row r="743" spans="1:20" hidden="1" x14ac:dyDescent="0.25">
      <c r="A743" t="s">
        <v>761</v>
      </c>
      <c r="B743" s="1">
        <v>6.4499999999999996E-5</v>
      </c>
      <c r="C743">
        <v>0</v>
      </c>
      <c r="D743" s="1">
        <v>2.0999999999999999E-5</v>
      </c>
      <c r="E743" s="1">
        <v>1.8700000000000001E-5</v>
      </c>
      <c r="F743" s="1">
        <v>9.1700000000000006E-5</v>
      </c>
      <c r="G743" s="1">
        <v>5.77E-5</v>
      </c>
      <c r="H743">
        <v>1.3999499999999999E-4</v>
      </c>
      <c r="I743" s="1">
        <v>5.8300000000000001E-5</v>
      </c>
      <c r="J743" s="1">
        <v>7.1600000000000006E-5</v>
      </c>
      <c r="K743" s="1">
        <v>4.7700000000000001E-5</v>
      </c>
      <c r="L743" s="1">
        <v>2.0000000000000002E-5</v>
      </c>
      <c r="M743" s="1">
        <v>5.0899999999999997E-5</v>
      </c>
      <c r="N743" s="1">
        <v>3.9799999999999998E-5</v>
      </c>
      <c r="O743" s="1">
        <v>3.5500000000000002E-5</v>
      </c>
      <c r="P743">
        <v>1.9147599999999999E-4</v>
      </c>
      <c r="Q743">
        <v>4.65243E-4</v>
      </c>
      <c r="R743">
        <v>4.9786000000000003E-4</v>
      </c>
      <c r="S743">
        <v>2.6179699999999997E-4</v>
      </c>
      <c r="T743">
        <v>8.7954500000000002E-4</v>
      </c>
    </row>
    <row r="744" spans="1:20" hidden="1" x14ac:dyDescent="0.25">
      <c r="A744" t="s">
        <v>762</v>
      </c>
      <c r="B744" s="1">
        <v>5.3300000000000001E-5</v>
      </c>
      <c r="C744">
        <v>0</v>
      </c>
      <c r="D744" s="1">
        <v>1.4100000000000001E-5</v>
      </c>
      <c r="E744" s="1">
        <v>1.88E-5</v>
      </c>
      <c r="F744" s="1">
        <v>7.2999999999999999E-5</v>
      </c>
      <c r="G744" s="1">
        <v>5.7800000000000002E-5</v>
      </c>
      <c r="H744">
        <v>1.49469E-4</v>
      </c>
      <c r="I744" s="1">
        <v>4.7599999999999998E-5</v>
      </c>
      <c r="J744" s="1">
        <v>8.3399999999999994E-5</v>
      </c>
      <c r="K744" s="1">
        <v>3.6399999999999997E-5</v>
      </c>
      <c r="L744" s="1">
        <v>1.34E-5</v>
      </c>
      <c r="M744" s="1">
        <v>3.6199999999999999E-5</v>
      </c>
      <c r="N744" s="1">
        <v>3.1600000000000002E-5</v>
      </c>
      <c r="O744" s="1">
        <v>3.4600000000000001E-5</v>
      </c>
      <c r="P744">
        <v>1.9298500000000001E-4</v>
      </c>
      <c r="Q744">
        <v>4.3380099999999999E-4</v>
      </c>
      <c r="R744">
        <v>5.1597100000000005E-4</v>
      </c>
      <c r="S744">
        <v>2.2789699999999999E-4</v>
      </c>
      <c r="T744">
        <v>6.8287399999999998E-4</v>
      </c>
    </row>
    <row r="745" spans="1:20" hidden="1" x14ac:dyDescent="0.25">
      <c r="A745" t="s">
        <v>763</v>
      </c>
      <c r="B745">
        <v>3.4057299999999999E-4</v>
      </c>
      <c r="C745">
        <v>3.7281499999999997E-4</v>
      </c>
      <c r="D745">
        <v>4.0031300000000001E-4</v>
      </c>
      <c r="E745">
        <v>4.8375399999999998E-4</v>
      </c>
      <c r="F745">
        <v>3.3573300000000001E-4</v>
      </c>
      <c r="G745">
        <v>2.6533500000000001E-4</v>
      </c>
      <c r="H745">
        <v>2.8188099999999999E-4</v>
      </c>
      <c r="I745">
        <v>3.2764399999999998E-4</v>
      </c>
      <c r="J745">
        <v>3.72345E-4</v>
      </c>
      <c r="K745">
        <v>3.8978299999999999E-4</v>
      </c>
      <c r="L745">
        <v>3.7532800000000002E-4</v>
      </c>
      <c r="M745">
        <v>3.4940999999999998E-4</v>
      </c>
      <c r="N745">
        <v>4.1358900000000001E-4</v>
      </c>
      <c r="O745">
        <v>3.35774E-4</v>
      </c>
      <c r="P745">
        <v>2.1401499999999999E-4</v>
      </c>
      <c r="Q745">
        <v>1.4456199999999999E-4</v>
      </c>
      <c r="R745">
        <v>1.9714900000000001E-4</v>
      </c>
      <c r="S745">
        <v>1.4270400000000001E-4</v>
      </c>
      <c r="T745">
        <v>1.88634E-4</v>
      </c>
    </row>
    <row r="746" spans="1:20" hidden="1" x14ac:dyDescent="0.25">
      <c r="A746" t="s">
        <v>764</v>
      </c>
      <c r="B746">
        <v>7.8053039999999999E-3</v>
      </c>
      <c r="C746">
        <v>5.7549350000000001E-3</v>
      </c>
      <c r="D746">
        <v>4.215608E-3</v>
      </c>
      <c r="E746">
        <v>4.6347200000000002E-3</v>
      </c>
      <c r="F746">
        <v>5.336019E-3</v>
      </c>
      <c r="G746">
        <v>6.7527170000000001E-3</v>
      </c>
      <c r="H746">
        <v>1.020984E-2</v>
      </c>
      <c r="I746">
        <v>4.2493289999999996E-3</v>
      </c>
      <c r="J746">
        <v>5.0522470000000002E-3</v>
      </c>
      <c r="K746">
        <v>4.800141E-3</v>
      </c>
      <c r="L746">
        <v>4.8372989999999998E-3</v>
      </c>
      <c r="M746">
        <v>6.8136890000000004E-3</v>
      </c>
      <c r="N746">
        <v>7.0022859999999999E-3</v>
      </c>
      <c r="O746">
        <v>5.1425819999999997E-3</v>
      </c>
      <c r="P746">
        <v>7.5841390000000002E-3</v>
      </c>
      <c r="Q746">
        <v>7.8014E-3</v>
      </c>
      <c r="R746">
        <v>4.388304E-3</v>
      </c>
      <c r="S746">
        <v>3.287304E-3</v>
      </c>
      <c r="T746">
        <v>4.6078289999999999E-3</v>
      </c>
    </row>
    <row r="747" spans="1:20" hidden="1" x14ac:dyDescent="0.25">
      <c r="A747" t="s">
        <v>765</v>
      </c>
      <c r="B747">
        <v>8.2723220000000004E-3</v>
      </c>
      <c r="C747">
        <v>6.6500070000000003E-3</v>
      </c>
      <c r="D747">
        <v>2.63437E-3</v>
      </c>
      <c r="E747">
        <v>1.354505E-3</v>
      </c>
      <c r="F747">
        <v>7.4795870000000002E-3</v>
      </c>
      <c r="G747">
        <v>1.3069361999999999E-2</v>
      </c>
      <c r="H747">
        <v>1.5602314000000001E-2</v>
      </c>
      <c r="I747">
        <v>1.0683155999999999E-2</v>
      </c>
      <c r="J747">
        <v>1.5417413E-2</v>
      </c>
      <c r="K747">
        <v>7.5129189999999998E-3</v>
      </c>
      <c r="L747">
        <v>1.049901E-2</v>
      </c>
      <c r="M747">
        <v>1.6423129000000002E-2</v>
      </c>
      <c r="N747">
        <v>1.3030023999999999E-2</v>
      </c>
      <c r="O747">
        <v>1.4495111E-2</v>
      </c>
      <c r="P747">
        <v>1.7359389999999999E-2</v>
      </c>
      <c r="Q747">
        <v>8.2176450000000009E-3</v>
      </c>
      <c r="R747">
        <v>1.2051961999999999E-2</v>
      </c>
      <c r="S747">
        <v>1.783176E-3</v>
      </c>
      <c r="T747">
        <v>2.9297049999999999E-3</v>
      </c>
    </row>
    <row r="748" spans="1:20" hidden="1" x14ac:dyDescent="0.25">
      <c r="A748" t="s">
        <v>766</v>
      </c>
      <c r="B748">
        <v>2.2635580000000001E-3</v>
      </c>
      <c r="C748">
        <v>1.525661E-3</v>
      </c>
      <c r="D748">
        <v>6.9175300000000003E-4</v>
      </c>
      <c r="E748">
        <v>6.3477399999999995E-4</v>
      </c>
      <c r="F748">
        <v>5.3508699999999995E-4</v>
      </c>
      <c r="G748">
        <v>1.440034E-3</v>
      </c>
      <c r="H748">
        <v>1.4711889999999999E-3</v>
      </c>
      <c r="I748">
        <v>5.3962200000000002E-4</v>
      </c>
      <c r="J748">
        <v>7.6818600000000002E-4</v>
      </c>
      <c r="K748">
        <v>7.5051899999999995E-4</v>
      </c>
      <c r="L748">
        <v>6.6085199999999997E-4</v>
      </c>
      <c r="M748">
        <v>9.966930000000001E-4</v>
      </c>
      <c r="N748">
        <v>8.5447500000000005E-4</v>
      </c>
      <c r="O748">
        <v>5.8768299999999998E-4</v>
      </c>
      <c r="P748">
        <v>2.5051449999999999E-3</v>
      </c>
      <c r="Q748">
        <v>1.29071E-3</v>
      </c>
      <c r="R748">
        <v>7.1522700000000003E-4</v>
      </c>
      <c r="S748">
        <v>3.3216300000000001E-4</v>
      </c>
      <c r="T748">
        <v>5.5906100000000002E-4</v>
      </c>
    </row>
    <row r="749" spans="1:20" hidden="1" x14ac:dyDescent="0.25">
      <c r="A749" t="s">
        <v>767</v>
      </c>
      <c r="B749" s="1">
        <v>3.6300000000000001E-5</v>
      </c>
      <c r="C749" s="1">
        <v>5.1700000000000003E-5</v>
      </c>
      <c r="D749" s="1">
        <v>5.9899999999999999E-5</v>
      </c>
      <c r="E749" s="1">
        <v>4.9400000000000001E-5</v>
      </c>
      <c r="F749" s="1">
        <v>5.4599999999999999E-5</v>
      </c>
      <c r="G749" s="1">
        <v>5.1999999999999997E-5</v>
      </c>
      <c r="H749" s="1">
        <v>3.57E-5</v>
      </c>
      <c r="I749" s="1">
        <v>3.5899999999999998E-5</v>
      </c>
      <c r="J749" s="1">
        <v>5.2099999999999999E-5</v>
      </c>
      <c r="K749" s="1">
        <v>4.88E-5</v>
      </c>
      <c r="L749" s="1">
        <v>5.66E-5</v>
      </c>
      <c r="M749" s="1">
        <v>4.4400000000000002E-5</v>
      </c>
      <c r="N749" s="1">
        <v>2.9499999999999999E-5</v>
      </c>
      <c r="O749" s="1">
        <v>5.2800000000000003E-5</v>
      </c>
      <c r="P749" s="1">
        <v>3.3099999999999998E-5</v>
      </c>
      <c r="Q749" s="1">
        <v>1.9400000000000001E-5</v>
      </c>
      <c r="R749" s="1">
        <v>2.6699999999999998E-5</v>
      </c>
      <c r="S749" s="1">
        <v>2.4899999999999999E-5</v>
      </c>
      <c r="T749" s="1">
        <v>1.8199999999999999E-5</v>
      </c>
    </row>
    <row r="750" spans="1:20" hidden="1" x14ac:dyDescent="0.25">
      <c r="A750" t="s">
        <v>768</v>
      </c>
      <c r="B750">
        <v>3.7917600000000003E-2</v>
      </c>
      <c r="C750">
        <v>1.7735946999999998E-2</v>
      </c>
      <c r="D750">
        <v>2.2361735000000001E-2</v>
      </c>
      <c r="E750">
        <v>1.0325222E-2</v>
      </c>
      <c r="F750">
        <v>1.5032209E-2</v>
      </c>
      <c r="G750">
        <v>1.9806074E-2</v>
      </c>
      <c r="H750">
        <v>4.3292267000000002E-2</v>
      </c>
      <c r="I750">
        <v>2.7437174000000002E-2</v>
      </c>
      <c r="J750">
        <v>2.7406926000000002E-2</v>
      </c>
      <c r="K750">
        <v>1.8701064999999999E-2</v>
      </c>
      <c r="L750">
        <v>2.5110738000000001E-2</v>
      </c>
      <c r="M750">
        <v>2.5495244E-2</v>
      </c>
      <c r="N750">
        <v>3.0966786E-2</v>
      </c>
      <c r="O750">
        <v>3.1180982999999999E-2</v>
      </c>
      <c r="P750">
        <v>6.1467518999999998E-2</v>
      </c>
      <c r="Q750">
        <v>2.9273446000000002E-2</v>
      </c>
      <c r="R750">
        <v>2.4249336E-2</v>
      </c>
      <c r="S750">
        <v>3.8098743999999997E-2</v>
      </c>
      <c r="T750">
        <v>2.6009581E-2</v>
      </c>
    </row>
    <row r="751" spans="1:20" hidden="1" x14ac:dyDescent="0.25">
      <c r="A751" t="s">
        <v>769</v>
      </c>
      <c r="B751">
        <v>3.5166728000000001E-2</v>
      </c>
      <c r="C751">
        <v>2.1678836999999999E-2</v>
      </c>
      <c r="D751">
        <v>2.2802465000000001E-2</v>
      </c>
      <c r="E751">
        <v>1.2790226999999999E-2</v>
      </c>
      <c r="F751">
        <v>1.7116771999999999E-2</v>
      </c>
      <c r="G751">
        <v>2.2689984E-2</v>
      </c>
      <c r="H751">
        <v>4.5435045E-2</v>
      </c>
      <c r="I751">
        <v>2.6606234999999999E-2</v>
      </c>
      <c r="J751">
        <v>2.9058501E-2</v>
      </c>
      <c r="K751">
        <v>1.9404370000000001E-2</v>
      </c>
      <c r="L751">
        <v>2.7118776000000001E-2</v>
      </c>
      <c r="M751">
        <v>3.1495743E-2</v>
      </c>
      <c r="N751">
        <v>3.2740551999999999E-2</v>
      </c>
      <c r="O751">
        <v>3.6636755999999999E-2</v>
      </c>
      <c r="P751">
        <v>4.7264278999999999E-2</v>
      </c>
      <c r="Q751">
        <v>2.6677660999999998E-2</v>
      </c>
      <c r="R751">
        <v>2.1065664000000001E-2</v>
      </c>
      <c r="S751">
        <v>3.6734397000000002E-2</v>
      </c>
      <c r="T751">
        <v>2.5913512999999999E-2</v>
      </c>
    </row>
    <row r="752" spans="1:20" hidden="1" x14ac:dyDescent="0.25">
      <c r="A752" t="s">
        <v>770</v>
      </c>
      <c r="B752">
        <v>6.1042400000000004E-4</v>
      </c>
      <c r="C752">
        <v>2.7687799999999999E-4</v>
      </c>
      <c r="D752">
        <v>5.0576099999999997E-4</v>
      </c>
      <c r="E752">
        <v>1.92838E-4</v>
      </c>
      <c r="F752">
        <v>2.2692900000000001E-4</v>
      </c>
      <c r="G752">
        <v>2.8696100000000002E-4</v>
      </c>
      <c r="H752">
        <v>7.9438200000000005E-4</v>
      </c>
      <c r="I752">
        <v>5.4230800000000003E-4</v>
      </c>
      <c r="J752">
        <v>4.20064E-4</v>
      </c>
      <c r="K752">
        <v>3.60047E-4</v>
      </c>
      <c r="L752">
        <v>5.2211300000000005E-4</v>
      </c>
      <c r="M752">
        <v>4.7346600000000002E-4</v>
      </c>
      <c r="N752">
        <v>7.35091E-4</v>
      </c>
      <c r="O752">
        <v>6.5129900000000004E-4</v>
      </c>
      <c r="P752">
        <v>8.1338899999999997E-4</v>
      </c>
      <c r="Q752">
        <v>5.1918899999999998E-4</v>
      </c>
      <c r="R752">
        <v>4.2417600000000001E-4</v>
      </c>
      <c r="S752">
        <v>7.8196799999999996E-4</v>
      </c>
      <c r="T752">
        <v>5.8636400000000003E-4</v>
      </c>
    </row>
    <row r="753" spans="1:20" hidden="1" x14ac:dyDescent="0.25">
      <c r="A753" t="s">
        <v>771</v>
      </c>
      <c r="B753">
        <v>0</v>
      </c>
      <c r="C753" s="1">
        <v>6.0300000000000002E-5</v>
      </c>
      <c r="D753" s="1">
        <v>5.0899999999999997E-5</v>
      </c>
      <c r="E753">
        <v>0</v>
      </c>
      <c r="F753" s="1">
        <v>7.86E-5</v>
      </c>
      <c r="G753" s="1">
        <v>7.7100000000000004E-5</v>
      </c>
      <c r="H753" s="1">
        <v>6.9200000000000002E-5</v>
      </c>
      <c r="I753" s="1">
        <v>9.4699999999999998E-5</v>
      </c>
      <c r="J753">
        <v>1.11629E-4</v>
      </c>
      <c r="K753" s="1">
        <v>5.1700000000000003E-5</v>
      </c>
      <c r="L753" s="1">
        <v>7.8399999999999995E-5</v>
      </c>
      <c r="M753" s="1">
        <v>7.25E-5</v>
      </c>
      <c r="N753">
        <v>1.3223999999999999E-4</v>
      </c>
      <c r="O753" s="1">
        <v>8.2799999999999993E-5</v>
      </c>
      <c r="P753">
        <v>1.06906E-4</v>
      </c>
      <c r="Q753" s="1">
        <v>6.6500000000000004E-5</v>
      </c>
      <c r="R753" s="1">
        <v>8.6600000000000004E-5</v>
      </c>
      <c r="S753">
        <v>1.2771399999999999E-4</v>
      </c>
      <c r="T753" s="1">
        <v>9.98E-5</v>
      </c>
    </row>
    <row r="754" spans="1:20" hidden="1" x14ac:dyDescent="0.25">
      <c r="A754" t="s">
        <v>772</v>
      </c>
      <c r="B754">
        <v>0</v>
      </c>
      <c r="C754">
        <v>0</v>
      </c>
      <c r="D754" s="1">
        <v>7.8300000000000006E-5</v>
      </c>
      <c r="E754" s="1">
        <v>4.3900000000000003E-5</v>
      </c>
      <c r="F754" s="1">
        <v>8.3499999999999997E-5</v>
      </c>
      <c r="G754" s="1">
        <v>7.7600000000000002E-5</v>
      </c>
      <c r="H754">
        <v>0</v>
      </c>
      <c r="I754">
        <v>1.2558400000000001E-4</v>
      </c>
      <c r="J754">
        <v>1.12595E-4</v>
      </c>
      <c r="K754">
        <v>1.0472900000000001E-4</v>
      </c>
      <c r="L754" s="1">
        <v>9.1000000000000003E-5</v>
      </c>
      <c r="M754">
        <v>1.3616499999999999E-4</v>
      </c>
      <c r="N754">
        <v>2.01029E-4</v>
      </c>
      <c r="O754" s="1">
        <v>7.4099999999999999E-5</v>
      </c>
      <c r="P754" s="1">
        <v>8.7600000000000002E-5</v>
      </c>
      <c r="Q754" s="1">
        <v>8.2299999999999995E-5</v>
      </c>
      <c r="R754">
        <v>0</v>
      </c>
      <c r="S754" s="1">
        <v>6.9200000000000002E-5</v>
      </c>
      <c r="T754" s="1">
        <v>7.5900000000000002E-5</v>
      </c>
    </row>
    <row r="755" spans="1:20" hidden="1" x14ac:dyDescent="0.25">
      <c r="A755" t="s">
        <v>773</v>
      </c>
      <c r="B755">
        <v>2.5366700000000001E-4</v>
      </c>
      <c r="C755">
        <v>1.34816E-4</v>
      </c>
      <c r="D755">
        <v>2.16169E-4</v>
      </c>
      <c r="E755">
        <v>2.37872E-4</v>
      </c>
      <c r="F755">
        <v>1.63955E-4</v>
      </c>
      <c r="G755">
        <v>1.49047E-4</v>
      </c>
      <c r="H755">
        <v>1.89982E-4</v>
      </c>
      <c r="I755">
        <v>2.2711899999999999E-4</v>
      </c>
      <c r="J755">
        <v>2.4515399999999998E-4</v>
      </c>
      <c r="K755">
        <v>3.2640600000000001E-4</v>
      </c>
      <c r="L755">
        <v>2.4098699999999999E-4</v>
      </c>
      <c r="M755">
        <v>2.2443300000000001E-4</v>
      </c>
      <c r="N755">
        <v>2.44856E-4</v>
      </c>
      <c r="O755">
        <v>3.0186200000000002E-4</v>
      </c>
      <c r="P755">
        <v>3.1524199999999997E-4</v>
      </c>
      <c r="Q755">
        <v>2.2360699999999999E-4</v>
      </c>
      <c r="R755">
        <v>3.9276399999999998E-4</v>
      </c>
      <c r="S755">
        <v>2.6355600000000002E-4</v>
      </c>
      <c r="T755">
        <v>2.35598E-4</v>
      </c>
    </row>
    <row r="756" spans="1:20" hidden="1" x14ac:dyDescent="0.25">
      <c r="A756" t="s">
        <v>774</v>
      </c>
      <c r="B756" s="1">
        <v>8.6700000000000007E-5</v>
      </c>
      <c r="C756">
        <v>1.41488E-4</v>
      </c>
      <c r="D756">
        <v>1.3275200000000001E-4</v>
      </c>
      <c r="E756">
        <v>1.18136E-4</v>
      </c>
      <c r="F756">
        <v>1.2242899999999999E-4</v>
      </c>
      <c r="G756">
        <v>0</v>
      </c>
      <c r="H756">
        <v>1.2769699999999999E-4</v>
      </c>
      <c r="I756">
        <v>1.12033E-4</v>
      </c>
      <c r="J756" s="1">
        <v>5.63E-5</v>
      </c>
      <c r="K756">
        <v>1.33244E-4</v>
      </c>
      <c r="L756">
        <v>1.47701E-4</v>
      </c>
      <c r="M756">
        <v>1.5378599999999999E-4</v>
      </c>
      <c r="N756">
        <v>1.6651700000000001E-4</v>
      </c>
      <c r="O756" s="1">
        <v>9.8200000000000002E-5</v>
      </c>
      <c r="P756">
        <v>1.4160900000000001E-4</v>
      </c>
      <c r="Q756">
        <v>1.1369199999999999E-4</v>
      </c>
      <c r="R756">
        <v>1.5487000000000001E-4</v>
      </c>
      <c r="S756">
        <v>1.5553E-4</v>
      </c>
      <c r="T756">
        <v>1.24595E-4</v>
      </c>
    </row>
    <row r="757" spans="1:20" hidden="1" x14ac:dyDescent="0.25">
      <c r="A757" t="s">
        <v>775</v>
      </c>
      <c r="B757" s="1">
        <v>2.8200000000000001E-5</v>
      </c>
      <c r="C757">
        <v>0</v>
      </c>
      <c r="D757" s="1">
        <v>3.8399999999999998E-5</v>
      </c>
      <c r="E757" s="1">
        <v>5.5099999999999998E-5</v>
      </c>
      <c r="F757" s="1">
        <v>9.4699999999999998E-5</v>
      </c>
      <c r="G757">
        <v>0</v>
      </c>
      <c r="H757">
        <v>0</v>
      </c>
      <c r="I757" s="1">
        <v>9.4599999999999996E-5</v>
      </c>
      <c r="J757" s="1">
        <v>9.2200000000000005E-5</v>
      </c>
      <c r="K757" s="1">
        <v>5.1499999999999998E-5</v>
      </c>
      <c r="L757" s="1">
        <v>5.2599999999999998E-5</v>
      </c>
      <c r="M757">
        <v>1.09787E-4</v>
      </c>
      <c r="N757">
        <v>1.16353E-4</v>
      </c>
      <c r="O757" s="1">
        <v>7.2799999999999994E-5</v>
      </c>
      <c r="P757">
        <v>1.1060099999999999E-4</v>
      </c>
      <c r="Q757" s="1">
        <v>9.5799999999999998E-5</v>
      </c>
      <c r="R757">
        <v>1.18746E-4</v>
      </c>
      <c r="S757">
        <v>1.3805600000000001E-4</v>
      </c>
      <c r="T757">
        <v>1.1161400000000001E-4</v>
      </c>
    </row>
    <row r="758" spans="1:20" hidden="1" x14ac:dyDescent="0.25">
      <c r="A758" t="s">
        <v>776</v>
      </c>
      <c r="B758">
        <v>4.6057900000000002E-4</v>
      </c>
      <c r="C758">
        <v>3.5229499999999997E-4</v>
      </c>
      <c r="D758">
        <v>2.2113499999999999E-4</v>
      </c>
      <c r="E758">
        <v>2.7599299999999998E-4</v>
      </c>
      <c r="F758">
        <v>5.2728900000000001E-4</v>
      </c>
      <c r="G758">
        <v>4.5160900000000001E-4</v>
      </c>
      <c r="H758">
        <v>4.4476500000000001E-4</v>
      </c>
      <c r="I758">
        <v>4.5710800000000002E-4</v>
      </c>
      <c r="J758">
        <v>4.23693E-4</v>
      </c>
      <c r="K758">
        <v>3.3120900000000001E-4</v>
      </c>
      <c r="L758">
        <v>3.5987399999999999E-4</v>
      </c>
      <c r="M758">
        <v>5.4374200000000005E-4</v>
      </c>
      <c r="N758">
        <v>3.19048E-4</v>
      </c>
      <c r="O758">
        <v>2.1931899999999999E-4</v>
      </c>
      <c r="P758">
        <v>5.9778100000000003E-4</v>
      </c>
      <c r="Q758">
        <v>1.1676239999999999E-3</v>
      </c>
      <c r="R758">
        <v>9.9827399999999995E-4</v>
      </c>
      <c r="S758">
        <v>5.9387700000000003E-4</v>
      </c>
      <c r="T758">
        <v>7.6804800000000002E-4</v>
      </c>
    </row>
    <row r="759" spans="1:20" hidden="1" x14ac:dyDescent="0.25">
      <c r="A759" t="s">
        <v>777</v>
      </c>
      <c r="B759" s="1">
        <v>1.5500000000000001E-5</v>
      </c>
      <c r="C759">
        <v>0</v>
      </c>
      <c r="D759">
        <v>0</v>
      </c>
      <c r="E759">
        <v>0</v>
      </c>
      <c r="F759">
        <v>0</v>
      </c>
      <c r="G759" s="1">
        <v>2.5400000000000001E-5</v>
      </c>
      <c r="H759" s="1">
        <v>1.7799999999999999E-5</v>
      </c>
      <c r="I759" s="1">
        <v>1.04E-5</v>
      </c>
      <c r="J759">
        <v>0</v>
      </c>
      <c r="K759" s="1">
        <v>1.4600000000000001E-5</v>
      </c>
      <c r="L759">
        <v>1.03427E-4</v>
      </c>
      <c r="M759" s="1">
        <v>1.8099999999999999E-5</v>
      </c>
      <c r="N759" s="1">
        <v>2.7100000000000001E-5</v>
      </c>
      <c r="O759">
        <v>0</v>
      </c>
      <c r="P759" s="1">
        <v>2.5599999999999999E-5</v>
      </c>
      <c r="Q759" s="1">
        <v>2.37E-5</v>
      </c>
      <c r="R759" s="1">
        <v>2.0299999999999999E-5</v>
      </c>
      <c r="S759" s="1">
        <v>2.3099999999999999E-5</v>
      </c>
      <c r="T759" s="1">
        <v>8.0900000000000001E-5</v>
      </c>
    </row>
    <row r="760" spans="1:20" hidden="1" x14ac:dyDescent="0.25">
      <c r="A760" t="s">
        <v>778</v>
      </c>
      <c r="B760" s="1">
        <v>4.2299999999999998E-5</v>
      </c>
      <c r="C760" s="1">
        <v>9.8300000000000004E-5</v>
      </c>
      <c r="D760" s="1">
        <v>8.9400000000000005E-5</v>
      </c>
      <c r="E760" s="1">
        <v>7.6799999999999997E-5</v>
      </c>
      <c r="F760" s="1">
        <v>6.0999999999999999E-5</v>
      </c>
      <c r="G760" s="1">
        <v>6.7000000000000002E-5</v>
      </c>
      <c r="H760" s="1">
        <v>4.6499999999999999E-5</v>
      </c>
      <c r="I760" s="1">
        <v>5.3000000000000001E-5</v>
      </c>
      <c r="J760" s="1">
        <v>5.0300000000000003E-5</v>
      </c>
      <c r="K760" s="1">
        <v>6.3499999999999999E-5</v>
      </c>
      <c r="L760" s="1">
        <v>7.2700000000000005E-5</v>
      </c>
      <c r="M760" s="1">
        <v>2.41E-5</v>
      </c>
      <c r="N760">
        <v>0</v>
      </c>
      <c r="O760" s="1">
        <v>5.4200000000000003E-5</v>
      </c>
      <c r="P760" s="1">
        <v>2.7800000000000001E-5</v>
      </c>
      <c r="Q760" s="1">
        <v>3.5500000000000002E-5</v>
      </c>
      <c r="R760" s="1">
        <v>2.5999999999999998E-5</v>
      </c>
      <c r="S760" s="1">
        <v>4.71E-5</v>
      </c>
      <c r="T760" s="1">
        <v>3.6100000000000003E-5</v>
      </c>
    </row>
    <row r="761" spans="1:20" hidden="1" x14ac:dyDescent="0.25">
      <c r="A761" t="s">
        <v>779</v>
      </c>
      <c r="B761" s="1">
        <v>2.3799999999999999E-5</v>
      </c>
      <c r="C761">
        <v>0</v>
      </c>
      <c r="D761">
        <v>0</v>
      </c>
      <c r="E761">
        <v>0</v>
      </c>
      <c r="F761" s="1">
        <v>3.18E-5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s="1">
        <v>5.6499999999999998E-5</v>
      </c>
      <c r="O761">
        <v>0</v>
      </c>
      <c r="P761" s="1">
        <v>5.9899999999999999E-5</v>
      </c>
      <c r="Q761" s="1">
        <v>7.4400000000000006E-5</v>
      </c>
      <c r="R761" s="1">
        <v>7.4300000000000004E-5</v>
      </c>
      <c r="S761" s="1">
        <v>5.4400000000000001E-5</v>
      </c>
      <c r="T761">
        <v>1.2032999999999999E-4</v>
      </c>
    </row>
    <row r="762" spans="1:20" hidden="1" x14ac:dyDescent="0.25">
      <c r="A762" t="s">
        <v>780</v>
      </c>
      <c r="B762" s="1">
        <v>6.2000000000000003E-5</v>
      </c>
      <c r="C762">
        <v>0</v>
      </c>
      <c r="D762">
        <v>0</v>
      </c>
      <c r="E762" s="1">
        <v>1.2999999999999999E-5</v>
      </c>
      <c r="F762">
        <v>0</v>
      </c>
      <c r="G762">
        <v>0</v>
      </c>
      <c r="H762" s="1">
        <v>2.44E-5</v>
      </c>
      <c r="I762">
        <v>0</v>
      </c>
      <c r="J762" s="1">
        <v>2.4300000000000001E-5</v>
      </c>
      <c r="K762" s="1">
        <v>1.6500000000000001E-5</v>
      </c>
      <c r="L762" s="1">
        <v>1.5400000000000002E-5</v>
      </c>
      <c r="M762" s="1">
        <v>2.1500000000000001E-5</v>
      </c>
      <c r="N762" s="1">
        <v>4.6E-5</v>
      </c>
      <c r="O762" s="1">
        <v>2.2500000000000001E-5</v>
      </c>
      <c r="P762" s="1">
        <v>2.76E-5</v>
      </c>
      <c r="Q762" s="1">
        <v>3.7200000000000003E-5</v>
      </c>
      <c r="R762" s="1">
        <v>3.2100000000000001E-5</v>
      </c>
      <c r="S762" s="1">
        <v>3.1399999999999998E-5</v>
      </c>
      <c r="T762" s="1">
        <v>7.0699999999999997E-5</v>
      </c>
    </row>
    <row r="763" spans="1:20" hidden="1" x14ac:dyDescent="0.25">
      <c r="A763" t="s">
        <v>781</v>
      </c>
      <c r="B763">
        <v>1.100398E-3</v>
      </c>
      <c r="C763">
        <v>1.4402429999999999E-3</v>
      </c>
      <c r="D763">
        <v>1.8749680000000001E-3</v>
      </c>
      <c r="E763">
        <v>1.9758900000000001E-3</v>
      </c>
      <c r="F763">
        <v>1.3895019999999999E-3</v>
      </c>
      <c r="G763">
        <v>1.25337E-3</v>
      </c>
      <c r="H763">
        <v>1.755117E-3</v>
      </c>
      <c r="I763">
        <v>1.5175480000000001E-3</v>
      </c>
      <c r="J763">
        <v>1.3263039999999999E-3</v>
      </c>
      <c r="K763">
        <v>1.9789230000000001E-3</v>
      </c>
      <c r="L763">
        <v>1.4781530000000001E-3</v>
      </c>
      <c r="M763">
        <v>8.8687100000000001E-4</v>
      </c>
      <c r="N763">
        <v>1.185586E-3</v>
      </c>
      <c r="O763">
        <v>2.1390369999999999E-3</v>
      </c>
      <c r="P763">
        <v>9.3983900000000004E-4</v>
      </c>
      <c r="Q763">
        <v>4.51581E-4</v>
      </c>
      <c r="R763">
        <v>8.0829899999999995E-4</v>
      </c>
      <c r="S763">
        <v>7.0354E-4</v>
      </c>
      <c r="T763">
        <v>3.6569400000000001E-4</v>
      </c>
    </row>
    <row r="764" spans="1:20" hidden="1" x14ac:dyDescent="0.25">
      <c r="A764" t="s">
        <v>782</v>
      </c>
      <c r="B764">
        <v>1.6637800000000001E-4</v>
      </c>
      <c r="C764">
        <v>1.86412E-4</v>
      </c>
      <c r="D764">
        <v>1.9434399999999999E-4</v>
      </c>
      <c r="E764">
        <v>2.03007E-4</v>
      </c>
      <c r="F764">
        <v>2.15405E-4</v>
      </c>
      <c r="G764">
        <v>1.9400600000000001E-4</v>
      </c>
      <c r="H764">
        <v>3.4641199999999999E-4</v>
      </c>
      <c r="I764">
        <v>2.0172699999999999E-4</v>
      </c>
      <c r="J764">
        <v>2.2096400000000001E-4</v>
      </c>
      <c r="K764">
        <v>2.0674199999999999E-4</v>
      </c>
      <c r="L764">
        <v>1.42717E-4</v>
      </c>
      <c r="M764">
        <v>1.2692000000000001E-4</v>
      </c>
      <c r="N764">
        <v>1.2477399999999999E-4</v>
      </c>
      <c r="O764">
        <v>1.96424E-4</v>
      </c>
      <c r="P764">
        <v>1.9575899999999999E-4</v>
      </c>
      <c r="Q764">
        <v>1.6472000000000001E-4</v>
      </c>
      <c r="R764">
        <v>1.7803099999999999E-4</v>
      </c>
      <c r="S764">
        <v>1.19639E-4</v>
      </c>
      <c r="T764">
        <v>1.9046499999999999E-4</v>
      </c>
    </row>
    <row r="765" spans="1:20" hidden="1" x14ac:dyDescent="0.25">
      <c r="A765" t="s">
        <v>783</v>
      </c>
      <c r="B765" s="1">
        <v>7.6000000000000001E-6</v>
      </c>
      <c r="C765" s="1">
        <v>8.0399999999999993E-6</v>
      </c>
      <c r="D765" s="1">
        <v>6.4099999999999996E-6</v>
      </c>
      <c r="E765" s="1">
        <v>6.7499999999999997E-6</v>
      </c>
      <c r="F765" s="1">
        <v>3.5700000000000001E-6</v>
      </c>
      <c r="G765">
        <v>0</v>
      </c>
      <c r="H765" s="1">
        <v>1.0900000000000001E-5</v>
      </c>
      <c r="I765" s="1">
        <v>6.9700000000000002E-6</v>
      </c>
      <c r="J765">
        <v>0</v>
      </c>
      <c r="K765" s="1">
        <v>6.6900000000000003E-6</v>
      </c>
      <c r="L765" s="1">
        <v>9.9199999999999999E-6</v>
      </c>
      <c r="M765" s="1">
        <v>8.3000000000000002E-6</v>
      </c>
      <c r="N765" s="1">
        <v>1.0499999999999999E-5</v>
      </c>
      <c r="O765" s="1">
        <v>6.6100000000000002E-6</v>
      </c>
      <c r="P765" s="1">
        <v>5.0200000000000002E-6</v>
      </c>
      <c r="Q765" s="1">
        <v>9.5100000000000004E-6</v>
      </c>
      <c r="R765" s="1">
        <v>5.0699999999999997E-6</v>
      </c>
      <c r="S765" s="1">
        <v>1.1399999999999999E-5</v>
      </c>
      <c r="T765" s="1">
        <v>1.29E-5</v>
      </c>
    </row>
    <row r="766" spans="1:20" hidden="1" x14ac:dyDescent="0.25">
      <c r="A766" t="s">
        <v>784</v>
      </c>
      <c r="B766">
        <v>3.1227130000000001E-3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2.3292899999999999E-3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1.9987820000000002E-3</v>
      </c>
      <c r="Q766">
        <v>1.3506893000000001E-2</v>
      </c>
      <c r="R766">
        <v>5.1690989999999999E-3</v>
      </c>
      <c r="S766">
        <v>1.9219560000000001E-3</v>
      </c>
      <c r="T766">
        <v>6.0282970000000002E-3</v>
      </c>
    </row>
    <row r="767" spans="1:20" hidden="1" x14ac:dyDescent="0.25">
      <c r="A767" t="s">
        <v>785</v>
      </c>
      <c r="B767">
        <v>4.3608520000000001E-3</v>
      </c>
      <c r="C767">
        <v>3.3491E-4</v>
      </c>
      <c r="D767">
        <v>2.8949599999999998E-4</v>
      </c>
      <c r="E767">
        <v>3.21727E-4</v>
      </c>
      <c r="F767">
        <v>2.537704E-3</v>
      </c>
      <c r="G767">
        <v>3.1938600000000001E-4</v>
      </c>
      <c r="H767">
        <v>9.3730799999999998E-4</v>
      </c>
      <c r="I767">
        <v>3.4361E-4</v>
      </c>
      <c r="J767">
        <v>2.4053880000000001E-3</v>
      </c>
      <c r="K767">
        <v>4.3593199999999999E-4</v>
      </c>
      <c r="L767">
        <v>2.8256100000000002E-4</v>
      </c>
      <c r="M767">
        <v>1.5278640000000001E-3</v>
      </c>
      <c r="N767">
        <v>4.0037529999999997E-3</v>
      </c>
      <c r="O767">
        <v>4.1408699999999999E-4</v>
      </c>
      <c r="P767">
        <v>3.1799929999999999E-3</v>
      </c>
      <c r="Q767">
        <v>1.5027591E-2</v>
      </c>
      <c r="R767">
        <v>6.607819E-3</v>
      </c>
      <c r="S767">
        <v>1.815954E-3</v>
      </c>
      <c r="T767">
        <v>6.482509E-3</v>
      </c>
    </row>
    <row r="768" spans="1:20" hidden="1" x14ac:dyDescent="0.25">
      <c r="A768" t="s">
        <v>786</v>
      </c>
      <c r="B768">
        <v>4.7973750000000004E-3</v>
      </c>
      <c r="C768">
        <v>3.0997000000000002E-4</v>
      </c>
      <c r="D768">
        <v>2.8564699999999998E-4</v>
      </c>
      <c r="E768">
        <v>3.8577799999999998E-4</v>
      </c>
      <c r="F768">
        <v>2.8207620000000001E-3</v>
      </c>
      <c r="G768">
        <v>2.8959999999999999E-4</v>
      </c>
      <c r="H768">
        <v>8.55298E-4</v>
      </c>
      <c r="I768">
        <v>4.7972899999999997E-4</v>
      </c>
      <c r="J768">
        <v>3.067916E-3</v>
      </c>
      <c r="K768">
        <v>3.8792500000000001E-4</v>
      </c>
      <c r="L768">
        <v>2.19774E-4</v>
      </c>
      <c r="M768">
        <v>1.6802010000000001E-3</v>
      </c>
      <c r="N768">
        <v>4.6537080000000003E-3</v>
      </c>
      <c r="O768">
        <v>4.8129899999999997E-4</v>
      </c>
      <c r="P768">
        <v>4.8882470000000001E-3</v>
      </c>
      <c r="Q768">
        <v>1.1892348000000001E-2</v>
      </c>
      <c r="R768">
        <v>5.7379739999999999E-3</v>
      </c>
      <c r="S768">
        <v>1.1512569999999999E-3</v>
      </c>
      <c r="T768">
        <v>6.893298E-3</v>
      </c>
    </row>
    <row r="769" spans="1:20" hidden="1" x14ac:dyDescent="0.25">
      <c r="A769" t="s">
        <v>787</v>
      </c>
      <c r="B769">
        <v>3.2207500000000001E-4</v>
      </c>
      <c r="C769">
        <v>1.15581E-4</v>
      </c>
      <c r="D769">
        <v>1.5639000000000001E-4</v>
      </c>
      <c r="E769">
        <v>1.42984E-4</v>
      </c>
      <c r="F769">
        <v>3.9109099999999999E-4</v>
      </c>
      <c r="G769">
        <v>2.5405300000000002E-4</v>
      </c>
      <c r="H769">
        <v>3.4358799999999998E-4</v>
      </c>
      <c r="I769">
        <v>3.46082E-4</v>
      </c>
      <c r="J769">
        <v>2.9650199999999997E-4</v>
      </c>
      <c r="K769">
        <v>2.3133100000000001E-4</v>
      </c>
      <c r="L769">
        <v>1.70175E-4</v>
      </c>
      <c r="M769">
        <v>3.0047500000000003E-4</v>
      </c>
      <c r="N769">
        <v>2.7503599999999999E-4</v>
      </c>
      <c r="O769">
        <v>1.82146E-4</v>
      </c>
      <c r="P769">
        <v>2.5494999999999999E-4</v>
      </c>
      <c r="Q769">
        <v>2.9771399999999998E-4</v>
      </c>
      <c r="R769">
        <v>2.3273900000000001E-4</v>
      </c>
      <c r="S769">
        <v>1.3557700000000001E-4</v>
      </c>
      <c r="T769">
        <v>5.2985599999999999E-4</v>
      </c>
    </row>
    <row r="770" spans="1:20" hidden="1" x14ac:dyDescent="0.25">
      <c r="A770" t="s">
        <v>788</v>
      </c>
      <c r="B770">
        <v>0</v>
      </c>
      <c r="C770" s="1">
        <v>6.7199999999999994E-5</v>
      </c>
      <c r="D770">
        <v>1.3265799999999999E-4</v>
      </c>
      <c r="E770">
        <v>1.7000899999999999E-4</v>
      </c>
      <c r="F770" s="1">
        <v>6.7600000000000003E-5</v>
      </c>
      <c r="G770">
        <v>1.9567799999999999E-4</v>
      </c>
      <c r="H770">
        <v>1.68228E-4</v>
      </c>
      <c r="I770">
        <v>1.94324E-4</v>
      </c>
      <c r="J770">
        <v>1.4572399999999999E-4</v>
      </c>
      <c r="K770">
        <v>1.4788E-4</v>
      </c>
      <c r="L770">
        <v>2.30275E-4</v>
      </c>
      <c r="M770">
        <v>1.26697E-4</v>
      </c>
      <c r="N770" s="1">
        <v>4.6E-5</v>
      </c>
      <c r="O770">
        <v>0</v>
      </c>
      <c r="P770">
        <v>1.3100899999999999E-4</v>
      </c>
      <c r="Q770">
        <v>2.55515E-4</v>
      </c>
      <c r="R770">
        <v>3.6285100000000003E-4</v>
      </c>
      <c r="S770">
        <v>3.1543000000000001E-4</v>
      </c>
      <c r="T770">
        <v>1.12487E-4</v>
      </c>
    </row>
    <row r="771" spans="1:20" hidden="1" x14ac:dyDescent="0.25">
      <c r="A771" t="s">
        <v>789</v>
      </c>
      <c r="B771" s="1">
        <v>6.9599999999999998E-5</v>
      </c>
      <c r="C771" s="1">
        <v>8.7999999999999998E-5</v>
      </c>
      <c r="D771">
        <v>0</v>
      </c>
      <c r="E771" s="1">
        <v>6.2500000000000001E-5</v>
      </c>
      <c r="F771" s="1">
        <v>7.7899999999999996E-5</v>
      </c>
      <c r="G771" s="1">
        <v>8.8599999999999999E-5</v>
      </c>
      <c r="H771" s="1">
        <v>7.3100000000000001E-5</v>
      </c>
      <c r="I771" s="1">
        <v>6.9499999999999995E-5</v>
      </c>
      <c r="J771">
        <v>0</v>
      </c>
      <c r="K771">
        <v>1.8564300000000001E-4</v>
      </c>
      <c r="L771">
        <v>0</v>
      </c>
      <c r="M771">
        <v>0</v>
      </c>
      <c r="N771">
        <v>1.3135100000000001E-4</v>
      </c>
      <c r="O771">
        <v>0</v>
      </c>
      <c r="P771">
        <v>2.3165999999999999E-4</v>
      </c>
      <c r="Q771">
        <v>1.61652E-4</v>
      </c>
      <c r="R771">
        <v>2.2599100000000001E-4</v>
      </c>
      <c r="S771">
        <v>1.89252E-4</v>
      </c>
      <c r="T771">
        <v>1.34659E-4</v>
      </c>
    </row>
    <row r="772" spans="1:20" hidden="1" x14ac:dyDescent="0.25">
      <c r="A772" t="s">
        <v>790</v>
      </c>
      <c r="B772">
        <v>0</v>
      </c>
      <c r="C772">
        <v>0</v>
      </c>
      <c r="D772">
        <v>0</v>
      </c>
      <c r="E772">
        <v>0</v>
      </c>
      <c r="F772">
        <v>4.4955100000000002E-4</v>
      </c>
      <c r="G772">
        <v>2.46071E-4</v>
      </c>
      <c r="H772">
        <v>2.5247799999999999E-4</v>
      </c>
      <c r="I772">
        <v>1.9845799999999999E-4</v>
      </c>
      <c r="J772">
        <v>2.7514299999999999E-4</v>
      </c>
      <c r="K772" s="1">
        <v>6.69E-5</v>
      </c>
      <c r="L772">
        <v>1.08571E-4</v>
      </c>
      <c r="M772">
        <v>0</v>
      </c>
      <c r="N772">
        <v>1.22891E-4</v>
      </c>
      <c r="O772" s="1">
        <v>7.9900000000000004E-5</v>
      </c>
      <c r="P772">
        <v>7.3457000000000004E-4</v>
      </c>
      <c r="Q772">
        <v>8.4292799999999995E-4</v>
      </c>
      <c r="R772">
        <v>9.2767200000000005E-4</v>
      </c>
      <c r="S772">
        <v>6.6426799999999998E-4</v>
      </c>
      <c r="T772">
        <v>1.0706599999999999E-4</v>
      </c>
    </row>
    <row r="773" spans="1:20" hidden="1" x14ac:dyDescent="0.25">
      <c r="A773" t="s">
        <v>791</v>
      </c>
      <c r="B773" s="1">
        <v>4.6999999999999997E-5</v>
      </c>
      <c r="C773">
        <v>0</v>
      </c>
      <c r="D773" s="1">
        <v>4.1900000000000002E-5</v>
      </c>
      <c r="E773" s="1">
        <v>4.49E-5</v>
      </c>
      <c r="F773">
        <v>1.75909E-4</v>
      </c>
      <c r="G773" s="1">
        <v>9.7700000000000003E-5</v>
      </c>
      <c r="H773">
        <v>1.8384200000000001E-4</v>
      </c>
      <c r="I773">
        <v>1.1124E-4</v>
      </c>
      <c r="J773">
        <v>2.0942700000000001E-4</v>
      </c>
      <c r="K773" s="1">
        <v>9.8099999999999999E-5</v>
      </c>
      <c r="L773" s="1">
        <v>3.2700000000000002E-5</v>
      </c>
      <c r="M773" s="1">
        <v>9.1000000000000003E-5</v>
      </c>
      <c r="N773" s="1">
        <v>5.3100000000000003E-5</v>
      </c>
      <c r="O773" s="1">
        <v>6.7600000000000003E-5</v>
      </c>
      <c r="P773">
        <v>2.34649E-4</v>
      </c>
      <c r="Q773">
        <v>4.1184000000000001E-4</v>
      </c>
      <c r="R773">
        <v>4.4608199999999999E-4</v>
      </c>
      <c r="S773">
        <v>2.9884099999999999E-4</v>
      </c>
      <c r="T773">
        <v>1.0945100000000001E-4</v>
      </c>
    </row>
    <row r="774" spans="1:20" hidden="1" x14ac:dyDescent="0.25">
      <c r="A774" t="s">
        <v>792</v>
      </c>
      <c r="B774">
        <v>0</v>
      </c>
      <c r="C774">
        <v>3.503E-4</v>
      </c>
      <c r="D774" s="1">
        <v>3.5599999999999998E-5</v>
      </c>
      <c r="E774" s="1">
        <v>3.4499999999999998E-5</v>
      </c>
      <c r="F774">
        <v>0</v>
      </c>
      <c r="G774">
        <v>0</v>
      </c>
      <c r="H774">
        <v>0</v>
      </c>
      <c r="I774">
        <v>0</v>
      </c>
      <c r="J774">
        <v>0</v>
      </c>
      <c r="K774" s="1">
        <v>3.5099999999999999E-5</v>
      </c>
      <c r="L774" s="1">
        <v>5.49E-5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s="1">
        <v>2.3E-5</v>
      </c>
    </row>
    <row r="775" spans="1:20" hidden="1" x14ac:dyDescent="0.25">
      <c r="A775" t="s">
        <v>793</v>
      </c>
      <c r="B775">
        <v>0</v>
      </c>
      <c r="C775">
        <v>0</v>
      </c>
      <c r="D775" s="1">
        <v>3.4700000000000003E-5</v>
      </c>
      <c r="E775">
        <v>0</v>
      </c>
      <c r="F775">
        <v>0</v>
      </c>
      <c r="G775">
        <v>0</v>
      </c>
      <c r="H775" s="1">
        <v>4.8300000000000002E-5</v>
      </c>
      <c r="I775">
        <v>0</v>
      </c>
      <c r="J775" s="1">
        <v>5.5000000000000002E-5</v>
      </c>
      <c r="K775">
        <v>0</v>
      </c>
      <c r="L775" s="1">
        <v>2.19E-5</v>
      </c>
      <c r="M775" s="1">
        <v>4.2500000000000003E-5</v>
      </c>
      <c r="N775" s="1">
        <v>4.6400000000000003E-5</v>
      </c>
      <c r="O775" s="1">
        <v>5.4200000000000003E-5</v>
      </c>
      <c r="P775" s="1">
        <v>6.5900000000000003E-5</v>
      </c>
      <c r="Q775">
        <v>1.02328E-4</v>
      </c>
      <c r="R775">
        <v>1.53284E-4</v>
      </c>
      <c r="S775">
        <v>1.66971E-4</v>
      </c>
      <c r="T775">
        <v>1.5427299999999999E-4</v>
      </c>
    </row>
    <row r="776" spans="1:20" hidden="1" x14ac:dyDescent="0.25">
      <c r="A776" t="s">
        <v>794</v>
      </c>
      <c r="B776" s="1">
        <v>3.1600000000000002E-5</v>
      </c>
      <c r="C776" s="1">
        <v>9.7E-5</v>
      </c>
      <c r="D776" s="1">
        <v>4.1300000000000001E-5</v>
      </c>
      <c r="E776" s="1">
        <v>5.3399999999999997E-5</v>
      </c>
      <c r="F776">
        <v>0</v>
      </c>
      <c r="G776" s="1">
        <v>4.5399999999999999E-5</v>
      </c>
      <c r="H776" s="1">
        <v>7.1899999999999999E-5</v>
      </c>
      <c r="I776" s="1">
        <v>6.2399999999999999E-5</v>
      </c>
      <c r="J776" s="1">
        <v>2.5999999999999998E-5</v>
      </c>
      <c r="K776" s="1">
        <v>4.2899999999999999E-5</v>
      </c>
      <c r="L776" s="1">
        <v>6.41E-5</v>
      </c>
      <c r="M776" s="1">
        <v>3.5899999999999998E-5</v>
      </c>
      <c r="N776" s="1">
        <v>1.84E-5</v>
      </c>
      <c r="O776" s="1">
        <v>1.5400000000000002E-5</v>
      </c>
      <c r="P776" s="1">
        <v>4.2700000000000001E-5</v>
      </c>
      <c r="Q776" s="1">
        <v>7.36E-5</v>
      </c>
      <c r="R776" s="1">
        <v>6.9200000000000002E-5</v>
      </c>
      <c r="S776" s="1">
        <v>5.9599999999999999E-5</v>
      </c>
      <c r="T776" s="1">
        <v>4.3099999999999997E-5</v>
      </c>
    </row>
    <row r="777" spans="1:20" hidden="1" x14ac:dyDescent="0.25">
      <c r="A777" t="s">
        <v>795</v>
      </c>
      <c r="B777" s="1">
        <v>5.1799999999999999E-5</v>
      </c>
      <c r="C777" s="1">
        <v>8.9499999999999994E-5</v>
      </c>
      <c r="D777" s="1">
        <v>6.9499999999999995E-5</v>
      </c>
      <c r="E777" s="1">
        <v>8.7700000000000004E-5</v>
      </c>
      <c r="F777" s="1">
        <v>4.3000000000000002E-5</v>
      </c>
      <c r="G777" s="1">
        <v>8.5099999999999995E-5</v>
      </c>
      <c r="H777">
        <v>1.57455E-4</v>
      </c>
      <c r="I777">
        <v>1.11765E-4</v>
      </c>
      <c r="J777" s="1">
        <v>7.2600000000000003E-5</v>
      </c>
      <c r="K777">
        <v>1.07858E-4</v>
      </c>
      <c r="L777">
        <v>1.27179E-4</v>
      </c>
      <c r="M777" s="1">
        <v>8.0599999999999994E-5</v>
      </c>
      <c r="N777" s="1">
        <v>6.9400000000000006E-5</v>
      </c>
      <c r="O777" s="1">
        <v>5.13E-5</v>
      </c>
      <c r="P777">
        <v>1.05623E-4</v>
      </c>
      <c r="Q777">
        <v>1.7974199999999999E-4</v>
      </c>
      <c r="R777">
        <v>1.4796399999999999E-4</v>
      </c>
      <c r="S777">
        <v>1.4759300000000001E-4</v>
      </c>
      <c r="T777">
        <v>1.04388E-4</v>
      </c>
    </row>
    <row r="778" spans="1:20" hidden="1" x14ac:dyDescent="0.25">
      <c r="A778" t="s">
        <v>796</v>
      </c>
      <c r="B778" s="1">
        <v>9.7399999999999996E-5</v>
      </c>
      <c r="C778">
        <v>0</v>
      </c>
      <c r="D778">
        <v>0</v>
      </c>
      <c r="E778">
        <v>0</v>
      </c>
      <c r="F778">
        <v>0</v>
      </c>
      <c r="G778">
        <v>0</v>
      </c>
      <c r="H778" s="1">
        <v>6.4700000000000001E-5</v>
      </c>
      <c r="I778" s="1">
        <v>4.1699999999999997E-5</v>
      </c>
      <c r="J778" s="1">
        <v>7.47E-5</v>
      </c>
      <c r="K778">
        <v>0</v>
      </c>
      <c r="L778">
        <v>0</v>
      </c>
      <c r="M778" s="1">
        <v>7.1500000000000003E-5</v>
      </c>
      <c r="N778">
        <v>1.2323799999999999E-4</v>
      </c>
      <c r="O778">
        <v>0</v>
      </c>
      <c r="P778" s="1">
        <v>4.8000000000000001E-5</v>
      </c>
      <c r="Q778" s="1">
        <v>3.4199999999999998E-5</v>
      </c>
      <c r="R778">
        <v>1.0686100000000001E-4</v>
      </c>
      <c r="S778">
        <v>0</v>
      </c>
      <c r="T778" s="1">
        <v>8.3599999999999999E-5</v>
      </c>
    </row>
    <row r="779" spans="1:20" hidden="1" x14ac:dyDescent="0.25">
      <c r="A779" t="s">
        <v>797</v>
      </c>
      <c r="B779" s="1">
        <v>6.7700000000000006E-5</v>
      </c>
      <c r="C779" s="1">
        <v>8.5199999999999997E-5</v>
      </c>
      <c r="D779">
        <v>1.08179E-4</v>
      </c>
      <c r="E779" s="1">
        <v>6.4800000000000003E-5</v>
      </c>
      <c r="F779">
        <v>1.2529699999999999E-4</v>
      </c>
      <c r="G779">
        <v>1.12724E-4</v>
      </c>
      <c r="H779">
        <v>1.26072E-4</v>
      </c>
      <c r="I779">
        <v>1.36534E-4</v>
      </c>
      <c r="J779">
        <v>1.2081700000000001E-4</v>
      </c>
      <c r="K779" s="1">
        <v>9.2200000000000005E-5</v>
      </c>
      <c r="L779">
        <v>1.0737400000000001E-4</v>
      </c>
      <c r="M779" s="1">
        <v>9.7299999999999993E-5</v>
      </c>
      <c r="N779">
        <v>1.69591E-4</v>
      </c>
      <c r="O779">
        <v>1.1731E-4</v>
      </c>
      <c r="P779">
        <v>1.3274900000000001E-4</v>
      </c>
      <c r="Q779">
        <v>1.0244899999999999E-4</v>
      </c>
      <c r="R779">
        <v>1.12129E-4</v>
      </c>
      <c r="S779">
        <v>1.22445E-4</v>
      </c>
      <c r="T779">
        <v>1.28565E-4</v>
      </c>
    </row>
    <row r="780" spans="1:20" hidden="1" x14ac:dyDescent="0.25">
      <c r="A780" t="s">
        <v>798</v>
      </c>
      <c r="B780">
        <v>1.7370299999999999E-4</v>
      </c>
      <c r="C780">
        <v>2.34797E-4</v>
      </c>
      <c r="D780">
        <v>2.0600699999999999E-4</v>
      </c>
      <c r="E780">
        <v>1.5202999999999999E-4</v>
      </c>
      <c r="F780">
        <v>1.6460300000000001E-4</v>
      </c>
      <c r="G780">
        <v>1.6757100000000001E-4</v>
      </c>
      <c r="H780">
        <v>2.0596899999999999E-4</v>
      </c>
      <c r="I780">
        <v>2.2425599999999999E-4</v>
      </c>
      <c r="J780">
        <v>2.17753E-4</v>
      </c>
      <c r="K780">
        <v>1.44952E-4</v>
      </c>
      <c r="L780">
        <v>2.1004199999999999E-4</v>
      </c>
      <c r="M780">
        <v>2.4799499999999999E-4</v>
      </c>
      <c r="N780">
        <v>2.6087700000000002E-4</v>
      </c>
      <c r="O780">
        <v>2.2482900000000001E-4</v>
      </c>
      <c r="P780">
        <v>2.00986E-4</v>
      </c>
      <c r="Q780">
        <v>2.28063E-4</v>
      </c>
      <c r="R780">
        <v>1.8166800000000001E-4</v>
      </c>
      <c r="S780">
        <v>1.93031E-4</v>
      </c>
      <c r="T780">
        <v>1.9626800000000001E-4</v>
      </c>
    </row>
    <row r="781" spans="1:20" hidden="1" x14ac:dyDescent="0.25">
      <c r="A781" t="s">
        <v>799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1">
        <v>1.73E-5</v>
      </c>
      <c r="R781" s="1">
        <v>1.3900000000000001E-5</v>
      </c>
      <c r="S781" s="1">
        <v>1.8300000000000001E-5</v>
      </c>
      <c r="T781" s="1">
        <v>1.5299999999999999E-5</v>
      </c>
    </row>
    <row r="782" spans="1:20" hidden="1" x14ac:dyDescent="0.25">
      <c r="A782" t="s">
        <v>800</v>
      </c>
      <c r="B782" s="1">
        <v>4.8399999999999997E-5</v>
      </c>
      <c r="C782" s="1">
        <v>3.7400000000000001E-5</v>
      </c>
      <c r="D782" s="1">
        <v>7.1299999999999998E-5</v>
      </c>
      <c r="E782" s="1">
        <v>5.7099999999999999E-5</v>
      </c>
      <c r="F782" s="1">
        <v>2.51E-5</v>
      </c>
      <c r="G782">
        <v>0</v>
      </c>
      <c r="H782" s="1">
        <v>2.97E-5</v>
      </c>
      <c r="I782" s="1">
        <v>1.1800000000000001E-5</v>
      </c>
      <c r="J782">
        <v>0</v>
      </c>
      <c r="K782" s="1">
        <v>1.8600000000000001E-5</v>
      </c>
      <c r="L782" s="1">
        <v>1.9000000000000001E-5</v>
      </c>
      <c r="M782" s="1">
        <v>2.3200000000000001E-5</v>
      </c>
      <c r="N782" s="1">
        <v>2.5199999999999999E-5</v>
      </c>
      <c r="O782" s="1">
        <v>2.9200000000000002E-5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hidden="1" x14ac:dyDescent="0.25">
      <c r="A783" t="s">
        <v>801</v>
      </c>
      <c r="B783">
        <v>2.9518699999999998E-4</v>
      </c>
      <c r="C783">
        <v>1.6971799999999999E-4</v>
      </c>
      <c r="D783" s="1">
        <v>2.2500000000000001E-5</v>
      </c>
      <c r="E783" s="1">
        <v>3.4499999999999998E-5</v>
      </c>
      <c r="F783">
        <v>1.9209590000000001E-3</v>
      </c>
      <c r="G783">
        <v>5.5502800000000005E-4</v>
      </c>
      <c r="H783">
        <v>1.699419E-3</v>
      </c>
      <c r="I783">
        <v>1.1662759999999999E-3</v>
      </c>
      <c r="J783">
        <v>3.2626900000000002E-4</v>
      </c>
      <c r="K783">
        <v>3.9128699999999998E-4</v>
      </c>
      <c r="L783">
        <v>1.4768310000000001E-3</v>
      </c>
      <c r="M783">
        <v>2.3105869999999998E-3</v>
      </c>
      <c r="N783">
        <v>1.1126930000000001E-3</v>
      </c>
      <c r="O783">
        <v>1.1737259999999999E-3</v>
      </c>
      <c r="P783">
        <v>2.9238179999999999E-3</v>
      </c>
      <c r="Q783">
        <v>5.2435999999999997E-4</v>
      </c>
      <c r="R783">
        <v>3.7859900000000003E-4</v>
      </c>
      <c r="S783">
        <v>1.6113309999999999E-3</v>
      </c>
      <c r="T783">
        <v>6.8856099999999997E-4</v>
      </c>
    </row>
    <row r="784" spans="1:20" hidden="1" x14ac:dyDescent="0.25">
      <c r="A784" t="s">
        <v>802</v>
      </c>
      <c r="B784">
        <v>1.23208E-4</v>
      </c>
      <c r="C784">
        <v>3.5566299999999999E-4</v>
      </c>
      <c r="D784">
        <v>3.8684100000000002E-4</v>
      </c>
      <c r="E784">
        <v>1.9894800000000001E-4</v>
      </c>
      <c r="F784">
        <v>1.5020699999999999E-4</v>
      </c>
      <c r="G784">
        <v>0</v>
      </c>
      <c r="H784">
        <v>1.16062E-4</v>
      </c>
      <c r="I784">
        <v>1.08831E-4</v>
      </c>
      <c r="J784">
        <v>1.1615799999999999E-4</v>
      </c>
      <c r="K784">
        <v>1.2392800000000001E-4</v>
      </c>
      <c r="L784">
        <v>1.7895000000000001E-4</v>
      </c>
      <c r="M784" s="1">
        <v>7.8300000000000006E-5</v>
      </c>
      <c r="N784">
        <v>1.0688600000000001E-4</v>
      </c>
      <c r="O784">
        <v>1.2999800000000001E-4</v>
      </c>
      <c r="P784">
        <v>0</v>
      </c>
      <c r="Q784" s="1">
        <v>2.6699999999999998E-5</v>
      </c>
      <c r="R784" s="1">
        <v>5.3100000000000003E-5</v>
      </c>
      <c r="S784">
        <v>1.24733E-4</v>
      </c>
      <c r="T784">
        <v>0</v>
      </c>
    </row>
    <row r="785" spans="1:20" hidden="1" x14ac:dyDescent="0.25">
      <c r="A785" t="s">
        <v>803</v>
      </c>
      <c r="B785">
        <v>8.9181700000000004E-4</v>
      </c>
      <c r="C785">
        <v>1.4554769999999999E-3</v>
      </c>
      <c r="D785">
        <v>1.504582E-3</v>
      </c>
      <c r="E785">
        <v>9.4696999999999999E-4</v>
      </c>
      <c r="F785">
        <v>8.9427400000000002E-4</v>
      </c>
      <c r="G785">
        <v>8.4447199999999997E-4</v>
      </c>
      <c r="H785">
        <v>8.2857799999999995E-4</v>
      </c>
      <c r="I785">
        <v>7.9336100000000002E-4</v>
      </c>
      <c r="J785">
        <v>8.2123099999999996E-4</v>
      </c>
      <c r="K785">
        <v>8.4617999999999998E-4</v>
      </c>
      <c r="L785">
        <v>8.9046600000000002E-4</v>
      </c>
      <c r="M785">
        <v>7.59109E-4</v>
      </c>
      <c r="N785">
        <v>7.5855300000000003E-4</v>
      </c>
      <c r="O785">
        <v>7.6736600000000001E-4</v>
      </c>
      <c r="P785">
        <v>4.04802E-4</v>
      </c>
      <c r="Q785">
        <v>4.79352E-4</v>
      </c>
      <c r="R785">
        <v>3.8292000000000003E-4</v>
      </c>
      <c r="S785">
        <v>3.74294E-4</v>
      </c>
      <c r="T785">
        <v>5.0908599999999996E-4</v>
      </c>
    </row>
    <row r="786" spans="1:20" hidden="1" x14ac:dyDescent="0.25">
      <c r="A786" t="s">
        <v>804</v>
      </c>
      <c r="B786">
        <v>1.6995399999999999E-4</v>
      </c>
      <c r="C786">
        <v>3.1468199999999999E-4</v>
      </c>
      <c r="D786">
        <v>3.3499300000000001E-4</v>
      </c>
      <c r="E786">
        <v>3.0788499999999998E-4</v>
      </c>
      <c r="F786">
        <v>5.16932E-4</v>
      </c>
      <c r="G786">
        <v>2.33281E-4</v>
      </c>
      <c r="H786">
        <v>3.15247E-4</v>
      </c>
      <c r="I786">
        <v>3.5927000000000002E-4</v>
      </c>
      <c r="J786">
        <v>2.48192E-4</v>
      </c>
      <c r="K786">
        <v>3.3601200000000001E-4</v>
      </c>
      <c r="L786">
        <v>2.2697E-4</v>
      </c>
      <c r="M786">
        <v>2.27693E-4</v>
      </c>
      <c r="N786">
        <v>2.1658100000000001E-4</v>
      </c>
      <c r="O786">
        <v>3.1842699999999998E-4</v>
      </c>
      <c r="P786">
        <v>1.2990199999999999E-4</v>
      </c>
      <c r="Q786">
        <v>1.5450500000000001E-4</v>
      </c>
      <c r="R786">
        <v>1.3394899999999999E-4</v>
      </c>
      <c r="S786">
        <v>1.7975599999999999E-4</v>
      </c>
      <c r="T786">
        <v>1.5737699999999999E-4</v>
      </c>
    </row>
    <row r="787" spans="1:20" hidden="1" x14ac:dyDescent="0.25">
      <c r="A787" t="s">
        <v>805</v>
      </c>
      <c r="B787">
        <v>1.4030729999999999E-3</v>
      </c>
      <c r="C787">
        <v>9.1590300000000003E-4</v>
      </c>
      <c r="D787">
        <v>1.3387399999999999E-3</v>
      </c>
      <c r="E787">
        <v>1.548329E-3</v>
      </c>
      <c r="F787">
        <v>1.4058009999999999E-3</v>
      </c>
      <c r="G787">
        <v>9.2834299999999999E-4</v>
      </c>
      <c r="H787">
        <v>7.9330899999999996E-4</v>
      </c>
      <c r="I787">
        <v>9.71057E-4</v>
      </c>
      <c r="J787">
        <v>1.2407150000000001E-3</v>
      </c>
      <c r="K787">
        <v>1.2157699999999999E-3</v>
      </c>
      <c r="L787">
        <v>9.8444000000000005E-4</v>
      </c>
      <c r="M787">
        <v>9.1589799999999995E-4</v>
      </c>
      <c r="N787">
        <v>9.7879200000000003E-4</v>
      </c>
      <c r="O787">
        <v>1.3617670000000001E-3</v>
      </c>
      <c r="P787">
        <v>6.84624E-4</v>
      </c>
      <c r="Q787">
        <v>2.55467E-4</v>
      </c>
      <c r="R787">
        <v>3.69074E-4</v>
      </c>
      <c r="S787">
        <v>2.1860200000000001E-4</v>
      </c>
      <c r="T787">
        <v>2.5471599999999999E-4</v>
      </c>
    </row>
    <row r="788" spans="1:20" hidden="1" x14ac:dyDescent="0.25">
      <c r="A788" t="s">
        <v>806</v>
      </c>
      <c r="B788" s="1">
        <v>4.7899999999999999E-5</v>
      </c>
      <c r="C788">
        <v>0</v>
      </c>
      <c r="D788" s="1">
        <v>2.5199999999999999E-5</v>
      </c>
      <c r="E788">
        <v>0</v>
      </c>
      <c r="F788" s="1">
        <v>6.7100000000000005E-5</v>
      </c>
      <c r="G788" s="1">
        <v>6.4800000000000003E-5</v>
      </c>
      <c r="H788" s="1">
        <v>9.1299999999999997E-5</v>
      </c>
      <c r="I788">
        <v>1.4723700000000001E-4</v>
      </c>
      <c r="J788" s="1">
        <v>6.8200000000000004E-5</v>
      </c>
      <c r="K788" s="1">
        <v>5.1600000000000001E-5</v>
      </c>
      <c r="L788" s="1">
        <v>6.5099999999999997E-5</v>
      </c>
      <c r="M788">
        <v>1.01612E-4</v>
      </c>
      <c r="N788">
        <v>1.24406E-4</v>
      </c>
      <c r="O788">
        <v>1.3305399999999999E-4</v>
      </c>
      <c r="P788">
        <v>1.20782E-4</v>
      </c>
      <c r="Q788" s="1">
        <v>8.0500000000000005E-5</v>
      </c>
      <c r="R788" s="1">
        <v>5.2299999999999997E-5</v>
      </c>
      <c r="S788">
        <v>2.3805699999999999E-4</v>
      </c>
      <c r="T788" s="1">
        <v>5.4599999999999999E-5</v>
      </c>
    </row>
    <row r="789" spans="1:20" hidden="1" x14ac:dyDescent="0.25">
      <c r="A789" t="s">
        <v>807</v>
      </c>
      <c r="B789">
        <v>1.053696E-3</v>
      </c>
      <c r="C789">
        <v>7.7052100000000003E-4</v>
      </c>
      <c r="D789">
        <v>9.3428900000000004E-4</v>
      </c>
      <c r="E789">
        <v>9.8602999999999994E-4</v>
      </c>
      <c r="F789">
        <v>8.5643700000000004E-4</v>
      </c>
      <c r="G789">
        <v>6.2116500000000002E-4</v>
      </c>
      <c r="H789">
        <v>6.7962000000000003E-4</v>
      </c>
      <c r="I789">
        <v>6.6340799999999999E-4</v>
      </c>
      <c r="J789">
        <v>9.2488200000000003E-4</v>
      </c>
      <c r="K789">
        <v>1.022904E-3</v>
      </c>
      <c r="L789">
        <v>7.8926599999999995E-4</v>
      </c>
      <c r="M789">
        <v>9.3942500000000003E-4</v>
      </c>
      <c r="N789">
        <v>6.4083E-4</v>
      </c>
      <c r="O789">
        <v>7.3380699999999995E-4</v>
      </c>
      <c r="P789">
        <v>7.5954400000000002E-4</v>
      </c>
      <c r="Q789">
        <v>5.92766E-4</v>
      </c>
      <c r="R789">
        <v>5.3449499999999996E-4</v>
      </c>
      <c r="S789">
        <v>6.2908699999999996E-4</v>
      </c>
      <c r="T789">
        <v>7.1059900000000002E-4</v>
      </c>
    </row>
    <row r="790" spans="1:20" hidden="1" x14ac:dyDescent="0.25">
      <c r="A790" t="s">
        <v>808</v>
      </c>
      <c r="B790">
        <v>4.0210300000000001E-4</v>
      </c>
      <c r="C790">
        <v>3.9079400000000003E-4</v>
      </c>
      <c r="D790">
        <v>0</v>
      </c>
      <c r="E790">
        <v>3.9547900000000001E-4</v>
      </c>
      <c r="F790">
        <v>0</v>
      </c>
      <c r="G790">
        <v>0</v>
      </c>
      <c r="H790">
        <v>2.83713E-4</v>
      </c>
      <c r="I790">
        <v>6.4622200000000001E-4</v>
      </c>
      <c r="J790">
        <v>6.3036500000000003E-4</v>
      </c>
      <c r="K790">
        <v>3.75103E-4</v>
      </c>
      <c r="L790">
        <v>4.2088999999999999E-4</v>
      </c>
      <c r="M790">
        <v>7.3614899999999996E-4</v>
      </c>
      <c r="N790">
        <v>9.5594199999999999E-4</v>
      </c>
      <c r="O790">
        <v>8.1836599999999995E-4</v>
      </c>
      <c r="P790">
        <v>5.8297799999999995E-4</v>
      </c>
      <c r="Q790">
        <v>6.5047800000000002E-4</v>
      </c>
      <c r="R790">
        <v>4.8512199999999999E-4</v>
      </c>
      <c r="S790">
        <v>0</v>
      </c>
      <c r="T790">
        <v>8.9724100000000001E-4</v>
      </c>
    </row>
    <row r="791" spans="1:20" hidden="1" x14ac:dyDescent="0.25">
      <c r="A791" t="s">
        <v>809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s="1">
        <v>2.5199999999999999E-5</v>
      </c>
      <c r="R791" s="1">
        <v>2.9600000000000001E-5</v>
      </c>
      <c r="S791" s="1">
        <v>2.7100000000000001E-5</v>
      </c>
      <c r="T791" s="1">
        <v>7.2299999999999996E-5</v>
      </c>
    </row>
    <row r="792" spans="1:20" hidden="1" x14ac:dyDescent="0.25">
      <c r="A792" t="s">
        <v>810</v>
      </c>
      <c r="B792" s="1">
        <v>8.7000000000000001E-5</v>
      </c>
      <c r="C792" s="1">
        <v>7.7700000000000005E-5</v>
      </c>
      <c r="D792" s="1">
        <v>5.8E-5</v>
      </c>
      <c r="E792" s="1">
        <v>6.02E-5</v>
      </c>
      <c r="F792" s="1">
        <v>8.8300000000000005E-5</v>
      </c>
      <c r="G792">
        <v>2.0157500000000001E-4</v>
      </c>
      <c r="H792">
        <v>1.07639E-4</v>
      </c>
      <c r="I792" s="1">
        <v>8.9300000000000002E-5</v>
      </c>
      <c r="J792" s="1">
        <v>7.25E-5</v>
      </c>
      <c r="K792">
        <v>1.12305E-4</v>
      </c>
      <c r="L792">
        <v>1.2435500000000001E-4</v>
      </c>
      <c r="M792">
        <v>1.0815900000000001E-4</v>
      </c>
      <c r="N792" s="1">
        <v>5.2800000000000003E-5</v>
      </c>
      <c r="O792" s="1">
        <v>4.8699999999999998E-5</v>
      </c>
      <c r="P792">
        <v>1.6038399999999999E-4</v>
      </c>
      <c r="Q792">
        <v>2.7377400000000001E-4</v>
      </c>
      <c r="R792">
        <v>2.3496699999999999E-4</v>
      </c>
      <c r="S792">
        <v>3.3653900000000001E-4</v>
      </c>
      <c r="T792">
        <v>2.7637000000000001E-4</v>
      </c>
    </row>
    <row r="793" spans="1:20" hidden="1" x14ac:dyDescent="0.25">
      <c r="A793" t="s">
        <v>811</v>
      </c>
      <c r="B793" s="1">
        <v>1.22E-5</v>
      </c>
      <c r="C793">
        <v>0</v>
      </c>
      <c r="D793" s="1">
        <v>8.6799999999999999E-6</v>
      </c>
      <c r="E793">
        <v>0</v>
      </c>
      <c r="F793" s="1">
        <v>1.77E-5</v>
      </c>
      <c r="G793" s="1">
        <v>3.6199999999999999E-5</v>
      </c>
      <c r="H793" s="1">
        <v>1.95E-5</v>
      </c>
      <c r="I793" s="1">
        <v>1.2500000000000001E-5</v>
      </c>
      <c r="J793" s="1">
        <v>1.4600000000000001E-5</v>
      </c>
      <c r="K793" s="1">
        <v>1.7499999999999998E-5</v>
      </c>
      <c r="L793" s="1">
        <v>2.2099999999999998E-5</v>
      </c>
      <c r="M793" s="1">
        <v>1.3699999999999999E-5</v>
      </c>
      <c r="N793" s="1">
        <v>8.2099999999999993E-6</v>
      </c>
      <c r="O793">
        <v>0</v>
      </c>
      <c r="P793" s="1">
        <v>2.48E-5</v>
      </c>
      <c r="Q793" s="1">
        <v>6.5400000000000004E-5</v>
      </c>
      <c r="R793" s="1">
        <v>3.65E-5</v>
      </c>
      <c r="S793" s="1">
        <v>7.7399999999999998E-5</v>
      </c>
      <c r="T793" s="1">
        <v>7.1500000000000003E-5</v>
      </c>
    </row>
    <row r="794" spans="1:20" hidden="1" x14ac:dyDescent="0.25">
      <c r="A794" t="s">
        <v>812</v>
      </c>
      <c r="B794" s="1">
        <v>2.0299999999999999E-5</v>
      </c>
      <c r="C794">
        <v>0</v>
      </c>
      <c r="D794">
        <v>0</v>
      </c>
      <c r="E794">
        <v>0</v>
      </c>
      <c r="F794">
        <v>0</v>
      </c>
      <c r="G794" s="1">
        <v>9.4599999999999992E-6</v>
      </c>
      <c r="H794" s="1">
        <v>2.2900000000000001E-5</v>
      </c>
      <c r="I794">
        <v>0</v>
      </c>
      <c r="J794" s="1">
        <v>2.0100000000000001E-5</v>
      </c>
      <c r="K794">
        <v>0</v>
      </c>
      <c r="L794">
        <v>0</v>
      </c>
      <c r="M794">
        <v>0</v>
      </c>
      <c r="N794" s="1">
        <v>2.0000000000000002E-5</v>
      </c>
      <c r="O794" s="1">
        <v>1.5800000000000001E-5</v>
      </c>
      <c r="P794" s="1">
        <v>3.6399999999999997E-5</v>
      </c>
      <c r="Q794" s="1">
        <v>6.8399999999999996E-5</v>
      </c>
      <c r="R794" s="1">
        <v>5.7200000000000001E-5</v>
      </c>
      <c r="S794" s="1">
        <v>6.7399999999999998E-5</v>
      </c>
      <c r="T794" s="1">
        <v>9.2899999999999995E-5</v>
      </c>
    </row>
    <row r="795" spans="1:20" hidden="1" x14ac:dyDescent="0.25">
      <c r="A795" t="s">
        <v>813</v>
      </c>
      <c r="B795">
        <v>2.69885E-3</v>
      </c>
      <c r="C795">
        <v>3.6193699999999998E-3</v>
      </c>
      <c r="D795">
        <v>3.3739870000000002E-3</v>
      </c>
      <c r="E795">
        <v>2.9012740000000001E-3</v>
      </c>
      <c r="F795">
        <v>2.569352E-3</v>
      </c>
      <c r="G795">
        <v>3.763808E-3</v>
      </c>
      <c r="H795">
        <v>2.3989129999999999E-3</v>
      </c>
      <c r="I795">
        <v>2.3324600000000002E-3</v>
      </c>
      <c r="J795">
        <v>2.9334579999999999E-3</v>
      </c>
      <c r="K795">
        <v>2.8265849999999999E-3</v>
      </c>
      <c r="L795">
        <v>3.1561079999999999E-3</v>
      </c>
      <c r="M795">
        <v>2.3599110000000001E-3</v>
      </c>
      <c r="N795">
        <v>1.5853480000000001E-3</v>
      </c>
      <c r="O795">
        <v>3.0255289999999999E-3</v>
      </c>
      <c r="P795">
        <v>2.5945289999999999E-3</v>
      </c>
      <c r="Q795">
        <v>1.5799430000000001E-3</v>
      </c>
      <c r="R795">
        <v>5.3039899999999997E-3</v>
      </c>
      <c r="S795">
        <v>2.1916219999999998E-3</v>
      </c>
      <c r="T795">
        <v>2.0639349999999998E-3</v>
      </c>
    </row>
    <row r="796" spans="1:20" hidden="1" x14ac:dyDescent="0.25">
      <c r="A796" t="s">
        <v>814</v>
      </c>
      <c r="B796">
        <v>2.3892299999999999E-4</v>
      </c>
      <c r="C796">
        <v>7.1459699999999998E-4</v>
      </c>
      <c r="D796">
        <v>4.9452199999999995E-4</v>
      </c>
      <c r="E796">
        <v>4.5572800000000002E-4</v>
      </c>
      <c r="F796">
        <v>3.5190800000000001E-4</v>
      </c>
      <c r="G796">
        <v>6.6142800000000004E-4</v>
      </c>
      <c r="H796">
        <v>2.8133299999999998E-4</v>
      </c>
      <c r="I796">
        <v>3.6995399999999998E-4</v>
      </c>
      <c r="J796">
        <v>2.8945700000000002E-4</v>
      </c>
      <c r="K796">
        <v>4.40171E-4</v>
      </c>
      <c r="L796">
        <v>4.8489200000000001E-4</v>
      </c>
      <c r="M796">
        <v>2.20919E-4</v>
      </c>
      <c r="N796">
        <v>1.8016500000000001E-4</v>
      </c>
      <c r="O796">
        <v>2.9860100000000001E-4</v>
      </c>
      <c r="P796">
        <v>3.42419E-4</v>
      </c>
      <c r="Q796">
        <v>2.6718800000000002E-4</v>
      </c>
      <c r="R796">
        <v>4.0024199999999998E-4</v>
      </c>
      <c r="S796">
        <v>3.0364600000000003E-4</v>
      </c>
      <c r="T796">
        <v>3.2075300000000001E-4</v>
      </c>
    </row>
    <row r="797" spans="1:20" hidden="1" x14ac:dyDescent="0.25">
      <c r="A797" t="s">
        <v>815</v>
      </c>
      <c r="B797">
        <v>1.10537E-4</v>
      </c>
      <c r="C797">
        <v>1.2487199999999999E-4</v>
      </c>
      <c r="D797">
        <v>1.14644E-4</v>
      </c>
      <c r="E797" s="1">
        <v>9.0199999999999997E-5</v>
      </c>
      <c r="F797">
        <v>2.04627E-4</v>
      </c>
      <c r="G797">
        <v>4.3291400000000001E-4</v>
      </c>
      <c r="H797">
        <v>1.6326200000000001E-4</v>
      </c>
      <c r="I797">
        <v>1.5945099999999999E-4</v>
      </c>
      <c r="J797">
        <v>1.72843E-4</v>
      </c>
      <c r="K797">
        <v>2.39349E-4</v>
      </c>
      <c r="L797">
        <v>1.7956299999999999E-4</v>
      </c>
      <c r="M797">
        <v>1.4778E-4</v>
      </c>
      <c r="N797">
        <v>1.03428E-4</v>
      </c>
      <c r="O797">
        <v>1.2767400000000001E-4</v>
      </c>
      <c r="P797">
        <v>4.0135000000000002E-4</v>
      </c>
      <c r="Q797">
        <v>5.6125999999999995E-4</v>
      </c>
      <c r="R797">
        <v>5.9145699999999999E-4</v>
      </c>
      <c r="S797">
        <v>1.0955100000000001E-3</v>
      </c>
      <c r="T797">
        <v>7.8453400000000003E-4</v>
      </c>
    </row>
    <row r="798" spans="1:20" hidden="1" x14ac:dyDescent="0.25">
      <c r="A798" t="s">
        <v>816</v>
      </c>
      <c r="B798">
        <v>1.18947E-4</v>
      </c>
      <c r="C798">
        <v>2.4523699999999998E-4</v>
      </c>
      <c r="D798">
        <v>2.07894E-4</v>
      </c>
      <c r="E798">
        <v>1.7720499999999999E-4</v>
      </c>
      <c r="F798">
        <v>1.3417999999999999E-4</v>
      </c>
      <c r="G798">
        <v>1.6279099999999999E-4</v>
      </c>
      <c r="H798">
        <v>1.3813000000000001E-4</v>
      </c>
      <c r="I798">
        <v>1.33833E-4</v>
      </c>
      <c r="J798">
        <v>1.3689900000000001E-4</v>
      </c>
      <c r="K798">
        <v>1.6075200000000001E-4</v>
      </c>
      <c r="L798">
        <v>2.0910699999999999E-4</v>
      </c>
      <c r="M798">
        <v>1.23912E-4</v>
      </c>
      <c r="N798" s="1">
        <v>7.8899999999999993E-5</v>
      </c>
      <c r="O798">
        <v>1.00231E-4</v>
      </c>
      <c r="P798" s="1">
        <v>8.9900000000000003E-5</v>
      </c>
      <c r="Q798" s="1">
        <v>9.6000000000000002E-5</v>
      </c>
      <c r="R798" s="1">
        <v>7.2600000000000003E-5</v>
      </c>
      <c r="S798" s="1">
        <v>5.9500000000000003E-5</v>
      </c>
      <c r="T798" s="1">
        <v>8.7899999999999995E-5</v>
      </c>
    </row>
    <row r="799" spans="1:20" hidden="1" x14ac:dyDescent="0.25">
      <c r="A799" t="s">
        <v>817</v>
      </c>
      <c r="B799">
        <v>1.217103E-3</v>
      </c>
      <c r="C799">
        <v>1.3185639999999999E-3</v>
      </c>
      <c r="D799">
        <v>1.086755E-3</v>
      </c>
      <c r="E799">
        <v>8.5571699999999998E-4</v>
      </c>
      <c r="F799">
        <v>1.267078E-3</v>
      </c>
      <c r="G799">
        <v>1.0891849999999999E-3</v>
      </c>
      <c r="H799">
        <v>8.0833399999999996E-4</v>
      </c>
      <c r="I799">
        <v>1.2733950000000001E-3</v>
      </c>
      <c r="J799">
        <v>1.302765E-3</v>
      </c>
      <c r="K799">
        <v>1.3304949999999999E-3</v>
      </c>
      <c r="L799">
        <v>1.367472E-3</v>
      </c>
      <c r="M799">
        <v>1.294295E-3</v>
      </c>
      <c r="N799">
        <v>2.0753830000000001E-3</v>
      </c>
      <c r="O799">
        <v>1.2610919999999999E-3</v>
      </c>
      <c r="P799">
        <v>1.7084789999999999E-3</v>
      </c>
      <c r="Q799">
        <v>1.3241629999999999E-3</v>
      </c>
      <c r="R799">
        <v>1.679121E-3</v>
      </c>
      <c r="S799">
        <v>1.652805E-3</v>
      </c>
      <c r="T799">
        <v>1.9419280000000001E-3</v>
      </c>
    </row>
    <row r="800" spans="1:20" hidden="1" x14ac:dyDescent="0.25">
      <c r="A800" t="s">
        <v>818</v>
      </c>
      <c r="B800">
        <v>1.10542E-4</v>
      </c>
      <c r="C800">
        <v>1.0717000000000001E-4</v>
      </c>
      <c r="D800" s="1">
        <v>5.9500000000000003E-5</v>
      </c>
      <c r="E800" s="1">
        <v>7.6600000000000005E-5</v>
      </c>
      <c r="F800">
        <v>2.21475E-4</v>
      </c>
      <c r="G800">
        <v>3.0353599999999998E-4</v>
      </c>
      <c r="H800">
        <v>2.2916599999999999E-4</v>
      </c>
      <c r="I800">
        <v>2.31704E-4</v>
      </c>
      <c r="J800">
        <v>2.77736E-4</v>
      </c>
      <c r="K800">
        <v>1.7308699999999999E-4</v>
      </c>
      <c r="L800">
        <v>2.3594999999999999E-4</v>
      </c>
      <c r="M800">
        <v>2.3397399999999999E-4</v>
      </c>
      <c r="N800">
        <v>3.59303E-4</v>
      </c>
      <c r="O800">
        <v>3.3104299999999999E-4</v>
      </c>
      <c r="P800">
        <v>3.2016299999999999E-4</v>
      </c>
      <c r="Q800">
        <v>3.6680000000000003E-4</v>
      </c>
      <c r="R800">
        <v>4.6941600000000001E-4</v>
      </c>
      <c r="S800">
        <v>3.9729099999999997E-4</v>
      </c>
      <c r="T800">
        <v>3.6411899999999999E-4</v>
      </c>
    </row>
    <row r="801" spans="1:20" hidden="1" x14ac:dyDescent="0.25">
      <c r="A801" t="s">
        <v>819</v>
      </c>
      <c r="B801">
        <v>2.87452E-4</v>
      </c>
      <c r="C801">
        <v>2.4602100000000002E-4</v>
      </c>
      <c r="D801">
        <v>3.0897299999999998E-4</v>
      </c>
      <c r="E801">
        <v>2.8567399999999998E-4</v>
      </c>
      <c r="F801">
        <v>2.6754399999999998E-4</v>
      </c>
      <c r="G801">
        <v>2.10311E-4</v>
      </c>
      <c r="H801">
        <v>1.84756E-4</v>
      </c>
      <c r="I801">
        <v>2.80425E-4</v>
      </c>
      <c r="J801">
        <v>2.6637299999999998E-4</v>
      </c>
      <c r="K801">
        <v>2.6946099999999997E-4</v>
      </c>
      <c r="L801">
        <v>2.4684499999999999E-4</v>
      </c>
      <c r="M801">
        <v>2.5002899999999997E-4</v>
      </c>
      <c r="N801">
        <v>2.26942E-4</v>
      </c>
      <c r="O801">
        <v>2.5691100000000002E-4</v>
      </c>
      <c r="P801">
        <v>2.26677E-4</v>
      </c>
      <c r="Q801">
        <v>1.23903E-4</v>
      </c>
      <c r="R801">
        <v>1.60085E-4</v>
      </c>
      <c r="S801">
        <v>1.12008E-4</v>
      </c>
      <c r="T801">
        <v>1.4576899999999999E-4</v>
      </c>
    </row>
    <row r="802" spans="1:20" hidden="1" x14ac:dyDescent="0.25">
      <c r="A802" t="s">
        <v>820</v>
      </c>
      <c r="B802" s="1">
        <v>7.4099999999999999E-5</v>
      </c>
      <c r="C802" s="1">
        <v>8.9800000000000001E-5</v>
      </c>
      <c r="D802" s="1">
        <v>6.8800000000000005E-5</v>
      </c>
      <c r="E802" s="1">
        <v>6.1400000000000002E-5</v>
      </c>
      <c r="F802" s="1">
        <v>5.0699999999999999E-5</v>
      </c>
      <c r="G802" s="1">
        <v>3.4E-5</v>
      </c>
      <c r="H802" s="1">
        <v>2.3499999999999999E-5</v>
      </c>
      <c r="I802" s="1">
        <v>3.0199999999999999E-5</v>
      </c>
      <c r="J802" s="1">
        <v>6.0600000000000003E-5</v>
      </c>
      <c r="K802" s="1">
        <v>5.1600000000000001E-5</v>
      </c>
      <c r="L802" s="1">
        <v>6.7399999999999998E-5</v>
      </c>
      <c r="M802" s="1">
        <v>3.57E-5</v>
      </c>
      <c r="N802" s="1">
        <v>2.1699999999999999E-5</v>
      </c>
      <c r="O802" s="1">
        <v>5.1400000000000003E-5</v>
      </c>
      <c r="P802" s="1">
        <v>3.57E-5</v>
      </c>
      <c r="Q802" s="1">
        <v>1.9300000000000002E-5</v>
      </c>
      <c r="R802" s="1">
        <v>2.0999999999999999E-5</v>
      </c>
      <c r="S802" s="1">
        <v>1.5099999999999999E-5</v>
      </c>
      <c r="T802" s="1">
        <v>1.08E-5</v>
      </c>
    </row>
    <row r="803" spans="1:20" hidden="1" x14ac:dyDescent="0.25">
      <c r="A803" t="s">
        <v>821</v>
      </c>
      <c r="B803">
        <v>2.0281300000000001E-4</v>
      </c>
      <c r="C803">
        <v>1.7204899999999999E-4</v>
      </c>
      <c r="D803">
        <v>1.20523E-4</v>
      </c>
      <c r="E803">
        <v>1.0158999999999999E-4</v>
      </c>
      <c r="F803">
        <v>2.7411299999999998E-4</v>
      </c>
      <c r="G803">
        <v>5.5871999999999996E-4</v>
      </c>
      <c r="H803">
        <v>2.2005500000000001E-4</v>
      </c>
      <c r="I803">
        <v>2.72668E-4</v>
      </c>
      <c r="J803">
        <v>1.87672E-4</v>
      </c>
      <c r="K803">
        <v>2.9303700000000001E-4</v>
      </c>
      <c r="L803">
        <v>2.78504E-4</v>
      </c>
      <c r="M803">
        <v>2.9642399999999999E-4</v>
      </c>
      <c r="N803">
        <v>3.2464499999999998E-4</v>
      </c>
      <c r="O803">
        <v>1.2234299999999999E-4</v>
      </c>
      <c r="P803">
        <v>5.2035799999999995E-4</v>
      </c>
      <c r="Q803">
        <v>7.9169500000000003E-4</v>
      </c>
      <c r="R803">
        <v>7.7076200000000003E-4</v>
      </c>
      <c r="S803">
        <v>1.8890630000000001E-3</v>
      </c>
      <c r="T803">
        <v>1.384597E-3</v>
      </c>
    </row>
    <row r="804" spans="1:20" hidden="1" x14ac:dyDescent="0.25">
      <c r="A804" t="s">
        <v>822</v>
      </c>
      <c r="B804">
        <v>5.733775E-3</v>
      </c>
      <c r="C804">
        <v>5.1368050000000004E-3</v>
      </c>
      <c r="D804">
        <v>6.0899589999999998E-3</v>
      </c>
      <c r="E804">
        <v>5.456766E-3</v>
      </c>
      <c r="F804">
        <v>4.7418449999999997E-3</v>
      </c>
      <c r="G804">
        <v>4.1009289999999997E-3</v>
      </c>
      <c r="H804">
        <v>3.2294519999999998E-3</v>
      </c>
      <c r="I804">
        <v>4.8400229999999997E-3</v>
      </c>
      <c r="J804">
        <v>4.7306639999999999E-3</v>
      </c>
      <c r="K804">
        <v>4.8813709999999998E-3</v>
      </c>
      <c r="L804">
        <v>5.1269940000000002E-3</v>
      </c>
      <c r="M804">
        <v>4.9341410000000004E-3</v>
      </c>
      <c r="N804">
        <v>5.6770739999999998E-3</v>
      </c>
      <c r="O804">
        <v>5.0511159999999996E-3</v>
      </c>
      <c r="P804">
        <v>3.8729229999999999E-3</v>
      </c>
      <c r="Q804">
        <v>2.7143699999999998E-3</v>
      </c>
      <c r="R804">
        <v>2.9028410000000002E-3</v>
      </c>
      <c r="S804">
        <v>2.8573769999999999E-3</v>
      </c>
      <c r="T804">
        <v>3.418885E-3</v>
      </c>
    </row>
    <row r="805" spans="1:20" hidden="1" x14ac:dyDescent="0.25">
      <c r="A805" t="s">
        <v>823</v>
      </c>
      <c r="B805">
        <v>1.48598E-4</v>
      </c>
      <c r="C805" s="1">
        <v>3.8000000000000002E-5</v>
      </c>
      <c r="D805" s="1">
        <v>6.8999999999999997E-5</v>
      </c>
      <c r="E805" s="1">
        <v>4.8199999999999999E-5</v>
      </c>
      <c r="F805" s="1">
        <v>8.7000000000000001E-5</v>
      </c>
      <c r="G805" s="1">
        <v>6.0900000000000003E-5</v>
      </c>
      <c r="H805" s="1">
        <v>9.2399999999999996E-5</v>
      </c>
      <c r="I805" s="1">
        <v>6.6299999999999999E-5</v>
      </c>
      <c r="J805">
        <v>1.20752E-4</v>
      </c>
      <c r="K805" s="1">
        <v>5.8199999999999998E-5</v>
      </c>
      <c r="L805" s="1">
        <v>4.5800000000000002E-5</v>
      </c>
      <c r="M805">
        <v>1.07112E-4</v>
      </c>
      <c r="N805">
        <v>1.4086599999999999E-4</v>
      </c>
      <c r="O805" s="1">
        <v>7.3399999999999995E-5</v>
      </c>
      <c r="P805">
        <v>1.45993E-4</v>
      </c>
      <c r="Q805">
        <v>2.19349E-4</v>
      </c>
      <c r="R805">
        <v>1.70407E-4</v>
      </c>
      <c r="S805">
        <v>1.4464100000000001E-4</v>
      </c>
      <c r="T805">
        <v>3.3443399999999999E-4</v>
      </c>
    </row>
    <row r="806" spans="1:20" hidden="1" x14ac:dyDescent="0.25">
      <c r="A806" t="s">
        <v>824</v>
      </c>
      <c r="B806">
        <v>6.6416999999999995E-4</v>
      </c>
      <c r="C806">
        <v>7.1761500000000001E-4</v>
      </c>
      <c r="D806">
        <v>3.4378799999999998E-4</v>
      </c>
      <c r="E806">
        <v>4.9498700000000001E-4</v>
      </c>
      <c r="F806">
        <v>7.1111199999999996E-4</v>
      </c>
      <c r="G806">
        <v>6.4649E-4</v>
      </c>
      <c r="H806">
        <v>9.8242100000000003E-4</v>
      </c>
      <c r="I806">
        <v>1.447367E-3</v>
      </c>
      <c r="J806">
        <v>9.7906699999999991E-4</v>
      </c>
      <c r="K806">
        <v>8.7267900000000001E-4</v>
      </c>
      <c r="L806">
        <v>7.3246699999999999E-4</v>
      </c>
      <c r="M806">
        <v>1.2982670000000001E-3</v>
      </c>
      <c r="N806">
        <v>1.294543E-3</v>
      </c>
      <c r="O806">
        <v>9.0970600000000003E-4</v>
      </c>
      <c r="P806">
        <v>1.165391E-3</v>
      </c>
      <c r="Q806">
        <v>1.2169100000000001E-3</v>
      </c>
      <c r="R806">
        <v>1.6800230000000001E-3</v>
      </c>
      <c r="S806">
        <v>1.389431E-3</v>
      </c>
      <c r="T806">
        <v>1.3924930000000001E-3</v>
      </c>
    </row>
    <row r="807" spans="1:20" hidden="1" x14ac:dyDescent="0.25">
      <c r="A807" t="s">
        <v>825</v>
      </c>
      <c r="B807">
        <v>2.8305300000000002E-4</v>
      </c>
      <c r="C807" s="1">
        <v>9.0199999999999997E-5</v>
      </c>
      <c r="D807">
        <v>1.5928200000000001E-4</v>
      </c>
      <c r="E807">
        <v>1.2599900000000001E-4</v>
      </c>
      <c r="F807">
        <v>2.00683E-4</v>
      </c>
      <c r="G807">
        <v>1.4815100000000001E-4</v>
      </c>
      <c r="H807">
        <v>3.6638900000000001E-4</v>
      </c>
      <c r="I807">
        <v>1.82022E-4</v>
      </c>
      <c r="J807">
        <v>2.9694699999999999E-4</v>
      </c>
      <c r="K807">
        <v>1.6869699999999999E-4</v>
      </c>
      <c r="L807">
        <v>1.1112600000000001E-4</v>
      </c>
      <c r="M807">
        <v>3.2040500000000001E-4</v>
      </c>
      <c r="N807">
        <v>4.3467499999999998E-4</v>
      </c>
      <c r="O807">
        <v>2.35985E-4</v>
      </c>
      <c r="P807">
        <v>5.6840099999999995E-4</v>
      </c>
      <c r="Q807">
        <v>6.9909400000000004E-4</v>
      </c>
      <c r="R807">
        <v>5.93035E-4</v>
      </c>
      <c r="S807">
        <v>3.4820899999999999E-4</v>
      </c>
      <c r="T807">
        <v>1.0442069999999999E-3</v>
      </c>
    </row>
    <row r="808" spans="1:20" hidden="1" x14ac:dyDescent="0.25">
      <c r="A808" t="s">
        <v>826</v>
      </c>
      <c r="B808">
        <v>1.1792199999999999E-3</v>
      </c>
      <c r="C808">
        <v>4.4360800000000001E-4</v>
      </c>
      <c r="D808">
        <v>6.8986700000000004E-4</v>
      </c>
      <c r="E808">
        <v>4.9285900000000001E-4</v>
      </c>
      <c r="F808">
        <v>9.5645599999999995E-4</v>
      </c>
      <c r="G808">
        <v>8.0371000000000001E-4</v>
      </c>
      <c r="H808">
        <v>1.1670929999999999E-3</v>
      </c>
      <c r="I808">
        <v>1.0269820000000001E-3</v>
      </c>
      <c r="J808">
        <v>1.2519969999999999E-3</v>
      </c>
      <c r="K808">
        <v>6.9424199999999997E-4</v>
      </c>
      <c r="L808">
        <v>6.2887399999999997E-4</v>
      </c>
      <c r="M808">
        <v>1.4599890000000001E-3</v>
      </c>
      <c r="N808">
        <v>2.3812939999999999E-3</v>
      </c>
      <c r="O808">
        <v>9.5020300000000005E-4</v>
      </c>
      <c r="P808">
        <v>1.5489200000000001E-3</v>
      </c>
      <c r="Q808">
        <v>2.0085089999999999E-3</v>
      </c>
      <c r="R808">
        <v>1.9554049999999999E-3</v>
      </c>
      <c r="S808">
        <v>1.8579429999999999E-3</v>
      </c>
      <c r="T808">
        <v>3.3710430000000002E-3</v>
      </c>
    </row>
    <row r="809" spans="1:20" hidden="1" x14ac:dyDescent="0.25">
      <c r="A809" t="s">
        <v>827</v>
      </c>
      <c r="B809">
        <v>1.08045E-4</v>
      </c>
      <c r="C809" s="1">
        <v>4.2599999999999999E-5</v>
      </c>
      <c r="D809" s="1">
        <v>6.19E-5</v>
      </c>
      <c r="E809" s="1">
        <v>3.4999999999999997E-5</v>
      </c>
      <c r="F809" s="1">
        <v>5.2099999999999999E-5</v>
      </c>
      <c r="G809" s="1">
        <v>3.4600000000000001E-5</v>
      </c>
      <c r="H809" s="1">
        <v>8.9599999999999996E-5</v>
      </c>
      <c r="I809" s="1">
        <v>6.7199999999999994E-5</v>
      </c>
      <c r="J809">
        <v>1.2994600000000001E-4</v>
      </c>
      <c r="K809">
        <v>1.1981699999999999E-4</v>
      </c>
      <c r="L809" s="1">
        <v>5.3300000000000001E-5</v>
      </c>
      <c r="M809">
        <v>1.18478E-4</v>
      </c>
      <c r="N809">
        <v>1.5940400000000001E-4</v>
      </c>
      <c r="O809" s="1">
        <v>9.7999999999999997E-5</v>
      </c>
      <c r="P809" s="1">
        <v>4.99E-5</v>
      </c>
      <c r="Q809" s="1">
        <v>6.2799999999999995E-5</v>
      </c>
      <c r="R809" s="1">
        <v>6.6500000000000004E-5</v>
      </c>
      <c r="S809" s="1">
        <v>5.8699999999999997E-5</v>
      </c>
      <c r="T809" s="1">
        <v>7.9400000000000006E-5</v>
      </c>
    </row>
    <row r="810" spans="1:20" hidden="1" x14ac:dyDescent="0.25">
      <c r="A810" t="s">
        <v>828</v>
      </c>
      <c r="B810">
        <v>3.2071500000000001E-4</v>
      </c>
      <c r="C810">
        <v>3.5568299999999998E-4</v>
      </c>
      <c r="D810">
        <v>3.4840700000000001E-4</v>
      </c>
      <c r="E810">
        <v>3.1937300000000002E-4</v>
      </c>
      <c r="F810">
        <v>3.8263199999999999E-4</v>
      </c>
      <c r="G810">
        <v>2.41134E-4</v>
      </c>
      <c r="H810">
        <v>1.8788E-4</v>
      </c>
      <c r="I810">
        <v>3.7093100000000002E-4</v>
      </c>
      <c r="J810">
        <v>3.43159E-4</v>
      </c>
      <c r="K810">
        <v>2.98821E-4</v>
      </c>
      <c r="L810">
        <v>2.7836700000000001E-4</v>
      </c>
      <c r="M810">
        <v>2.4400999999999999E-4</v>
      </c>
      <c r="N810">
        <v>1.7458600000000001E-4</v>
      </c>
      <c r="O810">
        <v>2.86054E-4</v>
      </c>
      <c r="P810">
        <v>2.2062000000000001E-4</v>
      </c>
      <c r="Q810" s="1">
        <v>5.9599999999999999E-5</v>
      </c>
      <c r="R810" s="1">
        <v>8.9300000000000002E-5</v>
      </c>
      <c r="S810" s="1">
        <v>6.9599999999999998E-5</v>
      </c>
      <c r="T810" s="1">
        <v>6.9800000000000003E-5</v>
      </c>
    </row>
    <row r="811" spans="1:20" hidden="1" x14ac:dyDescent="0.25">
      <c r="A811" t="s">
        <v>829</v>
      </c>
      <c r="B811">
        <v>0</v>
      </c>
      <c r="C811" s="1">
        <v>2.9500000000000001E-6</v>
      </c>
      <c r="D811" s="1">
        <v>1.75E-6</v>
      </c>
      <c r="E811" s="1">
        <v>5.1000000000000003E-6</v>
      </c>
      <c r="F811">
        <v>0</v>
      </c>
      <c r="G811">
        <v>0</v>
      </c>
      <c r="H811">
        <v>0</v>
      </c>
      <c r="I811">
        <v>0</v>
      </c>
      <c r="J811">
        <v>0</v>
      </c>
      <c r="K811" s="1">
        <v>3.6200000000000001E-6</v>
      </c>
      <c r="L811" s="1">
        <v>3.0699999999999998E-6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hidden="1" x14ac:dyDescent="0.25">
      <c r="A812" t="s">
        <v>830</v>
      </c>
      <c r="B812">
        <v>0</v>
      </c>
      <c r="C812" s="1">
        <v>4.3100000000000002E-6</v>
      </c>
      <c r="D812" s="1">
        <v>4.6199999999999998E-6</v>
      </c>
      <c r="E812" s="1">
        <v>4.2100000000000003E-6</v>
      </c>
      <c r="F812" s="1">
        <v>3.3799999999999998E-6</v>
      </c>
      <c r="G812" s="1">
        <v>6.0000000000000002E-6</v>
      </c>
      <c r="H812" s="1">
        <v>5.6400000000000002E-6</v>
      </c>
      <c r="I812" s="1">
        <v>4.8300000000000003E-6</v>
      </c>
      <c r="J812" s="1">
        <v>3.0800000000000002E-6</v>
      </c>
      <c r="K812" s="1">
        <v>5.3399999999999997E-6</v>
      </c>
      <c r="L812" s="1">
        <v>6.4200000000000004E-6</v>
      </c>
      <c r="M812" s="1">
        <v>3.0000000000000001E-6</v>
      </c>
      <c r="N812" s="1">
        <v>1.8700000000000001E-6</v>
      </c>
      <c r="O812" s="1">
        <v>3.4000000000000001E-6</v>
      </c>
      <c r="P812" s="1">
        <v>3.6100000000000002E-6</v>
      </c>
      <c r="Q812" s="1">
        <v>5.0900000000000004E-6</v>
      </c>
      <c r="R812" s="1">
        <v>4.3499999999999999E-6</v>
      </c>
      <c r="S812" s="1">
        <v>6.02E-6</v>
      </c>
      <c r="T812" s="1">
        <v>4.2699999999999998E-6</v>
      </c>
    </row>
    <row r="813" spans="1:20" hidden="1" x14ac:dyDescent="0.25">
      <c r="A813" t="s">
        <v>831</v>
      </c>
      <c r="B813">
        <v>0</v>
      </c>
      <c r="C813">
        <v>0</v>
      </c>
      <c r="D813">
        <v>0</v>
      </c>
      <c r="E813">
        <v>0</v>
      </c>
      <c r="F813" s="1">
        <v>2.4600000000000002E-5</v>
      </c>
      <c r="G813" s="1">
        <v>5.4599999999999999E-5</v>
      </c>
      <c r="H813" s="1">
        <v>2.2500000000000001E-5</v>
      </c>
      <c r="I813" s="1">
        <v>1.9000000000000001E-5</v>
      </c>
      <c r="J813">
        <v>0</v>
      </c>
      <c r="K813" s="1">
        <v>2.5899999999999999E-5</v>
      </c>
      <c r="L813" s="1">
        <v>1.9000000000000001E-5</v>
      </c>
      <c r="M813" s="1">
        <v>1.8099999999999999E-5</v>
      </c>
      <c r="N813" s="1">
        <v>1.59E-5</v>
      </c>
      <c r="O813">
        <v>0</v>
      </c>
      <c r="P813" s="1">
        <v>3.9400000000000002E-5</v>
      </c>
      <c r="Q813" s="1">
        <v>7.1199999999999996E-5</v>
      </c>
      <c r="R813" s="1">
        <v>6.0999999999999999E-5</v>
      </c>
      <c r="S813">
        <v>1.4423699999999999E-4</v>
      </c>
      <c r="T813" s="1">
        <v>8.8499999999999996E-5</v>
      </c>
    </row>
    <row r="814" spans="1:20" hidden="1" x14ac:dyDescent="0.25">
      <c r="A814" t="s">
        <v>832</v>
      </c>
      <c r="B814">
        <v>0</v>
      </c>
      <c r="C814" s="1">
        <v>8.5000000000000006E-5</v>
      </c>
      <c r="D814">
        <v>1.10313E-4</v>
      </c>
      <c r="E814">
        <v>1.0848E-4</v>
      </c>
      <c r="F814">
        <v>1.2680699999999999E-4</v>
      </c>
      <c r="G814" s="1">
        <v>8.5199999999999997E-5</v>
      </c>
      <c r="H814">
        <v>0</v>
      </c>
      <c r="I814">
        <v>1.1671E-4</v>
      </c>
      <c r="J814">
        <v>1.23323E-4</v>
      </c>
      <c r="K814">
        <v>0</v>
      </c>
      <c r="L814">
        <v>1.05346E-4</v>
      </c>
      <c r="M814">
        <v>1.07435E-4</v>
      </c>
      <c r="N814">
        <v>1.46098E-4</v>
      </c>
      <c r="O814">
        <v>1.6482399999999999E-4</v>
      </c>
      <c r="P814" s="1">
        <v>9.8599999999999998E-5</v>
      </c>
      <c r="Q814">
        <v>0</v>
      </c>
      <c r="R814">
        <v>0</v>
      </c>
      <c r="S814" s="1">
        <v>7.8499999999999997E-5</v>
      </c>
      <c r="T814" s="1">
        <v>6.3399999999999996E-5</v>
      </c>
    </row>
    <row r="815" spans="1:20" hidden="1" x14ac:dyDescent="0.25">
      <c r="A815" t="s">
        <v>833</v>
      </c>
      <c r="B815" s="1">
        <v>1.8099999999999999E-5</v>
      </c>
      <c r="C815" s="1">
        <v>1.4E-5</v>
      </c>
      <c r="D815">
        <v>0</v>
      </c>
      <c r="E815">
        <v>0</v>
      </c>
      <c r="F815" s="1">
        <v>3.2100000000000001E-5</v>
      </c>
      <c r="G815" s="1">
        <v>4.4299999999999999E-5</v>
      </c>
      <c r="H815" s="1">
        <v>3.6600000000000002E-5</v>
      </c>
      <c r="I815" s="1">
        <v>7.3800000000000005E-5</v>
      </c>
      <c r="J815" s="1">
        <v>5.4299999999999998E-5</v>
      </c>
      <c r="K815" s="1">
        <v>2.8600000000000001E-5</v>
      </c>
      <c r="L815" s="1">
        <v>2.6699999999999998E-5</v>
      </c>
      <c r="M815" s="1">
        <v>3.8600000000000003E-5</v>
      </c>
      <c r="N815" s="1">
        <v>5.0500000000000001E-5</v>
      </c>
      <c r="O815" s="1">
        <v>2.02E-5</v>
      </c>
      <c r="P815">
        <v>1.1963E-4</v>
      </c>
      <c r="Q815">
        <v>2.3733900000000001E-4</v>
      </c>
      <c r="R815">
        <v>2.94455E-4</v>
      </c>
      <c r="S815">
        <v>3.2223799999999997E-4</v>
      </c>
      <c r="T815">
        <v>1.8576399999999999E-4</v>
      </c>
    </row>
    <row r="816" spans="1:20" hidden="1" x14ac:dyDescent="0.25">
      <c r="A816" t="s">
        <v>834</v>
      </c>
      <c r="B816" s="1">
        <v>3.6600000000000002E-5</v>
      </c>
      <c r="C816" s="1">
        <v>7.8300000000000006E-5</v>
      </c>
      <c r="D816">
        <v>1.50832E-4</v>
      </c>
      <c r="E816">
        <v>1.4041999999999999E-4</v>
      </c>
      <c r="F816">
        <v>1.2663299999999999E-4</v>
      </c>
      <c r="G816" s="1">
        <v>9.4199999999999999E-5</v>
      </c>
      <c r="H816">
        <v>1.6073800000000001E-4</v>
      </c>
      <c r="I816" s="1">
        <v>6.2700000000000006E-5</v>
      </c>
      <c r="J816" s="1">
        <v>4.2700000000000001E-5</v>
      </c>
      <c r="K816" s="1">
        <v>7.9599999999999997E-5</v>
      </c>
      <c r="L816" s="1">
        <v>7.1299999999999998E-5</v>
      </c>
      <c r="M816" s="1">
        <v>3.93E-5</v>
      </c>
      <c r="N816" s="1">
        <v>4.3900000000000003E-5</v>
      </c>
      <c r="O816">
        <v>1.0575E-4</v>
      </c>
      <c r="P816" s="1">
        <v>2.65E-5</v>
      </c>
      <c r="Q816">
        <v>0</v>
      </c>
      <c r="R816" s="1">
        <v>8.6000000000000007E-6</v>
      </c>
      <c r="S816" s="1">
        <v>3.1000000000000001E-5</v>
      </c>
      <c r="T816" s="1">
        <v>1.73E-5</v>
      </c>
    </row>
    <row r="817" spans="1:20" hidden="1" x14ac:dyDescent="0.25">
      <c r="A817" t="s">
        <v>835</v>
      </c>
      <c r="B817" s="1">
        <v>8.3499999999999997E-5</v>
      </c>
      <c r="C817" s="1">
        <v>7.8300000000000006E-5</v>
      </c>
      <c r="D817" s="1">
        <v>9.3499999999999996E-5</v>
      </c>
      <c r="E817" s="1">
        <v>8.1799999999999996E-5</v>
      </c>
      <c r="F817" s="1">
        <v>7.6899999999999999E-5</v>
      </c>
      <c r="G817" s="1">
        <v>8.0000000000000007E-5</v>
      </c>
      <c r="H817" s="1">
        <v>5.6700000000000003E-5</v>
      </c>
      <c r="I817">
        <v>1.06685E-4</v>
      </c>
      <c r="J817" s="1">
        <v>8.8599999999999999E-5</v>
      </c>
      <c r="K817" s="1">
        <v>8.5900000000000001E-5</v>
      </c>
      <c r="L817" s="1">
        <v>7.75E-5</v>
      </c>
      <c r="M817" s="1">
        <v>8.3200000000000003E-5</v>
      </c>
      <c r="N817">
        <v>1.0764000000000001E-4</v>
      </c>
      <c r="O817" s="1">
        <v>9.7700000000000003E-5</v>
      </c>
      <c r="P817">
        <v>1.24907E-4</v>
      </c>
      <c r="Q817">
        <v>1.2083600000000001E-4</v>
      </c>
      <c r="R817">
        <v>1.6889699999999999E-4</v>
      </c>
      <c r="S817">
        <v>1.14845E-4</v>
      </c>
      <c r="T817">
        <v>1.7976900000000001E-4</v>
      </c>
    </row>
    <row r="818" spans="1:20" hidden="1" x14ac:dyDescent="0.25">
      <c r="A818" t="s">
        <v>836</v>
      </c>
      <c r="B818">
        <v>1.7942199999999999E-4</v>
      </c>
      <c r="C818">
        <v>1.6242200000000001E-4</v>
      </c>
      <c r="D818">
        <v>2.5618100000000002E-4</v>
      </c>
      <c r="E818">
        <v>2.52613E-4</v>
      </c>
      <c r="F818">
        <v>2.4339699999999999E-4</v>
      </c>
      <c r="G818">
        <v>2.4378799999999999E-4</v>
      </c>
      <c r="H818">
        <v>4.0601800000000001E-4</v>
      </c>
      <c r="I818">
        <v>2.4817399999999999E-4</v>
      </c>
      <c r="J818">
        <v>2.6318400000000002E-4</v>
      </c>
      <c r="K818">
        <v>2.9923900000000003E-4</v>
      </c>
      <c r="L818">
        <v>2.0819999999999999E-4</v>
      </c>
      <c r="M818">
        <v>1.78369E-4</v>
      </c>
      <c r="N818">
        <v>2.0250800000000001E-4</v>
      </c>
      <c r="O818">
        <v>2.1582099999999999E-4</v>
      </c>
      <c r="P818">
        <v>2.4170600000000001E-4</v>
      </c>
      <c r="Q818">
        <v>4.3459899999999998E-4</v>
      </c>
      <c r="R818">
        <v>4.32631E-4</v>
      </c>
      <c r="S818">
        <v>2.6579899999999999E-4</v>
      </c>
      <c r="T818">
        <v>7.3415500000000001E-4</v>
      </c>
    </row>
    <row r="819" spans="1:20" hidden="1" x14ac:dyDescent="0.25">
      <c r="A819" t="s">
        <v>837</v>
      </c>
      <c r="B819" s="1">
        <v>4.9799999999999998E-5</v>
      </c>
      <c r="C819" s="1">
        <v>4.0500000000000002E-5</v>
      </c>
      <c r="D819" s="1">
        <v>5.6199999999999997E-5</v>
      </c>
      <c r="E819">
        <v>1.17571E-4</v>
      </c>
      <c r="F819" s="1">
        <v>5.4400000000000001E-5</v>
      </c>
      <c r="G819" s="1">
        <v>4.8099999999999997E-5</v>
      </c>
      <c r="H819">
        <v>1.16387E-4</v>
      </c>
      <c r="I819" s="1">
        <v>4.2799999999999997E-5</v>
      </c>
      <c r="J819" s="1">
        <v>7.2600000000000003E-5</v>
      </c>
      <c r="K819" s="1">
        <v>4.2400000000000001E-5</v>
      </c>
      <c r="L819" s="1">
        <v>3.0300000000000001E-5</v>
      </c>
      <c r="M819" s="1">
        <v>2.5999999999999998E-5</v>
      </c>
      <c r="N819" s="1">
        <v>3.7700000000000002E-5</v>
      </c>
      <c r="O819" s="1">
        <v>6.4999999999999994E-5</v>
      </c>
      <c r="P819" s="1">
        <v>8.4300000000000003E-5</v>
      </c>
      <c r="Q819">
        <v>1.11358E-4</v>
      </c>
      <c r="R819" s="1">
        <v>7.1899999999999999E-5</v>
      </c>
      <c r="S819" s="1">
        <v>7.2600000000000003E-5</v>
      </c>
      <c r="T819">
        <v>2.08507E-4</v>
      </c>
    </row>
    <row r="820" spans="1:20" hidden="1" x14ac:dyDescent="0.25">
      <c r="A820" t="s">
        <v>838</v>
      </c>
      <c r="B820">
        <v>0</v>
      </c>
      <c r="C820">
        <v>0</v>
      </c>
      <c r="D820" s="1">
        <v>1.9199999999999999E-5</v>
      </c>
      <c r="E820" s="1">
        <v>4.1399999999999997E-5</v>
      </c>
      <c r="F820">
        <v>0</v>
      </c>
      <c r="G820">
        <v>0</v>
      </c>
      <c r="H820" s="1">
        <v>3.6199999999999999E-5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s="1">
        <v>2.0800000000000001E-5</v>
      </c>
      <c r="P820">
        <v>0</v>
      </c>
      <c r="Q820" s="1">
        <v>4.2899999999999999E-5</v>
      </c>
      <c r="R820" s="1">
        <v>3.0199999999999999E-5</v>
      </c>
      <c r="S820" s="1">
        <v>2.02E-5</v>
      </c>
      <c r="T820">
        <v>1.14925E-4</v>
      </c>
    </row>
    <row r="821" spans="1:20" hidden="1" x14ac:dyDescent="0.25">
      <c r="A821" t="s">
        <v>839</v>
      </c>
      <c r="B821">
        <v>0</v>
      </c>
      <c r="C821">
        <v>0</v>
      </c>
      <c r="D821">
        <v>0</v>
      </c>
      <c r="E821" s="1">
        <v>2.76E-5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s="1">
        <v>5.3100000000000003E-5</v>
      </c>
      <c r="O821" s="1">
        <v>4.6300000000000001E-5</v>
      </c>
      <c r="P821">
        <v>0</v>
      </c>
      <c r="Q821" s="1">
        <v>5.0000000000000002E-5</v>
      </c>
      <c r="R821" s="1">
        <v>4.1900000000000002E-5</v>
      </c>
      <c r="S821" s="1">
        <v>2.8399999999999999E-5</v>
      </c>
      <c r="T821" s="1">
        <v>3.1399999999999998E-5</v>
      </c>
    </row>
    <row r="822" spans="1:20" hidden="1" x14ac:dyDescent="0.25">
      <c r="A822" t="s">
        <v>840</v>
      </c>
      <c r="B822">
        <v>0</v>
      </c>
      <c r="C822">
        <v>0</v>
      </c>
      <c r="D822">
        <v>0</v>
      </c>
      <c r="E822">
        <v>0</v>
      </c>
      <c r="F822">
        <v>0</v>
      </c>
      <c r="G822" s="1">
        <v>1.4100000000000001E-5</v>
      </c>
      <c r="H822" s="1">
        <v>1.31E-5</v>
      </c>
      <c r="I822">
        <v>0</v>
      </c>
      <c r="J822">
        <v>0</v>
      </c>
      <c r="K822" s="1">
        <v>2.0600000000000002E-6</v>
      </c>
      <c r="L822">
        <v>0</v>
      </c>
      <c r="M822">
        <v>0</v>
      </c>
      <c r="N822">
        <v>0</v>
      </c>
      <c r="O822">
        <v>0</v>
      </c>
      <c r="P822" s="1">
        <v>9.1900000000000001E-6</v>
      </c>
      <c r="Q822" s="1">
        <v>3.6899999999999998E-6</v>
      </c>
      <c r="R822" s="1">
        <v>2.88E-6</v>
      </c>
      <c r="S822" s="1">
        <v>7.0600000000000002E-6</v>
      </c>
      <c r="T822" s="1">
        <v>4.95E-6</v>
      </c>
    </row>
    <row r="823" spans="1:20" hidden="1" x14ac:dyDescent="0.25">
      <c r="A823" t="s">
        <v>841</v>
      </c>
      <c r="B823">
        <v>1.3170599999999999E-4</v>
      </c>
      <c r="C823">
        <v>0</v>
      </c>
      <c r="D823">
        <v>1.03872E-4</v>
      </c>
      <c r="E823" s="1">
        <v>8.4900000000000004E-5</v>
      </c>
      <c r="F823">
        <v>1.7203800000000001E-4</v>
      </c>
      <c r="G823">
        <v>2.21444E-4</v>
      </c>
      <c r="H823">
        <v>6.1578000000000002E-4</v>
      </c>
      <c r="I823">
        <v>1.55162E-4</v>
      </c>
      <c r="J823">
        <v>1.98612E-4</v>
      </c>
      <c r="K823">
        <v>2.10261E-4</v>
      </c>
      <c r="L823">
        <v>3.0045400000000002E-4</v>
      </c>
      <c r="M823">
        <v>3.4230799999999999E-4</v>
      </c>
      <c r="N823">
        <v>2.8155299999999998E-4</v>
      </c>
      <c r="O823">
        <v>3.1937300000000002E-4</v>
      </c>
      <c r="P823">
        <v>5.0197800000000004E-4</v>
      </c>
      <c r="Q823" s="1">
        <v>9.4199999999999999E-5</v>
      </c>
      <c r="R823">
        <v>2.3755200000000001E-4</v>
      </c>
      <c r="S823">
        <v>5.5557800000000004E-4</v>
      </c>
      <c r="T823">
        <v>2.3183200000000001E-4</v>
      </c>
    </row>
    <row r="824" spans="1:20" hidden="1" x14ac:dyDescent="0.25">
      <c r="A824" t="s">
        <v>842</v>
      </c>
      <c r="B824">
        <v>7.0293999999999999E-4</v>
      </c>
      <c r="C824">
        <v>5.4303000000000001E-4</v>
      </c>
      <c r="D824">
        <v>5.24045E-4</v>
      </c>
      <c r="E824">
        <v>3.2354299999999998E-4</v>
      </c>
      <c r="F824">
        <v>1.38451E-3</v>
      </c>
      <c r="G824">
        <v>6.3581200000000003E-4</v>
      </c>
      <c r="H824">
        <v>1.4612710000000001E-3</v>
      </c>
      <c r="I824">
        <v>1.3646699999999999E-3</v>
      </c>
      <c r="J824">
        <v>9.8731100000000005E-4</v>
      </c>
      <c r="K824">
        <v>9.4931599999999996E-4</v>
      </c>
      <c r="L824">
        <v>2.099301E-3</v>
      </c>
      <c r="M824">
        <v>1.530308E-3</v>
      </c>
      <c r="N824">
        <v>1.478104E-3</v>
      </c>
      <c r="O824">
        <v>1.0052399999999999E-3</v>
      </c>
      <c r="P824">
        <v>1.8757229999999999E-3</v>
      </c>
      <c r="Q824">
        <v>1.0899620000000001E-3</v>
      </c>
      <c r="R824">
        <v>9.1613700000000003E-4</v>
      </c>
      <c r="S824">
        <v>1.9948349999999999E-3</v>
      </c>
      <c r="T824">
        <v>8.0172999999999996E-4</v>
      </c>
    </row>
    <row r="825" spans="1:20" hidden="1" x14ac:dyDescent="0.25">
      <c r="A825" t="s">
        <v>843</v>
      </c>
      <c r="B825">
        <v>2.0733000000000001E-4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2.59072E-4</v>
      </c>
      <c r="J825">
        <v>0</v>
      </c>
      <c r="K825">
        <v>0</v>
      </c>
      <c r="L825">
        <v>2.7510799999999998E-4</v>
      </c>
      <c r="M825">
        <v>0</v>
      </c>
      <c r="N825">
        <v>1.2961E-4</v>
      </c>
      <c r="O825">
        <v>1.2299300000000001E-4</v>
      </c>
      <c r="P825">
        <v>2.3026399999999999E-4</v>
      </c>
      <c r="Q825">
        <v>0</v>
      </c>
      <c r="R825">
        <v>1.6181799999999999E-4</v>
      </c>
      <c r="S825">
        <v>1.42344E-4</v>
      </c>
      <c r="T825" s="1">
        <v>9.2499999999999999E-5</v>
      </c>
    </row>
    <row r="826" spans="1:20" hidden="1" x14ac:dyDescent="0.25">
      <c r="A826" t="s">
        <v>844</v>
      </c>
      <c r="B826" s="1">
        <v>7.6500000000000003E-5</v>
      </c>
      <c r="C826">
        <v>0</v>
      </c>
      <c r="D826" s="1">
        <v>2.4300000000000001E-5</v>
      </c>
      <c r="E826" s="1">
        <v>2.16E-5</v>
      </c>
      <c r="F826" s="1">
        <v>4.3600000000000003E-5</v>
      </c>
      <c r="G826" s="1">
        <v>6.1699999999999995E-5</v>
      </c>
      <c r="H826" s="1">
        <v>5.66E-5</v>
      </c>
      <c r="I826" s="1">
        <v>5.66E-5</v>
      </c>
      <c r="J826" s="1">
        <v>4.0200000000000001E-5</v>
      </c>
      <c r="K826" s="1">
        <v>5.6900000000000001E-5</v>
      </c>
      <c r="L826" s="1">
        <v>8.0199999999999998E-5</v>
      </c>
      <c r="M826" s="1">
        <v>6.2399999999999999E-5</v>
      </c>
      <c r="N826" s="1">
        <v>6.9900000000000005E-5</v>
      </c>
      <c r="O826" s="1">
        <v>6.7500000000000001E-5</v>
      </c>
      <c r="P826">
        <v>1.37868E-4</v>
      </c>
      <c r="Q826" s="1">
        <v>2.62E-5</v>
      </c>
      <c r="R826" s="1">
        <v>7.4900000000000005E-5</v>
      </c>
      <c r="S826" s="1">
        <v>4.8199999999999999E-5</v>
      </c>
      <c r="T826" s="1">
        <v>3.4400000000000003E-5</v>
      </c>
    </row>
    <row r="827" spans="1:20" hidden="1" x14ac:dyDescent="0.25">
      <c r="A827" t="s">
        <v>845</v>
      </c>
      <c r="B827" s="1">
        <v>2.6400000000000001E-5</v>
      </c>
      <c r="C827">
        <v>0</v>
      </c>
      <c r="D827">
        <v>0</v>
      </c>
      <c r="E827">
        <v>0</v>
      </c>
      <c r="F827">
        <v>1.06766E-4</v>
      </c>
      <c r="G827" s="1">
        <v>2.3099999999999999E-5</v>
      </c>
      <c r="H827">
        <v>7.1681299999999996E-4</v>
      </c>
      <c r="I827" s="1">
        <v>3.6900000000000002E-5</v>
      </c>
      <c r="J827" s="1">
        <v>1.4100000000000001E-5</v>
      </c>
      <c r="K827">
        <v>1.9341900000000001E-4</v>
      </c>
      <c r="L827">
        <v>1.77653E-4</v>
      </c>
      <c r="M827">
        <v>1.03174E-4</v>
      </c>
      <c r="N827">
        <v>1.3156499999999999E-4</v>
      </c>
      <c r="O827">
        <v>1.3553600000000001E-4</v>
      </c>
      <c r="P827">
        <v>3.2946899999999999E-4</v>
      </c>
      <c r="Q827" s="1">
        <v>2.7800000000000001E-5</v>
      </c>
      <c r="R827" s="1">
        <v>2.6100000000000001E-5</v>
      </c>
      <c r="S827">
        <v>1.6212799999999999E-4</v>
      </c>
      <c r="T827">
        <v>1.1668299999999999E-4</v>
      </c>
    </row>
    <row r="828" spans="1:20" hidden="1" x14ac:dyDescent="0.25">
      <c r="A828" t="s">
        <v>846</v>
      </c>
      <c r="B828">
        <v>6.9136399999999998E-4</v>
      </c>
      <c r="C828">
        <v>0</v>
      </c>
      <c r="D828">
        <v>2.9197899999999999E-4</v>
      </c>
      <c r="E828">
        <v>2.6518000000000001E-4</v>
      </c>
      <c r="F828">
        <v>5.2394699999999998E-4</v>
      </c>
      <c r="G828">
        <v>8.2661699999999998E-4</v>
      </c>
      <c r="H828">
        <v>1.374339E-3</v>
      </c>
      <c r="I828">
        <v>9.71546E-4</v>
      </c>
      <c r="J828">
        <v>8.2106900000000001E-4</v>
      </c>
      <c r="K828">
        <v>6.2159400000000005E-4</v>
      </c>
      <c r="L828">
        <v>1.463315E-3</v>
      </c>
      <c r="M828">
        <v>1.153875E-3</v>
      </c>
      <c r="N828">
        <v>1.2245890000000001E-3</v>
      </c>
      <c r="O828">
        <v>9.2970200000000002E-4</v>
      </c>
      <c r="P828">
        <v>2.0016639999999998E-3</v>
      </c>
      <c r="Q828">
        <v>4.4340900000000002E-4</v>
      </c>
      <c r="R828">
        <v>9.5934700000000004E-4</v>
      </c>
      <c r="S828">
        <v>1.75483E-3</v>
      </c>
      <c r="T828">
        <v>4.6153200000000001E-4</v>
      </c>
    </row>
    <row r="829" spans="1:20" hidden="1" x14ac:dyDescent="0.25">
      <c r="A829" t="s">
        <v>847</v>
      </c>
      <c r="B829">
        <v>3.6807700000000002E-4</v>
      </c>
      <c r="C829">
        <v>0</v>
      </c>
      <c r="D829">
        <v>1.8170799999999999E-4</v>
      </c>
      <c r="E829">
        <v>0</v>
      </c>
      <c r="F829">
        <v>3.4222000000000001E-4</v>
      </c>
      <c r="G829">
        <v>0</v>
      </c>
      <c r="H829">
        <v>6.2210900000000003E-4</v>
      </c>
      <c r="I829">
        <v>0</v>
      </c>
      <c r="J829">
        <v>2.6378000000000003E-4</v>
      </c>
      <c r="K829">
        <v>3.2112299999999998E-4</v>
      </c>
      <c r="L829">
        <v>6.8275599999999997E-4</v>
      </c>
      <c r="M829">
        <v>4.0651700000000001E-4</v>
      </c>
      <c r="N829">
        <v>5.2563800000000004E-4</v>
      </c>
      <c r="O829">
        <v>5.5182199999999999E-4</v>
      </c>
      <c r="P829">
        <v>8.8254700000000002E-4</v>
      </c>
      <c r="Q829">
        <v>0</v>
      </c>
      <c r="R829">
        <v>3.0159799999999998E-4</v>
      </c>
      <c r="S829">
        <v>7.5056199999999997E-4</v>
      </c>
      <c r="T829">
        <v>4.3509400000000002E-4</v>
      </c>
    </row>
    <row r="830" spans="1:20" hidden="1" x14ac:dyDescent="0.25">
      <c r="A830" t="s">
        <v>848</v>
      </c>
      <c r="B830" s="1">
        <v>6.9800000000000003E-5</v>
      </c>
      <c r="C830" s="1">
        <v>5.63E-5</v>
      </c>
      <c r="D830" s="1">
        <v>6.0000000000000002E-5</v>
      </c>
      <c r="E830" s="1">
        <v>3.8600000000000003E-5</v>
      </c>
      <c r="F830" s="1">
        <v>3.6600000000000002E-5</v>
      </c>
      <c r="G830">
        <v>0</v>
      </c>
      <c r="H830" s="1">
        <v>6.0900000000000003E-5</v>
      </c>
      <c r="I830" s="1">
        <v>4.7500000000000003E-5</v>
      </c>
      <c r="J830" s="1">
        <v>4.5800000000000002E-5</v>
      </c>
      <c r="K830" s="1">
        <v>4.2299999999999998E-5</v>
      </c>
      <c r="L830" s="1">
        <v>5.7299999999999997E-5</v>
      </c>
      <c r="M830" s="1">
        <v>6.1500000000000004E-5</v>
      </c>
      <c r="N830">
        <v>0</v>
      </c>
      <c r="O830">
        <v>0</v>
      </c>
      <c r="P830">
        <v>0</v>
      </c>
      <c r="Q830" s="1">
        <v>4.4700000000000002E-5</v>
      </c>
      <c r="R830">
        <v>0</v>
      </c>
      <c r="S830">
        <v>0</v>
      </c>
      <c r="T830" s="1">
        <v>3.29E-5</v>
      </c>
    </row>
    <row r="831" spans="1:20" hidden="1" x14ac:dyDescent="0.25">
      <c r="A831" t="s">
        <v>849</v>
      </c>
      <c r="B831" s="1">
        <v>1.33E-5</v>
      </c>
      <c r="C831" s="1">
        <v>1.27E-5</v>
      </c>
      <c r="D831" s="1">
        <v>1.49E-5</v>
      </c>
      <c r="E831" s="1">
        <v>4.2599999999999999E-6</v>
      </c>
      <c r="F831" s="1">
        <v>1.4E-5</v>
      </c>
      <c r="G831" s="1">
        <v>2.8E-5</v>
      </c>
      <c r="H831" s="1">
        <v>1.36E-5</v>
      </c>
      <c r="I831" s="1">
        <v>1.4E-5</v>
      </c>
      <c r="J831" s="1">
        <v>1.84E-5</v>
      </c>
      <c r="K831" s="1">
        <v>1.0699999999999999E-5</v>
      </c>
      <c r="L831" s="1">
        <v>2.9E-5</v>
      </c>
      <c r="M831" s="1">
        <v>1.91E-5</v>
      </c>
      <c r="N831" s="1">
        <v>2.2900000000000001E-5</v>
      </c>
      <c r="O831" s="1">
        <v>1.03E-5</v>
      </c>
      <c r="P831" s="1">
        <v>2.9200000000000002E-5</v>
      </c>
      <c r="Q831">
        <v>1.10994E-4</v>
      </c>
      <c r="R831" s="1">
        <v>5.0800000000000002E-5</v>
      </c>
      <c r="S831" s="1">
        <v>6.8700000000000003E-5</v>
      </c>
      <c r="T831" s="1">
        <v>9.9900000000000002E-5</v>
      </c>
    </row>
    <row r="832" spans="1:20" hidden="1" x14ac:dyDescent="0.25">
      <c r="A832" t="s">
        <v>850</v>
      </c>
      <c r="B832">
        <v>1.9272899999999999E-4</v>
      </c>
      <c r="C832">
        <v>2.00235E-4</v>
      </c>
      <c r="D832">
        <v>2.35319E-4</v>
      </c>
      <c r="E832">
        <v>1.6452799999999999E-4</v>
      </c>
      <c r="F832">
        <v>1.8357099999999999E-4</v>
      </c>
      <c r="G832">
        <v>1.45675E-4</v>
      </c>
      <c r="H832">
        <v>1.98457E-4</v>
      </c>
      <c r="I832">
        <v>1.59612E-4</v>
      </c>
      <c r="J832">
        <v>1.54272E-4</v>
      </c>
      <c r="K832">
        <v>1.50085E-4</v>
      </c>
      <c r="L832">
        <v>1.83117E-4</v>
      </c>
      <c r="M832">
        <v>1.8736100000000001E-4</v>
      </c>
      <c r="N832">
        <v>1.78235E-4</v>
      </c>
      <c r="O832">
        <v>1.82225E-4</v>
      </c>
      <c r="P832">
        <v>1.41433E-4</v>
      </c>
      <c r="Q832">
        <v>1.43394E-4</v>
      </c>
      <c r="R832" s="1">
        <v>7.4099999999999999E-5</v>
      </c>
      <c r="S832" s="1">
        <v>6.4200000000000002E-5</v>
      </c>
      <c r="T832">
        <v>1.4063500000000001E-4</v>
      </c>
    </row>
    <row r="833" spans="1:20" hidden="1" x14ac:dyDescent="0.25">
      <c r="A833" t="s">
        <v>851</v>
      </c>
      <c r="B833">
        <v>1.37918E-3</v>
      </c>
      <c r="C833">
        <v>1.4712950000000001E-3</v>
      </c>
      <c r="D833">
        <v>1.5034650000000001E-3</v>
      </c>
      <c r="E833">
        <v>2.3593419999999999E-3</v>
      </c>
      <c r="F833">
        <v>2.5009810000000002E-3</v>
      </c>
      <c r="G833">
        <v>1.365198E-3</v>
      </c>
      <c r="H833">
        <v>1.2963989999999999E-3</v>
      </c>
      <c r="I833">
        <v>1.455884E-3</v>
      </c>
      <c r="J833">
        <v>1.2356170000000001E-3</v>
      </c>
      <c r="K833">
        <v>1.8594359999999999E-3</v>
      </c>
      <c r="L833">
        <v>1.5380979999999999E-3</v>
      </c>
      <c r="M833">
        <v>1.3211399999999999E-3</v>
      </c>
      <c r="N833">
        <v>1.15898E-3</v>
      </c>
      <c r="O833">
        <v>1.405166E-3</v>
      </c>
      <c r="P833">
        <v>6.4377300000000004E-4</v>
      </c>
      <c r="Q833">
        <v>3.3494299999999998E-4</v>
      </c>
      <c r="R833">
        <v>4.3751499999999997E-4</v>
      </c>
      <c r="S833">
        <v>4.4394200000000001E-4</v>
      </c>
      <c r="T833">
        <v>4.6764199999999999E-4</v>
      </c>
    </row>
    <row r="834" spans="1:20" hidden="1" x14ac:dyDescent="0.25">
      <c r="A834" t="s">
        <v>852</v>
      </c>
      <c r="B834" s="1">
        <v>3.3800000000000002E-5</v>
      </c>
      <c r="C834">
        <v>0</v>
      </c>
      <c r="D834">
        <v>0</v>
      </c>
      <c r="E834">
        <v>0</v>
      </c>
      <c r="F834">
        <v>0</v>
      </c>
      <c r="G834">
        <v>0</v>
      </c>
      <c r="H834" s="1">
        <v>2.3099999999999999E-5</v>
      </c>
      <c r="I834">
        <v>0</v>
      </c>
      <c r="J834" s="1">
        <v>1.4600000000000001E-5</v>
      </c>
      <c r="K834">
        <v>0</v>
      </c>
      <c r="L834">
        <v>0</v>
      </c>
      <c r="M834" s="1">
        <v>2.73E-5</v>
      </c>
      <c r="N834" s="1">
        <v>3.57E-5</v>
      </c>
      <c r="O834" s="1">
        <v>2.4899999999999999E-5</v>
      </c>
      <c r="P834" s="1">
        <v>4.1300000000000001E-5</v>
      </c>
      <c r="Q834" s="1">
        <v>4.7899999999999999E-5</v>
      </c>
      <c r="R834" s="1">
        <v>2.4600000000000002E-5</v>
      </c>
      <c r="S834">
        <v>0</v>
      </c>
      <c r="T834" s="1">
        <v>3.4900000000000001E-5</v>
      </c>
    </row>
    <row r="835" spans="1:20" hidden="1" x14ac:dyDescent="0.25">
      <c r="A835" t="s">
        <v>853</v>
      </c>
      <c r="B835" s="1">
        <v>1.6799999999999998E-5</v>
      </c>
      <c r="C835">
        <v>0</v>
      </c>
      <c r="D835">
        <v>0</v>
      </c>
      <c r="E835">
        <v>0</v>
      </c>
      <c r="F835" s="1">
        <v>1.5500000000000001E-5</v>
      </c>
      <c r="G835">
        <v>0</v>
      </c>
      <c r="H835" s="1">
        <v>1.2999999999999999E-5</v>
      </c>
      <c r="I835">
        <v>0</v>
      </c>
      <c r="J835">
        <v>0</v>
      </c>
      <c r="K835">
        <v>0</v>
      </c>
      <c r="L835">
        <v>0</v>
      </c>
      <c r="M835" s="1">
        <v>1.6699999999999999E-5</v>
      </c>
      <c r="N835" s="1">
        <v>3.4199999999999998E-5</v>
      </c>
      <c r="O835" s="1">
        <v>6.7000000000000002E-6</v>
      </c>
      <c r="P835" s="1">
        <v>1.95E-5</v>
      </c>
      <c r="Q835" s="1">
        <v>3.6600000000000002E-5</v>
      </c>
      <c r="R835" s="1">
        <v>3.04E-5</v>
      </c>
      <c r="S835" s="1">
        <v>2.62E-5</v>
      </c>
      <c r="T835" s="1">
        <v>3.3399999999999999E-5</v>
      </c>
    </row>
    <row r="836" spans="1:20" hidden="1" x14ac:dyDescent="0.25">
      <c r="A836" t="s">
        <v>854</v>
      </c>
      <c r="B836">
        <v>0</v>
      </c>
      <c r="C836">
        <v>0</v>
      </c>
      <c r="D836">
        <v>0</v>
      </c>
      <c r="E836" s="1">
        <v>1.2E-5</v>
      </c>
      <c r="F836">
        <v>0</v>
      </c>
      <c r="G836">
        <v>0</v>
      </c>
      <c r="H836" s="1">
        <v>1.66E-5</v>
      </c>
      <c r="I836" s="1">
        <v>1.43E-5</v>
      </c>
      <c r="J836">
        <v>0</v>
      </c>
      <c r="K836">
        <v>0</v>
      </c>
      <c r="L836" s="1">
        <v>1.27E-5</v>
      </c>
      <c r="M836">
        <v>0</v>
      </c>
      <c r="N836">
        <v>0</v>
      </c>
      <c r="O836">
        <v>0</v>
      </c>
      <c r="P836">
        <v>0</v>
      </c>
      <c r="Q836" s="1">
        <v>2.7800000000000001E-5</v>
      </c>
      <c r="R836" s="1">
        <v>2.09E-5</v>
      </c>
      <c r="S836" s="1">
        <v>3.1900000000000003E-5</v>
      </c>
      <c r="T836" s="1">
        <v>3.6699999999999998E-5</v>
      </c>
    </row>
    <row r="837" spans="1:20" hidden="1" x14ac:dyDescent="0.25">
      <c r="A837" t="s">
        <v>855</v>
      </c>
      <c r="B837">
        <v>0</v>
      </c>
      <c r="C837">
        <v>0</v>
      </c>
      <c r="D837">
        <v>0</v>
      </c>
      <c r="E837">
        <v>0</v>
      </c>
      <c r="F837">
        <v>0</v>
      </c>
      <c r="G837" s="1">
        <v>3.2499999999999997E-5</v>
      </c>
      <c r="H837">
        <v>0</v>
      </c>
      <c r="I837" s="1">
        <v>1.15E-5</v>
      </c>
      <c r="J837">
        <v>0</v>
      </c>
      <c r="K837" s="1">
        <v>1.4800000000000001E-5</v>
      </c>
      <c r="L837" s="1">
        <v>1.2099999999999999E-5</v>
      </c>
      <c r="M837">
        <v>0</v>
      </c>
      <c r="N837">
        <v>0</v>
      </c>
      <c r="O837">
        <v>0</v>
      </c>
      <c r="P837" s="1">
        <v>1.6200000000000001E-5</v>
      </c>
      <c r="Q837" s="1">
        <v>3.8000000000000002E-5</v>
      </c>
      <c r="R837" s="1">
        <v>2.2399999999999999E-5</v>
      </c>
      <c r="S837" s="1">
        <v>7.3399999999999995E-5</v>
      </c>
      <c r="T837" s="1">
        <v>3.1600000000000002E-5</v>
      </c>
    </row>
    <row r="838" spans="1:20" hidden="1" x14ac:dyDescent="0.25">
      <c r="A838" t="s">
        <v>856</v>
      </c>
      <c r="B838" s="1">
        <v>1.2300000000000001E-5</v>
      </c>
      <c r="C838">
        <v>0</v>
      </c>
      <c r="D838">
        <v>0</v>
      </c>
      <c r="E838">
        <v>0</v>
      </c>
      <c r="F838" s="1">
        <v>2.0299999999999999E-5</v>
      </c>
      <c r="G838" s="1">
        <v>1.56E-5</v>
      </c>
      <c r="H838" s="1">
        <v>1.2300000000000001E-5</v>
      </c>
      <c r="I838" s="1">
        <v>1.1199999999999999E-5</v>
      </c>
      <c r="J838" s="1">
        <v>1.15E-5</v>
      </c>
      <c r="K838" s="1">
        <v>1.1199999999999999E-5</v>
      </c>
      <c r="L838">
        <v>0</v>
      </c>
      <c r="M838">
        <v>0</v>
      </c>
      <c r="N838" s="1">
        <v>1.2099999999999999E-5</v>
      </c>
      <c r="O838">
        <v>0</v>
      </c>
      <c r="P838" s="1">
        <v>6.0699999999999998E-5</v>
      </c>
      <c r="Q838">
        <v>1.61621E-4</v>
      </c>
      <c r="R838">
        <v>1.0539600000000001E-4</v>
      </c>
      <c r="S838">
        <v>1.08662E-4</v>
      </c>
      <c r="T838">
        <v>2.5838599999999999E-4</v>
      </c>
    </row>
    <row r="839" spans="1:20" hidden="1" x14ac:dyDescent="0.25">
      <c r="A839" t="s">
        <v>857</v>
      </c>
      <c r="B839">
        <v>3.1337500000000001E-4</v>
      </c>
      <c r="C839">
        <v>2.5505900000000003E-4</v>
      </c>
      <c r="D839">
        <v>2.5789399999999999E-4</v>
      </c>
      <c r="E839">
        <v>3.0394200000000003E-4</v>
      </c>
      <c r="F839">
        <v>4.61063E-4</v>
      </c>
      <c r="G839">
        <v>3.66158E-4</v>
      </c>
      <c r="H839">
        <v>2.69986E-4</v>
      </c>
      <c r="I839">
        <v>3.8039399999999999E-4</v>
      </c>
      <c r="J839">
        <v>3.7376599999999999E-4</v>
      </c>
      <c r="K839">
        <v>3.77337E-4</v>
      </c>
      <c r="L839">
        <v>3.5223900000000001E-4</v>
      </c>
      <c r="M839">
        <v>3.3476099999999999E-4</v>
      </c>
      <c r="N839">
        <v>5.48104E-4</v>
      </c>
      <c r="O839">
        <v>5.1832699999999996E-4</v>
      </c>
      <c r="P839">
        <v>3.2382500000000002E-4</v>
      </c>
      <c r="Q839">
        <v>3.0272900000000001E-4</v>
      </c>
      <c r="R839">
        <v>2.2724600000000001E-4</v>
      </c>
      <c r="S839">
        <v>2.8116099999999999E-4</v>
      </c>
      <c r="T839">
        <v>2.3949900000000001E-4</v>
      </c>
    </row>
    <row r="840" spans="1:20" hidden="1" x14ac:dyDescent="0.25">
      <c r="A840" t="s">
        <v>858</v>
      </c>
      <c r="B840" s="1">
        <v>3.26E-5</v>
      </c>
      <c r="C840" s="1">
        <v>4.8699999999999998E-5</v>
      </c>
      <c r="D840" s="1">
        <v>2.9E-5</v>
      </c>
      <c r="E840" s="1">
        <v>2.6599999999999999E-5</v>
      </c>
      <c r="F840">
        <v>0</v>
      </c>
      <c r="G840">
        <v>0</v>
      </c>
      <c r="H840" s="1">
        <v>5.4700000000000001E-5</v>
      </c>
      <c r="I840" s="1">
        <v>3.6000000000000001E-5</v>
      </c>
      <c r="J840" s="1">
        <v>6.4599999999999998E-5</v>
      </c>
      <c r="K840" s="1">
        <v>3.4900000000000001E-5</v>
      </c>
      <c r="L840" s="1">
        <v>5.1100000000000002E-5</v>
      </c>
      <c r="M840" s="1">
        <v>6.7199999999999994E-5</v>
      </c>
      <c r="N840" s="1">
        <v>6.9599999999999998E-5</v>
      </c>
      <c r="O840" s="1">
        <v>7.9499999999999994E-5</v>
      </c>
      <c r="P840" s="1">
        <v>4.6699999999999997E-5</v>
      </c>
      <c r="Q840" s="1">
        <v>2.4000000000000001E-5</v>
      </c>
      <c r="R840" s="1">
        <v>3.1000000000000001E-5</v>
      </c>
      <c r="S840" s="1">
        <v>2.05E-5</v>
      </c>
      <c r="T840" s="1">
        <v>2.9099999999999999E-5</v>
      </c>
    </row>
    <row r="841" spans="1:20" hidden="1" x14ac:dyDescent="0.25">
      <c r="A841" t="s">
        <v>859</v>
      </c>
      <c r="B841">
        <v>0</v>
      </c>
      <c r="C841" s="1">
        <v>3.8000000000000002E-5</v>
      </c>
      <c r="D841" s="1">
        <v>3.8800000000000001E-5</v>
      </c>
      <c r="E841" s="1">
        <v>3.2199999999999997E-5</v>
      </c>
      <c r="F841" s="1">
        <v>4.3800000000000001E-5</v>
      </c>
      <c r="G841" s="1">
        <v>3.82E-5</v>
      </c>
      <c r="H841" s="1">
        <v>4.2200000000000003E-5</v>
      </c>
      <c r="I841" s="1">
        <v>5.52E-5</v>
      </c>
      <c r="J841" s="1">
        <v>5.9500000000000003E-5</v>
      </c>
      <c r="K841" s="1">
        <v>3.4400000000000003E-5</v>
      </c>
      <c r="L841" s="1">
        <v>3.2700000000000002E-5</v>
      </c>
      <c r="M841" s="1">
        <v>2.87E-5</v>
      </c>
      <c r="N841" s="1">
        <v>2.41E-5</v>
      </c>
      <c r="O841" s="1">
        <v>4.6900000000000002E-5</v>
      </c>
      <c r="P841">
        <v>0</v>
      </c>
      <c r="Q841" s="1">
        <v>2.55E-5</v>
      </c>
      <c r="R841" s="1">
        <v>3.3500000000000001E-5</v>
      </c>
      <c r="S841" s="1">
        <v>1.3900000000000001E-5</v>
      </c>
      <c r="T841" s="1">
        <v>1.4E-5</v>
      </c>
    </row>
    <row r="842" spans="1:20" hidden="1" x14ac:dyDescent="0.25">
      <c r="A842" t="s">
        <v>860</v>
      </c>
      <c r="B842">
        <v>1.8233400000000001E-4</v>
      </c>
      <c r="C842">
        <v>1.21285E-4</v>
      </c>
      <c r="D842">
        <v>1.12334E-4</v>
      </c>
      <c r="E842" s="1">
        <v>9.1299999999999997E-5</v>
      </c>
      <c r="F842">
        <v>1.3961900000000001E-4</v>
      </c>
      <c r="G842" s="1">
        <v>8.5799999999999998E-5</v>
      </c>
      <c r="H842" s="1">
        <v>9.1600000000000004E-5</v>
      </c>
      <c r="I842" s="1">
        <v>7.5400000000000003E-5</v>
      </c>
      <c r="J842">
        <v>1.3547799999999999E-4</v>
      </c>
      <c r="K842">
        <v>1.03372E-4</v>
      </c>
      <c r="L842">
        <v>1.2317200000000001E-4</v>
      </c>
      <c r="M842">
        <v>1.1355E-4</v>
      </c>
      <c r="N842" s="1">
        <v>8.1799999999999996E-5</v>
      </c>
      <c r="O842">
        <v>1.06025E-4</v>
      </c>
      <c r="P842">
        <v>1.0208E-4</v>
      </c>
      <c r="Q842" s="1">
        <v>8.6799999999999996E-5</v>
      </c>
      <c r="R842" s="1">
        <v>4.6499999999999999E-5</v>
      </c>
      <c r="S842" s="1">
        <v>4.9299999999999999E-5</v>
      </c>
      <c r="T842" s="1">
        <v>8.0799999999999999E-5</v>
      </c>
    </row>
    <row r="843" spans="1:20" hidden="1" x14ac:dyDescent="0.25">
      <c r="A843" t="s">
        <v>861</v>
      </c>
      <c r="B843" s="1">
        <v>5.5300000000000002E-5</v>
      </c>
      <c r="C843" s="1">
        <v>8.8599999999999999E-5</v>
      </c>
      <c r="D843">
        <v>1.03785E-4</v>
      </c>
      <c r="E843" s="1">
        <v>8.8700000000000001E-5</v>
      </c>
      <c r="F843" s="1">
        <v>7.4099999999999999E-5</v>
      </c>
      <c r="G843" s="1">
        <v>8.0799999999999999E-5</v>
      </c>
      <c r="H843" s="1">
        <v>8.3800000000000004E-5</v>
      </c>
      <c r="I843" s="1">
        <v>8.2799999999999993E-5</v>
      </c>
      <c r="J843" s="1">
        <v>7.36E-5</v>
      </c>
      <c r="K843">
        <v>1.02568E-4</v>
      </c>
      <c r="L843" s="1">
        <v>9.4400000000000004E-5</v>
      </c>
      <c r="M843" s="1">
        <v>5.8300000000000001E-5</v>
      </c>
      <c r="N843" s="1">
        <v>4.0000000000000003E-5</v>
      </c>
      <c r="O843" s="1">
        <v>8.4499999999999994E-5</v>
      </c>
      <c r="P843" s="1">
        <v>5.7000000000000003E-5</v>
      </c>
      <c r="Q843" s="1">
        <v>5.3499999999999999E-5</v>
      </c>
      <c r="R843" s="1">
        <v>6.41E-5</v>
      </c>
      <c r="S843" s="1">
        <v>6.7299999999999996E-5</v>
      </c>
      <c r="T843" s="1">
        <v>6.5599999999999995E-5</v>
      </c>
    </row>
    <row r="844" spans="1:20" hidden="1" x14ac:dyDescent="0.25">
      <c r="A844" t="s">
        <v>862</v>
      </c>
      <c r="B844" s="1">
        <v>1.24E-5</v>
      </c>
      <c r="C844" s="1">
        <v>2.3499999999999999E-5</v>
      </c>
      <c r="D844" s="1">
        <v>2.3E-5</v>
      </c>
      <c r="E844" s="1">
        <v>2.1800000000000001E-5</v>
      </c>
      <c r="F844" s="1">
        <v>1.6900000000000001E-5</v>
      </c>
      <c r="G844" s="1">
        <v>7.0599999999999995E-5</v>
      </c>
      <c r="H844" s="1">
        <v>2.4199999999999999E-5</v>
      </c>
      <c r="I844" s="1">
        <v>2.19E-5</v>
      </c>
      <c r="J844" s="1">
        <v>2.05E-5</v>
      </c>
      <c r="K844" s="1">
        <v>2.0400000000000001E-5</v>
      </c>
      <c r="L844" s="1">
        <v>2.51E-5</v>
      </c>
      <c r="M844" s="1">
        <v>1.29E-5</v>
      </c>
      <c r="N844" s="1">
        <v>1.2999999999999999E-5</v>
      </c>
      <c r="O844" s="1">
        <v>1.9599999999999999E-5</v>
      </c>
      <c r="P844" s="1">
        <v>1.5999999999999999E-5</v>
      </c>
      <c r="Q844" s="1">
        <v>2.6299999999999999E-5</v>
      </c>
      <c r="R844" s="1">
        <v>2.6100000000000001E-5</v>
      </c>
      <c r="S844" s="1">
        <v>1.98E-5</v>
      </c>
      <c r="T844" s="1">
        <v>2.3E-5</v>
      </c>
    </row>
    <row r="845" spans="1:20" hidden="1" x14ac:dyDescent="0.25">
      <c r="A845" t="s">
        <v>863</v>
      </c>
      <c r="B845" s="1">
        <v>6.7000000000000002E-6</v>
      </c>
      <c r="C845" s="1">
        <v>3.8399999999999997E-6</v>
      </c>
      <c r="D845">
        <v>0</v>
      </c>
      <c r="E845">
        <v>0</v>
      </c>
      <c r="F845" s="1">
        <v>1.1600000000000001E-5</v>
      </c>
      <c r="G845" s="1">
        <v>1.29E-5</v>
      </c>
      <c r="H845" s="1">
        <v>1.06E-5</v>
      </c>
      <c r="I845" s="1">
        <v>1.19E-5</v>
      </c>
      <c r="J845" s="1">
        <v>7.7800000000000001E-6</v>
      </c>
      <c r="K845" s="1">
        <v>1.3900000000000001E-5</v>
      </c>
      <c r="L845" s="1">
        <v>9.5300000000000002E-6</v>
      </c>
      <c r="M845" s="1">
        <v>9.2599999999999994E-6</v>
      </c>
      <c r="N845" s="1">
        <v>7.9000000000000006E-6</v>
      </c>
      <c r="O845">
        <v>0</v>
      </c>
      <c r="P845" s="1">
        <v>1.9199999999999999E-5</v>
      </c>
      <c r="Q845" s="1">
        <v>2.1100000000000001E-5</v>
      </c>
      <c r="R845" s="1">
        <v>1.59E-5</v>
      </c>
      <c r="S845" s="1">
        <v>4.1100000000000003E-5</v>
      </c>
      <c r="T845" s="1">
        <v>2.3900000000000002E-5</v>
      </c>
    </row>
    <row r="846" spans="1:20" hidden="1" x14ac:dyDescent="0.25">
      <c r="A846" t="s">
        <v>864</v>
      </c>
      <c r="B846">
        <v>0</v>
      </c>
      <c r="C846" s="1">
        <v>1.42E-5</v>
      </c>
      <c r="D846" s="1">
        <v>1.2999999999999999E-5</v>
      </c>
      <c r="E846" s="1">
        <v>1.33E-5</v>
      </c>
      <c r="F846" s="1">
        <v>9.8200000000000008E-6</v>
      </c>
      <c r="G846" s="1">
        <v>5.0900000000000004E-6</v>
      </c>
      <c r="H846" s="1">
        <v>8.4999999999999999E-6</v>
      </c>
      <c r="I846" s="1">
        <v>4.8500000000000002E-6</v>
      </c>
      <c r="J846" s="1">
        <v>6.5599999999999999E-6</v>
      </c>
      <c r="K846" s="1">
        <v>1.2E-5</v>
      </c>
      <c r="L846" s="1">
        <v>1.17E-5</v>
      </c>
      <c r="M846">
        <v>0</v>
      </c>
      <c r="N846">
        <v>0</v>
      </c>
      <c r="O846" s="1">
        <v>7.5700000000000004E-6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hidden="1" x14ac:dyDescent="0.25">
      <c r="A847" t="s">
        <v>865</v>
      </c>
      <c r="B847" s="1">
        <v>1.22E-5</v>
      </c>
      <c r="C847" s="1">
        <v>2.3900000000000002E-5</v>
      </c>
      <c r="D847" s="1">
        <v>3.1300000000000002E-5</v>
      </c>
      <c r="E847" s="1">
        <v>2.12E-5</v>
      </c>
      <c r="F847" s="1">
        <v>7.17E-6</v>
      </c>
      <c r="G847" s="1">
        <v>1.73E-5</v>
      </c>
      <c r="H847" s="1">
        <v>1.38E-5</v>
      </c>
      <c r="I847" s="1">
        <v>2.8900000000000001E-5</v>
      </c>
      <c r="J847" s="1">
        <v>1.73E-5</v>
      </c>
      <c r="K847">
        <v>0</v>
      </c>
      <c r="L847" s="1">
        <v>2.0599999999999999E-5</v>
      </c>
      <c r="M847">
        <v>0</v>
      </c>
      <c r="N847" s="1">
        <v>1.3200000000000001E-5</v>
      </c>
      <c r="O847" s="1">
        <v>2.8099999999999999E-5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hidden="1" x14ac:dyDescent="0.25">
      <c r="A848" t="s">
        <v>866</v>
      </c>
      <c r="B848">
        <v>1.8727500000000001E-4</v>
      </c>
      <c r="C848">
        <v>1.9706199999999999E-4</v>
      </c>
      <c r="D848">
        <v>2.12282E-4</v>
      </c>
      <c r="E848">
        <v>2.6424100000000002E-4</v>
      </c>
      <c r="F848">
        <v>1.6367500000000001E-4</v>
      </c>
      <c r="G848">
        <v>1.70452E-4</v>
      </c>
      <c r="H848">
        <v>1.6670399999999999E-4</v>
      </c>
      <c r="I848">
        <v>2.2909699999999999E-4</v>
      </c>
      <c r="J848">
        <v>2.1599E-4</v>
      </c>
      <c r="K848">
        <v>1.8275299999999999E-4</v>
      </c>
      <c r="L848">
        <v>2.2023E-4</v>
      </c>
      <c r="M848">
        <v>1.6211900000000001E-4</v>
      </c>
      <c r="N848">
        <v>1.4503199999999999E-4</v>
      </c>
      <c r="O848">
        <v>1.6096400000000001E-4</v>
      </c>
      <c r="P848">
        <v>1.3402100000000001E-4</v>
      </c>
      <c r="Q848">
        <v>1.07087E-4</v>
      </c>
      <c r="R848">
        <v>1.6153900000000001E-4</v>
      </c>
      <c r="S848">
        <v>1.57832E-4</v>
      </c>
      <c r="T848">
        <v>1.0482199999999999E-4</v>
      </c>
    </row>
    <row r="849" spans="1:20" hidden="1" x14ac:dyDescent="0.25">
      <c r="A849" t="s">
        <v>867</v>
      </c>
      <c r="B849" s="1">
        <v>1.88E-5</v>
      </c>
      <c r="C849" s="1">
        <v>1.2799999999999999E-5</v>
      </c>
      <c r="D849" s="1">
        <v>1.5400000000000002E-5</v>
      </c>
      <c r="E849" s="1">
        <v>1.7799999999999999E-5</v>
      </c>
      <c r="F849" s="1">
        <v>1.8700000000000001E-5</v>
      </c>
      <c r="G849">
        <v>0</v>
      </c>
      <c r="H849" s="1">
        <v>1.9000000000000001E-5</v>
      </c>
      <c r="I849" s="1">
        <v>2.1500000000000001E-5</v>
      </c>
      <c r="J849">
        <v>0</v>
      </c>
      <c r="K849" s="1">
        <v>1.88E-5</v>
      </c>
      <c r="L849" s="1">
        <v>7.1400000000000002E-6</v>
      </c>
      <c r="M849" s="1">
        <v>2.3099999999999999E-5</v>
      </c>
      <c r="N849" s="1">
        <v>1.45E-5</v>
      </c>
      <c r="O849" s="1">
        <v>1.52E-5</v>
      </c>
      <c r="P849" s="1">
        <v>3.0800000000000003E-5</v>
      </c>
      <c r="Q849" s="1">
        <v>3.8600000000000003E-5</v>
      </c>
      <c r="R849" s="1">
        <v>3.04E-5</v>
      </c>
      <c r="S849" s="1">
        <v>3.4499999999999998E-5</v>
      </c>
      <c r="T849" s="1">
        <v>4.6999999999999997E-5</v>
      </c>
    </row>
    <row r="850" spans="1:20" hidden="1" x14ac:dyDescent="0.25">
      <c r="A850" t="s">
        <v>868</v>
      </c>
      <c r="B850" s="1">
        <v>2.9899999999999998E-5</v>
      </c>
      <c r="C850" s="1">
        <v>3.15E-5</v>
      </c>
      <c r="D850" s="1">
        <v>2.5599999999999999E-5</v>
      </c>
      <c r="E850" s="1">
        <v>3.9700000000000003E-5</v>
      </c>
      <c r="F850" s="1">
        <v>4.18E-5</v>
      </c>
      <c r="G850" s="1">
        <v>4.2500000000000003E-5</v>
      </c>
      <c r="H850">
        <v>0</v>
      </c>
      <c r="I850">
        <v>0</v>
      </c>
      <c r="J850">
        <v>0</v>
      </c>
      <c r="K850" s="1">
        <v>2.6699999999999998E-5</v>
      </c>
      <c r="L850">
        <v>0</v>
      </c>
      <c r="M850" s="1">
        <v>2.5000000000000001E-5</v>
      </c>
      <c r="N850" s="1">
        <v>1.7499999999999998E-5</v>
      </c>
      <c r="O850" s="1">
        <v>2.5400000000000001E-5</v>
      </c>
      <c r="P850">
        <v>0</v>
      </c>
      <c r="Q850" s="1">
        <v>2.7100000000000001E-5</v>
      </c>
      <c r="R850" s="1">
        <v>2.34E-5</v>
      </c>
      <c r="S850">
        <v>0</v>
      </c>
      <c r="T850" s="1">
        <v>3.6999999999999998E-5</v>
      </c>
    </row>
    <row r="851" spans="1:20" hidden="1" x14ac:dyDescent="0.25">
      <c r="A851" t="s">
        <v>869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s="1">
        <v>1.9700000000000001E-5</v>
      </c>
      <c r="R851" s="1">
        <v>1.22E-5</v>
      </c>
      <c r="S851" s="1">
        <v>1.7799999999999999E-5</v>
      </c>
      <c r="T851" s="1">
        <v>1.98E-5</v>
      </c>
    </row>
    <row r="852" spans="1:20" hidden="1" x14ac:dyDescent="0.25">
      <c r="A852" t="s">
        <v>870</v>
      </c>
      <c r="B852" s="1">
        <v>2.3600000000000001E-5</v>
      </c>
      <c r="C852">
        <v>0</v>
      </c>
      <c r="D852">
        <v>0</v>
      </c>
      <c r="E852">
        <v>0</v>
      </c>
      <c r="F852" s="1">
        <v>1.11E-5</v>
      </c>
      <c r="G852" s="1">
        <v>1.4399999999999999E-5</v>
      </c>
      <c r="H852" s="1">
        <v>1.6500000000000001E-5</v>
      </c>
      <c r="I852" s="1">
        <v>6.6699999999999997E-6</v>
      </c>
      <c r="J852" s="1">
        <v>2.9099999999999999E-5</v>
      </c>
      <c r="K852" s="1">
        <v>2.0800000000000001E-5</v>
      </c>
      <c r="L852" s="1">
        <v>7.6000000000000001E-6</v>
      </c>
      <c r="M852" s="1">
        <v>3.8699999999999999E-5</v>
      </c>
      <c r="N852" s="1">
        <v>3.04E-5</v>
      </c>
      <c r="O852" s="1">
        <v>8.3599999999999996E-6</v>
      </c>
      <c r="P852" s="1">
        <v>4.4199999999999997E-5</v>
      </c>
      <c r="Q852" s="1">
        <v>5.1600000000000001E-5</v>
      </c>
      <c r="R852" s="1">
        <v>2.9E-5</v>
      </c>
      <c r="S852" s="1">
        <v>2.5700000000000001E-5</v>
      </c>
      <c r="T852" s="1">
        <v>5.2899999999999998E-5</v>
      </c>
    </row>
    <row r="853" spans="1:20" hidden="1" x14ac:dyDescent="0.25">
      <c r="A853" t="s">
        <v>871</v>
      </c>
      <c r="B853" s="1">
        <v>9.73E-6</v>
      </c>
      <c r="C853">
        <v>0</v>
      </c>
      <c r="D853">
        <v>0</v>
      </c>
      <c r="E853">
        <v>0</v>
      </c>
      <c r="F853" s="1">
        <v>1.6699999999999999E-5</v>
      </c>
      <c r="G853" s="1">
        <v>3.3800000000000002E-5</v>
      </c>
      <c r="H853" s="1">
        <v>1.5999999999999999E-5</v>
      </c>
      <c r="I853" s="1">
        <v>2.8099999999999999E-5</v>
      </c>
      <c r="J853" s="1">
        <v>2.7500000000000001E-5</v>
      </c>
      <c r="K853" s="1">
        <v>8.1699999999999997E-6</v>
      </c>
      <c r="L853" s="1">
        <v>4.49E-5</v>
      </c>
      <c r="M853" s="1">
        <v>3.4E-5</v>
      </c>
      <c r="N853" s="1">
        <v>2.16E-5</v>
      </c>
      <c r="O853" s="1">
        <v>2.0000000000000002E-5</v>
      </c>
      <c r="P853" s="1">
        <v>5.38E-5</v>
      </c>
      <c r="Q853">
        <v>1.4635000000000001E-4</v>
      </c>
      <c r="R853">
        <v>1.9900500000000001E-4</v>
      </c>
      <c r="S853">
        <v>1.4825E-4</v>
      </c>
      <c r="T853">
        <v>1.5023200000000001E-4</v>
      </c>
    </row>
    <row r="854" spans="1:20" hidden="1" x14ac:dyDescent="0.25">
      <c r="A854" t="s">
        <v>872</v>
      </c>
      <c r="B854">
        <v>0</v>
      </c>
      <c r="C854">
        <v>0</v>
      </c>
      <c r="D854">
        <v>0</v>
      </c>
      <c r="E854">
        <v>0</v>
      </c>
      <c r="F854" s="1">
        <v>1.8600000000000001E-5</v>
      </c>
      <c r="G854">
        <v>0</v>
      </c>
      <c r="H854">
        <v>0</v>
      </c>
      <c r="I854">
        <v>0</v>
      </c>
      <c r="J854" s="1">
        <v>7.5100000000000001E-6</v>
      </c>
      <c r="K854" s="1">
        <v>1.1800000000000001E-5</v>
      </c>
      <c r="L854">
        <v>0</v>
      </c>
      <c r="M854">
        <v>0</v>
      </c>
      <c r="N854" s="1">
        <v>9.3100000000000006E-6</v>
      </c>
      <c r="O854">
        <v>0</v>
      </c>
      <c r="P854" s="1">
        <v>2.8500000000000002E-5</v>
      </c>
      <c r="Q854" s="1">
        <v>4.3000000000000002E-5</v>
      </c>
      <c r="R854" s="1">
        <v>5.6799999999999998E-5</v>
      </c>
      <c r="S854" s="1">
        <v>5.5999999999999999E-5</v>
      </c>
      <c r="T854" s="1">
        <v>4.57E-5</v>
      </c>
    </row>
    <row r="855" spans="1:20" hidden="1" x14ac:dyDescent="0.25">
      <c r="A855" t="s">
        <v>873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 s="1">
        <v>1.42E-5</v>
      </c>
      <c r="L855">
        <v>0</v>
      </c>
      <c r="M855">
        <v>0</v>
      </c>
      <c r="N855">
        <v>0</v>
      </c>
      <c r="O855">
        <v>0</v>
      </c>
      <c r="P855" s="1">
        <v>2.4899999999999999E-5</v>
      </c>
      <c r="Q855" s="1">
        <v>2.27E-5</v>
      </c>
      <c r="R855" s="1">
        <v>1.22E-5</v>
      </c>
      <c r="S855" s="1">
        <v>2.6299999999999999E-5</v>
      </c>
      <c r="T855" s="1">
        <v>1.9899999999999999E-5</v>
      </c>
    </row>
    <row r="856" spans="1:20" hidden="1" x14ac:dyDescent="0.25">
      <c r="A856" t="s">
        <v>874</v>
      </c>
      <c r="B856" s="1">
        <v>2.8200000000000001E-5</v>
      </c>
      <c r="C856" s="1">
        <v>1.8499999999999999E-5</v>
      </c>
      <c r="D856" s="1">
        <v>1.6699999999999999E-5</v>
      </c>
      <c r="E856" s="1">
        <v>1.73E-5</v>
      </c>
      <c r="F856" s="1">
        <v>2.7900000000000001E-5</v>
      </c>
      <c r="G856" s="1">
        <v>2.2399999999999999E-5</v>
      </c>
      <c r="H856" s="1">
        <v>4.5399999999999999E-5</v>
      </c>
      <c r="I856" s="1">
        <v>3.0199999999999999E-5</v>
      </c>
      <c r="J856" s="1">
        <v>4.5899999999999998E-5</v>
      </c>
      <c r="K856" s="1">
        <v>2.83E-5</v>
      </c>
      <c r="L856" s="1">
        <v>2.9600000000000001E-5</v>
      </c>
      <c r="M856" s="1">
        <v>3.0300000000000001E-5</v>
      </c>
      <c r="N856" s="1">
        <v>3.68E-5</v>
      </c>
      <c r="O856" s="1">
        <v>2.7500000000000001E-5</v>
      </c>
      <c r="P856" s="1">
        <v>5.4700000000000001E-5</v>
      </c>
      <c r="Q856" s="1">
        <v>8.7700000000000004E-5</v>
      </c>
      <c r="R856">
        <v>1.27892E-4</v>
      </c>
      <c r="S856" s="1">
        <v>6.7600000000000003E-5</v>
      </c>
      <c r="T856" s="1">
        <v>8.03E-5</v>
      </c>
    </row>
    <row r="857" spans="1:20" hidden="1" x14ac:dyDescent="0.25">
      <c r="A857" t="s">
        <v>875</v>
      </c>
      <c r="B857" s="1">
        <v>4.1699999999999997E-5</v>
      </c>
      <c r="C857" s="1">
        <v>3.2199999999999997E-5</v>
      </c>
      <c r="D857" s="1">
        <v>1.8099999999999999E-5</v>
      </c>
      <c r="E857" s="1">
        <v>1.9599999999999999E-5</v>
      </c>
      <c r="F857" s="1">
        <v>7.1199999999999996E-5</v>
      </c>
      <c r="G857" s="1">
        <v>4.3099999999999997E-5</v>
      </c>
      <c r="H857">
        <v>1.2846999999999999E-4</v>
      </c>
      <c r="I857" s="1">
        <v>5.0599999999999997E-5</v>
      </c>
      <c r="J857" s="1">
        <v>7.6199999999999995E-5</v>
      </c>
      <c r="K857" s="1">
        <v>6.0999999999999999E-5</v>
      </c>
      <c r="L857" s="1">
        <v>4.2299999999999998E-5</v>
      </c>
      <c r="M857" s="1">
        <v>7.9900000000000004E-5</v>
      </c>
      <c r="N857" s="1">
        <v>6.1699999999999995E-5</v>
      </c>
      <c r="O857" s="1">
        <v>6.7100000000000005E-5</v>
      </c>
      <c r="P857">
        <v>1.2430199999999999E-4</v>
      </c>
      <c r="Q857">
        <v>1.7757800000000001E-4</v>
      </c>
      <c r="R857">
        <v>2.63723E-4</v>
      </c>
      <c r="S857">
        <v>2.2566400000000001E-4</v>
      </c>
      <c r="T857">
        <v>1.8703200000000001E-4</v>
      </c>
    </row>
    <row r="858" spans="1:20" hidden="1" x14ac:dyDescent="0.25">
      <c r="A858" t="s">
        <v>876</v>
      </c>
      <c r="B858" s="1">
        <v>1.17E-5</v>
      </c>
      <c r="C858" s="1">
        <v>2.5199999999999999E-5</v>
      </c>
      <c r="D858" s="1">
        <v>1.42E-5</v>
      </c>
      <c r="E858" s="1">
        <v>1.47E-5</v>
      </c>
      <c r="F858" s="1">
        <v>2.7800000000000001E-5</v>
      </c>
      <c r="G858" s="1">
        <v>3.6300000000000001E-5</v>
      </c>
      <c r="H858" s="1">
        <v>3.6900000000000002E-5</v>
      </c>
      <c r="I858" s="1">
        <v>4.85E-5</v>
      </c>
      <c r="J858" s="1">
        <v>2.1699999999999999E-5</v>
      </c>
      <c r="K858" s="1">
        <v>3.0700000000000001E-5</v>
      </c>
      <c r="L858" s="1">
        <v>3.4799999999999999E-5</v>
      </c>
      <c r="M858" s="1">
        <v>1.5400000000000002E-5</v>
      </c>
      <c r="N858" s="1">
        <v>1.6099999999999998E-5</v>
      </c>
      <c r="O858" s="1">
        <v>2.2500000000000001E-5</v>
      </c>
      <c r="P858" s="1">
        <v>5.1600000000000001E-5</v>
      </c>
      <c r="Q858" s="1">
        <v>6.3600000000000001E-5</v>
      </c>
      <c r="R858" s="1">
        <v>6.5599999999999995E-5</v>
      </c>
      <c r="S858" s="1">
        <v>6.6600000000000006E-5</v>
      </c>
      <c r="T858" s="1">
        <v>4.9299999999999999E-5</v>
      </c>
    </row>
    <row r="859" spans="1:20" hidden="1" x14ac:dyDescent="0.25">
      <c r="A859" t="s">
        <v>877</v>
      </c>
      <c r="B859">
        <v>1.3630700000000001E-4</v>
      </c>
      <c r="C859">
        <v>1.3172999999999999E-4</v>
      </c>
      <c r="D859">
        <v>1.3324499999999999E-4</v>
      </c>
      <c r="E859">
        <v>1.3059700000000001E-4</v>
      </c>
      <c r="F859">
        <v>1.2591100000000001E-4</v>
      </c>
      <c r="G859">
        <v>1.3821300000000001E-4</v>
      </c>
      <c r="H859">
        <v>1.7324699999999999E-4</v>
      </c>
      <c r="I859">
        <v>1.11527E-4</v>
      </c>
      <c r="J859">
        <v>1.1637E-4</v>
      </c>
      <c r="K859">
        <v>1.5438E-4</v>
      </c>
      <c r="L859">
        <v>1.43986E-4</v>
      </c>
      <c r="M859">
        <v>1.4773600000000001E-4</v>
      </c>
      <c r="N859">
        <v>1.22323E-4</v>
      </c>
      <c r="O859">
        <v>1.0920399999999999E-4</v>
      </c>
      <c r="P859">
        <v>1.7813700000000001E-4</v>
      </c>
      <c r="Q859">
        <v>1.8345699999999999E-4</v>
      </c>
      <c r="R859">
        <v>2.41652E-4</v>
      </c>
      <c r="S859">
        <v>1.6790300000000001E-4</v>
      </c>
      <c r="T859">
        <v>2.35694E-4</v>
      </c>
    </row>
    <row r="860" spans="1:20" hidden="1" x14ac:dyDescent="0.25">
      <c r="A860" t="s">
        <v>878</v>
      </c>
      <c r="B860">
        <v>0</v>
      </c>
      <c r="C860">
        <v>0</v>
      </c>
      <c r="D860">
        <v>0</v>
      </c>
      <c r="E860">
        <v>0</v>
      </c>
      <c r="F860" s="1">
        <v>2.09E-5</v>
      </c>
      <c r="G860" s="1">
        <v>1.6900000000000001E-5</v>
      </c>
      <c r="H860" s="1">
        <v>9.2699999999999993E-6</v>
      </c>
      <c r="I860" s="1">
        <v>2.3099999999999999E-5</v>
      </c>
      <c r="J860" s="1">
        <v>1.4399999999999999E-5</v>
      </c>
      <c r="K860" s="1">
        <v>6.1500000000000004E-6</v>
      </c>
      <c r="L860" s="1">
        <v>5.8599999999999998E-6</v>
      </c>
      <c r="M860" s="1">
        <v>3.98E-6</v>
      </c>
      <c r="N860" s="1">
        <v>1.04E-5</v>
      </c>
      <c r="O860" s="1">
        <v>9.4299999999999995E-6</v>
      </c>
      <c r="P860" s="1">
        <v>3.7700000000000002E-5</v>
      </c>
      <c r="Q860" s="1">
        <v>2.3900000000000002E-5</v>
      </c>
      <c r="R860" s="1">
        <v>4.74E-5</v>
      </c>
      <c r="S860" s="1">
        <v>2.51E-5</v>
      </c>
      <c r="T860" s="1">
        <v>1.7200000000000001E-5</v>
      </c>
    </row>
    <row r="861" spans="1:20" hidden="1" x14ac:dyDescent="0.25">
      <c r="A861" t="s">
        <v>879</v>
      </c>
      <c r="B861">
        <v>2.35021E-4</v>
      </c>
      <c r="C861">
        <v>1.3065900000000001E-4</v>
      </c>
      <c r="D861">
        <v>1.0851E-4</v>
      </c>
      <c r="E861">
        <v>1.42831E-4</v>
      </c>
      <c r="F861">
        <v>3.17454E-4</v>
      </c>
      <c r="G861">
        <v>2.0197999999999999E-4</v>
      </c>
      <c r="H861">
        <v>3.5282899999999998E-4</v>
      </c>
      <c r="I861">
        <v>2.37669E-4</v>
      </c>
      <c r="J861">
        <v>3.3654699999999997E-4</v>
      </c>
      <c r="K861">
        <v>3.0120199999999998E-4</v>
      </c>
      <c r="L861">
        <v>2.5974599999999999E-4</v>
      </c>
      <c r="M861">
        <v>4.1397599999999998E-4</v>
      </c>
      <c r="N861">
        <v>2.8661399999999998E-4</v>
      </c>
      <c r="O861">
        <v>2.38297E-4</v>
      </c>
      <c r="P861">
        <v>5.5450699999999998E-4</v>
      </c>
      <c r="Q861">
        <v>9.5283100000000001E-4</v>
      </c>
      <c r="R861">
        <v>9.72386E-4</v>
      </c>
      <c r="S861">
        <v>8.6994999999999998E-4</v>
      </c>
      <c r="T861">
        <v>8.0196E-4</v>
      </c>
    </row>
    <row r="862" spans="1:20" hidden="1" x14ac:dyDescent="0.25">
      <c r="A862" t="s">
        <v>880</v>
      </c>
      <c r="B862" s="1">
        <v>4.7700000000000001E-5</v>
      </c>
      <c r="C862" s="1">
        <v>7.3399999999999995E-5</v>
      </c>
      <c r="D862" s="1">
        <v>5.3000000000000001E-5</v>
      </c>
      <c r="E862" s="1">
        <v>5.7099999999999999E-5</v>
      </c>
      <c r="F862">
        <v>1.01191E-4</v>
      </c>
      <c r="G862">
        <v>1.17583E-4</v>
      </c>
      <c r="H862" s="1">
        <v>9.5199999999999997E-5</v>
      </c>
      <c r="I862">
        <v>1.26124E-4</v>
      </c>
      <c r="J862" s="1">
        <v>9.1000000000000003E-5</v>
      </c>
      <c r="K862" s="1">
        <v>9.7899999999999994E-5</v>
      </c>
      <c r="L862" s="1">
        <v>9.7800000000000006E-5</v>
      </c>
      <c r="M862" s="1">
        <v>8.2299999999999995E-5</v>
      </c>
      <c r="N862" s="1">
        <v>7.4999999999999993E-5</v>
      </c>
      <c r="O862" s="1">
        <v>9.1100000000000005E-5</v>
      </c>
      <c r="P862">
        <v>1.68746E-4</v>
      </c>
      <c r="Q862">
        <v>1.92418E-4</v>
      </c>
      <c r="R862">
        <v>2.5487799999999999E-4</v>
      </c>
      <c r="S862">
        <v>2.56414E-4</v>
      </c>
      <c r="T862">
        <v>1.4252500000000001E-4</v>
      </c>
    </row>
    <row r="863" spans="1:20" hidden="1" x14ac:dyDescent="0.25">
      <c r="A863" t="s">
        <v>881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 s="1">
        <v>1.08E-5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1">
        <v>2.1399999999999998E-5</v>
      </c>
      <c r="Q863" s="1">
        <v>1.63E-5</v>
      </c>
      <c r="R863">
        <v>0</v>
      </c>
      <c r="S863" s="1">
        <v>3.2199999999999997E-5</v>
      </c>
      <c r="T863" s="1">
        <v>9.2399999999999996E-6</v>
      </c>
    </row>
    <row r="864" spans="1:20" hidden="1" x14ac:dyDescent="0.25">
      <c r="A864" t="s">
        <v>882</v>
      </c>
      <c r="B864" s="1">
        <v>1.7600000000000001E-5</v>
      </c>
      <c r="C864" s="1">
        <v>2.0699999999999998E-5</v>
      </c>
      <c r="D864" s="1">
        <v>7.2599999999999999E-6</v>
      </c>
      <c r="E864">
        <v>0</v>
      </c>
      <c r="F864" s="1">
        <v>2.0299999999999999E-5</v>
      </c>
      <c r="G864" s="1">
        <v>1.63E-5</v>
      </c>
      <c r="H864" s="1">
        <v>2.9200000000000002E-5</v>
      </c>
      <c r="I864" s="1">
        <v>2.2399999999999999E-5</v>
      </c>
      <c r="J864" s="1">
        <v>3.57E-5</v>
      </c>
      <c r="K864" s="1">
        <v>2.34E-5</v>
      </c>
      <c r="L864" s="1">
        <v>2.2900000000000001E-5</v>
      </c>
      <c r="M864" s="1">
        <v>1.52E-5</v>
      </c>
      <c r="N864" s="1">
        <v>2.02E-5</v>
      </c>
      <c r="O864" s="1">
        <v>1.5E-5</v>
      </c>
      <c r="P864" s="1">
        <v>3.2799999999999998E-5</v>
      </c>
      <c r="Q864" s="1">
        <v>6.4800000000000003E-5</v>
      </c>
      <c r="R864">
        <v>1.03803E-4</v>
      </c>
      <c r="S864" s="1">
        <v>5.5899999999999997E-5</v>
      </c>
      <c r="T864" s="1">
        <v>6.0900000000000003E-5</v>
      </c>
    </row>
    <row r="865" spans="1:20" hidden="1" x14ac:dyDescent="0.25">
      <c r="A865" t="s">
        <v>883</v>
      </c>
      <c r="B865" s="1">
        <v>1.6399999999999999E-5</v>
      </c>
      <c r="C865">
        <v>0</v>
      </c>
      <c r="D865">
        <v>0</v>
      </c>
      <c r="E865">
        <v>0</v>
      </c>
      <c r="F865" s="1">
        <v>1.38E-5</v>
      </c>
      <c r="G865">
        <v>0</v>
      </c>
      <c r="H865">
        <v>0</v>
      </c>
      <c r="I865">
        <v>0</v>
      </c>
      <c r="J865">
        <v>0</v>
      </c>
      <c r="K865">
        <v>0</v>
      </c>
      <c r="L865" s="1">
        <v>1.22E-5</v>
      </c>
      <c r="M865" s="1">
        <v>1.13E-5</v>
      </c>
      <c r="N865">
        <v>0</v>
      </c>
      <c r="O865">
        <v>0</v>
      </c>
      <c r="P865" s="1">
        <v>3.6600000000000002E-5</v>
      </c>
      <c r="Q865" s="1">
        <v>3.7499999999999997E-5</v>
      </c>
      <c r="R865" s="1">
        <v>5.3900000000000002E-5</v>
      </c>
      <c r="S865" s="1">
        <v>3.0199999999999999E-5</v>
      </c>
      <c r="T865" s="1">
        <v>3.9100000000000002E-5</v>
      </c>
    </row>
    <row r="866" spans="1:20" hidden="1" x14ac:dyDescent="0.25">
      <c r="A866" t="s">
        <v>884</v>
      </c>
      <c r="B866" s="1">
        <v>5.0899999999999997E-5</v>
      </c>
      <c r="C866" s="1">
        <v>9.48E-5</v>
      </c>
      <c r="D866" s="1">
        <v>8.6399999999999999E-5</v>
      </c>
      <c r="E866" s="1">
        <v>7.6000000000000004E-5</v>
      </c>
      <c r="F866" s="1">
        <v>7.1299999999999998E-5</v>
      </c>
      <c r="G866" s="1">
        <v>6.6000000000000005E-5</v>
      </c>
      <c r="H866">
        <v>1.2556500000000001E-4</v>
      </c>
      <c r="I866" s="1">
        <v>8.2299999999999995E-5</v>
      </c>
      <c r="J866" s="1">
        <v>5.1499999999999998E-5</v>
      </c>
      <c r="K866">
        <v>1.0751099999999999E-4</v>
      </c>
      <c r="L866" s="1">
        <v>9.0099999999999995E-5</v>
      </c>
      <c r="M866" s="1">
        <v>9.4699999999999998E-5</v>
      </c>
      <c r="N866" s="1">
        <v>7.5900000000000002E-5</v>
      </c>
      <c r="O866" s="1">
        <v>6.5599999999999995E-5</v>
      </c>
      <c r="P866" s="1">
        <v>7.4200000000000001E-5</v>
      </c>
      <c r="Q866" s="1">
        <v>8.14E-5</v>
      </c>
      <c r="R866">
        <v>1.0384E-4</v>
      </c>
      <c r="S866">
        <v>1.3554800000000001E-4</v>
      </c>
      <c r="T866">
        <v>1.0328900000000001E-4</v>
      </c>
    </row>
    <row r="867" spans="1:20" hidden="1" x14ac:dyDescent="0.25">
      <c r="A867" t="s">
        <v>885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s="1">
        <v>6.7900000000000002E-6</v>
      </c>
      <c r="R867" s="1">
        <v>8.0700000000000007E-6</v>
      </c>
      <c r="S867" s="1">
        <v>4.6399999999999996E-6</v>
      </c>
      <c r="T867" s="1">
        <v>7.4499999999999998E-6</v>
      </c>
    </row>
    <row r="868" spans="1:20" hidden="1" x14ac:dyDescent="0.25">
      <c r="A868" t="s">
        <v>886</v>
      </c>
      <c r="B868">
        <v>0</v>
      </c>
      <c r="C868">
        <v>0</v>
      </c>
      <c r="D868">
        <v>0</v>
      </c>
      <c r="E868">
        <v>0</v>
      </c>
      <c r="F868">
        <v>0</v>
      </c>
      <c r="G868" s="1">
        <v>8.4300000000000006E-6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s="1">
        <v>3.8600000000000003E-6</v>
      </c>
      <c r="R868" s="1">
        <v>7.7200000000000006E-6</v>
      </c>
      <c r="S868" s="1">
        <v>1.8099999999999999E-5</v>
      </c>
      <c r="T868" s="1">
        <v>4.1400000000000002E-6</v>
      </c>
    </row>
    <row r="869" spans="1:20" hidden="1" x14ac:dyDescent="0.25">
      <c r="A869" t="s">
        <v>887</v>
      </c>
      <c r="B869" s="1">
        <v>8.14E-5</v>
      </c>
      <c r="C869" s="1">
        <v>7.2200000000000007E-5</v>
      </c>
      <c r="D869">
        <v>1.5950799999999999E-4</v>
      </c>
      <c r="E869" s="1">
        <v>6.0399999999999998E-5</v>
      </c>
      <c r="F869" s="1">
        <v>6.2299999999999996E-5</v>
      </c>
      <c r="G869">
        <v>1.0935200000000001E-4</v>
      </c>
      <c r="H869" s="1">
        <v>4.6300000000000001E-5</v>
      </c>
      <c r="I869" s="1">
        <v>6.4200000000000002E-5</v>
      </c>
      <c r="J869" s="1">
        <v>7.2399999999999998E-5</v>
      </c>
      <c r="K869" s="1">
        <v>8.4400000000000005E-5</v>
      </c>
      <c r="L869" s="1">
        <v>8.1299999999999997E-5</v>
      </c>
      <c r="M869">
        <v>1.03026E-4</v>
      </c>
      <c r="N869" s="1">
        <v>5.7599999999999997E-5</v>
      </c>
      <c r="O869" s="1">
        <v>5.3399999999999997E-5</v>
      </c>
      <c r="P869" s="1">
        <v>7.5099999999999996E-5</v>
      </c>
      <c r="Q869">
        <v>1.2239600000000001E-4</v>
      </c>
      <c r="R869">
        <v>1.8021399999999999E-4</v>
      </c>
      <c r="S869">
        <v>2.0606199999999999E-4</v>
      </c>
      <c r="T869">
        <v>1.8091400000000001E-4</v>
      </c>
    </row>
    <row r="870" spans="1:20" hidden="1" x14ac:dyDescent="0.25">
      <c r="A870" t="s">
        <v>888</v>
      </c>
      <c r="B870" s="1">
        <v>7.1799999999999997E-5</v>
      </c>
      <c r="C870" s="1">
        <v>5.7500000000000002E-5</v>
      </c>
      <c r="D870" s="1">
        <v>2.76E-5</v>
      </c>
      <c r="E870" s="1">
        <v>3.57E-5</v>
      </c>
      <c r="F870" s="1">
        <v>5.5999999999999999E-5</v>
      </c>
      <c r="G870" s="1">
        <v>9.8999999999999994E-5</v>
      </c>
      <c r="H870" s="1">
        <v>9.0400000000000002E-5</v>
      </c>
      <c r="I870">
        <v>1.1938399999999999E-4</v>
      </c>
      <c r="J870" s="1">
        <v>8.8300000000000005E-5</v>
      </c>
      <c r="K870" s="1">
        <v>7.3499999999999998E-5</v>
      </c>
      <c r="L870" s="1">
        <v>6.1299999999999999E-5</v>
      </c>
      <c r="M870" s="1">
        <v>9.1299999999999997E-5</v>
      </c>
      <c r="N870">
        <v>1.4700499999999999E-4</v>
      </c>
      <c r="O870" s="1">
        <v>7.2200000000000007E-5</v>
      </c>
      <c r="P870">
        <v>1.1256699999999999E-4</v>
      </c>
      <c r="Q870">
        <v>1.00352E-4</v>
      </c>
      <c r="R870">
        <v>1.2058299999999999E-4</v>
      </c>
      <c r="S870" s="1">
        <v>9.1799999999999995E-5</v>
      </c>
      <c r="T870">
        <v>1.13126E-4</v>
      </c>
    </row>
    <row r="871" spans="1:20" hidden="1" x14ac:dyDescent="0.25">
      <c r="A871" t="s">
        <v>889</v>
      </c>
      <c r="B871" s="1">
        <v>3.18E-5</v>
      </c>
      <c r="C871">
        <v>1.2118299999999999E-4</v>
      </c>
      <c r="D871" s="1">
        <v>7.2000000000000002E-5</v>
      </c>
      <c r="E871" s="1">
        <v>6.3399999999999996E-5</v>
      </c>
      <c r="F871" s="1">
        <v>8.2799999999999993E-5</v>
      </c>
      <c r="G871">
        <v>1.2489599999999999E-4</v>
      </c>
      <c r="H871">
        <v>1.46978E-4</v>
      </c>
      <c r="I871">
        <v>0</v>
      </c>
      <c r="J871" s="1">
        <v>2.3799999999999999E-5</v>
      </c>
      <c r="K871" s="1">
        <v>4.74E-5</v>
      </c>
      <c r="L871" s="1">
        <v>3.3300000000000003E-5</v>
      </c>
      <c r="M871">
        <v>3.0488299999999999E-4</v>
      </c>
      <c r="N871">
        <v>1.4781000000000001E-4</v>
      </c>
      <c r="O871">
        <v>2.2360500000000001E-4</v>
      </c>
      <c r="P871" s="1">
        <v>2.8200000000000001E-5</v>
      </c>
      <c r="Q871" s="1">
        <v>4.07E-5</v>
      </c>
      <c r="R871" s="1">
        <v>6.3800000000000006E-5</v>
      </c>
      <c r="S871">
        <v>1.45007E-4</v>
      </c>
      <c r="T871">
        <v>2.42496E-4</v>
      </c>
    </row>
    <row r="872" spans="1:20" hidden="1" x14ac:dyDescent="0.25">
      <c r="A872" t="s">
        <v>890</v>
      </c>
      <c r="B872">
        <v>0</v>
      </c>
      <c r="C872">
        <v>0</v>
      </c>
      <c r="D872" s="1">
        <v>1.03E-5</v>
      </c>
      <c r="E872" s="1">
        <v>6.1E-6</v>
      </c>
      <c r="F872">
        <v>0</v>
      </c>
      <c r="G872" s="1">
        <v>1.73E-5</v>
      </c>
      <c r="H872" s="1">
        <v>1.3699999999999999E-5</v>
      </c>
      <c r="I872">
        <v>0</v>
      </c>
      <c r="J872">
        <v>0</v>
      </c>
      <c r="K872">
        <v>0</v>
      </c>
      <c r="L872" s="1">
        <v>1.01E-5</v>
      </c>
      <c r="M872">
        <v>0</v>
      </c>
      <c r="N872" s="1">
        <v>1.0200000000000001E-5</v>
      </c>
      <c r="O872">
        <v>0</v>
      </c>
      <c r="P872" s="1">
        <v>1.6200000000000001E-5</v>
      </c>
      <c r="Q872" s="1">
        <v>2.16E-5</v>
      </c>
      <c r="R872" s="1">
        <v>1.56E-5</v>
      </c>
      <c r="S872" s="1">
        <v>2.2200000000000001E-5</v>
      </c>
      <c r="T872" s="1">
        <v>3.0499999999999999E-5</v>
      </c>
    </row>
    <row r="873" spans="1:20" hidden="1" x14ac:dyDescent="0.25">
      <c r="A873" t="s">
        <v>891</v>
      </c>
      <c r="B873">
        <v>1.1473500000000001E-4</v>
      </c>
      <c r="C873">
        <v>1.3781899999999999E-4</v>
      </c>
      <c r="D873">
        <v>1.3047499999999999E-4</v>
      </c>
      <c r="E873">
        <v>1.5057499999999999E-4</v>
      </c>
      <c r="F873">
        <v>1.09712E-4</v>
      </c>
      <c r="G873" s="1">
        <v>9.6500000000000001E-5</v>
      </c>
      <c r="H873">
        <v>1.2234600000000001E-4</v>
      </c>
      <c r="I873">
        <v>1.36494E-4</v>
      </c>
      <c r="J873">
        <v>1.05695E-4</v>
      </c>
      <c r="K873">
        <v>1.3029299999999999E-4</v>
      </c>
      <c r="L873">
        <v>1.5196599999999999E-4</v>
      </c>
      <c r="M873">
        <v>1.2919799999999999E-4</v>
      </c>
      <c r="N873">
        <v>1.38584E-4</v>
      </c>
      <c r="O873">
        <v>1.1763400000000001E-4</v>
      </c>
      <c r="P873">
        <v>1.10053E-4</v>
      </c>
      <c r="Q873">
        <v>1.4111500000000001E-4</v>
      </c>
      <c r="R873">
        <v>1.2050800000000001E-4</v>
      </c>
      <c r="S873">
        <v>1.04557E-4</v>
      </c>
      <c r="T873">
        <v>1.1734399999999999E-4</v>
      </c>
    </row>
    <row r="874" spans="1:20" hidden="1" x14ac:dyDescent="0.25">
      <c r="A874" t="s">
        <v>892</v>
      </c>
      <c r="B874" s="1">
        <v>1.1199999999999999E-5</v>
      </c>
      <c r="C874" s="1">
        <v>1.34E-5</v>
      </c>
      <c r="D874" s="1">
        <v>1.31E-5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s="1">
        <v>8.9299999999999992E-6</v>
      </c>
      <c r="L874" s="1">
        <v>1.5500000000000001E-5</v>
      </c>
      <c r="M874">
        <v>0</v>
      </c>
      <c r="N874" s="1">
        <v>7.7200000000000006E-6</v>
      </c>
      <c r="O874">
        <v>0</v>
      </c>
      <c r="P874" s="1">
        <v>9.6700000000000006E-6</v>
      </c>
      <c r="Q874">
        <v>0</v>
      </c>
      <c r="R874">
        <v>0</v>
      </c>
      <c r="S874">
        <v>0</v>
      </c>
      <c r="T874">
        <v>0</v>
      </c>
    </row>
    <row r="875" spans="1:20" hidden="1" x14ac:dyDescent="0.25">
      <c r="A875" t="s">
        <v>893</v>
      </c>
      <c r="B875" s="1">
        <v>8.7899999999999995E-5</v>
      </c>
      <c r="C875" s="1">
        <v>9.8800000000000003E-5</v>
      </c>
      <c r="D875" s="1">
        <v>9.1299999999999997E-5</v>
      </c>
      <c r="E875" s="1">
        <v>5.5600000000000003E-5</v>
      </c>
      <c r="F875" s="1">
        <v>4.9400000000000001E-5</v>
      </c>
      <c r="G875" s="1">
        <v>7.2999999999999999E-5</v>
      </c>
      <c r="H875" s="1">
        <v>5.77E-5</v>
      </c>
      <c r="I875" s="1">
        <v>6.5699999999999998E-5</v>
      </c>
      <c r="J875" s="1">
        <v>7.0300000000000001E-5</v>
      </c>
      <c r="K875" s="1">
        <v>9.8400000000000007E-5</v>
      </c>
      <c r="L875">
        <v>1.12564E-4</v>
      </c>
      <c r="M875" s="1">
        <v>5.2800000000000003E-5</v>
      </c>
      <c r="N875" s="1">
        <v>5.0300000000000003E-5</v>
      </c>
      <c r="O875" s="1">
        <v>3.4E-5</v>
      </c>
      <c r="P875" s="1">
        <v>7.2600000000000003E-5</v>
      </c>
      <c r="Q875" s="1">
        <v>3.54E-5</v>
      </c>
      <c r="R875" s="1">
        <v>3.2799999999999998E-5</v>
      </c>
      <c r="S875">
        <v>0</v>
      </c>
      <c r="T875" s="1">
        <v>1.6200000000000001E-5</v>
      </c>
    </row>
    <row r="876" spans="1:20" hidden="1" x14ac:dyDescent="0.25">
      <c r="A876" t="s">
        <v>894</v>
      </c>
      <c r="B876">
        <v>2.2779899999999999E-4</v>
      </c>
      <c r="C876">
        <v>2.3714299999999999E-4</v>
      </c>
      <c r="D876">
        <v>1.9929100000000001E-4</v>
      </c>
      <c r="E876">
        <v>1.8363900000000001E-4</v>
      </c>
      <c r="F876">
        <v>1.60295E-4</v>
      </c>
      <c r="G876">
        <v>1.64463E-4</v>
      </c>
      <c r="H876">
        <v>1.67825E-4</v>
      </c>
      <c r="I876">
        <v>1.4871700000000001E-4</v>
      </c>
      <c r="J876">
        <v>1.8690699999999999E-4</v>
      </c>
      <c r="K876">
        <v>2.1982499999999999E-4</v>
      </c>
      <c r="L876">
        <v>2.5935800000000001E-4</v>
      </c>
      <c r="M876">
        <v>1.1441400000000001E-4</v>
      </c>
      <c r="N876">
        <v>1.3847600000000001E-4</v>
      </c>
      <c r="O876" s="1">
        <v>9.7399999999999996E-5</v>
      </c>
      <c r="P876">
        <v>1.17895E-4</v>
      </c>
      <c r="Q876">
        <v>1.15492E-4</v>
      </c>
      <c r="R876" s="1">
        <v>9.1600000000000004E-5</v>
      </c>
      <c r="S876">
        <v>0</v>
      </c>
      <c r="T876" s="1">
        <v>7.5900000000000002E-5</v>
      </c>
    </row>
    <row r="877" spans="1:20" hidden="1" x14ac:dyDescent="0.25">
      <c r="A877" t="s">
        <v>895</v>
      </c>
      <c r="B877" s="1">
        <v>1.36E-5</v>
      </c>
      <c r="C877">
        <v>0</v>
      </c>
      <c r="D877" s="1">
        <v>6.5400000000000001E-6</v>
      </c>
      <c r="E877" s="1">
        <v>7.34E-6</v>
      </c>
      <c r="F877" s="1">
        <v>4.1400000000000002E-6</v>
      </c>
      <c r="G877">
        <v>0</v>
      </c>
      <c r="H877">
        <v>0</v>
      </c>
      <c r="I877" s="1">
        <v>1.0000000000000001E-5</v>
      </c>
      <c r="J877">
        <v>0</v>
      </c>
      <c r="K877" s="1">
        <v>5.8300000000000001E-6</v>
      </c>
      <c r="L877" s="1">
        <v>5.2800000000000003E-6</v>
      </c>
      <c r="M877">
        <v>0</v>
      </c>
      <c r="N877">
        <v>0</v>
      </c>
      <c r="O877">
        <v>0</v>
      </c>
      <c r="P877">
        <v>0</v>
      </c>
      <c r="Q877" s="1">
        <v>2.7999999999999999E-6</v>
      </c>
      <c r="R877">
        <v>0</v>
      </c>
      <c r="S877">
        <v>0</v>
      </c>
      <c r="T877">
        <v>0</v>
      </c>
    </row>
    <row r="878" spans="1:20" hidden="1" x14ac:dyDescent="0.25">
      <c r="A878" t="s">
        <v>896</v>
      </c>
      <c r="B878">
        <v>0</v>
      </c>
      <c r="C878">
        <v>0</v>
      </c>
      <c r="D878">
        <v>0</v>
      </c>
      <c r="E878">
        <v>0</v>
      </c>
      <c r="F878" s="1">
        <v>1.5400000000000002E-5</v>
      </c>
      <c r="G878" s="1">
        <v>1.1E-5</v>
      </c>
      <c r="H878">
        <v>0</v>
      </c>
      <c r="I878" s="1">
        <v>2.65E-5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s="1">
        <v>2.5599999999999999E-5</v>
      </c>
      <c r="R878" s="1">
        <v>2.5599999999999999E-5</v>
      </c>
      <c r="S878" s="1">
        <v>3.0499999999999999E-5</v>
      </c>
      <c r="T878" s="1">
        <v>2.8600000000000001E-5</v>
      </c>
    </row>
    <row r="879" spans="1:20" hidden="1" x14ac:dyDescent="0.25">
      <c r="A879" t="s">
        <v>897</v>
      </c>
      <c r="B879" s="1">
        <v>7.25E-5</v>
      </c>
      <c r="C879" s="1">
        <v>8.5799999999999998E-5</v>
      </c>
      <c r="D879" s="1">
        <v>7.6600000000000005E-5</v>
      </c>
      <c r="E879" s="1">
        <v>8.8300000000000005E-5</v>
      </c>
      <c r="F879">
        <v>1.5033000000000001E-4</v>
      </c>
      <c r="G879">
        <v>1.00318E-4</v>
      </c>
      <c r="H879" s="1">
        <v>8.6600000000000004E-5</v>
      </c>
      <c r="I879">
        <v>1.34055E-4</v>
      </c>
      <c r="J879">
        <v>1.11678E-4</v>
      </c>
      <c r="K879">
        <v>1.5083499999999999E-4</v>
      </c>
      <c r="L879" s="1">
        <v>9.0199999999999997E-5</v>
      </c>
      <c r="M879" s="1">
        <v>7.9800000000000002E-5</v>
      </c>
      <c r="N879">
        <v>1.1597E-4</v>
      </c>
      <c r="O879" s="1">
        <v>9.2E-5</v>
      </c>
      <c r="P879" s="1">
        <v>9.5799999999999998E-5</v>
      </c>
      <c r="Q879">
        <v>1.4831600000000001E-4</v>
      </c>
      <c r="R879" s="1">
        <v>8.0900000000000001E-5</v>
      </c>
      <c r="S879">
        <v>1.4757799999999999E-4</v>
      </c>
      <c r="T879">
        <v>1.4363399999999999E-4</v>
      </c>
    </row>
    <row r="880" spans="1:20" hidden="1" x14ac:dyDescent="0.25">
      <c r="A880" t="s">
        <v>898</v>
      </c>
      <c r="B880" s="1">
        <v>5.6900000000000001E-5</v>
      </c>
      <c r="C880">
        <v>1.20798E-4</v>
      </c>
      <c r="D880">
        <v>1.25129E-4</v>
      </c>
      <c r="E880">
        <v>1.15282E-4</v>
      </c>
      <c r="F880" s="1">
        <v>8.2000000000000001E-5</v>
      </c>
      <c r="G880" s="1">
        <v>6.2000000000000003E-5</v>
      </c>
      <c r="H880" s="1">
        <v>4.8600000000000002E-5</v>
      </c>
      <c r="I880" s="1">
        <v>7.1699999999999995E-5</v>
      </c>
      <c r="J880" s="1">
        <v>5.9299999999999998E-5</v>
      </c>
      <c r="K880" s="1">
        <v>9.7899999999999994E-5</v>
      </c>
      <c r="L880" s="1">
        <v>9.7200000000000004E-5</v>
      </c>
      <c r="M880" s="1">
        <v>3.5299999999999997E-5</v>
      </c>
      <c r="N880" s="1">
        <v>3.5500000000000002E-5</v>
      </c>
      <c r="O880" s="1">
        <v>4.7299999999999998E-5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hidden="1" x14ac:dyDescent="0.25">
      <c r="A881" t="s">
        <v>899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1">
        <v>3.6699999999999998E-5</v>
      </c>
      <c r="Q881" s="1">
        <v>4.2700000000000001E-5</v>
      </c>
      <c r="R881">
        <v>0</v>
      </c>
      <c r="S881" s="1">
        <v>2.3099999999999999E-5</v>
      </c>
      <c r="T881" s="1">
        <v>2.9899999999999998E-5</v>
      </c>
    </row>
    <row r="882" spans="1:20" hidden="1" x14ac:dyDescent="0.25">
      <c r="A882" t="s">
        <v>900</v>
      </c>
      <c r="B882">
        <v>0</v>
      </c>
      <c r="C882">
        <v>0</v>
      </c>
      <c r="D882" s="1">
        <v>1.04E-5</v>
      </c>
      <c r="E882" s="1">
        <v>7.2400000000000001E-6</v>
      </c>
      <c r="F882" s="1">
        <v>1.31E-5</v>
      </c>
      <c r="G882">
        <v>0</v>
      </c>
      <c r="H882">
        <v>0</v>
      </c>
      <c r="I882">
        <v>0</v>
      </c>
      <c r="J882" s="1">
        <v>1.5500000000000001E-5</v>
      </c>
      <c r="K882" s="1">
        <v>7.8299999999999996E-6</v>
      </c>
      <c r="L882" s="1">
        <v>8.8100000000000004E-6</v>
      </c>
      <c r="M882" s="1">
        <v>9.2799999999999992E-6</v>
      </c>
      <c r="N882" s="1">
        <v>2.05E-5</v>
      </c>
      <c r="O882" s="1">
        <v>1.33E-5</v>
      </c>
      <c r="P882" s="1">
        <v>1.6399999999999999E-5</v>
      </c>
      <c r="Q882" s="1">
        <v>1.34E-5</v>
      </c>
      <c r="R882" s="1">
        <v>9.4900000000000006E-6</v>
      </c>
      <c r="S882" s="1">
        <v>9.4399999999999994E-6</v>
      </c>
      <c r="T882" s="1">
        <v>1.5E-5</v>
      </c>
    </row>
    <row r="883" spans="1:20" hidden="1" x14ac:dyDescent="0.25">
      <c r="A883" t="s">
        <v>901</v>
      </c>
      <c r="B883" s="1">
        <v>8.5199999999999997E-5</v>
      </c>
      <c r="C883">
        <v>2.24367E-4</v>
      </c>
      <c r="D883">
        <v>2.45789E-4</v>
      </c>
      <c r="E883">
        <v>2.9642500000000001E-4</v>
      </c>
      <c r="F883" s="1">
        <v>7.86E-5</v>
      </c>
      <c r="G883">
        <v>1.2865899999999999E-4</v>
      </c>
      <c r="H883" s="1">
        <v>6.7600000000000003E-5</v>
      </c>
      <c r="I883" s="1">
        <v>7.6299999999999998E-5</v>
      </c>
      <c r="J883" s="1">
        <v>7.2200000000000007E-5</v>
      </c>
      <c r="K883">
        <v>1.3955200000000001E-4</v>
      </c>
      <c r="L883">
        <v>1.1783800000000001E-4</v>
      </c>
      <c r="M883" s="1">
        <v>5.8600000000000001E-5</v>
      </c>
      <c r="N883" s="1">
        <v>1.56E-5</v>
      </c>
      <c r="O883" s="1">
        <v>9.5799999999999998E-5</v>
      </c>
      <c r="P883">
        <v>0</v>
      </c>
      <c r="Q883">
        <v>0</v>
      </c>
      <c r="R883">
        <v>0</v>
      </c>
      <c r="S883">
        <v>0</v>
      </c>
      <c r="T883" s="1">
        <v>1.52E-5</v>
      </c>
    </row>
    <row r="884" spans="1:20" hidden="1" x14ac:dyDescent="0.25">
      <c r="A884" t="s">
        <v>902</v>
      </c>
      <c r="B884" s="1">
        <v>4.6900000000000002E-5</v>
      </c>
      <c r="C884" s="1">
        <v>9.9400000000000004E-5</v>
      </c>
      <c r="D884">
        <v>1.20733E-4</v>
      </c>
      <c r="E884">
        <v>1.2538100000000001E-4</v>
      </c>
      <c r="F884" s="1">
        <v>4.2400000000000001E-5</v>
      </c>
      <c r="G884" s="1">
        <v>5.8E-5</v>
      </c>
      <c r="H884" s="1">
        <v>1.6900000000000001E-5</v>
      </c>
      <c r="I884" s="1">
        <v>1.9899999999999999E-5</v>
      </c>
      <c r="J884" s="1">
        <v>2.69E-5</v>
      </c>
      <c r="K884" s="1">
        <v>5.77E-5</v>
      </c>
      <c r="L884" s="1">
        <v>7.8899999999999993E-5</v>
      </c>
      <c r="M884" s="1">
        <v>3.1000000000000001E-5</v>
      </c>
      <c r="N884" s="1">
        <v>2.9899999999999998E-5</v>
      </c>
      <c r="O884" s="1">
        <v>3.6900000000000002E-5</v>
      </c>
      <c r="P884" s="1">
        <v>1.17E-5</v>
      </c>
      <c r="Q884" s="1">
        <v>2.0999999999999999E-5</v>
      </c>
      <c r="R884" s="1">
        <v>1.36E-5</v>
      </c>
      <c r="S884" s="1">
        <v>8.3200000000000003E-5</v>
      </c>
      <c r="T884" s="1">
        <v>2.34E-5</v>
      </c>
    </row>
    <row r="885" spans="1:20" hidden="1" x14ac:dyDescent="0.25">
      <c r="A885" t="s">
        <v>903</v>
      </c>
      <c r="B885">
        <v>0</v>
      </c>
      <c r="C885" s="1">
        <v>3.2799999999999999E-6</v>
      </c>
      <c r="D885" s="1">
        <v>4.0500000000000002E-6</v>
      </c>
      <c r="E885" s="1">
        <v>3.2200000000000001E-6</v>
      </c>
      <c r="F885">
        <v>0</v>
      </c>
      <c r="G885">
        <v>0</v>
      </c>
      <c r="H885">
        <v>0</v>
      </c>
      <c r="I885" s="1">
        <v>2.6599999999999999E-6</v>
      </c>
      <c r="J885">
        <v>0</v>
      </c>
      <c r="K885">
        <v>0</v>
      </c>
      <c r="L885" s="1">
        <v>3.01E-6</v>
      </c>
      <c r="M885">
        <v>0</v>
      </c>
      <c r="N885" s="1">
        <v>2.3199999999999998E-6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hidden="1" x14ac:dyDescent="0.25">
      <c r="A886" t="s">
        <v>904</v>
      </c>
      <c r="B886">
        <v>0</v>
      </c>
      <c r="C886" s="1">
        <v>1.31E-5</v>
      </c>
      <c r="D886" s="1">
        <v>1.3200000000000001E-5</v>
      </c>
      <c r="E886" s="1">
        <v>2.02E-5</v>
      </c>
      <c r="F886">
        <v>0</v>
      </c>
      <c r="G886">
        <v>0</v>
      </c>
      <c r="H886">
        <v>0</v>
      </c>
      <c r="I886">
        <v>0</v>
      </c>
      <c r="J886">
        <v>0</v>
      </c>
      <c r="K886" s="1">
        <v>8.4600000000000003E-6</v>
      </c>
      <c r="L886" s="1">
        <v>1.0200000000000001E-5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hidden="1" x14ac:dyDescent="0.25">
      <c r="A887" t="s">
        <v>905</v>
      </c>
      <c r="B887">
        <v>0</v>
      </c>
      <c r="C887" s="1">
        <v>1.4399999999999999E-5</v>
      </c>
      <c r="D887" s="1">
        <v>1.5099999999999999E-5</v>
      </c>
      <c r="E887" s="1">
        <v>1.52E-5</v>
      </c>
      <c r="F887" s="1">
        <v>6.8000000000000001E-6</v>
      </c>
      <c r="G887" s="1">
        <v>2.3499999999999999E-5</v>
      </c>
      <c r="H887">
        <v>0</v>
      </c>
      <c r="I887" s="1">
        <v>1.13E-5</v>
      </c>
      <c r="J887">
        <v>0</v>
      </c>
      <c r="K887" s="1">
        <v>6.7700000000000004E-6</v>
      </c>
      <c r="L887" s="1">
        <v>1.0699999999999999E-5</v>
      </c>
      <c r="M887">
        <v>0</v>
      </c>
      <c r="N887">
        <v>0</v>
      </c>
      <c r="O887">
        <v>0</v>
      </c>
      <c r="P887">
        <v>0</v>
      </c>
      <c r="Q887" s="1">
        <v>7.5800000000000003E-6</v>
      </c>
      <c r="R887" s="1">
        <v>6.9099999999999999E-6</v>
      </c>
      <c r="S887">
        <v>0</v>
      </c>
      <c r="T887" s="1">
        <v>9.1900000000000001E-6</v>
      </c>
    </row>
    <row r="888" spans="1:20" hidden="1" x14ac:dyDescent="0.25">
      <c r="A888" t="s">
        <v>906</v>
      </c>
      <c r="B888" s="1">
        <v>4.1799999999999998E-6</v>
      </c>
      <c r="C888" s="1">
        <v>9.4099999999999997E-6</v>
      </c>
      <c r="D888" s="1">
        <v>1.03E-5</v>
      </c>
      <c r="E888" s="1">
        <v>8.8899999999999996E-6</v>
      </c>
      <c r="F888" s="1">
        <v>5.1900000000000003E-6</v>
      </c>
      <c r="G888" s="1">
        <v>6.3999999999999997E-6</v>
      </c>
      <c r="H888">
        <v>0</v>
      </c>
      <c r="I888" s="1">
        <v>3.1700000000000001E-6</v>
      </c>
      <c r="J888" s="1">
        <v>2.7800000000000001E-6</v>
      </c>
      <c r="K888" s="1">
        <v>7.3100000000000003E-6</v>
      </c>
      <c r="L888" s="1">
        <v>8.32E-6</v>
      </c>
      <c r="M888">
        <v>0</v>
      </c>
      <c r="N888">
        <v>0</v>
      </c>
      <c r="O888" s="1">
        <v>4.9699999999999998E-6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hidden="1" x14ac:dyDescent="0.25">
      <c r="A889" t="s">
        <v>907</v>
      </c>
      <c r="B889" s="1">
        <v>1.15E-5</v>
      </c>
      <c r="C889" s="1">
        <v>2.2500000000000001E-5</v>
      </c>
      <c r="D889" s="1">
        <v>2.44E-5</v>
      </c>
      <c r="E889" s="1">
        <v>2.8099999999999999E-5</v>
      </c>
      <c r="F889" s="1">
        <v>9.4599999999999992E-6</v>
      </c>
      <c r="G889" s="1">
        <v>1.0499999999999999E-5</v>
      </c>
      <c r="H889">
        <v>0</v>
      </c>
      <c r="I889" s="1">
        <v>8.6799999999999999E-6</v>
      </c>
      <c r="J889" s="1">
        <v>8.8599999999999999E-6</v>
      </c>
      <c r="K889" s="1">
        <v>1.8700000000000001E-5</v>
      </c>
      <c r="L889" s="1">
        <v>1.5699999999999999E-5</v>
      </c>
      <c r="M889">
        <v>0</v>
      </c>
      <c r="N889" s="1">
        <v>6.8800000000000002E-6</v>
      </c>
      <c r="O889" s="1">
        <v>6.8700000000000003E-6</v>
      </c>
      <c r="P889">
        <v>0</v>
      </c>
      <c r="Q889" s="1">
        <v>6.9500000000000004E-6</v>
      </c>
      <c r="R889" s="1">
        <v>4.6600000000000003E-6</v>
      </c>
      <c r="S889" s="1">
        <v>4.9100000000000004E-6</v>
      </c>
      <c r="T889" s="1">
        <v>5.1699999999999996E-6</v>
      </c>
    </row>
    <row r="890" spans="1:20" hidden="1" x14ac:dyDescent="0.25">
      <c r="A890" t="s">
        <v>908</v>
      </c>
      <c r="B890" s="1">
        <v>1.63E-5</v>
      </c>
      <c r="C890" s="1">
        <v>3.8500000000000001E-5</v>
      </c>
      <c r="D890" s="1">
        <v>4.1900000000000002E-5</v>
      </c>
      <c r="E890" s="1">
        <v>5.6700000000000003E-5</v>
      </c>
      <c r="F890" s="1">
        <v>1.5699999999999999E-5</v>
      </c>
      <c r="G890" s="1">
        <v>2.4700000000000001E-5</v>
      </c>
      <c r="H890" s="1">
        <v>1.3200000000000001E-5</v>
      </c>
      <c r="I890" s="1">
        <v>1.5400000000000002E-5</v>
      </c>
      <c r="J890" s="1">
        <v>1.66E-5</v>
      </c>
      <c r="K890" s="1">
        <v>2.7699999999999999E-5</v>
      </c>
      <c r="L890" s="1">
        <v>2.73E-5</v>
      </c>
      <c r="M890" s="1">
        <v>8.8699999999999998E-6</v>
      </c>
      <c r="N890">
        <v>0</v>
      </c>
      <c r="O890" s="1">
        <v>7.8099999999999998E-6</v>
      </c>
      <c r="P890">
        <v>0</v>
      </c>
      <c r="Q890" s="1">
        <v>6.99E-6</v>
      </c>
      <c r="R890">
        <v>0</v>
      </c>
      <c r="S890" s="1">
        <v>6.1399999999999997E-6</v>
      </c>
      <c r="T890" s="1">
        <v>7.2699999999999999E-6</v>
      </c>
    </row>
    <row r="891" spans="1:20" hidden="1" x14ac:dyDescent="0.25">
      <c r="A891" t="s">
        <v>909</v>
      </c>
      <c r="B891" s="1">
        <v>7.7600000000000002E-6</v>
      </c>
      <c r="C891" s="1">
        <v>2.37E-5</v>
      </c>
      <c r="D891" s="1">
        <v>1.43E-5</v>
      </c>
      <c r="E891" s="1">
        <v>1.45E-5</v>
      </c>
      <c r="F891" s="1">
        <v>1.2799999999999999E-5</v>
      </c>
      <c r="G891" s="1">
        <v>1.9599999999999999E-5</v>
      </c>
      <c r="H891" s="1">
        <v>1.56E-5</v>
      </c>
      <c r="I891" s="1">
        <v>1.7399999999999999E-5</v>
      </c>
      <c r="J891" s="1">
        <v>1.0499999999999999E-5</v>
      </c>
      <c r="K891" s="1">
        <v>1.5E-5</v>
      </c>
      <c r="L891" s="1">
        <v>1.7E-5</v>
      </c>
      <c r="M891" s="1">
        <v>6.2400000000000004E-6</v>
      </c>
      <c r="N891" s="1">
        <v>8.1999999999999994E-6</v>
      </c>
      <c r="O891" s="1">
        <v>1.1E-5</v>
      </c>
      <c r="P891" s="1">
        <v>1.56E-5</v>
      </c>
      <c r="Q891" s="1">
        <v>1.3900000000000001E-5</v>
      </c>
      <c r="R891" s="1">
        <v>1.3900000000000001E-5</v>
      </c>
      <c r="S891" s="1">
        <v>2.3900000000000002E-5</v>
      </c>
      <c r="T891" s="1">
        <v>1.03E-5</v>
      </c>
    </row>
    <row r="892" spans="1:20" hidden="1" x14ac:dyDescent="0.25">
      <c r="A892" t="s">
        <v>910</v>
      </c>
      <c r="B892" s="1">
        <v>4.0399999999999999E-5</v>
      </c>
      <c r="C892">
        <v>1.0373400000000001E-4</v>
      </c>
      <c r="D892">
        <v>1.4417799999999999E-4</v>
      </c>
      <c r="E892">
        <v>1.16397E-4</v>
      </c>
      <c r="F892" s="1">
        <v>3.04E-5</v>
      </c>
      <c r="G892" s="1">
        <v>5.13E-5</v>
      </c>
      <c r="H892" s="1">
        <v>2.9799999999999999E-5</v>
      </c>
      <c r="I892" s="1">
        <v>4.6799999999999999E-5</v>
      </c>
      <c r="J892" s="1">
        <v>4.0000000000000003E-5</v>
      </c>
      <c r="K892" s="1">
        <v>6.41E-5</v>
      </c>
      <c r="L892" s="1">
        <v>7.2200000000000007E-5</v>
      </c>
      <c r="M892" s="1">
        <v>2.16E-5</v>
      </c>
      <c r="N892" s="1">
        <v>2.0000000000000002E-5</v>
      </c>
      <c r="O892" s="1">
        <v>4.2400000000000001E-5</v>
      </c>
      <c r="P892" s="1">
        <v>2.3600000000000001E-5</v>
      </c>
      <c r="Q892" s="1">
        <v>1.88E-5</v>
      </c>
      <c r="R892" s="1">
        <v>1.9300000000000002E-5</v>
      </c>
      <c r="S892" s="1">
        <v>1.4399999999999999E-5</v>
      </c>
      <c r="T892" s="1">
        <v>1.6200000000000001E-5</v>
      </c>
    </row>
    <row r="893" spans="1:20" hidden="1" x14ac:dyDescent="0.25">
      <c r="A893" t="s">
        <v>911</v>
      </c>
      <c r="B893" s="1">
        <v>2.6100000000000001E-5</v>
      </c>
      <c r="C893" s="1">
        <v>7.9599999999999997E-5</v>
      </c>
      <c r="D893" s="1">
        <v>9.4699999999999998E-5</v>
      </c>
      <c r="E893" s="1">
        <v>9.0500000000000004E-5</v>
      </c>
      <c r="F893" s="1">
        <v>2.6599999999999999E-5</v>
      </c>
      <c r="G893" s="1">
        <v>7.3200000000000004E-5</v>
      </c>
      <c r="H893" s="1">
        <v>3.2499999999999997E-5</v>
      </c>
      <c r="I893" s="1">
        <v>4.0200000000000001E-5</v>
      </c>
      <c r="J893" s="1">
        <v>2.9E-5</v>
      </c>
      <c r="K893" s="1">
        <v>5.9700000000000001E-5</v>
      </c>
      <c r="L893" s="1">
        <v>5.3199999999999999E-5</v>
      </c>
      <c r="M893" s="1">
        <v>2.4700000000000001E-5</v>
      </c>
      <c r="N893" s="1">
        <v>2.83E-5</v>
      </c>
      <c r="O893" s="1">
        <v>3.3699999999999999E-5</v>
      </c>
      <c r="P893" s="1">
        <v>2.69E-5</v>
      </c>
      <c r="Q893" s="1">
        <v>2.6699999999999998E-5</v>
      </c>
      <c r="R893" s="1">
        <v>1.84E-5</v>
      </c>
      <c r="S893" s="1">
        <v>3.1099999999999997E-5</v>
      </c>
      <c r="T893" s="1">
        <v>2.3900000000000002E-5</v>
      </c>
    </row>
    <row r="894" spans="1:20" hidden="1" x14ac:dyDescent="0.25">
      <c r="A894" t="s">
        <v>912</v>
      </c>
      <c r="B894" s="1">
        <v>1.2799999999999999E-5</v>
      </c>
      <c r="C894" s="1">
        <v>4.7899999999999999E-5</v>
      </c>
      <c r="D894" s="1">
        <v>3.2799999999999998E-5</v>
      </c>
      <c r="E894" s="1">
        <v>4.6499999999999999E-5</v>
      </c>
      <c r="F894" s="1">
        <v>2.0100000000000001E-5</v>
      </c>
      <c r="G894" s="1">
        <v>4.3999999999999999E-5</v>
      </c>
      <c r="H894" s="1">
        <v>2.6999999999999999E-5</v>
      </c>
      <c r="I894" s="1">
        <v>2.65E-5</v>
      </c>
      <c r="J894" s="1">
        <v>1.6099999999999998E-5</v>
      </c>
      <c r="K894" s="1">
        <v>2.1699999999999999E-5</v>
      </c>
      <c r="L894" s="1">
        <v>4.0099999999999999E-5</v>
      </c>
      <c r="M894">
        <v>0</v>
      </c>
      <c r="N894">
        <v>0</v>
      </c>
      <c r="O894">
        <v>0</v>
      </c>
      <c r="P894" s="1">
        <v>1.73E-5</v>
      </c>
      <c r="Q894">
        <v>0</v>
      </c>
      <c r="R894" s="1">
        <v>3.3699999999999999E-5</v>
      </c>
      <c r="S894">
        <v>0</v>
      </c>
      <c r="T894">
        <v>0</v>
      </c>
    </row>
    <row r="895" spans="1:20" hidden="1" x14ac:dyDescent="0.25">
      <c r="A895" t="s">
        <v>913</v>
      </c>
      <c r="B895" s="1">
        <v>6.7100000000000005E-5</v>
      </c>
      <c r="C895">
        <v>1.4080700000000001E-4</v>
      </c>
      <c r="D895">
        <v>1.3988299999999999E-4</v>
      </c>
      <c r="E895">
        <v>1.4991099999999999E-4</v>
      </c>
      <c r="F895" s="1">
        <v>9.0699999999999996E-5</v>
      </c>
      <c r="G895">
        <v>1.2982599999999999E-4</v>
      </c>
      <c r="H895">
        <v>1.23881E-4</v>
      </c>
      <c r="I895" s="1">
        <v>9.9699999999999998E-5</v>
      </c>
      <c r="J895" s="1">
        <v>8.1299999999999997E-5</v>
      </c>
      <c r="K895">
        <v>1.14224E-4</v>
      </c>
      <c r="L895">
        <v>1.27828E-4</v>
      </c>
      <c r="M895" s="1">
        <v>8.0799999999999999E-5</v>
      </c>
      <c r="N895" s="1">
        <v>7.0099999999999996E-5</v>
      </c>
      <c r="O895" s="1">
        <v>9.6700000000000006E-5</v>
      </c>
      <c r="P895">
        <v>1.06877E-4</v>
      </c>
      <c r="Q895">
        <v>1.20858E-4</v>
      </c>
      <c r="R895">
        <v>1.3462899999999999E-4</v>
      </c>
      <c r="S895">
        <v>1.15889E-4</v>
      </c>
      <c r="T895">
        <v>1.19999E-4</v>
      </c>
    </row>
    <row r="896" spans="1:20" hidden="1" x14ac:dyDescent="0.25">
      <c r="A896" t="s">
        <v>914</v>
      </c>
      <c r="B896">
        <v>0</v>
      </c>
      <c r="C896" s="1">
        <v>9.1700000000000006E-5</v>
      </c>
      <c r="D896" s="1">
        <v>5.7899999999999998E-5</v>
      </c>
      <c r="E896" s="1">
        <v>2.4600000000000002E-5</v>
      </c>
      <c r="F896" s="1">
        <v>2.3E-5</v>
      </c>
      <c r="G896" s="1">
        <v>4.5800000000000002E-5</v>
      </c>
      <c r="H896" s="1">
        <v>9.0099999999999995E-5</v>
      </c>
      <c r="I896">
        <v>0</v>
      </c>
      <c r="J896">
        <v>0</v>
      </c>
      <c r="K896">
        <v>0</v>
      </c>
      <c r="L896">
        <v>0</v>
      </c>
      <c r="M896">
        <v>1.5827300000000001E-4</v>
      </c>
      <c r="N896">
        <v>1.11852E-4</v>
      </c>
      <c r="O896">
        <v>1.5305700000000001E-4</v>
      </c>
      <c r="P896">
        <v>0</v>
      </c>
      <c r="Q896">
        <v>0</v>
      </c>
      <c r="R896">
        <v>0</v>
      </c>
      <c r="S896" s="1">
        <v>5.0099999999999998E-5</v>
      </c>
      <c r="T896">
        <v>1.1390100000000001E-4</v>
      </c>
    </row>
    <row r="897" spans="1:20" hidden="1" x14ac:dyDescent="0.25">
      <c r="A897" t="s">
        <v>915</v>
      </c>
      <c r="B897">
        <v>0</v>
      </c>
      <c r="C897">
        <v>0</v>
      </c>
      <c r="D897" s="1">
        <v>6.5899999999999996E-6</v>
      </c>
      <c r="E897" s="1">
        <v>2.8799999999999999E-5</v>
      </c>
      <c r="F897">
        <v>0</v>
      </c>
      <c r="G897" s="1">
        <v>6.9299999999999997E-6</v>
      </c>
      <c r="H897">
        <v>0</v>
      </c>
      <c r="I897" s="1">
        <v>4.8300000000000003E-6</v>
      </c>
      <c r="J897">
        <v>0</v>
      </c>
      <c r="K897" s="1">
        <v>4.4399999999999998E-6</v>
      </c>
      <c r="L897" s="1">
        <v>5.57E-6</v>
      </c>
      <c r="M897">
        <v>0</v>
      </c>
      <c r="N897">
        <v>0</v>
      </c>
      <c r="O897" s="1">
        <v>5.8000000000000004E-6</v>
      </c>
      <c r="P897" s="1">
        <v>2.02E-5</v>
      </c>
      <c r="Q897">
        <v>0</v>
      </c>
      <c r="R897" s="1">
        <v>5.9000000000000003E-6</v>
      </c>
      <c r="S897" s="1">
        <v>1.13E-5</v>
      </c>
      <c r="T897" s="1">
        <v>6.0800000000000002E-6</v>
      </c>
    </row>
    <row r="898" spans="1:20" hidden="1" x14ac:dyDescent="0.25">
      <c r="A898" t="s">
        <v>916</v>
      </c>
      <c r="B898" s="1">
        <v>7.7600000000000002E-5</v>
      </c>
      <c r="C898" s="1">
        <v>7.1000000000000005E-5</v>
      </c>
      <c r="D898" s="1">
        <v>8.03E-5</v>
      </c>
      <c r="E898" s="1">
        <v>4.6999999999999997E-5</v>
      </c>
      <c r="F898">
        <v>1.00061E-4</v>
      </c>
      <c r="G898">
        <v>1.22762E-4</v>
      </c>
      <c r="H898">
        <v>3.3374799999999998E-4</v>
      </c>
      <c r="I898" s="1">
        <v>4.9799999999999998E-5</v>
      </c>
      <c r="J898" s="1">
        <v>6.3399999999999996E-5</v>
      </c>
      <c r="K898" s="1">
        <v>9.1799999999999995E-5</v>
      </c>
      <c r="L898">
        <v>1.0365E-4</v>
      </c>
      <c r="M898">
        <v>1.13231E-4</v>
      </c>
      <c r="N898" s="1">
        <v>6.5500000000000006E-5</v>
      </c>
      <c r="O898" s="1">
        <v>7.7200000000000006E-5</v>
      </c>
      <c r="P898" s="1">
        <v>7.3300000000000006E-5</v>
      </c>
      <c r="Q898" s="1">
        <v>3.3399999999999999E-5</v>
      </c>
      <c r="R898" s="1">
        <v>3.7100000000000001E-5</v>
      </c>
      <c r="S898" s="1">
        <v>3.9900000000000001E-5</v>
      </c>
      <c r="T898" s="1">
        <v>8.1899999999999999E-5</v>
      </c>
    </row>
    <row r="899" spans="1:20" hidden="1" x14ac:dyDescent="0.25">
      <c r="A899" t="s">
        <v>917</v>
      </c>
      <c r="B899" s="1">
        <v>1.47E-5</v>
      </c>
      <c r="C899">
        <v>0</v>
      </c>
      <c r="D899" s="1">
        <v>5.3299999999999998E-6</v>
      </c>
      <c r="E899" s="1">
        <v>2.57E-6</v>
      </c>
      <c r="F899" s="1">
        <v>1.5E-5</v>
      </c>
      <c r="G899" s="1">
        <v>8.7800000000000006E-6</v>
      </c>
      <c r="H899" s="1">
        <v>5.9299999999999998E-5</v>
      </c>
      <c r="I899" s="1">
        <v>5.8000000000000004E-6</v>
      </c>
      <c r="J899" s="1">
        <v>1.1600000000000001E-5</v>
      </c>
      <c r="K899" s="1">
        <v>1.7799999999999999E-5</v>
      </c>
      <c r="L899" s="1">
        <v>1.38E-5</v>
      </c>
      <c r="M899" s="1">
        <v>2.94E-5</v>
      </c>
      <c r="N899" s="1">
        <v>3.7700000000000002E-5</v>
      </c>
      <c r="O899" s="1">
        <v>1.1399999999999999E-5</v>
      </c>
      <c r="P899" s="1">
        <v>5.3199999999999999E-5</v>
      </c>
      <c r="Q899" s="1">
        <v>1.8E-5</v>
      </c>
      <c r="R899" s="1">
        <v>3.4199999999999998E-5</v>
      </c>
      <c r="S899" s="1">
        <v>3.3399999999999999E-5</v>
      </c>
      <c r="T899" s="1">
        <v>3.3200000000000001E-5</v>
      </c>
    </row>
    <row r="900" spans="1:20" hidden="1" x14ac:dyDescent="0.25">
      <c r="A900" t="s">
        <v>918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 s="1">
        <v>5.7400000000000001E-6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1">
        <v>3.9700000000000001E-6</v>
      </c>
      <c r="Q900" s="1">
        <v>3.05E-6</v>
      </c>
      <c r="R900" s="1">
        <v>1.7999999999999999E-6</v>
      </c>
      <c r="S900" s="1">
        <v>5.0900000000000004E-6</v>
      </c>
      <c r="T900" s="1">
        <v>4.3599999999999998E-6</v>
      </c>
    </row>
    <row r="901" spans="1:20" hidden="1" x14ac:dyDescent="0.25">
      <c r="A901" t="s">
        <v>919</v>
      </c>
      <c r="B901" s="1">
        <v>1.4800000000000001E-5</v>
      </c>
      <c r="C901" s="1">
        <v>3.9199999999999997E-6</v>
      </c>
      <c r="D901">
        <v>0</v>
      </c>
      <c r="E901">
        <v>0</v>
      </c>
      <c r="F901" s="1">
        <v>1.2500000000000001E-5</v>
      </c>
      <c r="G901" s="1">
        <v>9.4299999999999995E-6</v>
      </c>
      <c r="H901" s="1">
        <v>3.18E-5</v>
      </c>
      <c r="I901" s="1">
        <v>7.0899999999999999E-6</v>
      </c>
      <c r="J901" s="1">
        <v>1.52E-5</v>
      </c>
      <c r="K901" s="1">
        <v>2.05E-5</v>
      </c>
      <c r="L901" s="1">
        <v>1.0900000000000001E-5</v>
      </c>
      <c r="M901" s="1">
        <v>1.5699999999999999E-5</v>
      </c>
      <c r="N901" s="1">
        <v>1.88E-5</v>
      </c>
      <c r="O901" s="1">
        <v>7.8599999999999993E-6</v>
      </c>
      <c r="P901" s="1">
        <v>2.87E-5</v>
      </c>
      <c r="Q901" s="1">
        <v>3.4999999999999997E-5</v>
      </c>
      <c r="R901" s="1">
        <v>3.2199999999999997E-5</v>
      </c>
      <c r="S901" s="1">
        <v>4.4100000000000001E-5</v>
      </c>
      <c r="T901" s="1">
        <v>6.4599999999999998E-5</v>
      </c>
    </row>
    <row r="902" spans="1:20" hidden="1" x14ac:dyDescent="0.25">
      <c r="A902" t="s">
        <v>920</v>
      </c>
      <c r="B902" s="1">
        <v>7.9900000000000004E-5</v>
      </c>
      <c r="C902" s="1">
        <v>2.9E-5</v>
      </c>
      <c r="D902" s="1">
        <v>2.5700000000000001E-5</v>
      </c>
      <c r="E902" s="1">
        <v>1.2999999999999999E-5</v>
      </c>
      <c r="F902" s="1">
        <v>8.4699999999999999E-5</v>
      </c>
      <c r="G902" s="1">
        <v>5.4400000000000001E-5</v>
      </c>
      <c r="H902">
        <v>1.99297E-4</v>
      </c>
      <c r="I902" s="1">
        <v>4.7599999999999998E-5</v>
      </c>
      <c r="J902" s="1">
        <v>8.8200000000000003E-5</v>
      </c>
      <c r="K902" s="1">
        <v>9.2499999999999999E-5</v>
      </c>
      <c r="L902" s="1">
        <v>6.2500000000000001E-5</v>
      </c>
      <c r="M902">
        <v>1.0279499999999999E-4</v>
      </c>
      <c r="N902">
        <v>1.45134E-4</v>
      </c>
      <c r="O902" s="1">
        <v>5.3499999999999999E-5</v>
      </c>
      <c r="P902">
        <v>1.9925699999999999E-4</v>
      </c>
      <c r="Q902">
        <v>1.23836E-4</v>
      </c>
      <c r="R902">
        <v>1.6733300000000001E-4</v>
      </c>
      <c r="S902">
        <v>1.6893E-4</v>
      </c>
      <c r="T902">
        <v>2.02301E-4</v>
      </c>
    </row>
    <row r="903" spans="1:20" hidden="1" x14ac:dyDescent="0.25">
      <c r="A903" t="s">
        <v>921</v>
      </c>
      <c r="B903" s="1">
        <v>7.0099999999999996E-5</v>
      </c>
      <c r="C903" s="1">
        <v>1.7600000000000001E-5</v>
      </c>
      <c r="D903" s="1">
        <v>2.19E-5</v>
      </c>
      <c r="E903" s="1">
        <v>1.19E-5</v>
      </c>
      <c r="F903" s="1">
        <v>6.9999999999999994E-5</v>
      </c>
      <c r="G903" s="1">
        <v>4.18E-5</v>
      </c>
      <c r="H903">
        <v>1.7927199999999999E-4</v>
      </c>
      <c r="I903" s="1">
        <v>3.65E-5</v>
      </c>
      <c r="J903" s="1">
        <v>7.47E-5</v>
      </c>
      <c r="K903">
        <v>1.11959E-4</v>
      </c>
      <c r="L903" s="1">
        <v>6.8499999999999998E-5</v>
      </c>
      <c r="M903">
        <v>1.02707E-4</v>
      </c>
      <c r="N903">
        <v>1.4035E-4</v>
      </c>
      <c r="O903" s="1">
        <v>4.6999999999999997E-5</v>
      </c>
      <c r="P903">
        <v>1.6647999999999999E-4</v>
      </c>
      <c r="Q903" s="1">
        <v>9.5799999999999998E-5</v>
      </c>
      <c r="R903">
        <v>1.3594E-4</v>
      </c>
      <c r="S903">
        <v>1.6655000000000001E-4</v>
      </c>
      <c r="T903">
        <v>1.98708E-4</v>
      </c>
    </row>
    <row r="904" spans="1:20" hidden="1" x14ac:dyDescent="0.25">
      <c r="A904" t="s">
        <v>922</v>
      </c>
      <c r="B904">
        <v>1.5956400000000001E-4</v>
      </c>
      <c r="C904" s="1">
        <v>8.8599999999999999E-5</v>
      </c>
      <c r="D904" s="1">
        <v>7.9900000000000004E-5</v>
      </c>
      <c r="E904" s="1">
        <v>6.5199999999999999E-5</v>
      </c>
      <c r="F904">
        <v>1.7785199999999999E-4</v>
      </c>
      <c r="G904">
        <v>3.21007E-4</v>
      </c>
      <c r="H904">
        <v>2.4667100000000001E-4</v>
      </c>
      <c r="I904">
        <v>1.60684E-4</v>
      </c>
      <c r="J904">
        <v>2.1853399999999999E-4</v>
      </c>
      <c r="K904">
        <v>1.6730599999999999E-4</v>
      </c>
      <c r="L904">
        <v>1.29061E-4</v>
      </c>
      <c r="M904">
        <v>2.2634E-4</v>
      </c>
      <c r="N904">
        <v>1.19775E-4</v>
      </c>
      <c r="O904">
        <v>1.5345100000000001E-4</v>
      </c>
      <c r="P904">
        <v>4.6449499999999999E-4</v>
      </c>
      <c r="Q904">
        <v>7.13841E-4</v>
      </c>
      <c r="R904">
        <v>4.2737E-4</v>
      </c>
      <c r="S904">
        <v>3.6651400000000002E-4</v>
      </c>
      <c r="T904">
        <v>6.2680799999999997E-4</v>
      </c>
    </row>
    <row r="905" spans="1:20" hidden="1" x14ac:dyDescent="0.25">
      <c r="A905" t="s">
        <v>923</v>
      </c>
      <c r="B905">
        <v>1.21641E-4</v>
      </c>
      <c r="C905">
        <v>0</v>
      </c>
      <c r="D905">
        <v>0</v>
      </c>
      <c r="E905">
        <v>0</v>
      </c>
      <c r="F905">
        <v>2.0594799999999999E-4</v>
      </c>
      <c r="G905">
        <v>2.7377899999999998E-4</v>
      </c>
      <c r="H905">
        <v>2.2357799999999999E-4</v>
      </c>
      <c r="I905">
        <v>2.27235E-4</v>
      </c>
      <c r="J905">
        <v>2.0884699999999999E-4</v>
      </c>
      <c r="K905">
        <v>1.3179700000000001E-4</v>
      </c>
      <c r="L905">
        <v>1.3520399999999999E-4</v>
      </c>
      <c r="M905">
        <v>1.8401299999999999E-4</v>
      </c>
      <c r="N905">
        <v>1.4970700000000001E-4</v>
      </c>
      <c r="O905">
        <v>1.2218900000000001E-4</v>
      </c>
      <c r="P905">
        <v>2.7776500000000002E-4</v>
      </c>
      <c r="Q905">
        <v>5.4708800000000004E-4</v>
      </c>
      <c r="R905">
        <v>3.6234400000000001E-4</v>
      </c>
      <c r="S905">
        <v>2.6750100000000001E-4</v>
      </c>
      <c r="T905">
        <v>5.7456599999999999E-4</v>
      </c>
    </row>
    <row r="906" spans="1:20" hidden="1" x14ac:dyDescent="0.25">
      <c r="A906" t="s">
        <v>924</v>
      </c>
      <c r="B906" s="1">
        <v>5.2099999999999999E-5</v>
      </c>
      <c r="C906">
        <v>0</v>
      </c>
      <c r="D906" s="1">
        <v>4.7700000000000001E-5</v>
      </c>
      <c r="E906" s="1">
        <v>6.2899999999999997E-5</v>
      </c>
      <c r="F906">
        <v>0</v>
      </c>
      <c r="G906" s="1">
        <v>6.3399999999999996E-5</v>
      </c>
      <c r="H906">
        <v>0</v>
      </c>
      <c r="I906">
        <v>0</v>
      </c>
      <c r="J906" s="1">
        <v>5.27E-5</v>
      </c>
      <c r="K906" s="1">
        <v>7.2299999999999996E-5</v>
      </c>
      <c r="L906">
        <v>0</v>
      </c>
      <c r="M906">
        <v>0</v>
      </c>
      <c r="N906" s="1">
        <v>7.0199999999999999E-5</v>
      </c>
      <c r="O906">
        <v>0</v>
      </c>
      <c r="P906">
        <v>0</v>
      </c>
      <c r="Q906" s="1">
        <v>9.2399999999999996E-5</v>
      </c>
      <c r="R906" s="1">
        <v>8.0199999999999998E-5</v>
      </c>
      <c r="S906" s="1">
        <v>8.3999999999999995E-5</v>
      </c>
      <c r="T906">
        <v>1.03268E-4</v>
      </c>
    </row>
    <row r="907" spans="1:20" hidden="1" x14ac:dyDescent="0.25">
      <c r="A907" t="s">
        <v>925</v>
      </c>
      <c r="B907">
        <v>7.49889E-4</v>
      </c>
      <c r="C907">
        <v>6.7259299999999998E-4</v>
      </c>
      <c r="D907">
        <v>6.1519299999999999E-4</v>
      </c>
      <c r="E907">
        <v>5.6170299999999999E-4</v>
      </c>
      <c r="F907">
        <v>8.7698500000000005E-4</v>
      </c>
      <c r="G907">
        <v>5.3328900000000005E-4</v>
      </c>
      <c r="H907">
        <v>5.44503E-4</v>
      </c>
      <c r="I907">
        <v>5.1669599999999997E-4</v>
      </c>
      <c r="J907">
        <v>6.0508899999999995E-4</v>
      </c>
      <c r="K907">
        <v>6.6872500000000001E-4</v>
      </c>
      <c r="L907">
        <v>7.0438599999999999E-4</v>
      </c>
      <c r="M907">
        <v>6.4610000000000004E-4</v>
      </c>
      <c r="N907">
        <v>5.7586099999999999E-4</v>
      </c>
      <c r="O907">
        <v>5.2725299999999999E-4</v>
      </c>
      <c r="P907">
        <v>4.3434099999999998E-4</v>
      </c>
      <c r="Q907">
        <v>3.78515E-4</v>
      </c>
      <c r="R907">
        <v>2.6732999999999998E-4</v>
      </c>
      <c r="S907">
        <v>2.6247500000000002E-4</v>
      </c>
      <c r="T907">
        <v>3.9995200000000002E-4</v>
      </c>
    </row>
    <row r="908" spans="1:20" hidden="1" x14ac:dyDescent="0.25">
      <c r="A908" t="s">
        <v>926</v>
      </c>
      <c r="B908">
        <v>1.4764300000000001E-4</v>
      </c>
      <c r="C908">
        <v>2.0162199999999999E-4</v>
      </c>
      <c r="D908">
        <v>1.89829E-4</v>
      </c>
      <c r="E908">
        <v>2.33293E-4</v>
      </c>
      <c r="F908">
        <v>1.90025E-4</v>
      </c>
      <c r="G908">
        <v>1.0096500000000001E-4</v>
      </c>
      <c r="H908">
        <v>1.45439E-4</v>
      </c>
      <c r="I908">
        <v>1.2728800000000001E-4</v>
      </c>
      <c r="J908">
        <v>1.05435E-4</v>
      </c>
      <c r="K908">
        <v>1.7478E-4</v>
      </c>
      <c r="L908">
        <v>1.6673100000000001E-4</v>
      </c>
      <c r="M908">
        <v>1.04497E-4</v>
      </c>
      <c r="N908" s="1">
        <v>8.7100000000000003E-5</v>
      </c>
      <c r="O908">
        <v>1.23554E-4</v>
      </c>
      <c r="P908" s="1">
        <v>8.5099999999999995E-5</v>
      </c>
      <c r="Q908" s="1">
        <v>7.8999999999999996E-5</v>
      </c>
      <c r="R908" s="1">
        <v>6.6500000000000004E-5</v>
      </c>
      <c r="S908" s="1">
        <v>7.2200000000000007E-5</v>
      </c>
      <c r="T908" s="1">
        <v>8.25E-5</v>
      </c>
    </row>
    <row r="909" spans="1:20" hidden="1" x14ac:dyDescent="0.25">
      <c r="A909" t="s">
        <v>927</v>
      </c>
      <c r="B909">
        <v>1.35563E-4</v>
      </c>
      <c r="C909">
        <v>1.18861E-4</v>
      </c>
      <c r="D909" s="1">
        <v>8.3399999999999994E-5</v>
      </c>
      <c r="E909" s="1">
        <v>7.47E-5</v>
      </c>
      <c r="F909">
        <v>1.7010699999999999E-4</v>
      </c>
      <c r="G909">
        <v>1.8081E-4</v>
      </c>
      <c r="H909">
        <v>1.8730299999999999E-4</v>
      </c>
      <c r="I909">
        <v>2.30676E-4</v>
      </c>
      <c r="J909">
        <v>2.8364200000000002E-4</v>
      </c>
      <c r="K909">
        <v>1.74857E-4</v>
      </c>
      <c r="L909">
        <v>1.3179000000000001E-4</v>
      </c>
      <c r="M909">
        <v>1.44139E-4</v>
      </c>
      <c r="N909">
        <v>2.32215E-4</v>
      </c>
      <c r="O909">
        <v>2.0979700000000001E-4</v>
      </c>
      <c r="P909">
        <v>4.2108E-4</v>
      </c>
      <c r="Q909">
        <v>4.9649299999999998E-4</v>
      </c>
      <c r="R909">
        <v>5.9119399999999996E-4</v>
      </c>
      <c r="S909">
        <v>3.9634700000000002E-4</v>
      </c>
      <c r="T909">
        <v>5.3675399999999996E-4</v>
      </c>
    </row>
    <row r="910" spans="1:20" hidden="1" x14ac:dyDescent="0.25">
      <c r="A910" t="s">
        <v>928</v>
      </c>
      <c r="B910" s="1">
        <v>9.5500000000000004E-5</v>
      </c>
      <c r="C910">
        <v>1.2918399999999999E-4</v>
      </c>
      <c r="D910">
        <v>2.02389E-4</v>
      </c>
      <c r="E910">
        <v>2.0369600000000001E-4</v>
      </c>
      <c r="F910">
        <v>1.22602E-4</v>
      </c>
      <c r="G910" s="1">
        <v>9.0799999999999998E-5</v>
      </c>
      <c r="H910" s="1">
        <v>9.4500000000000007E-5</v>
      </c>
      <c r="I910">
        <v>1.2316900000000001E-4</v>
      </c>
      <c r="J910">
        <v>1.00684E-4</v>
      </c>
      <c r="K910">
        <v>1.18489E-4</v>
      </c>
      <c r="L910" s="1">
        <v>9.4900000000000003E-5</v>
      </c>
      <c r="M910" s="1">
        <v>8.6500000000000002E-5</v>
      </c>
      <c r="N910" s="1">
        <v>7.64E-5</v>
      </c>
      <c r="O910">
        <v>1.2263700000000001E-4</v>
      </c>
      <c r="P910" s="1">
        <v>6.3499999999999999E-5</v>
      </c>
      <c r="Q910" s="1">
        <v>4.8600000000000002E-5</v>
      </c>
      <c r="R910" s="1">
        <v>5.0399999999999999E-5</v>
      </c>
      <c r="S910" s="1">
        <v>6.8499999999999998E-5</v>
      </c>
      <c r="T910" s="1">
        <v>5.6900000000000001E-5</v>
      </c>
    </row>
    <row r="911" spans="1:20" hidden="1" x14ac:dyDescent="0.25">
      <c r="A911" t="s">
        <v>929</v>
      </c>
      <c r="B911">
        <v>0</v>
      </c>
      <c r="C911" s="1">
        <v>2.1299999999999999E-5</v>
      </c>
      <c r="D911" s="1">
        <v>3.1399999999999998E-5</v>
      </c>
      <c r="E911" s="1">
        <v>4.4499999999999997E-5</v>
      </c>
      <c r="F911" s="1">
        <v>2.0599999999999999E-5</v>
      </c>
      <c r="G911">
        <v>0</v>
      </c>
      <c r="H911">
        <v>0</v>
      </c>
      <c r="I911">
        <v>0</v>
      </c>
      <c r="J911">
        <v>0</v>
      </c>
      <c r="K911" s="1">
        <v>2.5700000000000001E-5</v>
      </c>
      <c r="L911" s="1">
        <v>2.1500000000000001E-5</v>
      </c>
      <c r="M911">
        <v>0</v>
      </c>
      <c r="N911" s="1">
        <v>1.24E-5</v>
      </c>
      <c r="O911" s="1">
        <v>2.7900000000000001E-5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hidden="1" x14ac:dyDescent="0.25">
      <c r="A912" t="s">
        <v>930</v>
      </c>
      <c r="B912" s="1">
        <v>1.84E-5</v>
      </c>
      <c r="C912" s="1">
        <v>1.34E-5</v>
      </c>
      <c r="D912" s="1">
        <v>1.1399999999999999E-5</v>
      </c>
      <c r="E912" s="1">
        <v>1.0200000000000001E-5</v>
      </c>
      <c r="F912" s="1">
        <v>4.49E-5</v>
      </c>
      <c r="G912" s="1">
        <v>2.5999999999999998E-5</v>
      </c>
      <c r="H912" s="1">
        <v>2.5599999999999999E-5</v>
      </c>
      <c r="I912" s="1">
        <v>4.8699999999999998E-5</v>
      </c>
      <c r="J912" s="1">
        <v>2.1500000000000001E-5</v>
      </c>
      <c r="K912" s="1">
        <v>3.3800000000000002E-5</v>
      </c>
      <c r="L912" s="1">
        <v>2.3499999999999999E-5</v>
      </c>
      <c r="M912" s="1">
        <v>2.5899999999999999E-5</v>
      </c>
      <c r="N912" s="1">
        <v>3.0700000000000001E-5</v>
      </c>
      <c r="O912" s="1">
        <v>2.4899999999999999E-5</v>
      </c>
      <c r="P912" s="1">
        <v>4.5300000000000003E-5</v>
      </c>
      <c r="Q912" s="1">
        <v>4.0099999999999999E-5</v>
      </c>
      <c r="R912" s="1">
        <v>4.8000000000000001E-5</v>
      </c>
      <c r="S912" s="1">
        <v>4.8600000000000002E-5</v>
      </c>
      <c r="T912" s="1">
        <v>3.7299999999999999E-5</v>
      </c>
    </row>
    <row r="913" spans="1:20" hidden="1" x14ac:dyDescent="0.25">
      <c r="A913" t="s">
        <v>931</v>
      </c>
      <c r="B913">
        <v>2.984923E-3</v>
      </c>
      <c r="C913">
        <v>2.1477340000000001E-3</v>
      </c>
      <c r="D913">
        <v>2.4078459999999999E-3</v>
      </c>
      <c r="E913">
        <v>2.3774960000000002E-3</v>
      </c>
      <c r="F913">
        <v>2.1338300000000002E-3</v>
      </c>
      <c r="G913">
        <v>1.9937679999999999E-3</v>
      </c>
      <c r="H913">
        <v>1.846971E-3</v>
      </c>
      <c r="I913">
        <v>2.3717180000000001E-3</v>
      </c>
      <c r="J913">
        <v>2.5138650000000001E-3</v>
      </c>
      <c r="K913">
        <v>2.360081E-3</v>
      </c>
      <c r="L913">
        <v>2.083938E-3</v>
      </c>
      <c r="M913">
        <v>2.1636189999999999E-3</v>
      </c>
      <c r="N913">
        <v>2.0529939999999998E-3</v>
      </c>
      <c r="O913">
        <v>2.670263E-3</v>
      </c>
      <c r="P913">
        <v>1.9121660000000001E-3</v>
      </c>
      <c r="Q913">
        <v>1.1977260000000001E-3</v>
      </c>
      <c r="R913">
        <v>1.5614380000000001E-3</v>
      </c>
      <c r="S913">
        <v>1.060243E-3</v>
      </c>
      <c r="T913">
        <v>1.0906659999999999E-3</v>
      </c>
    </row>
    <row r="914" spans="1:20" hidden="1" x14ac:dyDescent="0.25">
      <c r="A914" t="s">
        <v>932</v>
      </c>
      <c r="B914">
        <v>6.0465980000000003E-3</v>
      </c>
      <c r="C914">
        <v>4.369838E-3</v>
      </c>
      <c r="D914">
        <v>4.5135330000000001E-3</v>
      </c>
      <c r="E914">
        <v>5.0868739999999999E-3</v>
      </c>
      <c r="F914">
        <v>4.6725239999999999E-3</v>
      </c>
      <c r="G914">
        <v>4.5244090000000001E-3</v>
      </c>
      <c r="H914">
        <v>4.4176759999999997E-3</v>
      </c>
      <c r="I914">
        <v>5.4041580000000001E-3</v>
      </c>
      <c r="J914">
        <v>6.2521199999999999E-3</v>
      </c>
      <c r="K914">
        <v>4.809537E-3</v>
      </c>
      <c r="L914">
        <v>4.4623579999999996E-3</v>
      </c>
      <c r="M914">
        <v>5.2052039999999997E-3</v>
      </c>
      <c r="N914">
        <v>5.2954839999999996E-3</v>
      </c>
      <c r="O914">
        <v>5.9496879999999999E-3</v>
      </c>
      <c r="P914">
        <v>5.2246539999999996E-3</v>
      </c>
      <c r="Q914">
        <v>3.9482620000000001E-3</v>
      </c>
      <c r="R914">
        <v>4.1557190000000004E-3</v>
      </c>
      <c r="S914">
        <v>3.3259169999999998E-3</v>
      </c>
      <c r="T914">
        <v>3.9447639999999999E-3</v>
      </c>
    </row>
    <row r="915" spans="1:20" hidden="1" x14ac:dyDescent="0.25">
      <c r="A915" t="s">
        <v>933</v>
      </c>
      <c r="B915">
        <v>2.6005199999999998E-3</v>
      </c>
      <c r="C915">
        <v>3.015841E-3</v>
      </c>
      <c r="D915">
        <v>2.7182819999999998E-3</v>
      </c>
      <c r="E915">
        <v>2.0246800000000001E-3</v>
      </c>
      <c r="F915">
        <v>2.104575E-3</v>
      </c>
      <c r="G915">
        <v>3.7943260000000002E-3</v>
      </c>
      <c r="H915">
        <v>2.5275900000000001E-3</v>
      </c>
      <c r="I915">
        <v>2.1511920000000001E-3</v>
      </c>
      <c r="J915">
        <v>2.517011E-3</v>
      </c>
      <c r="K915">
        <v>2.9548E-3</v>
      </c>
      <c r="L915">
        <v>3.0375860000000001E-3</v>
      </c>
      <c r="M915">
        <v>2.919236E-3</v>
      </c>
      <c r="N915">
        <v>3.285301E-3</v>
      </c>
      <c r="O915">
        <v>2.2670569999999998E-3</v>
      </c>
      <c r="P915">
        <v>4.7956420000000001E-3</v>
      </c>
      <c r="Q915">
        <v>7.2265100000000002E-3</v>
      </c>
      <c r="R915">
        <v>3.2577309999999998E-3</v>
      </c>
      <c r="S915">
        <v>7.4372639999999999E-3</v>
      </c>
      <c r="T915">
        <v>8.2774530000000006E-3</v>
      </c>
    </row>
    <row r="916" spans="1:20" hidden="1" x14ac:dyDescent="0.25">
      <c r="A916" t="s">
        <v>934</v>
      </c>
      <c r="B916">
        <v>2.3254800000000001E-4</v>
      </c>
      <c r="C916">
        <v>2.2531100000000001E-4</v>
      </c>
      <c r="D916">
        <v>1.87033E-4</v>
      </c>
      <c r="E916">
        <v>3.5846100000000002E-4</v>
      </c>
      <c r="F916">
        <v>2.7276699999999999E-4</v>
      </c>
      <c r="G916">
        <v>2.7792700000000002E-4</v>
      </c>
      <c r="H916">
        <v>3.4601599999999999E-4</v>
      </c>
      <c r="I916">
        <v>2.3058700000000001E-4</v>
      </c>
      <c r="J916">
        <v>1.95038E-4</v>
      </c>
      <c r="K916">
        <v>2.83765E-4</v>
      </c>
      <c r="L916">
        <v>1.9118800000000001E-4</v>
      </c>
      <c r="M916">
        <v>3.0685199999999998E-4</v>
      </c>
      <c r="N916">
        <v>1.99853E-4</v>
      </c>
      <c r="O916">
        <v>2.6790000000000001E-4</v>
      </c>
      <c r="P916">
        <v>6.6366199999999998E-4</v>
      </c>
      <c r="Q916">
        <v>4.3348200000000001E-4</v>
      </c>
      <c r="R916">
        <v>8.00521E-4</v>
      </c>
      <c r="S916">
        <v>1.0471429999999999E-3</v>
      </c>
      <c r="T916">
        <v>9.9211799999999995E-4</v>
      </c>
    </row>
    <row r="917" spans="1:20" hidden="1" x14ac:dyDescent="0.25">
      <c r="A917" t="s">
        <v>935</v>
      </c>
      <c r="B917">
        <v>1.08316E-4</v>
      </c>
      <c r="C917" s="1">
        <v>7.5300000000000001E-5</v>
      </c>
      <c r="D917" s="1">
        <v>4.1900000000000002E-5</v>
      </c>
      <c r="E917" s="1">
        <v>2.4600000000000002E-5</v>
      </c>
      <c r="F917" s="1">
        <v>7.7999999999999999E-5</v>
      </c>
      <c r="G917">
        <v>1.6772099999999999E-4</v>
      </c>
      <c r="H917">
        <v>3.3948799999999999E-4</v>
      </c>
      <c r="I917">
        <v>1.4067100000000001E-4</v>
      </c>
      <c r="J917">
        <v>1.7839700000000001E-4</v>
      </c>
      <c r="K917">
        <v>2.1266199999999999E-4</v>
      </c>
      <c r="L917">
        <v>1.6571700000000001E-4</v>
      </c>
      <c r="M917">
        <v>1.7903299999999999E-4</v>
      </c>
      <c r="N917">
        <v>2.0392399999999999E-4</v>
      </c>
      <c r="O917">
        <v>1.7625799999999999E-4</v>
      </c>
      <c r="P917">
        <v>3.6832500000000002E-4</v>
      </c>
      <c r="Q917">
        <v>1.5860399999999999E-4</v>
      </c>
      <c r="R917">
        <v>2.4212100000000001E-4</v>
      </c>
      <c r="S917">
        <v>1.20852E-4</v>
      </c>
      <c r="T917">
        <v>2.0752699999999999E-4</v>
      </c>
    </row>
    <row r="918" spans="1:20" hidden="1" x14ac:dyDescent="0.25">
      <c r="A918" t="s">
        <v>936</v>
      </c>
      <c r="B918">
        <v>5.1701999999999998E-4</v>
      </c>
      <c r="C918">
        <v>5.0633099999999995E-4</v>
      </c>
      <c r="D918">
        <v>5.0212399999999995E-4</v>
      </c>
      <c r="E918">
        <v>5.7174500000000002E-4</v>
      </c>
      <c r="F918">
        <v>4.77114E-4</v>
      </c>
      <c r="G918">
        <v>4.53344E-4</v>
      </c>
      <c r="H918">
        <v>3.61534E-4</v>
      </c>
      <c r="I918">
        <v>4.7160799999999999E-4</v>
      </c>
      <c r="J918">
        <v>4.6888499999999999E-4</v>
      </c>
      <c r="K918">
        <v>4.8450400000000002E-4</v>
      </c>
      <c r="L918">
        <v>5.6459800000000003E-4</v>
      </c>
      <c r="M918">
        <v>4.0780900000000003E-4</v>
      </c>
      <c r="N918">
        <v>3.6226699999999999E-4</v>
      </c>
      <c r="O918">
        <v>4.85336E-4</v>
      </c>
      <c r="P918">
        <v>2.4337299999999999E-4</v>
      </c>
      <c r="Q918">
        <v>1.2077499999999999E-4</v>
      </c>
      <c r="R918">
        <v>1.41805E-4</v>
      </c>
      <c r="S918" s="1">
        <v>7.0199999999999999E-5</v>
      </c>
      <c r="T918">
        <v>1.53929E-4</v>
      </c>
    </row>
    <row r="919" spans="1:20" hidden="1" x14ac:dyDescent="0.25">
      <c r="A919" t="s">
        <v>937</v>
      </c>
      <c r="B919" s="1">
        <v>1.6500000000000001E-5</v>
      </c>
      <c r="C919" s="1">
        <v>1.73E-5</v>
      </c>
      <c r="D919">
        <v>0</v>
      </c>
      <c r="E919" s="1">
        <v>9.4700000000000008E-6</v>
      </c>
      <c r="F919">
        <v>0</v>
      </c>
      <c r="G919" s="1">
        <v>2.3099999999999999E-5</v>
      </c>
      <c r="H919" s="1">
        <v>2.8600000000000001E-5</v>
      </c>
      <c r="I919" s="1">
        <v>1.29E-5</v>
      </c>
      <c r="J919">
        <v>0</v>
      </c>
      <c r="K919" s="1">
        <v>9.91E-6</v>
      </c>
      <c r="L919">
        <v>0</v>
      </c>
      <c r="M919">
        <v>0</v>
      </c>
      <c r="N919">
        <v>0</v>
      </c>
      <c r="O919">
        <v>0</v>
      </c>
      <c r="P919">
        <v>0</v>
      </c>
      <c r="Q919" s="1">
        <v>9.91E-6</v>
      </c>
      <c r="R919" s="1">
        <v>9.5599999999999999E-6</v>
      </c>
      <c r="S919">
        <v>0</v>
      </c>
      <c r="T919" s="1">
        <v>1.34E-5</v>
      </c>
    </row>
    <row r="920" spans="1:20" hidden="1" x14ac:dyDescent="0.25">
      <c r="A920" t="s">
        <v>938</v>
      </c>
      <c r="B920">
        <v>1.78634E-4</v>
      </c>
      <c r="C920">
        <v>1.6455899999999999E-4</v>
      </c>
      <c r="D920">
        <v>1.2968800000000001E-4</v>
      </c>
      <c r="E920">
        <v>1.1493300000000001E-4</v>
      </c>
      <c r="F920">
        <v>2.3750099999999999E-4</v>
      </c>
      <c r="G920">
        <v>1.62065E-4</v>
      </c>
      <c r="H920">
        <v>2.4042399999999999E-4</v>
      </c>
      <c r="I920">
        <v>2.6576600000000002E-4</v>
      </c>
      <c r="J920">
        <v>2.4957499999999998E-4</v>
      </c>
      <c r="K920">
        <v>1.7602500000000001E-4</v>
      </c>
      <c r="L920">
        <v>1.8986799999999999E-4</v>
      </c>
      <c r="M920">
        <v>2.0394400000000001E-4</v>
      </c>
      <c r="N920">
        <v>6.12639E-4</v>
      </c>
      <c r="O920">
        <v>1.7666099999999999E-4</v>
      </c>
      <c r="P920">
        <v>3.8072099999999999E-4</v>
      </c>
      <c r="Q920">
        <v>4.9668499999999997E-4</v>
      </c>
      <c r="R920">
        <v>3.5194000000000002E-4</v>
      </c>
      <c r="S920">
        <v>5.9173199999999998E-4</v>
      </c>
      <c r="T920">
        <v>5.7495099999999998E-4</v>
      </c>
    </row>
    <row r="921" spans="1:20" hidden="1" x14ac:dyDescent="0.25">
      <c r="A921" t="s">
        <v>939</v>
      </c>
      <c r="B921">
        <v>0</v>
      </c>
      <c r="C921">
        <v>0</v>
      </c>
      <c r="D921">
        <v>0</v>
      </c>
      <c r="E921" s="1">
        <v>1.59E-5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s="1">
        <v>2.8500000000000002E-5</v>
      </c>
      <c r="R921" s="1">
        <v>2.7699999999999999E-5</v>
      </c>
      <c r="S921" s="1">
        <v>3.3500000000000001E-5</v>
      </c>
      <c r="T921" s="1">
        <v>2.27E-5</v>
      </c>
    </row>
    <row r="922" spans="1:20" hidden="1" x14ac:dyDescent="0.25">
      <c r="A922" t="s">
        <v>940</v>
      </c>
      <c r="B922">
        <v>1.20538E-4</v>
      </c>
      <c r="C922">
        <v>1.6980599999999999E-4</v>
      </c>
      <c r="D922">
        <v>1.0683600000000001E-4</v>
      </c>
      <c r="E922">
        <v>1.3248099999999999E-4</v>
      </c>
      <c r="F922">
        <v>1.3975500000000001E-4</v>
      </c>
      <c r="G922">
        <v>1.4811499999999999E-4</v>
      </c>
      <c r="H922" s="1">
        <v>9.2299999999999994E-5</v>
      </c>
      <c r="I922">
        <v>1.04856E-4</v>
      </c>
      <c r="J922">
        <v>1.2608899999999999E-4</v>
      </c>
      <c r="K922">
        <v>1.1241799999999999E-4</v>
      </c>
      <c r="L922" s="1">
        <v>9.8800000000000003E-5</v>
      </c>
      <c r="M922">
        <v>1.6792399999999999E-4</v>
      </c>
      <c r="N922" s="1">
        <v>9.8200000000000002E-5</v>
      </c>
      <c r="O922" s="1">
        <v>8.8999999999999995E-5</v>
      </c>
      <c r="P922" s="1">
        <v>7.3399999999999995E-5</v>
      </c>
      <c r="Q922">
        <v>1.18004E-4</v>
      </c>
      <c r="R922">
        <v>1.18152E-4</v>
      </c>
      <c r="S922">
        <v>2.65524E-4</v>
      </c>
      <c r="T922">
        <v>1.6724200000000001E-4</v>
      </c>
    </row>
    <row r="923" spans="1:20" hidden="1" x14ac:dyDescent="0.25">
      <c r="A923" t="s">
        <v>941</v>
      </c>
      <c r="B923" s="1">
        <v>3.5500000000000002E-5</v>
      </c>
      <c r="C923" s="1">
        <v>2.7500000000000001E-5</v>
      </c>
      <c r="D923" s="1">
        <v>1.7799999999999999E-5</v>
      </c>
      <c r="E923" s="1">
        <v>4.2299999999999998E-5</v>
      </c>
      <c r="F923" s="1">
        <v>3.1099999999999997E-5</v>
      </c>
      <c r="G923" s="1">
        <v>3.4499999999999998E-5</v>
      </c>
      <c r="H923" s="1">
        <v>7.2999999999999999E-5</v>
      </c>
      <c r="I923" s="1">
        <v>5.3399999999999997E-5</v>
      </c>
      <c r="J923" s="1">
        <v>2.0999999999999999E-5</v>
      </c>
      <c r="K923" s="1">
        <v>3.54E-5</v>
      </c>
      <c r="L923" s="1">
        <v>2.9899999999999998E-5</v>
      </c>
      <c r="M923" s="1">
        <v>4.1300000000000001E-5</v>
      </c>
      <c r="N923" s="1">
        <v>3.9100000000000002E-5</v>
      </c>
      <c r="O923" s="1">
        <v>3.0700000000000001E-5</v>
      </c>
      <c r="P923" s="1">
        <v>3.6999999999999998E-5</v>
      </c>
      <c r="Q923" s="1">
        <v>6.8300000000000007E-5</v>
      </c>
      <c r="R923" s="1">
        <v>4.8600000000000002E-5</v>
      </c>
      <c r="S923" s="1">
        <v>4.5000000000000003E-5</v>
      </c>
      <c r="T923" s="1">
        <v>4.8000000000000001E-5</v>
      </c>
    </row>
    <row r="924" spans="1:20" hidden="1" x14ac:dyDescent="0.25">
      <c r="A924" t="s">
        <v>942</v>
      </c>
      <c r="B924">
        <v>0</v>
      </c>
      <c r="C924">
        <v>0</v>
      </c>
      <c r="D924">
        <v>0</v>
      </c>
      <c r="E924">
        <v>0</v>
      </c>
      <c r="F924">
        <v>0</v>
      </c>
      <c r="G924" s="1">
        <v>5.3300000000000001E-5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1">
        <v>2.7800000000000001E-5</v>
      </c>
      <c r="Q924" s="1">
        <v>4.5800000000000002E-5</v>
      </c>
      <c r="R924" s="1">
        <v>5.1600000000000001E-5</v>
      </c>
      <c r="S924">
        <v>1.3062499999999999E-4</v>
      </c>
      <c r="T924" s="1">
        <v>5.0399999999999999E-5</v>
      </c>
    </row>
    <row r="925" spans="1:20" hidden="1" x14ac:dyDescent="0.25">
      <c r="A925" t="s">
        <v>943</v>
      </c>
      <c r="B925">
        <v>0</v>
      </c>
      <c r="C925">
        <v>0</v>
      </c>
      <c r="D925">
        <v>0</v>
      </c>
      <c r="E925">
        <v>0</v>
      </c>
      <c r="F925">
        <v>0</v>
      </c>
      <c r="G925" s="1">
        <v>7.0900000000000002E-5</v>
      </c>
      <c r="H925">
        <v>0</v>
      </c>
      <c r="I925">
        <v>0</v>
      </c>
      <c r="J925">
        <v>0</v>
      </c>
      <c r="K925" s="1">
        <v>1.95E-5</v>
      </c>
      <c r="L925">
        <v>0</v>
      </c>
      <c r="M925">
        <v>0</v>
      </c>
      <c r="N925">
        <v>0</v>
      </c>
      <c r="O925">
        <v>0</v>
      </c>
      <c r="P925" s="1">
        <v>3.5899999999999998E-5</v>
      </c>
      <c r="Q925" s="1">
        <v>5.1999999999999997E-5</v>
      </c>
      <c r="R925" s="1">
        <v>4.4799999999999998E-5</v>
      </c>
      <c r="S925">
        <v>1.53874E-4</v>
      </c>
      <c r="T925" s="1">
        <v>9.9199999999999999E-5</v>
      </c>
    </row>
    <row r="926" spans="1:20" hidden="1" x14ac:dyDescent="0.25">
      <c r="A926" t="s">
        <v>944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 s="1">
        <v>3.1099999999999997E-5</v>
      </c>
      <c r="I926" s="1">
        <v>7.9799999999999998E-6</v>
      </c>
      <c r="J926" s="1">
        <v>1.1600000000000001E-5</v>
      </c>
      <c r="K926">
        <v>0</v>
      </c>
      <c r="L926" s="1">
        <v>1.13E-5</v>
      </c>
      <c r="M926" s="1">
        <v>2.34E-5</v>
      </c>
      <c r="N926" s="1">
        <v>3.3099999999999998E-5</v>
      </c>
      <c r="O926" s="1">
        <v>1.2999999999999999E-5</v>
      </c>
      <c r="P926" s="1">
        <v>2.1999999999999999E-5</v>
      </c>
      <c r="Q926" s="1">
        <v>2.2500000000000001E-5</v>
      </c>
      <c r="R926" s="1">
        <v>2.4499999999999999E-5</v>
      </c>
      <c r="S926" s="1">
        <v>3.0899999999999999E-5</v>
      </c>
      <c r="T926" s="1">
        <v>2.7100000000000001E-5</v>
      </c>
    </row>
    <row r="927" spans="1:20" hidden="1" x14ac:dyDescent="0.25">
      <c r="A927" t="s">
        <v>945</v>
      </c>
      <c r="B927">
        <v>0</v>
      </c>
      <c r="C927">
        <v>0</v>
      </c>
      <c r="D927" s="1">
        <v>4.42E-6</v>
      </c>
      <c r="E927">
        <v>0</v>
      </c>
      <c r="F927" s="1">
        <v>6.4300000000000003E-6</v>
      </c>
      <c r="G927" s="1">
        <v>1.7200000000000001E-5</v>
      </c>
      <c r="H927" s="1">
        <v>8.4400000000000005E-6</v>
      </c>
      <c r="I927" s="1">
        <v>4.4000000000000002E-6</v>
      </c>
      <c r="J927">
        <v>0</v>
      </c>
      <c r="K927" s="1">
        <v>7.3499999999999999E-6</v>
      </c>
      <c r="L927" s="1">
        <v>4.6800000000000001E-6</v>
      </c>
      <c r="M927">
        <v>0</v>
      </c>
      <c r="N927">
        <v>0</v>
      </c>
      <c r="O927">
        <v>0</v>
      </c>
      <c r="P927" s="1">
        <v>1.22E-5</v>
      </c>
      <c r="Q927" s="1">
        <v>1.9400000000000001E-5</v>
      </c>
      <c r="R927" s="1">
        <v>1.26E-5</v>
      </c>
      <c r="S927" s="1">
        <v>1.1199999999999999E-5</v>
      </c>
      <c r="T927" s="1">
        <v>2.34E-5</v>
      </c>
    </row>
    <row r="928" spans="1:20" hidden="1" x14ac:dyDescent="0.25">
      <c r="A928" t="s">
        <v>946</v>
      </c>
      <c r="B928" s="1">
        <v>1.26E-5</v>
      </c>
      <c r="C928" s="1">
        <v>9.6800000000000005E-6</v>
      </c>
      <c r="D928" s="1">
        <v>8.5399999999999996E-6</v>
      </c>
      <c r="E928" s="1">
        <v>8.1499999999999999E-6</v>
      </c>
      <c r="F928" s="1">
        <v>1.8300000000000001E-5</v>
      </c>
      <c r="G928" s="1">
        <v>3.9900000000000001E-5</v>
      </c>
      <c r="H928" s="1">
        <v>2.4000000000000001E-5</v>
      </c>
      <c r="I928" s="1">
        <v>1.1E-5</v>
      </c>
      <c r="J928" s="1">
        <v>1.5400000000000002E-5</v>
      </c>
      <c r="K928" s="1">
        <v>1.8499999999999999E-5</v>
      </c>
      <c r="L928" s="1">
        <v>1.59E-5</v>
      </c>
      <c r="M928" s="1">
        <v>1.2300000000000001E-5</v>
      </c>
      <c r="N928" s="1">
        <v>6.4999999999999996E-6</v>
      </c>
      <c r="O928" s="1">
        <v>7.7500000000000003E-6</v>
      </c>
      <c r="P928" s="1">
        <v>5.4200000000000003E-5</v>
      </c>
      <c r="Q928" s="1">
        <v>9.0799999999999998E-5</v>
      </c>
      <c r="R928" s="1">
        <v>5.2099999999999999E-5</v>
      </c>
      <c r="S928" s="1">
        <v>8.8399999999999994E-5</v>
      </c>
      <c r="T928">
        <v>1.20285E-4</v>
      </c>
    </row>
    <row r="929" spans="1:20" hidden="1" x14ac:dyDescent="0.25">
      <c r="A929" t="s">
        <v>947</v>
      </c>
      <c r="B929">
        <v>0</v>
      </c>
      <c r="C929">
        <v>0</v>
      </c>
      <c r="D929">
        <v>0</v>
      </c>
      <c r="E929">
        <v>0</v>
      </c>
      <c r="F929">
        <v>0</v>
      </c>
      <c r="G929" s="1">
        <v>4.9599999999999999E-5</v>
      </c>
      <c r="H929">
        <v>0</v>
      </c>
      <c r="I929">
        <v>0</v>
      </c>
      <c r="J929" s="1">
        <v>1.9300000000000002E-5</v>
      </c>
      <c r="K929" s="1">
        <v>2.8900000000000001E-5</v>
      </c>
      <c r="L929" s="1">
        <v>1.36E-5</v>
      </c>
      <c r="M929">
        <v>0</v>
      </c>
      <c r="N929">
        <v>0</v>
      </c>
      <c r="O929">
        <v>0</v>
      </c>
      <c r="P929" s="1">
        <v>2.9E-5</v>
      </c>
      <c r="Q929" s="1">
        <v>6.0999999999999999E-5</v>
      </c>
      <c r="R929" s="1">
        <v>5.5999999999999999E-5</v>
      </c>
      <c r="S929">
        <v>1.673E-4</v>
      </c>
      <c r="T929" s="1">
        <v>8.2999999999999998E-5</v>
      </c>
    </row>
    <row r="930" spans="1:20" hidden="1" x14ac:dyDescent="0.25">
      <c r="A930" t="s">
        <v>948</v>
      </c>
      <c r="B930" s="1">
        <v>9.2099999999999999E-6</v>
      </c>
      <c r="C930" s="1">
        <v>6.6200000000000001E-6</v>
      </c>
      <c r="D930" s="1">
        <v>1.15E-5</v>
      </c>
      <c r="E930" s="1">
        <v>1.26E-5</v>
      </c>
      <c r="F930" s="1">
        <v>5.04E-6</v>
      </c>
      <c r="G930">
        <v>0</v>
      </c>
      <c r="H930" s="1">
        <v>5.8900000000000004E-6</v>
      </c>
      <c r="I930" s="1">
        <v>6.3999999999999997E-6</v>
      </c>
      <c r="J930">
        <v>0</v>
      </c>
      <c r="K930">
        <v>0</v>
      </c>
      <c r="L930">
        <v>0</v>
      </c>
      <c r="M930">
        <v>0</v>
      </c>
      <c r="N930">
        <v>0</v>
      </c>
      <c r="O930" s="1">
        <v>3.7900000000000001E-6</v>
      </c>
      <c r="P930">
        <v>0</v>
      </c>
      <c r="Q930">
        <v>0</v>
      </c>
      <c r="R930">
        <v>0</v>
      </c>
      <c r="S930">
        <v>0</v>
      </c>
      <c r="T930" s="1">
        <v>2.7199999999999998E-6</v>
      </c>
    </row>
    <row r="931" spans="1:20" hidden="1" x14ac:dyDescent="0.25">
      <c r="A931" t="s">
        <v>949</v>
      </c>
      <c r="B931">
        <v>0</v>
      </c>
      <c r="C931" s="1">
        <v>1.45E-5</v>
      </c>
      <c r="D931" s="1">
        <v>1.29E-5</v>
      </c>
      <c r="E931" s="1">
        <v>1.43E-5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s="1">
        <v>4.1099999999999996E-6</v>
      </c>
    </row>
    <row r="932" spans="1:20" hidden="1" x14ac:dyDescent="0.25">
      <c r="A932" t="s">
        <v>950</v>
      </c>
      <c r="B932" s="1">
        <v>1.1600000000000001E-5</v>
      </c>
      <c r="C932" s="1">
        <v>2.4000000000000001E-5</v>
      </c>
      <c r="D932" s="1">
        <v>3.5800000000000003E-5</v>
      </c>
      <c r="E932" s="1">
        <v>3.6600000000000002E-5</v>
      </c>
      <c r="F932" s="1">
        <v>1.2099999999999999E-5</v>
      </c>
      <c r="G932" s="1">
        <v>2.0100000000000001E-5</v>
      </c>
      <c r="H932" s="1">
        <v>2.44E-5</v>
      </c>
      <c r="I932" s="1">
        <v>1.7E-5</v>
      </c>
      <c r="J932" s="1">
        <v>1.2E-5</v>
      </c>
      <c r="K932" s="1">
        <v>2.4000000000000001E-5</v>
      </c>
      <c r="L932" s="1">
        <v>2.4899999999999999E-5</v>
      </c>
      <c r="M932">
        <v>0</v>
      </c>
      <c r="N932">
        <v>0</v>
      </c>
      <c r="O932" s="1">
        <v>1.8300000000000001E-5</v>
      </c>
      <c r="P932">
        <v>0</v>
      </c>
      <c r="Q932" s="1">
        <v>1.63E-5</v>
      </c>
      <c r="R932" s="1">
        <v>1.1600000000000001E-5</v>
      </c>
      <c r="S932" s="1">
        <v>1.6200000000000001E-5</v>
      </c>
      <c r="T932" s="1">
        <v>1.4E-5</v>
      </c>
    </row>
    <row r="933" spans="1:20" hidden="1" x14ac:dyDescent="0.25">
      <c r="A933" t="s">
        <v>951</v>
      </c>
      <c r="B933">
        <v>2.9555100000000002E-4</v>
      </c>
      <c r="C933">
        <v>2.7415799999999999E-4</v>
      </c>
      <c r="D933">
        <v>2.5710499999999999E-4</v>
      </c>
      <c r="E933">
        <v>3.9981899999999999E-4</v>
      </c>
      <c r="F933">
        <v>3.21696E-4</v>
      </c>
      <c r="G933">
        <v>1.66582E-4</v>
      </c>
      <c r="H933">
        <v>2.1940300000000001E-4</v>
      </c>
      <c r="I933">
        <v>2.2813600000000001E-4</v>
      </c>
      <c r="J933">
        <v>2.81885E-4</v>
      </c>
      <c r="K933">
        <v>2.8414100000000002E-4</v>
      </c>
      <c r="L933">
        <v>2.2389999999999999E-4</v>
      </c>
      <c r="M933">
        <v>1.85947E-4</v>
      </c>
      <c r="N933">
        <v>1.52273E-4</v>
      </c>
      <c r="O933">
        <v>2.6142500000000003E-4</v>
      </c>
      <c r="P933">
        <v>2.0043799999999999E-4</v>
      </c>
      <c r="Q933">
        <v>1.5759899999999999E-4</v>
      </c>
      <c r="R933">
        <v>1.2126E-4</v>
      </c>
      <c r="S933">
        <v>1.65675E-4</v>
      </c>
      <c r="T933">
        <v>1.6335699999999999E-4</v>
      </c>
    </row>
    <row r="934" spans="1:20" hidden="1" x14ac:dyDescent="0.25">
      <c r="A934" t="s">
        <v>952</v>
      </c>
      <c r="B934" s="1">
        <v>3.4600000000000001E-5</v>
      </c>
      <c r="C934" s="1">
        <v>3.4700000000000003E-5</v>
      </c>
      <c r="D934" s="1">
        <v>3.1999999999999999E-5</v>
      </c>
      <c r="E934" s="1">
        <v>2.55E-5</v>
      </c>
      <c r="F934" s="1">
        <v>2.5000000000000001E-5</v>
      </c>
      <c r="G934" s="1">
        <v>3.65E-5</v>
      </c>
      <c r="H934" s="1">
        <v>4.0500000000000002E-5</v>
      </c>
      <c r="I934" s="1">
        <v>3.8399999999999998E-5</v>
      </c>
      <c r="J934" s="1">
        <v>3.0899999999999999E-5</v>
      </c>
      <c r="K934" s="1">
        <v>3.0899999999999999E-5</v>
      </c>
      <c r="L934" s="1">
        <v>5.02E-5</v>
      </c>
      <c r="M934" s="1">
        <v>3.5599999999999998E-5</v>
      </c>
      <c r="N934" s="1">
        <v>1.8300000000000001E-5</v>
      </c>
      <c r="O934" s="1">
        <v>1.77E-5</v>
      </c>
      <c r="P934" s="1">
        <v>4.1E-5</v>
      </c>
      <c r="Q934" s="1">
        <v>2.94E-5</v>
      </c>
      <c r="R934" s="1">
        <v>4.3399999999999998E-5</v>
      </c>
      <c r="S934" s="1">
        <v>3.3800000000000002E-5</v>
      </c>
      <c r="T934" s="1">
        <v>3.8899999999999997E-5</v>
      </c>
    </row>
    <row r="935" spans="1:20" hidden="1" x14ac:dyDescent="0.25">
      <c r="A935" t="s">
        <v>953</v>
      </c>
      <c r="B935" s="1">
        <v>7.1199999999999996E-6</v>
      </c>
      <c r="C935" s="1">
        <v>1.7099999999999999E-5</v>
      </c>
      <c r="D935" s="1">
        <v>9.7000000000000003E-6</v>
      </c>
      <c r="E935" s="1">
        <v>1.2799999999999999E-5</v>
      </c>
      <c r="F935">
        <v>0</v>
      </c>
      <c r="G935">
        <v>0</v>
      </c>
      <c r="H935">
        <v>0</v>
      </c>
      <c r="I935">
        <v>0</v>
      </c>
      <c r="J935" s="1">
        <v>7.9400000000000002E-6</v>
      </c>
      <c r="K935" s="1">
        <v>8.0399999999999993E-6</v>
      </c>
      <c r="L935" s="1">
        <v>9.9499999999999996E-6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hidden="1" x14ac:dyDescent="0.25">
      <c r="A936" t="s">
        <v>954</v>
      </c>
      <c r="B936">
        <v>3.1417800000000003E-4</v>
      </c>
      <c r="C936">
        <v>2.1845799999999999E-4</v>
      </c>
      <c r="D936">
        <v>2.1141500000000001E-4</v>
      </c>
      <c r="E936">
        <v>1.16723E-4</v>
      </c>
      <c r="F936">
        <v>1.8594799999999999E-4</v>
      </c>
      <c r="G936">
        <v>4.2525899999999999E-4</v>
      </c>
      <c r="H936">
        <v>6.0989599999999996E-4</v>
      </c>
      <c r="I936">
        <v>1.6972299999999999E-4</v>
      </c>
      <c r="J936">
        <v>2.3767499999999999E-4</v>
      </c>
      <c r="K936">
        <v>1.7391300000000001E-4</v>
      </c>
      <c r="L936">
        <v>2.6984300000000003E-4</v>
      </c>
      <c r="M936">
        <v>4.5474099999999999E-4</v>
      </c>
      <c r="N936">
        <v>3.8777499999999998E-4</v>
      </c>
      <c r="O936">
        <v>3.4233400000000002E-4</v>
      </c>
      <c r="P936">
        <v>3.3884300000000002E-4</v>
      </c>
      <c r="Q936">
        <v>4.5739100000000003E-4</v>
      </c>
      <c r="R936">
        <v>3.3683500000000001E-4</v>
      </c>
      <c r="S936">
        <v>2.7329600000000002E-4</v>
      </c>
      <c r="T936">
        <v>6.3679999999999997E-4</v>
      </c>
    </row>
    <row r="937" spans="1:20" hidden="1" x14ac:dyDescent="0.25">
      <c r="A937" t="s">
        <v>955</v>
      </c>
      <c r="B937" s="1">
        <v>7.1099999999999994E-5</v>
      </c>
      <c r="C937" s="1">
        <v>5.3100000000000003E-5</v>
      </c>
      <c r="D937" s="1">
        <v>7.0699999999999997E-5</v>
      </c>
      <c r="E937" s="1">
        <v>6.8100000000000002E-5</v>
      </c>
      <c r="F937" s="1">
        <v>9.1299999999999997E-5</v>
      </c>
      <c r="G937" s="1">
        <v>6.3100000000000002E-5</v>
      </c>
      <c r="H937" s="1">
        <v>6.3899999999999995E-5</v>
      </c>
      <c r="I937" s="1">
        <v>8.4300000000000003E-5</v>
      </c>
      <c r="J937" s="1">
        <v>8.6299999999999997E-5</v>
      </c>
      <c r="K937" s="1">
        <v>7.5099999999999996E-5</v>
      </c>
      <c r="L937" s="1">
        <v>7.4900000000000005E-5</v>
      </c>
      <c r="M937" s="1">
        <v>7.3999999999999996E-5</v>
      </c>
      <c r="N937" s="1">
        <v>5.63E-5</v>
      </c>
      <c r="O937" s="1">
        <v>7.08E-5</v>
      </c>
      <c r="P937" s="1">
        <v>9.2100000000000003E-5</v>
      </c>
      <c r="Q937" s="1">
        <v>8.8499999999999996E-5</v>
      </c>
      <c r="R937" s="1">
        <v>8.6899999999999998E-5</v>
      </c>
      <c r="S937" s="1">
        <v>6.8899999999999994E-5</v>
      </c>
      <c r="T937" s="1">
        <v>7.9300000000000003E-5</v>
      </c>
    </row>
    <row r="938" spans="1:20" hidden="1" x14ac:dyDescent="0.25">
      <c r="A938" t="s">
        <v>956</v>
      </c>
      <c r="B938">
        <v>0</v>
      </c>
      <c r="C938">
        <v>0</v>
      </c>
      <c r="D938" s="1">
        <v>1.4E-5</v>
      </c>
      <c r="E938">
        <v>0</v>
      </c>
      <c r="F938">
        <v>0</v>
      </c>
      <c r="G938">
        <v>0</v>
      </c>
      <c r="H938" s="1">
        <v>1.15E-5</v>
      </c>
      <c r="I938">
        <v>0</v>
      </c>
      <c r="J938">
        <v>0</v>
      </c>
      <c r="K938">
        <v>0</v>
      </c>
      <c r="L938">
        <v>0</v>
      </c>
      <c r="M938" s="1">
        <v>3.0700000000000001E-5</v>
      </c>
      <c r="N938" s="1">
        <v>2.2500000000000001E-5</v>
      </c>
      <c r="O938">
        <v>0</v>
      </c>
      <c r="P938">
        <v>0</v>
      </c>
      <c r="Q938" s="1">
        <v>8.6799999999999996E-5</v>
      </c>
      <c r="R938">
        <v>0</v>
      </c>
      <c r="S938" s="1">
        <v>4.6799999999999999E-5</v>
      </c>
      <c r="T938" s="1">
        <v>2.94E-5</v>
      </c>
    </row>
    <row r="939" spans="1:20" hidden="1" x14ac:dyDescent="0.25">
      <c r="A939" t="s">
        <v>957</v>
      </c>
      <c r="B939">
        <v>1.08759E-3</v>
      </c>
      <c r="C939">
        <v>1.3263019999999999E-3</v>
      </c>
      <c r="D939">
        <v>2.1318610000000001E-3</v>
      </c>
      <c r="E939">
        <v>2.3351449999999998E-3</v>
      </c>
      <c r="F939">
        <v>3.5274999999999998E-3</v>
      </c>
      <c r="G939">
        <v>1.7326220000000001E-3</v>
      </c>
      <c r="H939">
        <v>3.2818560000000001E-3</v>
      </c>
      <c r="I939">
        <v>2.208827E-3</v>
      </c>
      <c r="J939">
        <v>1.4341309999999999E-3</v>
      </c>
      <c r="K939">
        <v>1.40354E-3</v>
      </c>
      <c r="L939">
        <v>1.1985100000000001E-3</v>
      </c>
      <c r="M939">
        <v>2.239787E-3</v>
      </c>
      <c r="N939">
        <v>1.2865940000000001E-3</v>
      </c>
      <c r="O939">
        <v>3.0286509999999998E-3</v>
      </c>
      <c r="P939">
        <v>1.364444E-3</v>
      </c>
      <c r="Q939">
        <v>1.504579E-3</v>
      </c>
      <c r="R939">
        <v>1.1019039999999999E-3</v>
      </c>
      <c r="S939">
        <v>1.078549E-3</v>
      </c>
      <c r="T939">
        <v>1.937893E-3</v>
      </c>
    </row>
    <row r="940" spans="1:20" hidden="1" x14ac:dyDescent="0.25">
      <c r="A940" t="s">
        <v>958</v>
      </c>
      <c r="B940" s="1">
        <v>3.3300000000000003E-5</v>
      </c>
      <c r="C940" s="1">
        <v>5.2599999999999998E-5</v>
      </c>
      <c r="D940" s="1">
        <v>5.0000000000000002E-5</v>
      </c>
      <c r="E940" s="1">
        <v>5.1999999999999997E-5</v>
      </c>
      <c r="F940">
        <v>0</v>
      </c>
      <c r="G940">
        <v>0</v>
      </c>
      <c r="H940">
        <v>0</v>
      </c>
      <c r="I940">
        <v>0</v>
      </c>
      <c r="J940">
        <v>0</v>
      </c>
      <c r="K940" s="1">
        <v>2.6299999999999999E-5</v>
      </c>
      <c r="L940">
        <v>0</v>
      </c>
      <c r="M940">
        <v>0</v>
      </c>
      <c r="N940">
        <v>0</v>
      </c>
      <c r="O940">
        <v>0</v>
      </c>
      <c r="P940" s="1">
        <v>3.1300000000000002E-5</v>
      </c>
      <c r="Q940">
        <v>0</v>
      </c>
      <c r="R940" s="1">
        <v>2.2200000000000001E-5</v>
      </c>
      <c r="S940" s="1">
        <v>3.6600000000000002E-5</v>
      </c>
      <c r="T940" s="1">
        <v>1.7900000000000001E-5</v>
      </c>
    </row>
    <row r="941" spans="1:20" hidden="1" x14ac:dyDescent="0.25">
      <c r="A941" t="s">
        <v>959</v>
      </c>
      <c r="B941">
        <v>0</v>
      </c>
      <c r="C941">
        <v>0</v>
      </c>
      <c r="D941">
        <v>3.4756099999999997E-4</v>
      </c>
      <c r="E941">
        <v>2.1031399999999999E-4</v>
      </c>
      <c r="F941" s="1">
        <v>8.2899999999999996E-5</v>
      </c>
      <c r="G941">
        <v>0</v>
      </c>
      <c r="H941">
        <v>0</v>
      </c>
      <c r="I941">
        <v>0</v>
      </c>
      <c r="J941">
        <v>0</v>
      </c>
      <c r="K941">
        <v>3.0009500000000001E-4</v>
      </c>
      <c r="L941">
        <v>0</v>
      </c>
      <c r="M941">
        <v>8.6958599999999999E-4</v>
      </c>
      <c r="N941">
        <v>3.8588400000000002E-4</v>
      </c>
      <c r="O941">
        <v>4.6575000000000002E-4</v>
      </c>
      <c r="P941">
        <v>0</v>
      </c>
      <c r="Q941">
        <v>0</v>
      </c>
      <c r="R941">
        <v>0</v>
      </c>
      <c r="S941">
        <v>3.56332E-4</v>
      </c>
      <c r="T941">
        <v>2.3623200000000001E-4</v>
      </c>
    </row>
    <row r="942" spans="1:20" hidden="1" x14ac:dyDescent="0.25">
      <c r="A942" t="s">
        <v>960</v>
      </c>
      <c r="B942">
        <v>0</v>
      </c>
      <c r="C942" s="1">
        <v>3.82E-5</v>
      </c>
      <c r="D942" s="1">
        <v>5.3900000000000002E-5</v>
      </c>
      <c r="E942" s="1">
        <v>5.1199999999999998E-5</v>
      </c>
      <c r="F942" s="1">
        <v>1.3699999999999999E-5</v>
      </c>
      <c r="G942" s="1">
        <v>4.3800000000000001E-5</v>
      </c>
      <c r="H942">
        <v>0</v>
      </c>
      <c r="I942" s="1">
        <v>1.5999999999999999E-5</v>
      </c>
      <c r="J942">
        <v>0</v>
      </c>
      <c r="K942" s="1">
        <v>4.3999999999999999E-5</v>
      </c>
      <c r="L942" s="1">
        <v>5.0899999999999997E-5</v>
      </c>
      <c r="M942">
        <v>0</v>
      </c>
      <c r="N942">
        <v>0</v>
      </c>
      <c r="O942" s="1">
        <v>3.6199999999999999E-5</v>
      </c>
      <c r="P942">
        <v>0</v>
      </c>
      <c r="Q942">
        <v>0</v>
      </c>
      <c r="R942">
        <v>0</v>
      </c>
      <c r="S942" s="1">
        <v>2.1800000000000001E-5</v>
      </c>
      <c r="T942">
        <v>0</v>
      </c>
    </row>
    <row r="943" spans="1:20" hidden="1" x14ac:dyDescent="0.25">
      <c r="A943" t="s">
        <v>961</v>
      </c>
      <c r="B943">
        <v>0</v>
      </c>
      <c r="C943">
        <v>0</v>
      </c>
      <c r="D943" s="1">
        <v>6.3700000000000003E-5</v>
      </c>
      <c r="E943" s="1">
        <v>6.0000000000000002E-5</v>
      </c>
      <c r="F943" s="1">
        <v>5.0699999999999999E-5</v>
      </c>
      <c r="G943">
        <v>1.1835799999999999E-4</v>
      </c>
      <c r="H943" s="1">
        <v>7.5300000000000001E-5</v>
      </c>
      <c r="I943" s="1">
        <v>5.7399999999999999E-5</v>
      </c>
      <c r="J943" s="1">
        <v>4.5200000000000001E-5</v>
      </c>
      <c r="K943" s="1">
        <v>6.9400000000000006E-5</v>
      </c>
      <c r="L943" s="1">
        <v>5.9500000000000003E-5</v>
      </c>
      <c r="M943" s="1">
        <v>3.93E-5</v>
      </c>
      <c r="N943">
        <v>0</v>
      </c>
      <c r="O943" s="1">
        <v>3.5099999999999999E-5</v>
      </c>
      <c r="P943" s="1">
        <v>7.2999999999999999E-5</v>
      </c>
      <c r="Q943" s="1">
        <v>9.1700000000000006E-5</v>
      </c>
      <c r="R943" s="1">
        <v>7.2200000000000007E-5</v>
      </c>
      <c r="S943">
        <v>1.3394899999999999E-4</v>
      </c>
      <c r="T943">
        <v>1.16354E-4</v>
      </c>
    </row>
    <row r="944" spans="1:20" hidden="1" x14ac:dyDescent="0.25">
      <c r="A944" t="s">
        <v>962</v>
      </c>
      <c r="B944" s="1">
        <v>5.8499999999999999E-6</v>
      </c>
      <c r="C944" s="1">
        <v>8.2700000000000004E-6</v>
      </c>
      <c r="D944" s="1">
        <v>7.5900000000000002E-6</v>
      </c>
      <c r="E944" s="1">
        <v>8.3599999999999996E-6</v>
      </c>
      <c r="F944" s="1">
        <v>4.8799999999999999E-6</v>
      </c>
      <c r="G944" s="1">
        <v>5.7699999999999998E-6</v>
      </c>
      <c r="H944" s="1">
        <v>5.5400000000000003E-6</v>
      </c>
      <c r="I944" s="1">
        <v>5.84E-6</v>
      </c>
      <c r="J944" s="1">
        <v>3.6500000000000002E-6</v>
      </c>
      <c r="K944" s="1">
        <v>8.4999999999999999E-6</v>
      </c>
      <c r="L944" s="1">
        <v>6.9399999999999996E-6</v>
      </c>
      <c r="M944" s="1">
        <v>5.2499999999999997E-6</v>
      </c>
      <c r="N944" s="1">
        <v>8.9600000000000006E-6</v>
      </c>
      <c r="O944" s="1">
        <v>3.0800000000000002E-6</v>
      </c>
      <c r="P944" s="1">
        <v>6.1099999999999999E-6</v>
      </c>
      <c r="Q944" s="1">
        <v>4.5000000000000001E-6</v>
      </c>
      <c r="R944" s="1">
        <v>5.1100000000000002E-6</v>
      </c>
      <c r="S944" s="1">
        <v>4.1300000000000003E-6</v>
      </c>
      <c r="T944" s="1">
        <v>7.1899999999999998E-6</v>
      </c>
    </row>
    <row r="945" spans="1:20" hidden="1" x14ac:dyDescent="0.25">
      <c r="A945" t="s">
        <v>963</v>
      </c>
      <c r="B945">
        <v>0</v>
      </c>
      <c r="C945" s="1">
        <v>1.38E-5</v>
      </c>
      <c r="D945" s="1">
        <v>2.8099999999999999E-5</v>
      </c>
      <c r="E945" s="1">
        <v>3.3399999999999999E-5</v>
      </c>
      <c r="F945" s="1">
        <v>2.4300000000000001E-5</v>
      </c>
      <c r="G945">
        <v>0</v>
      </c>
      <c r="H945">
        <v>0</v>
      </c>
      <c r="I945">
        <v>0</v>
      </c>
      <c r="J945">
        <v>0</v>
      </c>
      <c r="K945" s="1">
        <v>2.4300000000000001E-5</v>
      </c>
      <c r="L945" s="1">
        <v>1.7900000000000001E-5</v>
      </c>
      <c r="M945">
        <v>0</v>
      </c>
      <c r="N945">
        <v>0</v>
      </c>
      <c r="O945" s="1">
        <v>1.63E-5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hidden="1" x14ac:dyDescent="0.25">
      <c r="A946" t="s">
        <v>964</v>
      </c>
      <c r="B946">
        <v>0</v>
      </c>
      <c r="C946" s="1">
        <v>9.0100000000000001E-6</v>
      </c>
      <c r="D946" s="1">
        <v>6.28E-6</v>
      </c>
      <c r="E946" s="1">
        <v>5.2399999999999998E-6</v>
      </c>
      <c r="F946">
        <v>0</v>
      </c>
      <c r="G946">
        <v>0</v>
      </c>
      <c r="H946">
        <v>0</v>
      </c>
      <c r="I946">
        <v>0</v>
      </c>
      <c r="J946">
        <v>0</v>
      </c>
      <c r="K946" s="1">
        <v>4.1500000000000001E-6</v>
      </c>
      <c r="L946" s="1">
        <v>3.7500000000000001E-6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hidden="1" x14ac:dyDescent="0.25">
      <c r="A947" t="s">
        <v>965</v>
      </c>
      <c r="B947" s="1">
        <v>4.18E-5</v>
      </c>
      <c r="C947" s="1">
        <v>2.8900000000000001E-5</v>
      </c>
      <c r="D947" s="1">
        <v>1.5299999999999999E-5</v>
      </c>
      <c r="E947">
        <v>0</v>
      </c>
      <c r="F947">
        <v>0</v>
      </c>
      <c r="G947" s="1">
        <v>5.1999999999999997E-5</v>
      </c>
      <c r="H947" s="1">
        <v>6.5900000000000003E-5</v>
      </c>
      <c r="I947" s="1">
        <v>3.4999999999999997E-5</v>
      </c>
      <c r="J947" s="1">
        <v>4.8000000000000001E-5</v>
      </c>
      <c r="K947" s="1">
        <v>2.4700000000000001E-5</v>
      </c>
      <c r="L947" s="1">
        <v>6.9999999999999994E-5</v>
      </c>
      <c r="M947" s="1">
        <v>6.2100000000000005E-5</v>
      </c>
      <c r="N947">
        <v>1.3407299999999999E-4</v>
      </c>
      <c r="O947" s="1">
        <v>4.0099999999999999E-5</v>
      </c>
      <c r="P947">
        <v>1.8463400000000001E-4</v>
      </c>
      <c r="Q947">
        <v>2.7983199999999999E-4</v>
      </c>
      <c r="R947">
        <v>1.4037399999999999E-4</v>
      </c>
      <c r="S947">
        <v>0</v>
      </c>
      <c r="T947" s="1">
        <v>8.92E-5</v>
      </c>
    </row>
    <row r="948" spans="1:20" hidden="1" x14ac:dyDescent="0.25">
      <c r="A948" t="s">
        <v>966</v>
      </c>
      <c r="B948" s="1">
        <v>4.4499999999999997E-6</v>
      </c>
      <c r="C948" s="1">
        <v>5.4399999999999996E-6</v>
      </c>
      <c r="D948" s="1">
        <v>7.2599999999999999E-6</v>
      </c>
      <c r="E948" s="1">
        <v>8.4100000000000008E-6</v>
      </c>
      <c r="F948" s="1">
        <v>2.5900000000000002E-6</v>
      </c>
      <c r="G948">
        <v>0</v>
      </c>
      <c r="H948">
        <v>0</v>
      </c>
      <c r="I948" s="1">
        <v>3.9500000000000003E-6</v>
      </c>
      <c r="J948">
        <v>0</v>
      </c>
      <c r="K948">
        <v>0</v>
      </c>
      <c r="L948" s="1">
        <v>4.9699999999999998E-6</v>
      </c>
      <c r="M948" s="1">
        <v>6.2500000000000003E-6</v>
      </c>
      <c r="N948" s="1">
        <v>6.7900000000000002E-6</v>
      </c>
      <c r="O948" s="1">
        <v>2.4700000000000001E-6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hidden="1" x14ac:dyDescent="0.25">
      <c r="A949" t="s">
        <v>967</v>
      </c>
      <c r="B949">
        <v>0</v>
      </c>
      <c r="C949">
        <v>0</v>
      </c>
      <c r="D949">
        <v>0</v>
      </c>
      <c r="E949">
        <v>0</v>
      </c>
      <c r="F949" s="1">
        <v>5.5300000000000002E-5</v>
      </c>
      <c r="G949" s="1">
        <v>9.6299999999999996E-5</v>
      </c>
      <c r="H949">
        <v>0</v>
      </c>
      <c r="I949" s="1">
        <v>6.4999999999999994E-5</v>
      </c>
      <c r="J949">
        <v>0</v>
      </c>
      <c r="K949">
        <v>0</v>
      </c>
      <c r="L949">
        <v>0</v>
      </c>
      <c r="M949">
        <v>0</v>
      </c>
      <c r="N949" s="1">
        <v>6.7399999999999998E-5</v>
      </c>
      <c r="O949">
        <v>0</v>
      </c>
      <c r="P949" s="1">
        <v>6.8800000000000005E-5</v>
      </c>
      <c r="Q949" s="1">
        <v>9.9400000000000004E-5</v>
      </c>
      <c r="R949" s="1">
        <v>9.7200000000000004E-5</v>
      </c>
      <c r="S949">
        <v>2.7533499999999998E-4</v>
      </c>
      <c r="T949">
        <v>1.37238E-4</v>
      </c>
    </row>
    <row r="950" spans="1:20" hidden="1" x14ac:dyDescent="0.25">
      <c r="A950" t="s">
        <v>968</v>
      </c>
      <c r="B950" s="1">
        <v>1.6200000000000001E-5</v>
      </c>
      <c r="C950">
        <v>0</v>
      </c>
      <c r="D950" s="1">
        <v>1.7399999999999999E-5</v>
      </c>
      <c r="E950">
        <v>0</v>
      </c>
      <c r="F950">
        <v>1.2283300000000001E-4</v>
      </c>
      <c r="G950">
        <v>1.02865E-4</v>
      </c>
      <c r="H950">
        <v>1.4654199999999999E-4</v>
      </c>
      <c r="I950" s="1">
        <v>5.2299999999999997E-5</v>
      </c>
      <c r="J950" s="1">
        <v>4.71E-5</v>
      </c>
      <c r="K950" s="1">
        <v>6.8999999999999997E-5</v>
      </c>
      <c r="L950" s="1">
        <v>4.8900000000000003E-5</v>
      </c>
      <c r="M950" s="1">
        <v>3.6399999999999997E-5</v>
      </c>
      <c r="N950" s="1">
        <v>4.21E-5</v>
      </c>
      <c r="O950" s="1">
        <v>4.5300000000000003E-5</v>
      </c>
      <c r="P950">
        <v>1.3843300000000001E-4</v>
      </c>
      <c r="Q950">
        <v>1.7558299999999999E-4</v>
      </c>
      <c r="R950">
        <v>1.99805E-4</v>
      </c>
      <c r="S950">
        <v>1.2923500000000001E-4</v>
      </c>
      <c r="T950">
        <v>1.7882600000000001E-4</v>
      </c>
    </row>
    <row r="951" spans="1:20" hidden="1" x14ac:dyDescent="0.25">
      <c r="A951" t="s">
        <v>969</v>
      </c>
      <c r="B951">
        <v>1.3240999999999999E-4</v>
      </c>
      <c r="C951" s="1">
        <v>7.6199999999999995E-5</v>
      </c>
      <c r="D951" s="1">
        <v>6.1699999999999995E-5</v>
      </c>
      <c r="E951" s="1">
        <v>6.4300000000000004E-5</v>
      </c>
      <c r="F951">
        <v>1.3386260000000001E-3</v>
      </c>
      <c r="G951">
        <v>8.96118E-4</v>
      </c>
      <c r="H951">
        <v>4.7681399999999999E-4</v>
      </c>
      <c r="I951">
        <v>4.0646399999999999E-4</v>
      </c>
      <c r="J951">
        <v>5.8431599999999998E-4</v>
      </c>
      <c r="K951">
        <v>2.1602399999999999E-4</v>
      </c>
      <c r="L951">
        <v>1.8115399999999999E-4</v>
      </c>
      <c r="M951">
        <v>1.6812500000000001E-4</v>
      </c>
      <c r="N951">
        <v>1.95255E-4</v>
      </c>
      <c r="O951">
        <v>1.73277E-4</v>
      </c>
      <c r="P951">
        <v>2.0937040000000001E-3</v>
      </c>
      <c r="Q951">
        <v>5.2669029999999999E-3</v>
      </c>
      <c r="R951">
        <v>6.3151149999999996E-3</v>
      </c>
      <c r="S951">
        <v>2.8111270000000001E-3</v>
      </c>
      <c r="T951">
        <v>5.450926E-3</v>
      </c>
    </row>
    <row r="952" spans="1:20" hidden="1" x14ac:dyDescent="0.25">
      <c r="A952" t="s">
        <v>970</v>
      </c>
      <c r="B952">
        <v>1.2167600000000001E-4</v>
      </c>
      <c r="C952">
        <v>2.06465E-4</v>
      </c>
      <c r="D952">
        <v>1.8023099999999999E-4</v>
      </c>
      <c r="E952">
        <v>1.5971200000000001E-4</v>
      </c>
      <c r="F952">
        <v>1.38038E-4</v>
      </c>
      <c r="G952">
        <v>1.8159200000000001E-4</v>
      </c>
      <c r="H952">
        <v>1.6442E-4</v>
      </c>
      <c r="I952">
        <v>2.5594300000000001E-4</v>
      </c>
      <c r="J952">
        <v>1.68954E-4</v>
      </c>
      <c r="K952">
        <v>1.94148E-4</v>
      </c>
      <c r="L952">
        <v>2.1967800000000001E-4</v>
      </c>
      <c r="M952">
        <v>1.4379900000000001E-4</v>
      </c>
      <c r="N952">
        <v>2.0587200000000001E-4</v>
      </c>
      <c r="O952">
        <v>1.9421600000000001E-4</v>
      </c>
      <c r="P952" s="1">
        <v>9.8099999999999999E-5</v>
      </c>
      <c r="Q952" s="1">
        <v>4.5399999999999999E-5</v>
      </c>
      <c r="R952" s="1">
        <v>5.9200000000000002E-5</v>
      </c>
      <c r="S952" s="1">
        <v>4.2700000000000001E-5</v>
      </c>
      <c r="T952" s="1">
        <v>3.0700000000000001E-5</v>
      </c>
    </row>
    <row r="953" spans="1:20" hidden="1" x14ac:dyDescent="0.25">
      <c r="A953" t="s">
        <v>971</v>
      </c>
      <c r="B953">
        <v>2.8257500000000002E-4</v>
      </c>
      <c r="C953">
        <v>4.3878500000000002E-4</v>
      </c>
      <c r="D953">
        <v>4.0019799999999999E-4</v>
      </c>
      <c r="E953">
        <v>3.4850499999999998E-4</v>
      </c>
      <c r="F953">
        <v>2.8024799999999998E-4</v>
      </c>
      <c r="G953">
        <v>3.9576599999999998E-4</v>
      </c>
      <c r="H953">
        <v>2.87428E-4</v>
      </c>
      <c r="I953">
        <v>4.6409899999999999E-4</v>
      </c>
      <c r="J953">
        <v>4.52325E-4</v>
      </c>
      <c r="K953">
        <v>4.9477799999999997E-4</v>
      </c>
      <c r="L953">
        <v>5.3476299999999995E-4</v>
      </c>
      <c r="M953">
        <v>3.4530299999999998E-4</v>
      </c>
      <c r="N953">
        <v>4.9287199999999999E-4</v>
      </c>
      <c r="O953">
        <v>4.8275E-4</v>
      </c>
      <c r="P953">
        <v>2.6926700000000001E-4</v>
      </c>
      <c r="Q953">
        <v>1.5333100000000001E-4</v>
      </c>
      <c r="R953">
        <v>2.24875E-4</v>
      </c>
      <c r="S953">
        <v>1.4897700000000001E-4</v>
      </c>
      <c r="T953">
        <v>1.14719E-4</v>
      </c>
    </row>
    <row r="954" spans="1:20" hidden="1" x14ac:dyDescent="0.25">
      <c r="A954" t="s">
        <v>972</v>
      </c>
      <c r="B954">
        <v>0</v>
      </c>
      <c r="C954" s="1">
        <v>2.3099999999999999E-5</v>
      </c>
      <c r="D954" s="1">
        <v>2.4300000000000001E-5</v>
      </c>
      <c r="E954" s="1">
        <v>1.8499999999999999E-5</v>
      </c>
      <c r="F954">
        <v>0</v>
      </c>
      <c r="G954" s="1">
        <v>1.9899999999999999E-5</v>
      </c>
      <c r="H954">
        <v>0</v>
      </c>
      <c r="I954">
        <v>0</v>
      </c>
      <c r="J954">
        <v>0</v>
      </c>
      <c r="K954" s="1">
        <v>1.3200000000000001E-5</v>
      </c>
      <c r="L954" s="1">
        <v>2.2200000000000001E-5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hidden="1" x14ac:dyDescent="0.25">
      <c r="A955" t="s">
        <v>973</v>
      </c>
      <c r="B955" s="1">
        <v>6.7000000000000002E-5</v>
      </c>
      <c r="C955">
        <v>2.08801E-4</v>
      </c>
      <c r="D955">
        <v>2.0111900000000001E-4</v>
      </c>
      <c r="E955">
        <v>1.9189899999999999E-4</v>
      </c>
      <c r="F955">
        <v>1.0807E-4</v>
      </c>
      <c r="G955">
        <v>2.25427E-4</v>
      </c>
      <c r="H955">
        <v>1.3146800000000001E-4</v>
      </c>
      <c r="I955">
        <v>1.9724900000000001E-4</v>
      </c>
      <c r="J955">
        <v>1.7423699999999999E-4</v>
      </c>
      <c r="K955">
        <v>1.6525200000000001E-4</v>
      </c>
      <c r="L955">
        <v>1.5928700000000001E-4</v>
      </c>
      <c r="M955">
        <v>1.0558800000000001E-4</v>
      </c>
      <c r="N955">
        <v>1.7707199999999999E-4</v>
      </c>
      <c r="O955">
        <v>1.6381800000000001E-4</v>
      </c>
      <c r="P955" s="1">
        <v>6.5199999999999999E-5</v>
      </c>
      <c r="Q955" s="1">
        <v>3.2799999999999998E-5</v>
      </c>
      <c r="R955" s="1">
        <v>3.4499999999999998E-5</v>
      </c>
      <c r="S955" s="1">
        <v>3.6100000000000003E-5</v>
      </c>
      <c r="T955" s="1">
        <v>3.8899999999999997E-5</v>
      </c>
    </row>
    <row r="956" spans="1:20" hidden="1" x14ac:dyDescent="0.25">
      <c r="A956" t="s">
        <v>974</v>
      </c>
      <c r="B956">
        <v>1.3179500000000001E-4</v>
      </c>
      <c r="C956">
        <v>3.3429599999999999E-4</v>
      </c>
      <c r="D956">
        <v>3.6078199999999998E-4</v>
      </c>
      <c r="E956">
        <v>4.5235300000000001E-4</v>
      </c>
      <c r="F956">
        <v>2.8933000000000002E-4</v>
      </c>
      <c r="G956">
        <v>2.4732999999999998E-4</v>
      </c>
      <c r="H956">
        <v>1.30362E-4</v>
      </c>
      <c r="I956">
        <v>2.0878800000000001E-4</v>
      </c>
      <c r="J956">
        <v>1.40278E-4</v>
      </c>
      <c r="K956">
        <v>2.8871399999999997E-4</v>
      </c>
      <c r="L956">
        <v>2.6446400000000001E-4</v>
      </c>
      <c r="M956" s="1">
        <v>9.3800000000000003E-5</v>
      </c>
      <c r="N956" s="1">
        <v>8.6000000000000003E-5</v>
      </c>
      <c r="O956">
        <v>1.95954E-4</v>
      </c>
      <c r="P956" s="1">
        <v>6.8499999999999998E-5</v>
      </c>
      <c r="Q956" s="1">
        <v>6.02E-5</v>
      </c>
      <c r="R956" s="1">
        <v>6.2899999999999997E-5</v>
      </c>
      <c r="S956" s="1">
        <v>4.9499999999999997E-5</v>
      </c>
      <c r="T956" s="1">
        <v>6.4300000000000004E-5</v>
      </c>
    </row>
    <row r="957" spans="1:20" hidden="1" x14ac:dyDescent="0.25">
      <c r="A957" t="s">
        <v>975</v>
      </c>
      <c r="B957">
        <v>0</v>
      </c>
      <c r="C957" s="1">
        <v>3.0700000000000001E-5</v>
      </c>
      <c r="D957" s="1">
        <v>2.3499999999999999E-5</v>
      </c>
      <c r="E957" s="1">
        <v>2.41E-5</v>
      </c>
      <c r="F957">
        <v>0</v>
      </c>
      <c r="G957">
        <v>0</v>
      </c>
      <c r="H957">
        <v>0</v>
      </c>
      <c r="I957" s="1">
        <v>1.59E-5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s="1">
        <v>2.4199999999999999E-5</v>
      </c>
      <c r="R957" s="1">
        <v>2.3499999999999999E-5</v>
      </c>
      <c r="S957">
        <v>0</v>
      </c>
      <c r="T957">
        <v>0</v>
      </c>
    </row>
    <row r="958" spans="1:20" hidden="1" x14ac:dyDescent="0.25">
      <c r="A958" t="s">
        <v>976</v>
      </c>
      <c r="B958" s="1">
        <v>3.2199999999999997E-5</v>
      </c>
      <c r="C958" s="1">
        <v>4.8300000000000002E-5</v>
      </c>
      <c r="D958" s="1">
        <v>6.7799999999999995E-5</v>
      </c>
      <c r="E958" s="1">
        <v>3.7799999999999997E-5</v>
      </c>
      <c r="F958" s="1">
        <v>3.4499999999999998E-5</v>
      </c>
      <c r="G958" s="1">
        <v>3.5200000000000002E-5</v>
      </c>
      <c r="H958" s="1">
        <v>2.3E-5</v>
      </c>
      <c r="I958">
        <v>0</v>
      </c>
      <c r="J958">
        <v>0</v>
      </c>
      <c r="K958" s="1">
        <v>2.8399999999999999E-5</v>
      </c>
      <c r="L958" s="1">
        <v>2.34E-5</v>
      </c>
      <c r="M958">
        <v>0</v>
      </c>
      <c r="N958">
        <v>0</v>
      </c>
      <c r="O958" s="1">
        <v>3.3899999999999997E-5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hidden="1" x14ac:dyDescent="0.25">
      <c r="A959" t="s">
        <v>977</v>
      </c>
      <c r="B959" s="1">
        <v>1.52E-5</v>
      </c>
      <c r="C959" s="1">
        <v>1.0699999999999999E-5</v>
      </c>
      <c r="D959" s="1">
        <v>1.2799999999999999E-5</v>
      </c>
      <c r="E959" s="1">
        <v>1.1600000000000001E-5</v>
      </c>
      <c r="F959" s="1">
        <v>1.9199999999999999E-5</v>
      </c>
      <c r="G959" s="1">
        <v>2.9300000000000001E-5</v>
      </c>
      <c r="H959" s="1">
        <v>1.88E-5</v>
      </c>
      <c r="I959" s="1">
        <v>1.9300000000000002E-5</v>
      </c>
      <c r="J959" s="1">
        <v>2.69E-5</v>
      </c>
      <c r="K959" s="1">
        <v>1.5099999999999999E-5</v>
      </c>
      <c r="L959" s="1">
        <v>1.7499999999999998E-5</v>
      </c>
      <c r="M959" s="1">
        <v>1.9599999999999999E-5</v>
      </c>
      <c r="N959" s="1">
        <v>2.41E-5</v>
      </c>
      <c r="O959" s="1">
        <v>2.2399999999999999E-5</v>
      </c>
      <c r="P959" s="1">
        <v>2.4199999999999999E-5</v>
      </c>
      <c r="Q959" s="1">
        <v>2.8E-5</v>
      </c>
      <c r="R959" s="1">
        <v>2.9099999999999999E-5</v>
      </c>
      <c r="S959" s="1">
        <v>3.18E-5</v>
      </c>
      <c r="T959" s="1">
        <v>2.8399999999999999E-5</v>
      </c>
    </row>
    <row r="960" spans="1:20" hidden="1" x14ac:dyDescent="0.25">
      <c r="A960" t="s">
        <v>978</v>
      </c>
      <c r="B960">
        <v>2.0738399999999999E-4</v>
      </c>
      <c r="C960">
        <v>1.53871E-4</v>
      </c>
      <c r="D960">
        <v>1.5197100000000001E-4</v>
      </c>
      <c r="E960">
        <v>1.94809E-4</v>
      </c>
      <c r="F960">
        <v>1.3689999999999999E-4</v>
      </c>
      <c r="G960" s="1">
        <v>8.3599999999999999E-5</v>
      </c>
      <c r="H960">
        <v>1.2253399999999999E-4</v>
      </c>
      <c r="I960">
        <v>1.6691399999999999E-4</v>
      </c>
      <c r="J960">
        <v>1.8944E-4</v>
      </c>
      <c r="K960">
        <v>1.6322600000000001E-4</v>
      </c>
      <c r="L960">
        <v>1.20703E-4</v>
      </c>
      <c r="M960">
        <v>1.1192999999999999E-4</v>
      </c>
      <c r="N960">
        <v>1.4307400000000001E-4</v>
      </c>
      <c r="O960">
        <v>1.6495099999999999E-4</v>
      </c>
      <c r="P960" s="1">
        <v>7.6199999999999995E-5</v>
      </c>
      <c r="Q960" s="1">
        <v>3.0000000000000001E-5</v>
      </c>
      <c r="R960" s="1">
        <v>4.5800000000000002E-5</v>
      </c>
      <c r="S960" s="1">
        <v>2.48E-5</v>
      </c>
      <c r="T960" s="1">
        <v>1.7399999999999999E-5</v>
      </c>
    </row>
    <row r="961" spans="1:20" hidden="1" x14ac:dyDescent="0.25">
      <c r="A961" t="s">
        <v>979</v>
      </c>
      <c r="B961">
        <v>4.8803799999999999E-4</v>
      </c>
      <c r="C961">
        <v>5.2341499999999995E-4</v>
      </c>
      <c r="D961">
        <v>6.2470099999999997E-4</v>
      </c>
      <c r="E961">
        <v>1.1254780000000001E-3</v>
      </c>
      <c r="F961">
        <v>1.301036E-3</v>
      </c>
      <c r="G961">
        <v>4.6693899999999998E-4</v>
      </c>
      <c r="H961">
        <v>6.32064E-4</v>
      </c>
      <c r="I961">
        <v>8.6308399999999996E-4</v>
      </c>
      <c r="J961">
        <v>6.3931399999999998E-4</v>
      </c>
      <c r="K961">
        <v>7.2168099999999995E-4</v>
      </c>
      <c r="L961">
        <v>6.9825499999999995E-4</v>
      </c>
      <c r="M961">
        <v>6.2580299999999997E-4</v>
      </c>
      <c r="N961">
        <v>5.1886499999999997E-4</v>
      </c>
      <c r="O961">
        <v>8.9428299999999995E-4</v>
      </c>
      <c r="P961">
        <v>5.1084899999999996E-4</v>
      </c>
      <c r="Q961">
        <v>5.7987000000000002E-4</v>
      </c>
      <c r="R961">
        <v>6.1452800000000004E-4</v>
      </c>
      <c r="S961">
        <v>7.1649699999999997E-4</v>
      </c>
      <c r="T961">
        <v>6.3247599999999998E-4</v>
      </c>
    </row>
    <row r="962" spans="1:20" hidden="1" x14ac:dyDescent="0.25">
      <c r="A962" t="s">
        <v>980</v>
      </c>
      <c r="B962">
        <v>0</v>
      </c>
      <c r="C962" s="1">
        <v>2.4600000000000002E-5</v>
      </c>
      <c r="D962" s="1">
        <v>2.4499999999999999E-5</v>
      </c>
      <c r="E962" s="1">
        <v>2.7500000000000001E-5</v>
      </c>
      <c r="F962">
        <v>0</v>
      </c>
      <c r="G962">
        <v>0</v>
      </c>
      <c r="H962">
        <v>0</v>
      </c>
      <c r="I962">
        <v>0</v>
      </c>
      <c r="J962">
        <v>0</v>
      </c>
      <c r="K962" s="1">
        <v>1.1399999999999999E-5</v>
      </c>
      <c r="L962" s="1">
        <v>1.6099999999999998E-5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hidden="1" x14ac:dyDescent="0.25">
      <c r="A963" t="s">
        <v>981</v>
      </c>
      <c r="B963" s="1">
        <v>4.6100000000000002E-5</v>
      </c>
      <c r="C963" s="1">
        <v>6.6299999999999999E-5</v>
      </c>
      <c r="D963" s="1">
        <v>5.38E-5</v>
      </c>
      <c r="E963" s="1">
        <v>9.7100000000000002E-5</v>
      </c>
      <c r="F963">
        <v>1.4115800000000001E-4</v>
      </c>
      <c r="G963" s="1">
        <v>7.3100000000000001E-5</v>
      </c>
      <c r="H963" s="1">
        <v>8.4800000000000001E-5</v>
      </c>
      <c r="I963" s="1">
        <v>9.0099999999999995E-5</v>
      </c>
      <c r="J963" s="1">
        <v>8.1799999999999996E-5</v>
      </c>
      <c r="K963" s="1">
        <v>8.7899999999999995E-5</v>
      </c>
      <c r="L963" s="1">
        <v>6.7299999999999996E-5</v>
      </c>
      <c r="M963" s="1">
        <v>6.6699999999999995E-5</v>
      </c>
      <c r="N963" s="1">
        <v>5.1499999999999998E-5</v>
      </c>
      <c r="O963">
        <v>1.15594E-4</v>
      </c>
      <c r="P963" s="1">
        <v>5.2800000000000003E-5</v>
      </c>
      <c r="Q963" s="1">
        <v>5.4200000000000003E-5</v>
      </c>
      <c r="R963" s="1">
        <v>8.8800000000000004E-5</v>
      </c>
      <c r="S963" s="1">
        <v>7.7000000000000001E-5</v>
      </c>
      <c r="T963" s="1">
        <v>5.7399999999999999E-5</v>
      </c>
    </row>
    <row r="964" spans="1:20" hidden="1" x14ac:dyDescent="0.25">
      <c r="A964" t="s">
        <v>982</v>
      </c>
      <c r="B964">
        <v>0</v>
      </c>
      <c r="C964" s="1">
        <v>7.9000000000000006E-6</v>
      </c>
      <c r="D964" s="1">
        <v>4.4599999999999996E-6</v>
      </c>
      <c r="E964" s="1">
        <v>5.6899999999999997E-6</v>
      </c>
      <c r="F964">
        <v>0</v>
      </c>
      <c r="G964">
        <v>0</v>
      </c>
      <c r="H964">
        <v>0</v>
      </c>
      <c r="I964">
        <v>0</v>
      </c>
      <c r="J964">
        <v>0</v>
      </c>
      <c r="K964" s="1">
        <v>4.9300000000000002E-6</v>
      </c>
      <c r="L964" s="1">
        <v>7.0899999999999999E-6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hidden="1" x14ac:dyDescent="0.25">
      <c r="A965" t="s">
        <v>983</v>
      </c>
      <c r="B965">
        <v>1.08892E-4</v>
      </c>
      <c r="C965">
        <v>1.4887200000000001E-4</v>
      </c>
      <c r="D965">
        <v>1.45527E-4</v>
      </c>
      <c r="E965">
        <v>1.63754E-4</v>
      </c>
      <c r="F965">
        <v>1.1244299999999999E-4</v>
      </c>
      <c r="G965" s="1">
        <v>9.9699999999999998E-5</v>
      </c>
      <c r="H965">
        <v>1.05259E-4</v>
      </c>
      <c r="I965">
        <v>1.3437E-4</v>
      </c>
      <c r="J965" s="1">
        <v>9.2100000000000003E-5</v>
      </c>
      <c r="K965">
        <v>1.31197E-4</v>
      </c>
      <c r="L965">
        <v>1.4624500000000001E-4</v>
      </c>
      <c r="M965">
        <v>1.16391E-4</v>
      </c>
      <c r="N965">
        <v>1.5406E-4</v>
      </c>
      <c r="O965">
        <v>1.2897900000000001E-4</v>
      </c>
      <c r="P965">
        <v>1.03855E-4</v>
      </c>
      <c r="Q965">
        <v>1.2484799999999999E-4</v>
      </c>
      <c r="R965">
        <v>1.37992E-4</v>
      </c>
      <c r="S965">
        <v>1.8433300000000001E-4</v>
      </c>
      <c r="T965">
        <v>1.2295200000000001E-4</v>
      </c>
    </row>
    <row r="966" spans="1:20" hidden="1" x14ac:dyDescent="0.25">
      <c r="A966" t="s">
        <v>984</v>
      </c>
      <c r="B966">
        <v>2.0704E-4</v>
      </c>
      <c r="C966">
        <v>3.8165900000000001E-4</v>
      </c>
      <c r="D966">
        <v>4.4915899999999997E-4</v>
      </c>
      <c r="E966">
        <v>4.06513E-4</v>
      </c>
      <c r="F966">
        <v>2.21008E-4</v>
      </c>
      <c r="G966">
        <v>2.409E-4</v>
      </c>
      <c r="H966">
        <v>2.0442999999999999E-4</v>
      </c>
      <c r="I966">
        <v>2.4397000000000001E-4</v>
      </c>
      <c r="J966">
        <v>2.0324399999999999E-4</v>
      </c>
      <c r="K966">
        <v>3.3260800000000002E-4</v>
      </c>
      <c r="L966">
        <v>3.8948200000000002E-4</v>
      </c>
      <c r="M966">
        <v>2.3420599999999999E-4</v>
      </c>
      <c r="N966">
        <v>2.1124199999999999E-4</v>
      </c>
      <c r="O966">
        <v>2.29371E-4</v>
      </c>
      <c r="P966">
        <v>1.24771E-4</v>
      </c>
      <c r="Q966">
        <v>1.6958199999999999E-4</v>
      </c>
      <c r="R966">
        <v>1.7022700000000001E-4</v>
      </c>
      <c r="S966">
        <v>1.46577E-4</v>
      </c>
      <c r="T966">
        <v>1.9100899999999999E-4</v>
      </c>
    </row>
    <row r="967" spans="1:20" hidden="1" x14ac:dyDescent="0.25">
      <c r="A967" t="s">
        <v>985</v>
      </c>
      <c r="B967">
        <v>2.3145500000000001E-4</v>
      </c>
      <c r="C967">
        <v>4.8401999999999999E-4</v>
      </c>
      <c r="D967">
        <v>5.0283599999999999E-4</v>
      </c>
      <c r="E967">
        <v>4.9424899999999999E-4</v>
      </c>
      <c r="F967">
        <v>3.6104399999999998E-4</v>
      </c>
      <c r="G967">
        <v>3.0386299999999997E-4</v>
      </c>
      <c r="H967">
        <v>2.1310099999999999E-4</v>
      </c>
      <c r="I967">
        <v>2.6727100000000002E-4</v>
      </c>
      <c r="J967">
        <v>2.73109E-4</v>
      </c>
      <c r="K967">
        <v>4.2759999999999999E-4</v>
      </c>
      <c r="L967">
        <v>4.2932400000000003E-4</v>
      </c>
      <c r="M967">
        <v>2.7713100000000001E-4</v>
      </c>
      <c r="N967">
        <v>1.8596199999999999E-4</v>
      </c>
      <c r="O967">
        <v>3.1077500000000001E-4</v>
      </c>
      <c r="P967">
        <v>1.6527100000000001E-4</v>
      </c>
      <c r="Q967" s="1">
        <v>8.8800000000000004E-5</v>
      </c>
      <c r="R967">
        <v>1.12787E-4</v>
      </c>
      <c r="S967">
        <v>1.05919E-4</v>
      </c>
      <c r="T967" s="1">
        <v>8.9300000000000002E-5</v>
      </c>
    </row>
    <row r="968" spans="1:20" hidden="1" x14ac:dyDescent="0.25">
      <c r="A968" t="s">
        <v>986</v>
      </c>
      <c r="B968">
        <v>6.5264200000000004E-4</v>
      </c>
      <c r="C968">
        <v>6.5745699999999996E-4</v>
      </c>
      <c r="D968">
        <v>6.78165E-4</v>
      </c>
      <c r="E968">
        <v>7.6474699999999997E-4</v>
      </c>
      <c r="F968">
        <v>5.6879900000000004E-4</v>
      </c>
      <c r="G968">
        <v>4.1692900000000002E-4</v>
      </c>
      <c r="H968">
        <v>4.33922E-4</v>
      </c>
      <c r="I968">
        <v>7.3670300000000001E-4</v>
      </c>
      <c r="J968">
        <v>6.6513200000000003E-4</v>
      </c>
      <c r="K968">
        <v>6.4249700000000001E-4</v>
      </c>
      <c r="L968">
        <v>4.8452800000000002E-4</v>
      </c>
      <c r="M968">
        <v>4.6395099999999999E-4</v>
      </c>
      <c r="N968">
        <v>6.0307999999999998E-4</v>
      </c>
      <c r="O968">
        <v>6.0108799999999995E-4</v>
      </c>
      <c r="P968">
        <v>3.2780199999999998E-4</v>
      </c>
      <c r="Q968">
        <v>2.0965799999999999E-4</v>
      </c>
      <c r="R968">
        <v>2.3173200000000001E-4</v>
      </c>
      <c r="S968">
        <v>2.1649399999999999E-4</v>
      </c>
      <c r="T968">
        <v>1.5379200000000001E-4</v>
      </c>
    </row>
    <row r="969" spans="1:20" hidden="1" x14ac:dyDescent="0.25">
      <c r="A969" t="s">
        <v>987</v>
      </c>
      <c r="B969">
        <v>2.2131609999999999E-3</v>
      </c>
      <c r="C969">
        <v>1.9822500000000001E-3</v>
      </c>
      <c r="D969">
        <v>2.4959919999999998E-3</v>
      </c>
      <c r="E969">
        <v>2.7282410000000002E-3</v>
      </c>
      <c r="F969">
        <v>3.012383E-3</v>
      </c>
      <c r="G969">
        <v>2.9458710000000001E-3</v>
      </c>
      <c r="H969">
        <v>2.2276750000000001E-3</v>
      </c>
      <c r="I969">
        <v>2.0334509999999999E-3</v>
      </c>
      <c r="J969">
        <v>3.168583E-3</v>
      </c>
      <c r="K969">
        <v>2.1107500000000002E-3</v>
      </c>
      <c r="L969">
        <v>2.6143249999999998E-3</v>
      </c>
      <c r="M969">
        <v>3.289471E-3</v>
      </c>
      <c r="N969">
        <v>2.4551070000000002E-3</v>
      </c>
      <c r="O969">
        <v>3.1789069999999999E-3</v>
      </c>
      <c r="P969">
        <v>3.103265E-3</v>
      </c>
      <c r="Q969">
        <v>3.2887820000000001E-3</v>
      </c>
      <c r="R969">
        <v>2.91727E-3</v>
      </c>
      <c r="S969">
        <v>4.1940079999999999E-3</v>
      </c>
      <c r="T969">
        <v>3.5883500000000001E-3</v>
      </c>
    </row>
    <row r="970" spans="1:20" hidden="1" x14ac:dyDescent="0.25">
      <c r="A970" t="s">
        <v>988</v>
      </c>
      <c r="B970">
        <v>2.4878500000000001E-4</v>
      </c>
      <c r="C970">
        <v>2.5935200000000002E-4</v>
      </c>
      <c r="D970">
        <v>2.7883399999999999E-4</v>
      </c>
      <c r="E970">
        <v>3.1086299999999998E-4</v>
      </c>
      <c r="F970">
        <v>5.3595400000000005E-4</v>
      </c>
      <c r="G970">
        <v>4.4458699999999998E-4</v>
      </c>
      <c r="H970">
        <v>2.7533400000000002E-4</v>
      </c>
      <c r="I970">
        <v>3.7196899999999999E-4</v>
      </c>
      <c r="J970">
        <v>4.5858999999999999E-4</v>
      </c>
      <c r="K970">
        <v>3.16738E-4</v>
      </c>
      <c r="L970">
        <v>4.9243699999999997E-4</v>
      </c>
      <c r="M970">
        <v>4.6923199999999998E-4</v>
      </c>
      <c r="N970">
        <v>3.3964800000000001E-4</v>
      </c>
      <c r="O970">
        <v>3.0844100000000001E-4</v>
      </c>
      <c r="P970">
        <v>5.0852700000000005E-4</v>
      </c>
      <c r="Q970">
        <v>6.9657200000000001E-4</v>
      </c>
      <c r="R970">
        <v>4.8042499999999998E-4</v>
      </c>
      <c r="S970">
        <v>6.5914800000000003E-4</v>
      </c>
      <c r="T970">
        <v>5.5099100000000002E-4</v>
      </c>
    </row>
    <row r="971" spans="1:20" hidden="1" x14ac:dyDescent="0.25">
      <c r="A971" t="s">
        <v>989</v>
      </c>
      <c r="B971">
        <v>0</v>
      </c>
      <c r="C971" s="1">
        <v>7.8900000000000007E-6</v>
      </c>
      <c r="D971" s="1">
        <v>9.4800000000000007E-6</v>
      </c>
      <c r="E971" s="1">
        <v>7.5399999999999998E-6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hidden="1" x14ac:dyDescent="0.25">
      <c r="A972" t="s">
        <v>990</v>
      </c>
      <c r="B972">
        <v>1.0625599999999999E-4</v>
      </c>
      <c r="C972" s="1">
        <v>9.2E-5</v>
      </c>
      <c r="D972" s="1">
        <v>8.42E-5</v>
      </c>
      <c r="E972" s="1">
        <v>9.4099999999999997E-5</v>
      </c>
      <c r="F972" s="1">
        <v>7.6699999999999994E-5</v>
      </c>
      <c r="G972" s="1">
        <v>8.1000000000000004E-5</v>
      </c>
      <c r="H972" s="1">
        <v>7.7100000000000004E-5</v>
      </c>
      <c r="I972">
        <v>1.17891E-4</v>
      </c>
      <c r="J972">
        <v>1.07149E-4</v>
      </c>
      <c r="K972" s="1">
        <v>7.64E-5</v>
      </c>
      <c r="L972" s="1">
        <v>8.1100000000000006E-5</v>
      </c>
      <c r="M972" s="1">
        <v>8.8800000000000004E-5</v>
      </c>
      <c r="N972" s="1">
        <v>6.86E-5</v>
      </c>
      <c r="O972" s="1">
        <v>9.3900000000000006E-5</v>
      </c>
      <c r="P972">
        <v>1.03855E-4</v>
      </c>
      <c r="Q972" s="1">
        <v>8.7399999999999997E-5</v>
      </c>
      <c r="R972">
        <v>1.04573E-4</v>
      </c>
      <c r="S972" s="1">
        <v>6.9999999999999994E-5</v>
      </c>
      <c r="T972" s="1">
        <v>6.5900000000000003E-5</v>
      </c>
    </row>
    <row r="973" spans="1:20" hidden="1" x14ac:dyDescent="0.25">
      <c r="A973" t="s">
        <v>991</v>
      </c>
      <c r="B973" s="1">
        <v>5.1700000000000003E-5</v>
      </c>
      <c r="C973" s="1">
        <v>4.1E-5</v>
      </c>
      <c r="D973" s="1">
        <v>4.8900000000000003E-5</v>
      </c>
      <c r="E973" s="1">
        <v>5.13E-5</v>
      </c>
      <c r="F973" s="1">
        <v>3.6600000000000002E-5</v>
      </c>
      <c r="G973" s="1">
        <v>4.1199999999999999E-5</v>
      </c>
      <c r="H973" s="1">
        <v>4.4799999999999998E-5</v>
      </c>
      <c r="I973" s="1">
        <v>3.9700000000000003E-5</v>
      </c>
      <c r="J973" s="1">
        <v>4.5500000000000001E-5</v>
      </c>
      <c r="K973" s="1">
        <v>5.8199999999999998E-5</v>
      </c>
      <c r="L973" s="1">
        <v>4.74E-5</v>
      </c>
      <c r="M973" s="1">
        <v>5.2200000000000002E-5</v>
      </c>
      <c r="N973" s="1">
        <v>4.6E-5</v>
      </c>
      <c r="O973" s="1">
        <v>4.6900000000000002E-5</v>
      </c>
      <c r="P973" s="1">
        <v>4.3699999999999998E-5</v>
      </c>
      <c r="Q973" s="1">
        <v>3.5599999999999998E-5</v>
      </c>
      <c r="R973" s="1">
        <v>4.6999999999999997E-5</v>
      </c>
      <c r="S973" s="1">
        <v>3.4199999999999998E-5</v>
      </c>
      <c r="T973" s="1">
        <v>2.5599999999999999E-5</v>
      </c>
    </row>
    <row r="974" spans="1:20" hidden="1" x14ac:dyDescent="0.25">
      <c r="A974" t="s">
        <v>992</v>
      </c>
      <c r="B974" s="1">
        <v>5.1E-5</v>
      </c>
      <c r="C974" s="1">
        <v>7.3499999999999998E-5</v>
      </c>
      <c r="D974" s="1">
        <v>9.5400000000000001E-5</v>
      </c>
      <c r="E974">
        <v>1.0360400000000001E-4</v>
      </c>
      <c r="F974" s="1">
        <v>9.1199999999999994E-5</v>
      </c>
      <c r="G974" s="1">
        <v>6.2700000000000006E-5</v>
      </c>
      <c r="H974">
        <v>1.07409E-4</v>
      </c>
      <c r="I974" s="1">
        <v>6.86E-5</v>
      </c>
      <c r="J974" s="1">
        <v>5.5099999999999998E-5</v>
      </c>
      <c r="K974" s="1">
        <v>8.3200000000000003E-5</v>
      </c>
      <c r="L974" s="1">
        <v>7.08E-5</v>
      </c>
      <c r="M974" s="1">
        <v>4.3600000000000003E-5</v>
      </c>
      <c r="N974" s="1">
        <v>3.5099999999999999E-5</v>
      </c>
      <c r="O974" s="1">
        <v>4.85E-5</v>
      </c>
      <c r="P974">
        <v>0</v>
      </c>
      <c r="Q974" s="1">
        <v>5.7399999999999999E-5</v>
      </c>
      <c r="R974" s="1">
        <v>3.8000000000000002E-5</v>
      </c>
      <c r="S974" s="1">
        <v>5.5800000000000001E-5</v>
      </c>
      <c r="T974" s="1">
        <v>7.1500000000000003E-5</v>
      </c>
    </row>
    <row r="975" spans="1:20" hidden="1" x14ac:dyDescent="0.25">
      <c r="A975" t="s">
        <v>993</v>
      </c>
      <c r="B975">
        <v>1.291934E-3</v>
      </c>
      <c r="C975">
        <v>1.64588E-3</v>
      </c>
      <c r="D975">
        <v>1.2129109999999999E-3</v>
      </c>
      <c r="E975">
        <v>8.6212799999999998E-4</v>
      </c>
      <c r="F975">
        <v>1.704044E-3</v>
      </c>
      <c r="G975">
        <v>2.0743659999999998E-3</v>
      </c>
      <c r="H975">
        <v>3.4835880000000001E-3</v>
      </c>
      <c r="I975">
        <v>2.1009150000000001E-3</v>
      </c>
      <c r="J975">
        <v>2.2385489999999998E-3</v>
      </c>
      <c r="K975">
        <v>2.1051120000000001E-3</v>
      </c>
      <c r="L975">
        <v>2.935474E-3</v>
      </c>
      <c r="M975">
        <v>1.7007159999999999E-3</v>
      </c>
      <c r="N975">
        <v>2.5350540000000001E-3</v>
      </c>
      <c r="O975">
        <v>2.5244859999999998E-3</v>
      </c>
      <c r="P975">
        <v>1.7039589999999999E-3</v>
      </c>
      <c r="Q975">
        <v>2.4481519999999999E-3</v>
      </c>
      <c r="R975">
        <v>3.5255600000000001E-3</v>
      </c>
      <c r="S975">
        <v>6.6077900000000001E-4</v>
      </c>
      <c r="T975">
        <v>1.9646009999999998E-3</v>
      </c>
    </row>
    <row r="976" spans="1:20" hidden="1" x14ac:dyDescent="0.25">
      <c r="A976" t="s">
        <v>994</v>
      </c>
      <c r="B976" s="1">
        <v>1.7600000000000001E-5</v>
      </c>
      <c r="C976" s="1">
        <v>1.0699999999999999E-5</v>
      </c>
      <c r="D976">
        <v>0</v>
      </c>
      <c r="E976">
        <v>0</v>
      </c>
      <c r="F976" s="1">
        <v>1.8600000000000001E-5</v>
      </c>
      <c r="G976" s="1">
        <v>5.1100000000000002E-5</v>
      </c>
      <c r="H976" s="1">
        <v>7.0099999999999996E-5</v>
      </c>
      <c r="I976" s="1">
        <v>4.3699999999999998E-5</v>
      </c>
      <c r="J976" s="1">
        <v>2.8099999999999999E-5</v>
      </c>
      <c r="K976" s="1">
        <v>2.3200000000000001E-5</v>
      </c>
      <c r="L976" s="1">
        <v>3.54E-5</v>
      </c>
      <c r="M976" s="1">
        <v>2.0599999999999999E-5</v>
      </c>
      <c r="N976" s="1">
        <v>2.2200000000000001E-5</v>
      </c>
      <c r="O976" s="1">
        <v>2.5700000000000001E-5</v>
      </c>
      <c r="P976" s="1">
        <v>3.9400000000000002E-5</v>
      </c>
      <c r="Q976" s="1">
        <v>4.5300000000000003E-5</v>
      </c>
      <c r="R976" s="1">
        <v>3.79E-5</v>
      </c>
      <c r="S976" s="1">
        <v>1.9400000000000001E-5</v>
      </c>
      <c r="T976" s="1">
        <v>5.4700000000000001E-5</v>
      </c>
    </row>
    <row r="977" spans="1:20" hidden="1" x14ac:dyDescent="0.25">
      <c r="A977" t="s">
        <v>995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s="1">
        <v>1.45E-5</v>
      </c>
      <c r="R977" s="1">
        <v>1.2099999999999999E-5</v>
      </c>
      <c r="S977" s="1">
        <v>1.08E-5</v>
      </c>
      <c r="T977" s="1">
        <v>2.5700000000000001E-5</v>
      </c>
    </row>
    <row r="978" spans="1:20" hidden="1" x14ac:dyDescent="0.25">
      <c r="A978" t="s">
        <v>996</v>
      </c>
      <c r="B978" s="1">
        <v>7.7399999999999998E-5</v>
      </c>
      <c r="C978" s="1">
        <v>7.9099999999999998E-5</v>
      </c>
      <c r="D978">
        <v>1.08127E-4</v>
      </c>
      <c r="E978">
        <v>1.0477E-4</v>
      </c>
      <c r="F978" s="1">
        <v>8.8900000000000006E-5</v>
      </c>
      <c r="G978">
        <v>0</v>
      </c>
      <c r="H978" s="1">
        <v>3.4900000000000001E-5</v>
      </c>
      <c r="I978" s="1">
        <v>5.66E-5</v>
      </c>
      <c r="J978">
        <v>0</v>
      </c>
      <c r="K978" s="1">
        <v>8.0400000000000003E-5</v>
      </c>
      <c r="L978" s="1">
        <v>6.86E-5</v>
      </c>
      <c r="M978" s="1">
        <v>4.57E-5</v>
      </c>
      <c r="N978" s="1">
        <v>1.5400000000000002E-5</v>
      </c>
      <c r="O978" s="1">
        <v>4.9799999999999998E-5</v>
      </c>
      <c r="P978" s="1">
        <v>4.18E-5</v>
      </c>
      <c r="Q978" s="1">
        <v>2.3099999999999999E-5</v>
      </c>
      <c r="R978" s="1">
        <v>3.2299999999999999E-5</v>
      </c>
      <c r="S978" s="1">
        <v>4.5300000000000003E-5</v>
      </c>
      <c r="T978">
        <v>0</v>
      </c>
    </row>
    <row r="979" spans="1:20" hidden="1" x14ac:dyDescent="0.25">
      <c r="A979" t="s">
        <v>997</v>
      </c>
      <c r="B979">
        <v>5.4677520000000002E-3</v>
      </c>
      <c r="C979">
        <v>4.3973370000000003E-3</v>
      </c>
      <c r="D979">
        <v>4.8838229999999998E-3</v>
      </c>
      <c r="E979">
        <v>4.7938529999999998E-3</v>
      </c>
      <c r="F979">
        <v>4.53966E-3</v>
      </c>
      <c r="G979">
        <v>3.4953359999999999E-3</v>
      </c>
      <c r="H979">
        <v>3.3757090000000002E-3</v>
      </c>
      <c r="I979">
        <v>4.541471E-3</v>
      </c>
      <c r="J979">
        <v>4.627122E-3</v>
      </c>
      <c r="K979">
        <v>5.6940979999999999E-3</v>
      </c>
      <c r="L979">
        <v>5.4818769999999996E-3</v>
      </c>
      <c r="M979">
        <v>4.5474060000000004E-3</v>
      </c>
      <c r="N979">
        <v>5.5574589999999998E-3</v>
      </c>
      <c r="O979">
        <v>5.1659210000000004E-3</v>
      </c>
      <c r="P979">
        <v>4.3229540000000004E-3</v>
      </c>
      <c r="Q979">
        <v>2.06536E-3</v>
      </c>
      <c r="R979">
        <v>3.1457220000000001E-3</v>
      </c>
      <c r="S979">
        <v>1.9284770000000001E-3</v>
      </c>
      <c r="T979">
        <v>2.1617329999999999E-3</v>
      </c>
    </row>
    <row r="980" spans="1:20" hidden="1" x14ac:dyDescent="0.25">
      <c r="A980" t="s">
        <v>998</v>
      </c>
      <c r="B980">
        <v>1.37381E-3</v>
      </c>
      <c r="C980">
        <v>1.8418800000000001E-4</v>
      </c>
      <c r="D980">
        <v>6.2042800000000002E-4</v>
      </c>
      <c r="E980">
        <v>4.7915799999999998E-4</v>
      </c>
      <c r="F980">
        <v>5.70201E-4</v>
      </c>
      <c r="G980">
        <v>3.7371300000000002E-4</v>
      </c>
      <c r="H980">
        <v>1.071352E-3</v>
      </c>
      <c r="I980">
        <v>5.45178E-4</v>
      </c>
      <c r="J980">
        <v>8.9673200000000002E-4</v>
      </c>
      <c r="K980">
        <v>4.1404799999999998E-4</v>
      </c>
      <c r="L980">
        <v>2.5087900000000002E-4</v>
      </c>
      <c r="M980">
        <v>6.8280900000000004E-4</v>
      </c>
      <c r="N980">
        <v>7.7759400000000005E-4</v>
      </c>
      <c r="O980">
        <v>7.9234599999999998E-4</v>
      </c>
      <c r="P980">
        <v>6.2473200000000002E-4</v>
      </c>
      <c r="Q980">
        <v>7.2348099999999999E-4</v>
      </c>
      <c r="R980">
        <v>6.7701399999999998E-4</v>
      </c>
      <c r="S980">
        <v>4.67367E-4</v>
      </c>
      <c r="T980">
        <v>8.1925300000000004E-4</v>
      </c>
    </row>
    <row r="981" spans="1:20" hidden="1" x14ac:dyDescent="0.25">
      <c r="A981" t="s">
        <v>999</v>
      </c>
      <c r="B981">
        <v>1.1594700000000001E-4</v>
      </c>
      <c r="C981" s="1">
        <v>8.6700000000000007E-5</v>
      </c>
      <c r="D981">
        <v>1.7304500000000001E-4</v>
      </c>
      <c r="E981">
        <v>1.6809400000000001E-4</v>
      </c>
      <c r="F981">
        <v>1.2119499999999999E-4</v>
      </c>
      <c r="G981" s="1">
        <v>9.9599999999999995E-5</v>
      </c>
      <c r="H981">
        <v>1.1753500000000001E-4</v>
      </c>
      <c r="I981">
        <v>1.21326E-4</v>
      </c>
      <c r="J981">
        <v>1.16446E-4</v>
      </c>
      <c r="K981">
        <v>1.2875000000000001E-4</v>
      </c>
      <c r="L981">
        <v>1.01234E-4</v>
      </c>
      <c r="M981">
        <v>1.16221E-4</v>
      </c>
      <c r="N981">
        <v>1.40853E-4</v>
      </c>
      <c r="O981">
        <v>1.3031699999999999E-4</v>
      </c>
      <c r="P981">
        <v>1.05504E-4</v>
      </c>
      <c r="Q981" s="1">
        <v>8.4499999999999994E-5</v>
      </c>
      <c r="R981" s="1">
        <v>6.7199999999999994E-5</v>
      </c>
      <c r="S981">
        <v>1.21653E-4</v>
      </c>
      <c r="T981" s="1">
        <v>9.3499999999999996E-5</v>
      </c>
    </row>
    <row r="982" spans="1:20" hidden="1" x14ac:dyDescent="0.25">
      <c r="A982" t="s">
        <v>1000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1">
        <v>1.73E-5</v>
      </c>
      <c r="Q982" s="1">
        <v>2.5000000000000001E-5</v>
      </c>
      <c r="R982" s="1">
        <v>3.0199999999999999E-5</v>
      </c>
      <c r="S982" s="1">
        <v>1.5999999999999999E-5</v>
      </c>
      <c r="T982" s="1">
        <v>3.9900000000000001E-5</v>
      </c>
    </row>
    <row r="983" spans="1:20" hidden="1" x14ac:dyDescent="0.25">
      <c r="A983" t="s">
        <v>1001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1.4530500000000001E-4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1.3903E-4</v>
      </c>
      <c r="R983">
        <v>1.07804E-4</v>
      </c>
      <c r="S983">
        <v>2.6878500000000001E-4</v>
      </c>
      <c r="T983" s="1">
        <v>9.6600000000000003E-5</v>
      </c>
    </row>
    <row r="984" spans="1:20" hidden="1" x14ac:dyDescent="0.25">
      <c r="A984" t="s">
        <v>1002</v>
      </c>
      <c r="B984" s="1">
        <v>2.0100000000000001E-5</v>
      </c>
      <c r="C984" s="1">
        <v>2.0400000000000001E-5</v>
      </c>
      <c r="D984">
        <v>0</v>
      </c>
      <c r="E984" s="1">
        <v>1.6699999999999999E-5</v>
      </c>
      <c r="F984" s="1">
        <v>2.9200000000000002E-5</v>
      </c>
      <c r="G984" s="1">
        <v>2.5400000000000001E-5</v>
      </c>
      <c r="H984">
        <v>0</v>
      </c>
      <c r="I984" s="1">
        <v>2.8500000000000002E-5</v>
      </c>
      <c r="J984" s="1">
        <v>2.5000000000000001E-5</v>
      </c>
      <c r="K984">
        <v>0</v>
      </c>
      <c r="L984">
        <v>0</v>
      </c>
      <c r="M984">
        <v>0</v>
      </c>
      <c r="N984">
        <v>0</v>
      </c>
      <c r="O984" s="1">
        <v>2.7699999999999999E-5</v>
      </c>
      <c r="P984" s="1">
        <v>2.26E-5</v>
      </c>
      <c r="Q984" s="1">
        <v>2.69E-5</v>
      </c>
      <c r="R984">
        <v>0</v>
      </c>
      <c r="S984">
        <v>0</v>
      </c>
      <c r="T984" s="1">
        <v>2.48E-5</v>
      </c>
    </row>
    <row r="985" spans="1:20" hidden="1" x14ac:dyDescent="0.25">
      <c r="A985" t="s">
        <v>1003</v>
      </c>
      <c r="B985" s="1">
        <v>7.86E-5</v>
      </c>
      <c r="C985" s="1">
        <v>7.2200000000000007E-5</v>
      </c>
      <c r="D985" s="1">
        <v>4.6999999999999997E-5</v>
      </c>
      <c r="E985">
        <v>0</v>
      </c>
      <c r="F985">
        <v>1.6355100000000001E-4</v>
      </c>
      <c r="G985">
        <v>3.4549299999999999E-4</v>
      </c>
      <c r="H985">
        <v>1.7947500000000001E-4</v>
      </c>
      <c r="I985">
        <v>1.3095700000000001E-4</v>
      </c>
      <c r="J985">
        <v>1.2974500000000001E-4</v>
      </c>
      <c r="K985">
        <v>1.6269400000000001E-4</v>
      </c>
      <c r="L985">
        <v>1.5089899999999999E-4</v>
      </c>
      <c r="M985" s="1">
        <v>8.3999999999999995E-5</v>
      </c>
      <c r="N985">
        <v>1.05552E-4</v>
      </c>
      <c r="O985">
        <v>0</v>
      </c>
      <c r="P985">
        <v>2.2807799999999999E-4</v>
      </c>
      <c r="Q985">
        <v>3.9201699999999998E-4</v>
      </c>
      <c r="R985">
        <v>3.6388499999999999E-4</v>
      </c>
      <c r="S985">
        <v>8.65517E-4</v>
      </c>
      <c r="T985">
        <v>5.0270700000000002E-4</v>
      </c>
    </row>
    <row r="986" spans="1:20" hidden="1" x14ac:dyDescent="0.25">
      <c r="A986" t="s">
        <v>1004</v>
      </c>
      <c r="B986" s="1">
        <v>6.69E-5</v>
      </c>
      <c r="C986">
        <v>0</v>
      </c>
      <c r="D986">
        <v>0</v>
      </c>
      <c r="E986" s="1">
        <v>3.1000000000000001E-5</v>
      </c>
      <c r="F986">
        <v>0</v>
      </c>
      <c r="G986" s="1">
        <v>5.4799999999999997E-5</v>
      </c>
      <c r="H986" s="1">
        <v>5.5500000000000001E-5</v>
      </c>
      <c r="I986">
        <v>0</v>
      </c>
      <c r="J986">
        <v>0</v>
      </c>
      <c r="K986">
        <v>1.2115700000000001E-4</v>
      </c>
      <c r="L986">
        <v>0</v>
      </c>
      <c r="M986" s="1">
        <v>4.0800000000000002E-5</v>
      </c>
      <c r="N986">
        <v>0</v>
      </c>
      <c r="O986" s="1">
        <v>3.0000000000000001E-5</v>
      </c>
      <c r="P986" s="1">
        <v>5.3199999999999999E-5</v>
      </c>
      <c r="Q986">
        <v>1.26916E-4</v>
      </c>
      <c r="R986" s="1">
        <v>3.5899999999999998E-5</v>
      </c>
      <c r="S986" s="1">
        <v>4.6199999999999998E-5</v>
      </c>
      <c r="T986">
        <v>5.2634000000000003E-4</v>
      </c>
    </row>
    <row r="987" spans="1:20" hidden="1" x14ac:dyDescent="0.25">
      <c r="A987" t="s">
        <v>1005</v>
      </c>
      <c r="B987" s="1">
        <v>2.1299999999999999E-5</v>
      </c>
      <c r="C987" s="1">
        <v>1.5400000000000002E-5</v>
      </c>
      <c r="D987" s="1">
        <v>2.9099999999999999E-5</v>
      </c>
      <c r="E987">
        <v>0</v>
      </c>
      <c r="F987" s="1">
        <v>1.43E-5</v>
      </c>
      <c r="G987" s="1">
        <v>1.5299999999999999E-5</v>
      </c>
      <c r="H987" s="1">
        <v>1.9199999999999999E-5</v>
      </c>
      <c r="I987" s="1">
        <v>9.0000000000000002E-6</v>
      </c>
      <c r="J987" s="1">
        <v>1.6799999999999998E-5</v>
      </c>
      <c r="K987">
        <v>0</v>
      </c>
      <c r="L987" s="1">
        <v>1.2099999999999999E-5</v>
      </c>
      <c r="M987" s="1">
        <v>1.8E-5</v>
      </c>
      <c r="N987" s="1">
        <v>2.23E-5</v>
      </c>
      <c r="O987" s="1">
        <v>6.7700000000000004E-6</v>
      </c>
      <c r="P987" s="1">
        <v>2.5599999999999999E-5</v>
      </c>
      <c r="Q987" s="1">
        <v>6.5500000000000006E-5</v>
      </c>
      <c r="R987" s="1">
        <v>3.5299999999999997E-5</v>
      </c>
      <c r="S987" s="1">
        <v>1.98E-5</v>
      </c>
      <c r="T987" s="1">
        <v>6.2700000000000006E-5</v>
      </c>
    </row>
    <row r="988" spans="1:20" hidden="1" x14ac:dyDescent="0.25">
      <c r="A988" t="s">
        <v>1006</v>
      </c>
      <c r="B988" s="1">
        <v>1.7900000000000001E-5</v>
      </c>
      <c r="C988" s="1">
        <v>1.9400000000000001E-5</v>
      </c>
      <c r="D988" s="1">
        <v>2.02E-5</v>
      </c>
      <c r="E988" s="1">
        <v>1.8E-5</v>
      </c>
      <c r="F988" s="1">
        <v>3.1999999999999999E-5</v>
      </c>
      <c r="G988" s="1">
        <v>1.8E-5</v>
      </c>
      <c r="H988" s="1">
        <v>1.15E-5</v>
      </c>
      <c r="I988" s="1">
        <v>1.17E-5</v>
      </c>
      <c r="J988" s="1">
        <v>1.7900000000000001E-5</v>
      </c>
      <c r="K988" s="1">
        <v>3.2499999999999997E-5</v>
      </c>
      <c r="L988" s="1">
        <v>1.49E-5</v>
      </c>
      <c r="M988" s="1">
        <v>8.7700000000000007E-6</v>
      </c>
      <c r="N988" s="1">
        <v>9.3000000000000007E-6</v>
      </c>
      <c r="O988" s="1">
        <v>2.3499999999999999E-5</v>
      </c>
      <c r="P988" s="1">
        <v>1.22E-5</v>
      </c>
      <c r="Q988">
        <v>0</v>
      </c>
      <c r="R988" s="1">
        <v>8.1999999999999994E-6</v>
      </c>
      <c r="S988">
        <v>0</v>
      </c>
      <c r="T988">
        <v>0</v>
      </c>
    </row>
    <row r="989" spans="1:20" hidden="1" x14ac:dyDescent="0.25">
      <c r="A989" t="s">
        <v>1007</v>
      </c>
      <c r="B989" s="1">
        <v>6.3E-5</v>
      </c>
      <c r="C989" s="1">
        <v>9.6199999999999994E-5</v>
      </c>
      <c r="D989">
        <v>1.1953199999999999E-4</v>
      </c>
      <c r="E989">
        <v>1.04685E-4</v>
      </c>
      <c r="F989" s="1">
        <v>4.71E-5</v>
      </c>
      <c r="G989" s="1">
        <v>6.1199999999999997E-5</v>
      </c>
      <c r="H989" s="1">
        <v>7.8700000000000002E-5</v>
      </c>
      <c r="I989" s="1">
        <v>7.9499999999999994E-5</v>
      </c>
      <c r="J989" s="1">
        <v>8.3700000000000002E-5</v>
      </c>
      <c r="K989" s="1">
        <v>8.3900000000000006E-5</v>
      </c>
      <c r="L989">
        <v>1.05998E-4</v>
      </c>
      <c r="M989" s="1">
        <v>3.9700000000000003E-5</v>
      </c>
      <c r="N989" s="1">
        <v>3.68E-5</v>
      </c>
      <c r="O989" s="1">
        <v>5.0800000000000002E-5</v>
      </c>
      <c r="P989" s="1">
        <v>6.9599999999999998E-5</v>
      </c>
      <c r="Q989" s="1">
        <v>8.0199999999999998E-5</v>
      </c>
      <c r="R989" s="1">
        <v>3.15E-5</v>
      </c>
      <c r="S989" s="1">
        <v>2.4600000000000002E-5</v>
      </c>
      <c r="T989">
        <v>1.0076E-4</v>
      </c>
    </row>
    <row r="990" spans="1:20" hidden="1" x14ac:dyDescent="0.25">
      <c r="A990" t="s">
        <v>1008</v>
      </c>
      <c r="B990" s="1">
        <v>1.22E-5</v>
      </c>
      <c r="C990" s="1">
        <v>1.1199999999999999E-5</v>
      </c>
      <c r="D990" s="1">
        <v>8.7199999999999995E-6</v>
      </c>
      <c r="E990" s="1">
        <v>1.0699999999999999E-5</v>
      </c>
      <c r="F990" s="1">
        <v>1.3699999999999999E-5</v>
      </c>
      <c r="G990" s="1">
        <v>1.03E-5</v>
      </c>
      <c r="H990" s="1">
        <v>1.1800000000000001E-5</v>
      </c>
      <c r="I990">
        <v>0</v>
      </c>
      <c r="J990">
        <v>0</v>
      </c>
      <c r="K990" s="1">
        <v>9.5999999999999996E-6</v>
      </c>
      <c r="L990" s="1">
        <v>6.7800000000000003E-6</v>
      </c>
      <c r="M990">
        <v>0</v>
      </c>
      <c r="N990">
        <v>0</v>
      </c>
      <c r="O990" s="1">
        <v>4.6500000000000004E-6</v>
      </c>
      <c r="P990">
        <v>0</v>
      </c>
      <c r="Q990" s="1">
        <v>1.04E-5</v>
      </c>
      <c r="R990" s="1">
        <v>1.0499999999999999E-5</v>
      </c>
      <c r="S990">
        <v>0</v>
      </c>
      <c r="T990" s="1">
        <v>1.0900000000000001E-5</v>
      </c>
    </row>
    <row r="991" spans="1:20" hidden="1" x14ac:dyDescent="0.25">
      <c r="A991" t="s">
        <v>1009</v>
      </c>
      <c r="B991">
        <v>1.30302E-4</v>
      </c>
      <c r="C991" s="1">
        <v>4.9200000000000003E-5</v>
      </c>
      <c r="D991" s="1">
        <v>5.5800000000000001E-5</v>
      </c>
      <c r="E991">
        <v>1.04435E-4</v>
      </c>
      <c r="F991">
        <v>0</v>
      </c>
      <c r="G991">
        <v>0</v>
      </c>
      <c r="H991" s="1">
        <v>6.3499999999999999E-5</v>
      </c>
      <c r="I991">
        <v>0</v>
      </c>
      <c r="J991" s="1">
        <v>5.5300000000000002E-5</v>
      </c>
      <c r="K991" s="1">
        <v>4.7599999999999998E-5</v>
      </c>
      <c r="L991">
        <v>0</v>
      </c>
      <c r="M991">
        <v>1.0802399999999999E-4</v>
      </c>
      <c r="N991">
        <v>0</v>
      </c>
      <c r="O991" s="1">
        <v>4.0800000000000002E-5</v>
      </c>
      <c r="P991" s="1">
        <v>9.2E-5</v>
      </c>
      <c r="Q991">
        <v>2.2947399999999999E-4</v>
      </c>
      <c r="R991">
        <v>1.7038399999999999E-4</v>
      </c>
      <c r="S991">
        <v>1.90991E-4</v>
      </c>
      <c r="T991">
        <v>3.1885099999999999E-4</v>
      </c>
    </row>
    <row r="992" spans="1:20" hidden="1" x14ac:dyDescent="0.25">
      <c r="A992" t="s">
        <v>1010</v>
      </c>
      <c r="B992">
        <v>0</v>
      </c>
      <c r="C992">
        <v>0</v>
      </c>
      <c r="D992">
        <v>0</v>
      </c>
      <c r="E992">
        <v>0</v>
      </c>
      <c r="F992">
        <v>0</v>
      </c>
      <c r="G992" s="1">
        <v>6.0399999999999998E-5</v>
      </c>
      <c r="H992">
        <v>0</v>
      </c>
      <c r="I992">
        <v>0</v>
      </c>
      <c r="J992">
        <v>0</v>
      </c>
      <c r="K992" s="1">
        <v>2.0299999999999999E-5</v>
      </c>
      <c r="L992">
        <v>0</v>
      </c>
      <c r="M992">
        <v>0</v>
      </c>
      <c r="N992">
        <v>0</v>
      </c>
      <c r="O992">
        <v>0</v>
      </c>
      <c r="P992">
        <v>0</v>
      </c>
      <c r="Q992" s="1">
        <v>4.6400000000000003E-5</v>
      </c>
      <c r="R992" s="1">
        <v>3.3000000000000003E-5</v>
      </c>
      <c r="S992">
        <v>1.0006899999999999E-4</v>
      </c>
      <c r="T992" s="1">
        <v>7.1000000000000005E-5</v>
      </c>
    </row>
    <row r="993" spans="1:20" hidden="1" x14ac:dyDescent="0.25">
      <c r="A993" t="s">
        <v>1011</v>
      </c>
      <c r="B993">
        <v>0</v>
      </c>
      <c r="C993" s="1">
        <v>1.0699999999999999E-5</v>
      </c>
      <c r="D993" s="1">
        <v>6.9199999999999998E-6</v>
      </c>
      <c r="E993" s="1">
        <v>5.93E-6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s="1">
        <v>3.1E-6</v>
      </c>
      <c r="P993">
        <v>0</v>
      </c>
      <c r="Q993" s="1">
        <v>2.4600000000000002E-5</v>
      </c>
      <c r="R993" s="1">
        <v>2.5199999999999999E-5</v>
      </c>
      <c r="S993" s="1">
        <v>1.4399999999999999E-5</v>
      </c>
      <c r="T993" s="1">
        <v>1.36E-5</v>
      </c>
    </row>
    <row r="994" spans="1:20" hidden="1" x14ac:dyDescent="0.25">
      <c r="A994" t="s">
        <v>1012</v>
      </c>
      <c r="B994">
        <v>1.40209E-4</v>
      </c>
      <c r="C994">
        <v>1.5448400000000001E-4</v>
      </c>
      <c r="D994">
        <v>1.0091599999999999E-4</v>
      </c>
      <c r="E994" s="1">
        <v>6.05E-5</v>
      </c>
      <c r="F994">
        <v>2.2463100000000001E-4</v>
      </c>
      <c r="G994">
        <v>3.90224E-4</v>
      </c>
      <c r="H994">
        <v>6.8687299999999995E-4</v>
      </c>
      <c r="I994">
        <v>3.6885500000000002E-4</v>
      </c>
      <c r="J994">
        <v>3.1261700000000001E-4</v>
      </c>
      <c r="K994">
        <v>2.4772299999999999E-4</v>
      </c>
      <c r="L994">
        <v>3.6347499999999999E-4</v>
      </c>
      <c r="M994">
        <v>4.7263699999999998E-4</v>
      </c>
      <c r="N994">
        <v>3.1181500000000001E-4</v>
      </c>
      <c r="O994">
        <v>3.2293699999999997E-4</v>
      </c>
      <c r="P994">
        <v>3.1975100000000001E-4</v>
      </c>
      <c r="Q994">
        <v>3.02773E-4</v>
      </c>
      <c r="R994">
        <v>2.8522299999999998E-4</v>
      </c>
      <c r="S994" s="1">
        <v>2.27E-5</v>
      </c>
      <c r="T994">
        <v>2.7268099999999999E-4</v>
      </c>
    </row>
    <row r="995" spans="1:20" hidden="1" x14ac:dyDescent="0.25">
      <c r="A995" t="s">
        <v>1013</v>
      </c>
      <c r="B995">
        <v>0</v>
      </c>
      <c r="C995">
        <v>0</v>
      </c>
      <c r="D995">
        <v>0</v>
      </c>
      <c r="E995">
        <v>0</v>
      </c>
      <c r="F995">
        <v>0</v>
      </c>
      <c r="G995" s="1">
        <v>3.7100000000000001E-5</v>
      </c>
      <c r="H995" s="1">
        <v>1.17E-5</v>
      </c>
      <c r="I995">
        <v>0</v>
      </c>
      <c r="J995">
        <v>0</v>
      </c>
      <c r="K995">
        <v>0</v>
      </c>
      <c r="L995" s="1">
        <v>1.49E-5</v>
      </c>
      <c r="M995">
        <v>0</v>
      </c>
      <c r="N995">
        <v>0</v>
      </c>
      <c r="O995" s="1">
        <v>7.0999999999999998E-6</v>
      </c>
      <c r="P995" s="1">
        <v>2.12E-5</v>
      </c>
      <c r="Q995" s="1">
        <v>7.9200000000000001E-5</v>
      </c>
      <c r="R995" s="1">
        <v>2.2200000000000001E-5</v>
      </c>
      <c r="S995" s="1">
        <v>2.7500000000000001E-5</v>
      </c>
      <c r="T995" s="1">
        <v>5.1199999999999998E-5</v>
      </c>
    </row>
    <row r="996" spans="1:20" hidden="1" x14ac:dyDescent="0.25">
      <c r="A996" t="s">
        <v>1014</v>
      </c>
      <c r="B996" s="1">
        <v>9.8599999999999998E-5</v>
      </c>
      <c r="C996" s="1">
        <v>5.8699999999999997E-5</v>
      </c>
      <c r="D996">
        <v>1.02097E-4</v>
      </c>
      <c r="E996">
        <v>1.0393E-4</v>
      </c>
      <c r="F996">
        <v>1.21542E-4</v>
      </c>
      <c r="G996" s="1">
        <v>8.9099999999999997E-5</v>
      </c>
      <c r="H996" s="1">
        <v>8.42E-5</v>
      </c>
      <c r="I996">
        <v>1.09393E-4</v>
      </c>
      <c r="J996">
        <v>1.03152E-4</v>
      </c>
      <c r="K996">
        <v>1.4039E-4</v>
      </c>
      <c r="L996" s="1">
        <v>7.8399999999999995E-5</v>
      </c>
      <c r="M996" s="1">
        <v>7.6600000000000005E-5</v>
      </c>
      <c r="N996" s="1">
        <v>6.6600000000000006E-5</v>
      </c>
      <c r="O996">
        <v>1.2529199999999999E-4</v>
      </c>
      <c r="P996">
        <v>1.0842E-4</v>
      </c>
      <c r="Q996">
        <v>1.02749E-4</v>
      </c>
      <c r="R996">
        <v>2.1839299999999999E-4</v>
      </c>
      <c r="S996">
        <v>1.1655299999999999E-4</v>
      </c>
      <c r="T996">
        <v>1.1927899999999999E-4</v>
      </c>
    </row>
    <row r="997" spans="1:20" hidden="1" x14ac:dyDescent="0.25">
      <c r="A997" t="s">
        <v>1015</v>
      </c>
      <c r="B997" s="1">
        <v>9.5899999999999997E-6</v>
      </c>
      <c r="C997">
        <v>0</v>
      </c>
      <c r="D997" s="1">
        <v>1.4E-5</v>
      </c>
      <c r="E997" s="1">
        <v>1.04E-5</v>
      </c>
      <c r="F997">
        <v>0</v>
      </c>
      <c r="G997">
        <v>0</v>
      </c>
      <c r="H997">
        <v>0</v>
      </c>
      <c r="I997">
        <v>0</v>
      </c>
      <c r="J997" s="1">
        <v>1.01E-5</v>
      </c>
      <c r="K997" s="1">
        <v>5.4999999999999999E-6</v>
      </c>
      <c r="L997">
        <v>0</v>
      </c>
      <c r="M997" s="1">
        <v>1.66E-5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hidden="1" x14ac:dyDescent="0.25">
      <c r="A998" t="s">
        <v>1016</v>
      </c>
      <c r="B998" s="1">
        <v>3.65E-5</v>
      </c>
      <c r="C998" s="1">
        <v>4.8099999999999997E-5</v>
      </c>
      <c r="D998" s="1">
        <v>4.1999999999999998E-5</v>
      </c>
      <c r="E998" s="1">
        <v>3.8099999999999998E-5</v>
      </c>
      <c r="F998" s="1">
        <v>4.1699999999999997E-5</v>
      </c>
      <c r="G998" s="1">
        <v>4.71E-5</v>
      </c>
      <c r="H998" s="1">
        <v>3.6699999999999998E-5</v>
      </c>
      <c r="I998" s="1">
        <v>2.5700000000000001E-5</v>
      </c>
      <c r="J998" s="1">
        <v>3.1999999999999999E-5</v>
      </c>
      <c r="K998" s="1">
        <v>3.3300000000000003E-5</v>
      </c>
      <c r="L998" s="1">
        <v>2.37E-5</v>
      </c>
      <c r="M998" s="1">
        <v>4.1600000000000002E-5</v>
      </c>
      <c r="N998" s="1">
        <v>2.8799999999999999E-5</v>
      </c>
      <c r="O998" s="1">
        <v>2.0699999999999998E-5</v>
      </c>
      <c r="P998" s="1">
        <v>4.0800000000000002E-5</v>
      </c>
      <c r="Q998" s="1">
        <v>4.2799999999999997E-5</v>
      </c>
      <c r="R998" s="1">
        <v>3.6399999999999997E-5</v>
      </c>
      <c r="S998" s="1">
        <v>4.4100000000000001E-5</v>
      </c>
      <c r="T998" s="1">
        <v>3.7599999999999999E-5</v>
      </c>
    </row>
    <row r="999" spans="1:20" hidden="1" x14ac:dyDescent="0.25">
      <c r="A999" t="s">
        <v>1017</v>
      </c>
      <c r="B999" s="1">
        <v>3.96E-5</v>
      </c>
      <c r="C999">
        <v>0</v>
      </c>
      <c r="D999">
        <v>0</v>
      </c>
      <c r="E999">
        <v>0</v>
      </c>
      <c r="F999" s="1">
        <v>3.65E-5</v>
      </c>
      <c r="G999">
        <v>0</v>
      </c>
      <c r="H999">
        <v>0</v>
      </c>
      <c r="I999">
        <v>0</v>
      </c>
      <c r="J999">
        <v>0</v>
      </c>
      <c r="K999">
        <v>0</v>
      </c>
      <c r="L999" s="1">
        <v>2.4600000000000002E-5</v>
      </c>
      <c r="M999" s="1">
        <v>3.3200000000000001E-5</v>
      </c>
      <c r="N999" s="1">
        <v>4.1300000000000001E-5</v>
      </c>
      <c r="O999" s="1">
        <v>3.9700000000000003E-5</v>
      </c>
      <c r="P999" s="1">
        <v>7.1500000000000003E-5</v>
      </c>
      <c r="Q999">
        <v>1.2387800000000001E-4</v>
      </c>
      <c r="R999">
        <v>1.01146E-4</v>
      </c>
      <c r="S999" s="1">
        <v>7.4400000000000006E-5</v>
      </c>
      <c r="T999">
        <v>1.2968300000000001E-4</v>
      </c>
    </row>
    <row r="1000" spans="1:20" hidden="1" x14ac:dyDescent="0.25">
      <c r="A1000" t="s">
        <v>1018</v>
      </c>
      <c r="B1000">
        <v>1.27198E-4</v>
      </c>
      <c r="C1000">
        <v>1.3210500000000001E-4</v>
      </c>
      <c r="D1000">
        <v>1.4779499999999999E-4</v>
      </c>
      <c r="E1000">
        <v>1.3738199999999999E-4</v>
      </c>
      <c r="F1000">
        <v>1.9666799999999999E-4</v>
      </c>
      <c r="G1000" s="1">
        <v>9.3599999999999998E-5</v>
      </c>
      <c r="H1000">
        <v>1.27038E-4</v>
      </c>
      <c r="I1000">
        <v>1.1539700000000001E-4</v>
      </c>
      <c r="J1000">
        <v>1.0181199999999999E-4</v>
      </c>
      <c r="K1000">
        <v>1.1268300000000001E-4</v>
      </c>
      <c r="L1000">
        <v>1.27842E-4</v>
      </c>
      <c r="M1000">
        <v>1.28391E-4</v>
      </c>
      <c r="N1000" s="1">
        <v>8.9800000000000001E-5</v>
      </c>
      <c r="O1000">
        <v>1.0144799999999999E-4</v>
      </c>
      <c r="P1000">
        <v>1.03007E-4</v>
      </c>
      <c r="Q1000" s="1">
        <v>9.3900000000000006E-5</v>
      </c>
      <c r="R1000">
        <v>1.2844000000000001E-4</v>
      </c>
      <c r="S1000">
        <v>1.30829E-4</v>
      </c>
      <c r="T1000">
        <v>1.37491E-4</v>
      </c>
    </row>
    <row r="1001" spans="1:20" hidden="1" x14ac:dyDescent="0.25">
      <c r="A1001" t="s">
        <v>1019</v>
      </c>
      <c r="B1001" s="1">
        <v>9.8300000000000008E-6</v>
      </c>
      <c r="C1001">
        <v>0</v>
      </c>
      <c r="D1001">
        <v>0</v>
      </c>
      <c r="E1001">
        <v>0</v>
      </c>
      <c r="F1001">
        <v>0</v>
      </c>
      <c r="G1001" s="1">
        <v>9.1800000000000002E-6</v>
      </c>
      <c r="H1001">
        <v>0</v>
      </c>
      <c r="I1001">
        <v>0</v>
      </c>
      <c r="J1001" s="1">
        <v>9.7799999999999995E-6</v>
      </c>
      <c r="K1001" s="1">
        <v>3.2199999999999997E-5</v>
      </c>
      <c r="L1001">
        <v>0</v>
      </c>
      <c r="M1001" s="1">
        <v>9.1500000000000005E-6</v>
      </c>
      <c r="N1001">
        <v>0</v>
      </c>
      <c r="O1001">
        <v>0</v>
      </c>
      <c r="P1001" s="1">
        <v>5.6900000000000001E-5</v>
      </c>
      <c r="Q1001" s="1">
        <v>5.1E-5</v>
      </c>
      <c r="R1001" s="1">
        <v>1.19E-5</v>
      </c>
      <c r="S1001" s="1">
        <v>2.4600000000000002E-5</v>
      </c>
      <c r="T1001" s="1">
        <v>8.7000000000000001E-5</v>
      </c>
    </row>
    <row r="1002" spans="1:20" hidden="1" x14ac:dyDescent="0.25">
      <c r="A1002" t="s">
        <v>1020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1">
        <v>2.6900000000000001E-6</v>
      </c>
      <c r="Q1002" s="1">
        <v>2.3199999999999998E-6</v>
      </c>
      <c r="R1002">
        <v>0</v>
      </c>
      <c r="S1002" s="1">
        <v>1.17E-5</v>
      </c>
      <c r="T1002" s="1">
        <v>3.7500000000000001E-6</v>
      </c>
    </row>
    <row r="1003" spans="1:20" hidden="1" x14ac:dyDescent="0.25">
      <c r="A1003" t="s">
        <v>1021</v>
      </c>
      <c r="B1003">
        <v>0</v>
      </c>
      <c r="C1003" s="1">
        <v>1.22E-5</v>
      </c>
      <c r="D1003" s="1">
        <v>1.0499999999999999E-5</v>
      </c>
      <c r="E1003" s="1">
        <v>1.3699999999999999E-5</v>
      </c>
      <c r="F1003">
        <v>0</v>
      </c>
      <c r="G1003">
        <v>0</v>
      </c>
      <c r="H1003" s="1">
        <v>4.5000000000000001E-6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hidden="1" x14ac:dyDescent="0.25">
      <c r="A1004" t="s">
        <v>1022</v>
      </c>
      <c r="B1004">
        <v>5.5928800000000002E-4</v>
      </c>
      <c r="C1004">
        <v>4.8983100000000003E-4</v>
      </c>
      <c r="D1004">
        <v>3.6925100000000002E-4</v>
      </c>
      <c r="E1004">
        <v>3.3043500000000002E-4</v>
      </c>
      <c r="F1004">
        <v>7.6867199999999998E-4</v>
      </c>
      <c r="G1004">
        <v>6.8340299999999996E-4</v>
      </c>
      <c r="H1004">
        <v>6.0756500000000001E-4</v>
      </c>
      <c r="I1004">
        <v>7.2150100000000004E-4</v>
      </c>
      <c r="J1004">
        <v>7.5489700000000003E-4</v>
      </c>
      <c r="K1004">
        <v>4.7193300000000001E-4</v>
      </c>
      <c r="L1004">
        <v>5.4203400000000005E-4</v>
      </c>
      <c r="M1004">
        <v>6.8398799999999996E-4</v>
      </c>
      <c r="N1004">
        <v>7.70898E-4</v>
      </c>
      <c r="O1004">
        <v>5.6957899999999996E-4</v>
      </c>
      <c r="P1004">
        <v>1.041145E-3</v>
      </c>
      <c r="Q1004">
        <v>1.456857E-3</v>
      </c>
      <c r="R1004">
        <v>1.32968E-3</v>
      </c>
      <c r="S1004">
        <v>1.933139E-3</v>
      </c>
      <c r="T1004">
        <v>1.947308E-3</v>
      </c>
    </row>
    <row r="1005" spans="1:20" hidden="1" x14ac:dyDescent="0.25">
      <c r="A1005" t="s">
        <v>1023</v>
      </c>
      <c r="B1005" s="1">
        <v>2.09E-5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s="1">
        <v>4.6400000000000003E-5</v>
      </c>
      <c r="O1005" s="1">
        <v>3.2400000000000001E-5</v>
      </c>
      <c r="P1005" s="1">
        <v>3.8999999999999999E-5</v>
      </c>
      <c r="Q1005" s="1">
        <v>3.8099999999999998E-5</v>
      </c>
      <c r="R1005" s="1">
        <v>3.93E-5</v>
      </c>
      <c r="S1005" s="1">
        <v>5.9500000000000003E-5</v>
      </c>
      <c r="T1005" s="1">
        <v>5.13E-5</v>
      </c>
    </row>
    <row r="1006" spans="1:20" hidden="1" x14ac:dyDescent="0.25">
      <c r="A1006" t="s">
        <v>1024</v>
      </c>
      <c r="B1006">
        <v>0</v>
      </c>
      <c r="C1006">
        <v>0</v>
      </c>
      <c r="D1006">
        <v>0</v>
      </c>
      <c r="E1006">
        <v>0</v>
      </c>
      <c r="F1006" s="1">
        <v>7.2299999999999996E-5</v>
      </c>
      <c r="G1006" s="1">
        <v>8.9699999999999998E-5</v>
      </c>
      <c r="H1006" s="1">
        <v>7.2399999999999998E-5</v>
      </c>
      <c r="I1006">
        <v>0</v>
      </c>
      <c r="J1006">
        <v>0</v>
      </c>
      <c r="K1006">
        <v>0</v>
      </c>
      <c r="L1006">
        <v>0</v>
      </c>
      <c r="M1006" s="1">
        <v>3.4700000000000003E-5</v>
      </c>
      <c r="N1006">
        <v>0</v>
      </c>
      <c r="O1006">
        <v>0</v>
      </c>
      <c r="P1006">
        <v>1.59751E-4</v>
      </c>
      <c r="Q1006">
        <v>3.3781600000000001E-4</v>
      </c>
      <c r="R1006">
        <v>3.0385999999999998E-4</v>
      </c>
      <c r="S1006">
        <v>1.9750099999999999E-4</v>
      </c>
      <c r="T1006">
        <v>3.8932700000000002E-4</v>
      </c>
    </row>
    <row r="1007" spans="1:20" hidden="1" x14ac:dyDescent="0.25">
      <c r="A1007" t="s">
        <v>1025</v>
      </c>
      <c r="B1007">
        <v>2.2597599999999999E-4</v>
      </c>
      <c r="C1007">
        <v>0</v>
      </c>
      <c r="D1007">
        <v>0</v>
      </c>
      <c r="E1007">
        <v>0</v>
      </c>
      <c r="F1007">
        <v>3.2197299999999997E-4</v>
      </c>
      <c r="G1007">
        <v>4.2552999999999997E-4</v>
      </c>
      <c r="H1007">
        <v>2.6679999999999998E-4</v>
      </c>
      <c r="I1007">
        <v>2.72961E-4</v>
      </c>
      <c r="J1007">
        <v>0</v>
      </c>
      <c r="K1007">
        <v>1.6985399999999999E-4</v>
      </c>
      <c r="L1007" s="1">
        <v>9.1000000000000003E-5</v>
      </c>
      <c r="M1007">
        <v>0</v>
      </c>
      <c r="N1007" s="1">
        <v>8.7800000000000006E-5</v>
      </c>
      <c r="O1007">
        <v>0</v>
      </c>
      <c r="P1007">
        <v>6.2484499999999996E-4</v>
      </c>
      <c r="Q1007">
        <v>1.4510479999999999E-3</v>
      </c>
      <c r="R1007">
        <v>9.7088299999999997E-4</v>
      </c>
      <c r="S1007">
        <v>2.6935099999999998E-4</v>
      </c>
      <c r="T1007">
        <v>1.6515519999999999E-3</v>
      </c>
    </row>
    <row r="1008" spans="1:20" hidden="1" x14ac:dyDescent="0.25">
      <c r="A1008" t="s">
        <v>1026</v>
      </c>
      <c r="B1008" s="1">
        <v>2.0699999999999998E-5</v>
      </c>
      <c r="C1008" s="1">
        <v>3.0000000000000001E-5</v>
      </c>
      <c r="D1008" s="1">
        <v>2.7900000000000001E-5</v>
      </c>
      <c r="E1008" s="1">
        <v>3.4700000000000003E-5</v>
      </c>
      <c r="F1008" s="1">
        <v>2.3099999999999999E-5</v>
      </c>
      <c r="G1008" s="1">
        <v>2.44E-5</v>
      </c>
      <c r="H1008" s="1">
        <v>4.0599999999999998E-5</v>
      </c>
      <c r="I1008" s="1">
        <v>4.74E-5</v>
      </c>
      <c r="J1008" s="1">
        <v>2.0100000000000001E-5</v>
      </c>
      <c r="K1008" s="1">
        <v>2.9099999999999999E-5</v>
      </c>
      <c r="L1008" s="1">
        <v>2.58E-5</v>
      </c>
      <c r="M1008" s="1">
        <v>3.0800000000000003E-5</v>
      </c>
      <c r="N1008" s="1">
        <v>2.0100000000000001E-5</v>
      </c>
      <c r="O1008" s="1">
        <v>2.26E-5</v>
      </c>
      <c r="P1008" s="1">
        <v>1.98E-5</v>
      </c>
      <c r="Q1008" s="1">
        <v>2.0999999999999999E-5</v>
      </c>
      <c r="R1008" s="1">
        <v>2.0400000000000001E-5</v>
      </c>
      <c r="S1008" s="1">
        <v>3.0000000000000001E-5</v>
      </c>
      <c r="T1008" s="1">
        <v>2.41E-5</v>
      </c>
    </row>
    <row r="1009" spans="1:20" hidden="1" x14ac:dyDescent="0.25">
      <c r="A1009" t="s">
        <v>1027</v>
      </c>
      <c r="B1009">
        <v>0</v>
      </c>
      <c r="C1009" s="1">
        <v>1.19E-5</v>
      </c>
      <c r="D1009" s="1">
        <v>1.0000000000000001E-5</v>
      </c>
      <c r="E1009" s="1">
        <v>1.8700000000000001E-5</v>
      </c>
      <c r="F1009">
        <v>0</v>
      </c>
      <c r="G1009">
        <v>0</v>
      </c>
      <c r="H1009">
        <v>0</v>
      </c>
      <c r="I1009">
        <v>0</v>
      </c>
      <c r="J1009">
        <v>0</v>
      </c>
      <c r="K1009" s="1">
        <v>1.34E-5</v>
      </c>
      <c r="L1009" s="1">
        <v>1.19E-5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hidden="1" x14ac:dyDescent="0.25">
      <c r="A1010" t="s">
        <v>1028</v>
      </c>
      <c r="B1010">
        <v>0</v>
      </c>
      <c r="C1010" s="1">
        <v>2.0200000000000001E-6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s="1">
        <v>1.7099999999999999E-6</v>
      </c>
      <c r="R1010" s="1">
        <v>1.44E-6</v>
      </c>
      <c r="S1010" s="1">
        <v>2.03E-6</v>
      </c>
      <c r="T1010" s="1">
        <v>2.43E-6</v>
      </c>
    </row>
    <row r="1011" spans="1:20" hidden="1" x14ac:dyDescent="0.25">
      <c r="A1011" t="s">
        <v>1029</v>
      </c>
      <c r="B1011">
        <v>8.2994199999999996E-4</v>
      </c>
      <c r="C1011">
        <v>1.1091779999999999E-3</v>
      </c>
      <c r="D1011">
        <v>1.5037729999999999E-3</v>
      </c>
      <c r="E1011">
        <v>1.2301199999999999E-3</v>
      </c>
      <c r="F1011">
        <v>8.1872300000000004E-4</v>
      </c>
      <c r="G1011">
        <v>6.7278900000000003E-4</v>
      </c>
      <c r="H1011">
        <v>6.4246300000000002E-4</v>
      </c>
      <c r="I1011">
        <v>8.4568399999999998E-4</v>
      </c>
      <c r="J1011">
        <v>8.5312400000000003E-4</v>
      </c>
      <c r="K1011">
        <v>8.2949499999999997E-4</v>
      </c>
      <c r="L1011">
        <v>1.1098E-3</v>
      </c>
      <c r="M1011">
        <v>9.3785299999999999E-4</v>
      </c>
      <c r="N1011">
        <v>1.238339E-3</v>
      </c>
      <c r="O1011">
        <v>1.1828100000000001E-3</v>
      </c>
      <c r="P1011">
        <v>4.0676800000000001E-4</v>
      </c>
      <c r="Q1011">
        <v>4.89471E-4</v>
      </c>
      <c r="R1011">
        <v>4.4574399999999998E-4</v>
      </c>
      <c r="S1011">
        <v>1.0082719999999999E-3</v>
      </c>
      <c r="T1011">
        <v>7.5040999999999997E-4</v>
      </c>
    </row>
    <row r="1012" spans="1:20" hidden="1" x14ac:dyDescent="0.25">
      <c r="A1012" t="s">
        <v>1030</v>
      </c>
      <c r="B1012" s="1">
        <v>1.52E-5</v>
      </c>
      <c r="C1012" s="1">
        <v>1.19E-5</v>
      </c>
      <c r="D1012" s="1">
        <v>1.88E-5</v>
      </c>
      <c r="E1012" s="1">
        <v>1.77E-5</v>
      </c>
      <c r="F1012" s="1">
        <v>3.4400000000000003E-5</v>
      </c>
      <c r="G1012">
        <v>0</v>
      </c>
      <c r="H1012" s="1">
        <v>2.05E-5</v>
      </c>
      <c r="I1012" s="1">
        <v>1.06E-5</v>
      </c>
      <c r="J1012" s="1">
        <v>1.5E-5</v>
      </c>
      <c r="K1012" s="1">
        <v>8.8999999999999995E-6</v>
      </c>
      <c r="L1012">
        <v>0</v>
      </c>
      <c r="M1012" s="1">
        <v>1.5299999999999999E-5</v>
      </c>
      <c r="N1012" s="1">
        <v>1.0699999999999999E-5</v>
      </c>
      <c r="O1012" s="1">
        <v>1.04E-5</v>
      </c>
      <c r="P1012" s="1">
        <v>2.3099999999999999E-5</v>
      </c>
      <c r="Q1012" s="1">
        <v>2.9099999999999999E-5</v>
      </c>
      <c r="R1012" s="1">
        <v>3.8399999999999998E-5</v>
      </c>
      <c r="S1012" s="1">
        <v>4.2700000000000001E-5</v>
      </c>
      <c r="T1012" s="1">
        <v>4.3000000000000002E-5</v>
      </c>
    </row>
    <row r="1013" spans="1:20" hidden="1" x14ac:dyDescent="0.25">
      <c r="A1013" t="s">
        <v>1031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s="1">
        <v>7.3499999999999998E-5</v>
      </c>
      <c r="R1013" s="1">
        <v>6.8200000000000004E-5</v>
      </c>
      <c r="S1013" s="1">
        <v>3.4400000000000003E-5</v>
      </c>
      <c r="T1013">
        <v>1.2499700000000001E-4</v>
      </c>
    </row>
    <row r="1014" spans="1:20" hidden="1" x14ac:dyDescent="0.25">
      <c r="A1014" t="s">
        <v>1032</v>
      </c>
      <c r="B1014" s="1">
        <v>5.4599999999999999E-5</v>
      </c>
      <c r="C1014" s="1">
        <v>8.5099999999999995E-5</v>
      </c>
      <c r="D1014">
        <v>0</v>
      </c>
      <c r="E1014">
        <v>0</v>
      </c>
      <c r="F1014" s="1">
        <v>8.8999999999999995E-5</v>
      </c>
      <c r="G1014">
        <v>2.0044400000000001E-4</v>
      </c>
      <c r="H1014">
        <v>2.9988200000000001E-4</v>
      </c>
      <c r="I1014">
        <v>1.20074E-4</v>
      </c>
      <c r="J1014">
        <v>1.1825200000000001E-4</v>
      </c>
      <c r="K1014">
        <v>1.4897599999999999E-4</v>
      </c>
      <c r="L1014">
        <v>1.3030600000000001E-4</v>
      </c>
      <c r="M1014" s="1">
        <v>6.4599999999999998E-5</v>
      </c>
      <c r="N1014">
        <v>1.3679499999999999E-4</v>
      </c>
      <c r="O1014">
        <v>1.20672E-4</v>
      </c>
      <c r="P1014">
        <v>2.7573700000000002E-4</v>
      </c>
      <c r="Q1014">
        <v>2.9774899999999998E-4</v>
      </c>
      <c r="R1014">
        <v>3.58869E-4</v>
      </c>
      <c r="S1014">
        <v>4.2964099999999997E-4</v>
      </c>
      <c r="T1014">
        <v>2.31179E-4</v>
      </c>
    </row>
    <row r="1015" spans="1:20" hidden="1" x14ac:dyDescent="0.25">
      <c r="A1015" t="s">
        <v>1033</v>
      </c>
      <c r="B1015" s="1">
        <v>3.3399999999999999E-5</v>
      </c>
      <c r="C1015" s="1">
        <v>5.7399999999999999E-5</v>
      </c>
      <c r="D1015" s="1">
        <v>5.4799999999999997E-5</v>
      </c>
      <c r="E1015" s="1">
        <v>4.8099999999999997E-5</v>
      </c>
      <c r="F1015" s="1">
        <v>5.2299999999999997E-5</v>
      </c>
      <c r="G1015" s="1">
        <v>8.1000000000000004E-5</v>
      </c>
      <c r="H1015">
        <v>1.2070600000000001E-4</v>
      </c>
      <c r="I1015" s="1">
        <v>4.6600000000000001E-5</v>
      </c>
      <c r="J1015" s="1">
        <v>5.4700000000000001E-5</v>
      </c>
      <c r="K1015" s="1">
        <v>7.64E-5</v>
      </c>
      <c r="L1015" s="1">
        <v>5.5899999999999997E-5</v>
      </c>
      <c r="M1015" s="1">
        <v>4.85E-5</v>
      </c>
      <c r="N1015" s="1">
        <v>3.93E-5</v>
      </c>
      <c r="O1015" s="1">
        <v>3.93E-5</v>
      </c>
      <c r="P1015" s="1">
        <v>4.3099999999999997E-5</v>
      </c>
      <c r="Q1015" s="1">
        <v>5.9799999999999997E-5</v>
      </c>
      <c r="R1015" s="1">
        <v>7.47E-5</v>
      </c>
      <c r="S1015">
        <v>1.41726E-4</v>
      </c>
      <c r="T1015" s="1">
        <v>6.1400000000000002E-5</v>
      </c>
    </row>
    <row r="1016" spans="1:20" hidden="1" x14ac:dyDescent="0.25">
      <c r="A1016" t="s">
        <v>1034</v>
      </c>
      <c r="B1016" s="1">
        <v>7.6299999999999998E-6</v>
      </c>
      <c r="C1016">
        <v>0</v>
      </c>
      <c r="D1016" s="1">
        <v>4.1200000000000004E-6</v>
      </c>
      <c r="E1016" s="1">
        <v>4.7099999999999998E-6</v>
      </c>
      <c r="F1016">
        <v>0</v>
      </c>
      <c r="G1016" s="1">
        <v>2.4199999999999999E-5</v>
      </c>
      <c r="H1016" s="1">
        <v>2.23E-5</v>
      </c>
      <c r="I1016">
        <v>0</v>
      </c>
      <c r="J1016" s="1">
        <v>7.4699999999999996E-6</v>
      </c>
      <c r="K1016" s="1">
        <v>6.3700000000000003E-5</v>
      </c>
      <c r="L1016" s="1">
        <v>4.87E-6</v>
      </c>
      <c r="M1016">
        <v>0</v>
      </c>
      <c r="N1016" s="1">
        <v>2.4099999999999998E-6</v>
      </c>
      <c r="O1016" s="1">
        <v>3.6600000000000001E-6</v>
      </c>
      <c r="P1016" s="1">
        <v>2.4899999999999999E-5</v>
      </c>
      <c r="Q1016" s="1">
        <v>5.9899999999999999E-5</v>
      </c>
      <c r="R1016" s="1">
        <v>1.88E-5</v>
      </c>
      <c r="S1016" s="1">
        <v>6.05E-5</v>
      </c>
      <c r="T1016" s="1">
        <v>6.9999999999999994E-5</v>
      </c>
    </row>
    <row r="1017" spans="1:20" hidden="1" x14ac:dyDescent="0.25">
      <c r="A1017" t="s">
        <v>1035</v>
      </c>
      <c r="B1017" s="1">
        <v>1.22E-5</v>
      </c>
      <c r="C1017" s="1">
        <v>2.0699999999999998E-5</v>
      </c>
      <c r="D1017" s="1">
        <v>8.3499999999999997E-6</v>
      </c>
      <c r="E1017" s="1">
        <v>1.26E-5</v>
      </c>
      <c r="F1017" s="1">
        <v>8.4300000000000006E-6</v>
      </c>
      <c r="G1017" s="1">
        <v>1.2999999999999999E-5</v>
      </c>
      <c r="H1017" s="1">
        <v>4.0899999999999998E-5</v>
      </c>
      <c r="I1017" s="1">
        <v>1.31E-5</v>
      </c>
      <c r="J1017" s="1">
        <v>1.5699999999999999E-5</v>
      </c>
      <c r="K1017" s="1">
        <v>1.4399999999999999E-5</v>
      </c>
      <c r="L1017" s="1">
        <v>1.2099999999999999E-5</v>
      </c>
      <c r="M1017" s="1">
        <v>1.4399999999999999E-5</v>
      </c>
      <c r="N1017" s="1">
        <v>1.47E-5</v>
      </c>
      <c r="O1017" s="1">
        <v>9.2099999999999999E-6</v>
      </c>
      <c r="P1017" s="1">
        <v>1.0499999999999999E-5</v>
      </c>
      <c r="Q1017" s="1">
        <v>1.04E-5</v>
      </c>
      <c r="R1017" s="1">
        <v>1.9599999999999999E-5</v>
      </c>
      <c r="S1017" s="1">
        <v>2.3300000000000001E-5</v>
      </c>
      <c r="T1017" s="1">
        <v>7.6399999999999997E-6</v>
      </c>
    </row>
    <row r="1018" spans="1:20" hidden="1" x14ac:dyDescent="0.25">
      <c r="A1018" t="s">
        <v>1036</v>
      </c>
      <c r="B1018">
        <v>1.9136899999999999E-4</v>
      </c>
      <c r="C1018">
        <v>1.9579600000000001E-4</v>
      </c>
      <c r="D1018">
        <v>1.59417E-4</v>
      </c>
      <c r="E1018">
        <v>1.3651399999999999E-4</v>
      </c>
      <c r="F1018">
        <v>1.9942000000000001E-4</v>
      </c>
      <c r="G1018">
        <v>3.0753399999999999E-4</v>
      </c>
      <c r="H1018">
        <v>4.3803000000000001E-4</v>
      </c>
      <c r="I1018">
        <v>2.40542E-4</v>
      </c>
      <c r="J1018">
        <v>1.86126E-4</v>
      </c>
      <c r="K1018">
        <v>3.0070100000000001E-4</v>
      </c>
      <c r="L1018">
        <v>2.1783499999999999E-4</v>
      </c>
      <c r="M1018">
        <v>1.4646599999999999E-4</v>
      </c>
      <c r="N1018">
        <v>1.4322799999999999E-4</v>
      </c>
      <c r="O1018">
        <v>1.4445899999999999E-4</v>
      </c>
      <c r="P1018">
        <v>2.4883099999999998E-4</v>
      </c>
      <c r="Q1018">
        <v>2.3634E-4</v>
      </c>
      <c r="R1018">
        <v>2.5827100000000002E-4</v>
      </c>
      <c r="S1018">
        <v>5.4107700000000005E-4</v>
      </c>
      <c r="T1018">
        <v>2.26837E-4</v>
      </c>
    </row>
    <row r="1019" spans="1:20" hidden="1" x14ac:dyDescent="0.25">
      <c r="A1019" t="s">
        <v>1037</v>
      </c>
      <c r="B1019">
        <v>2.4904199999999999E-4</v>
      </c>
      <c r="C1019">
        <v>4.0539100000000001E-4</v>
      </c>
      <c r="D1019">
        <v>1.5002099999999999E-4</v>
      </c>
      <c r="E1019">
        <v>1.57916E-4</v>
      </c>
      <c r="F1019">
        <v>4.8652199999999997E-4</v>
      </c>
      <c r="G1019">
        <v>7.8834499999999997E-4</v>
      </c>
      <c r="H1019">
        <v>1.6033460000000001E-3</v>
      </c>
      <c r="I1019">
        <v>6.0842899999999996E-4</v>
      </c>
      <c r="J1019">
        <v>5.1041499999999996E-4</v>
      </c>
      <c r="K1019">
        <v>3.5940000000000001E-4</v>
      </c>
      <c r="L1019">
        <v>4.6592900000000002E-4</v>
      </c>
      <c r="M1019">
        <v>3.8631599999999999E-4</v>
      </c>
      <c r="N1019">
        <v>6.3916899999999998E-4</v>
      </c>
      <c r="O1019">
        <v>2.4775900000000001E-4</v>
      </c>
      <c r="P1019">
        <v>7.6429000000000004E-4</v>
      </c>
      <c r="Q1019">
        <v>9.5726800000000005E-4</v>
      </c>
      <c r="R1019">
        <v>6.9163000000000004E-4</v>
      </c>
      <c r="S1019">
        <v>1.0517770000000001E-3</v>
      </c>
      <c r="T1019">
        <v>5.2682E-4</v>
      </c>
    </row>
    <row r="1020" spans="1:20" hidden="1" x14ac:dyDescent="0.25">
      <c r="A1020" t="s">
        <v>1038</v>
      </c>
      <c r="B1020">
        <v>5.1751300000000004E-4</v>
      </c>
      <c r="C1020">
        <v>6.5166499999999995E-4</v>
      </c>
      <c r="D1020">
        <v>6.5678299999999998E-4</v>
      </c>
      <c r="E1020">
        <v>4.0305199999999999E-4</v>
      </c>
      <c r="F1020">
        <v>8.1740299999999997E-4</v>
      </c>
      <c r="G1020">
        <v>1.246469E-3</v>
      </c>
      <c r="H1020">
        <v>1.794901E-3</v>
      </c>
      <c r="I1020">
        <v>6.9201199999999999E-4</v>
      </c>
      <c r="J1020">
        <v>6.6621699999999998E-4</v>
      </c>
      <c r="K1020">
        <v>1.46036E-3</v>
      </c>
      <c r="L1020">
        <v>9.5811500000000005E-4</v>
      </c>
      <c r="M1020">
        <v>6.79012E-4</v>
      </c>
      <c r="N1020">
        <v>1.355525E-3</v>
      </c>
      <c r="O1020">
        <v>6.6038299999999996E-4</v>
      </c>
      <c r="P1020">
        <v>1.436314E-3</v>
      </c>
      <c r="Q1020">
        <v>1.4218080000000001E-3</v>
      </c>
      <c r="R1020">
        <v>1.255658E-3</v>
      </c>
      <c r="S1020">
        <v>2.711017E-3</v>
      </c>
      <c r="T1020">
        <v>2.0149399999999998E-3</v>
      </c>
    </row>
    <row r="1021" spans="1:20" hidden="1" x14ac:dyDescent="0.25">
      <c r="A1021" t="s">
        <v>1039</v>
      </c>
      <c r="B1021">
        <v>0</v>
      </c>
      <c r="C1021">
        <v>0</v>
      </c>
      <c r="D1021" s="1">
        <v>2.44E-5</v>
      </c>
      <c r="E1021">
        <v>0</v>
      </c>
      <c r="F1021" s="1">
        <v>3.9499999999999998E-5</v>
      </c>
      <c r="G1021" s="1">
        <v>9.2899999999999995E-5</v>
      </c>
      <c r="H1021">
        <v>1.13601E-4</v>
      </c>
      <c r="I1021">
        <v>0</v>
      </c>
      <c r="J1021">
        <v>0</v>
      </c>
      <c r="K1021" s="1">
        <v>4.0599999999999998E-5</v>
      </c>
      <c r="L1021">
        <v>0</v>
      </c>
      <c r="M1021" s="1">
        <v>2.23E-5</v>
      </c>
      <c r="N1021">
        <v>0</v>
      </c>
      <c r="O1021" s="1">
        <v>1.77E-5</v>
      </c>
      <c r="P1021" s="1">
        <v>4.8399999999999997E-5</v>
      </c>
      <c r="Q1021" s="1">
        <v>2.1800000000000001E-5</v>
      </c>
      <c r="R1021" s="1">
        <v>3.1999999999999999E-5</v>
      </c>
      <c r="S1021" s="1">
        <v>5.9500000000000003E-5</v>
      </c>
      <c r="T1021">
        <v>0</v>
      </c>
    </row>
    <row r="1022" spans="1:20" hidden="1" x14ac:dyDescent="0.25">
      <c r="A1022" t="s">
        <v>1040</v>
      </c>
      <c r="B1022" s="1">
        <v>1.2099999999999999E-5</v>
      </c>
      <c r="C1022" s="1">
        <v>8.9700000000000005E-6</v>
      </c>
      <c r="D1022">
        <v>0</v>
      </c>
      <c r="E1022" s="1">
        <v>1.01E-5</v>
      </c>
      <c r="F1022" s="1">
        <v>7.4699999999999996E-6</v>
      </c>
      <c r="G1022" s="1">
        <v>1.0000000000000001E-5</v>
      </c>
      <c r="H1022" s="1">
        <v>8.85E-6</v>
      </c>
      <c r="I1022" s="1">
        <v>1.2099999999999999E-5</v>
      </c>
      <c r="J1022" s="1">
        <v>1.0499999999999999E-5</v>
      </c>
      <c r="K1022" s="1">
        <v>7.8900000000000007E-6</v>
      </c>
      <c r="L1022" s="1">
        <v>1.4100000000000001E-5</v>
      </c>
      <c r="M1022" s="1">
        <v>8.3999999999999992E-6</v>
      </c>
      <c r="N1022" s="1">
        <v>1.1199999999999999E-5</v>
      </c>
      <c r="O1022" s="1">
        <v>1.04E-5</v>
      </c>
      <c r="P1022" s="1">
        <v>8.8200000000000003E-6</v>
      </c>
      <c r="Q1022" s="1">
        <v>1.31E-5</v>
      </c>
      <c r="R1022" s="1">
        <v>1.1399999999999999E-5</v>
      </c>
      <c r="S1022" s="1">
        <v>1.3200000000000001E-5</v>
      </c>
      <c r="T1022" s="1">
        <v>1.0900000000000001E-5</v>
      </c>
    </row>
    <row r="1023" spans="1:20" hidden="1" x14ac:dyDescent="0.25">
      <c r="A1023" t="s">
        <v>1041</v>
      </c>
      <c r="B1023" s="1">
        <v>8.8999999999999995E-6</v>
      </c>
      <c r="C1023" s="1">
        <v>1.38E-5</v>
      </c>
      <c r="D1023" s="1">
        <v>1.52E-5</v>
      </c>
      <c r="E1023" s="1">
        <v>1.7399999999999999E-5</v>
      </c>
      <c r="F1023" s="1">
        <v>1.3499999999999999E-5</v>
      </c>
      <c r="G1023" s="1">
        <v>1.5500000000000001E-5</v>
      </c>
      <c r="H1023" s="1">
        <v>1.9199999999999999E-5</v>
      </c>
      <c r="I1023" s="1">
        <v>8.3999999999999992E-6</v>
      </c>
      <c r="J1023" s="1">
        <v>8.4700000000000002E-6</v>
      </c>
      <c r="K1023" s="1">
        <v>1.6699999999999999E-5</v>
      </c>
      <c r="L1023" s="1">
        <v>2.05E-5</v>
      </c>
      <c r="M1023" s="1">
        <v>2.4899999999999999E-5</v>
      </c>
      <c r="N1023" s="1">
        <v>2.1800000000000001E-5</v>
      </c>
      <c r="O1023">
        <v>0</v>
      </c>
      <c r="P1023" s="1">
        <v>9.0599999999999997E-6</v>
      </c>
      <c r="Q1023" s="1">
        <v>1.5099999999999999E-5</v>
      </c>
      <c r="R1023" s="1">
        <v>2.3099999999999999E-5</v>
      </c>
      <c r="S1023" s="1">
        <v>9.0100000000000001E-6</v>
      </c>
      <c r="T1023" s="1">
        <v>1.24E-5</v>
      </c>
    </row>
    <row r="1024" spans="1:20" hidden="1" x14ac:dyDescent="0.25">
      <c r="A1024" t="s">
        <v>1042</v>
      </c>
      <c r="B1024" s="1">
        <v>7.43E-6</v>
      </c>
      <c r="C1024">
        <v>0</v>
      </c>
      <c r="D1024">
        <v>0</v>
      </c>
      <c r="E1024">
        <v>0</v>
      </c>
      <c r="F1024" s="1">
        <v>1.5500000000000001E-5</v>
      </c>
      <c r="G1024" s="1">
        <v>1.8499999999999999E-5</v>
      </c>
      <c r="H1024" s="1">
        <v>2.3E-5</v>
      </c>
      <c r="I1024" s="1">
        <v>8.3699999999999995E-6</v>
      </c>
      <c r="J1024" s="1">
        <v>1.04E-5</v>
      </c>
      <c r="K1024" s="1">
        <v>4.7299999999999998E-5</v>
      </c>
      <c r="L1024" s="1">
        <v>1.9899999999999999E-5</v>
      </c>
      <c r="M1024" s="1">
        <v>1.0200000000000001E-5</v>
      </c>
      <c r="N1024">
        <v>0</v>
      </c>
      <c r="O1024" s="1">
        <v>6.9E-6</v>
      </c>
      <c r="P1024" s="1">
        <v>1.43E-5</v>
      </c>
      <c r="Q1024" s="1">
        <v>3.54E-5</v>
      </c>
      <c r="R1024" s="1">
        <v>2.0299999999999999E-5</v>
      </c>
      <c r="S1024" s="1">
        <v>4.1900000000000002E-5</v>
      </c>
      <c r="T1024" s="1">
        <v>4.0299999999999997E-5</v>
      </c>
    </row>
    <row r="1025" spans="1:20" hidden="1" x14ac:dyDescent="0.25">
      <c r="A1025" t="s">
        <v>1043</v>
      </c>
      <c r="B1025" s="1">
        <v>3.0699999999999998E-6</v>
      </c>
      <c r="C1025">
        <v>0</v>
      </c>
      <c r="D1025">
        <v>0</v>
      </c>
      <c r="E1025">
        <v>0</v>
      </c>
      <c r="F1025">
        <v>0</v>
      </c>
      <c r="G1025" s="1">
        <v>1.1600000000000001E-5</v>
      </c>
      <c r="H1025" s="1">
        <v>1.27E-5</v>
      </c>
      <c r="I1025" s="1">
        <v>2.5799999999999999E-6</v>
      </c>
      <c r="J1025" s="1">
        <v>5.2100000000000001E-6</v>
      </c>
      <c r="K1025" s="1">
        <v>4.9799999999999998E-6</v>
      </c>
      <c r="L1025" s="1">
        <v>6.5400000000000001E-6</v>
      </c>
      <c r="M1025">
        <v>0</v>
      </c>
      <c r="N1025">
        <v>0</v>
      </c>
      <c r="O1025">
        <v>0</v>
      </c>
      <c r="P1025" s="1">
        <v>7.8299999999999996E-6</v>
      </c>
      <c r="Q1025" s="1">
        <v>3.8700000000000002E-6</v>
      </c>
      <c r="R1025" s="1">
        <v>6.8900000000000001E-6</v>
      </c>
      <c r="S1025">
        <v>0</v>
      </c>
      <c r="T1025" s="1">
        <v>2.52E-6</v>
      </c>
    </row>
    <row r="1026" spans="1:20" hidden="1" x14ac:dyDescent="0.25">
      <c r="A1026" t="s">
        <v>1044</v>
      </c>
      <c r="B1026" s="1">
        <v>2.94E-5</v>
      </c>
      <c r="C1026" s="1">
        <v>6.2600000000000004E-5</v>
      </c>
      <c r="D1026" s="1">
        <v>6.6500000000000004E-5</v>
      </c>
      <c r="E1026" s="1">
        <v>5.2500000000000002E-5</v>
      </c>
      <c r="F1026" s="1">
        <v>5.0800000000000002E-5</v>
      </c>
      <c r="G1026" s="1">
        <v>4.7299999999999998E-5</v>
      </c>
      <c r="H1026">
        <v>1.00999E-4</v>
      </c>
      <c r="I1026" s="1">
        <v>3.7200000000000003E-5</v>
      </c>
      <c r="J1026" s="1">
        <v>3.2199999999999997E-5</v>
      </c>
      <c r="K1026" s="1">
        <v>6.2000000000000003E-5</v>
      </c>
      <c r="L1026" s="1">
        <v>5.5099999999999998E-5</v>
      </c>
      <c r="M1026" s="1">
        <v>2.3600000000000001E-5</v>
      </c>
      <c r="N1026" s="1">
        <v>1.56E-5</v>
      </c>
      <c r="O1026" s="1">
        <v>2.3200000000000001E-5</v>
      </c>
      <c r="P1026" s="1">
        <v>1.9400000000000001E-5</v>
      </c>
      <c r="Q1026" s="1">
        <v>2.7100000000000001E-5</v>
      </c>
      <c r="R1026" s="1">
        <v>1.36E-5</v>
      </c>
      <c r="S1026" s="1">
        <v>1.49E-5</v>
      </c>
      <c r="T1026" s="1">
        <v>2.1699999999999999E-5</v>
      </c>
    </row>
    <row r="1027" spans="1:20" hidden="1" x14ac:dyDescent="0.25">
      <c r="A1027" t="s">
        <v>1045</v>
      </c>
      <c r="B1027" s="1">
        <v>1.59E-5</v>
      </c>
      <c r="C1027" s="1">
        <v>2.5299999999999998E-5</v>
      </c>
      <c r="D1027" s="1">
        <v>1.24E-5</v>
      </c>
      <c r="E1027" s="1">
        <v>1.0200000000000001E-5</v>
      </c>
      <c r="F1027" s="1">
        <v>1.2799999999999999E-5</v>
      </c>
      <c r="G1027" s="1">
        <v>1.66E-5</v>
      </c>
      <c r="H1027" s="1">
        <v>4.6600000000000001E-5</v>
      </c>
      <c r="I1027" s="1">
        <v>1.6900000000000001E-5</v>
      </c>
      <c r="J1027" s="1">
        <v>7.7999999999999999E-6</v>
      </c>
      <c r="K1027" s="1">
        <v>1.42E-5</v>
      </c>
      <c r="L1027" s="1">
        <v>1.33E-5</v>
      </c>
      <c r="M1027" s="1">
        <v>1.3699999999999999E-5</v>
      </c>
      <c r="N1027" s="1">
        <v>1.6399999999999999E-5</v>
      </c>
      <c r="O1027" s="1">
        <v>9.9399999999999997E-6</v>
      </c>
      <c r="P1027" s="1">
        <v>2.58E-5</v>
      </c>
      <c r="Q1027" s="1">
        <v>2.8200000000000001E-5</v>
      </c>
      <c r="R1027" s="1">
        <v>4.5800000000000002E-5</v>
      </c>
      <c r="S1027" s="1">
        <v>2.5199999999999999E-5</v>
      </c>
      <c r="T1027" s="1">
        <v>4.0299999999999997E-5</v>
      </c>
    </row>
    <row r="1028" spans="1:20" hidden="1" x14ac:dyDescent="0.25">
      <c r="A1028" t="s">
        <v>1046</v>
      </c>
      <c r="B1028" s="1">
        <v>1.3499999999999999E-5</v>
      </c>
      <c r="C1028">
        <v>0</v>
      </c>
      <c r="D1028">
        <v>0</v>
      </c>
      <c r="E1028">
        <v>0</v>
      </c>
      <c r="F1028">
        <v>0</v>
      </c>
      <c r="G1028" s="1">
        <v>2.16E-5</v>
      </c>
      <c r="H1028" s="1">
        <v>1.38E-5</v>
      </c>
      <c r="I1028">
        <v>0</v>
      </c>
      <c r="J1028" s="1">
        <v>1.5500000000000001E-5</v>
      </c>
      <c r="K1028" s="1">
        <v>1.91E-5</v>
      </c>
      <c r="L1028">
        <v>0</v>
      </c>
      <c r="M1028" s="1">
        <v>1.27E-5</v>
      </c>
      <c r="N1028">
        <v>0</v>
      </c>
      <c r="O1028">
        <v>0</v>
      </c>
      <c r="P1028" s="1">
        <v>4.3900000000000003E-5</v>
      </c>
      <c r="Q1028" s="1">
        <v>6.7500000000000001E-5</v>
      </c>
      <c r="R1028" s="1">
        <v>2.16E-5</v>
      </c>
      <c r="S1028" s="1">
        <v>3.6199999999999999E-5</v>
      </c>
      <c r="T1028" s="1">
        <v>4.1300000000000001E-5</v>
      </c>
    </row>
    <row r="1029" spans="1:20" hidden="1" x14ac:dyDescent="0.25">
      <c r="A1029" t="s">
        <v>1047</v>
      </c>
      <c r="B1029">
        <v>0</v>
      </c>
      <c r="C1029">
        <v>0</v>
      </c>
      <c r="D1029">
        <v>0</v>
      </c>
      <c r="E1029">
        <v>0</v>
      </c>
      <c r="F1029" s="1">
        <v>2.2200000000000001E-5</v>
      </c>
      <c r="G1029">
        <v>0</v>
      </c>
      <c r="H1029" s="1">
        <v>2.1500000000000001E-5</v>
      </c>
      <c r="I1029" s="1">
        <v>1.59E-5</v>
      </c>
      <c r="J1029" s="1">
        <v>2.0299999999999999E-5</v>
      </c>
      <c r="K1029">
        <v>0</v>
      </c>
      <c r="L1029">
        <v>0</v>
      </c>
      <c r="M1029" s="1">
        <v>9.4399999999999994E-6</v>
      </c>
      <c r="N1029" s="1">
        <v>3.8600000000000003E-5</v>
      </c>
      <c r="O1029" s="1">
        <v>1.19E-5</v>
      </c>
      <c r="P1029" s="1">
        <v>3.1000000000000001E-5</v>
      </c>
      <c r="Q1029" s="1">
        <v>5.3399999999999997E-5</v>
      </c>
      <c r="R1029" s="1">
        <v>3.8699999999999999E-5</v>
      </c>
      <c r="S1029" s="1">
        <v>2.6100000000000001E-5</v>
      </c>
      <c r="T1029" s="1">
        <v>6.8800000000000005E-5</v>
      </c>
    </row>
    <row r="1030" spans="1:20" hidden="1" x14ac:dyDescent="0.25">
      <c r="A1030" t="s">
        <v>1048</v>
      </c>
      <c r="B1030" s="1">
        <v>2.0400000000000001E-5</v>
      </c>
      <c r="C1030">
        <v>0</v>
      </c>
      <c r="D1030" s="1">
        <v>3.1300000000000002E-5</v>
      </c>
      <c r="E1030" s="1">
        <v>2.5199999999999999E-5</v>
      </c>
      <c r="F1030">
        <v>0</v>
      </c>
      <c r="G1030" s="1">
        <v>2.0400000000000001E-5</v>
      </c>
      <c r="H1030">
        <v>0</v>
      </c>
      <c r="I1030" s="1">
        <v>2.8900000000000001E-5</v>
      </c>
      <c r="J1030" s="1">
        <v>3.0499999999999999E-5</v>
      </c>
      <c r="K1030" s="1">
        <v>2.16E-5</v>
      </c>
      <c r="L1030" s="1">
        <v>2.0800000000000001E-5</v>
      </c>
      <c r="M1030">
        <v>0</v>
      </c>
      <c r="N1030" s="1">
        <v>1.2799999999999999E-5</v>
      </c>
      <c r="O1030" s="1">
        <v>3.57E-5</v>
      </c>
      <c r="P1030">
        <v>0</v>
      </c>
      <c r="Q1030">
        <v>0</v>
      </c>
      <c r="R1030" s="1">
        <v>1.38E-5</v>
      </c>
      <c r="S1030" s="1">
        <v>1.84E-5</v>
      </c>
      <c r="T1030" s="1">
        <v>1.2500000000000001E-5</v>
      </c>
    </row>
    <row r="1031" spans="1:20" hidden="1" x14ac:dyDescent="0.25">
      <c r="A1031" t="s">
        <v>1049</v>
      </c>
      <c r="B1031" s="1">
        <v>5.4799999999999997E-5</v>
      </c>
      <c r="C1031" s="1">
        <v>8.1100000000000006E-5</v>
      </c>
      <c r="D1031" s="1">
        <v>7.0400000000000004E-5</v>
      </c>
      <c r="E1031" s="1">
        <v>8.3300000000000005E-5</v>
      </c>
      <c r="F1031" s="1">
        <v>7.8499999999999997E-5</v>
      </c>
      <c r="G1031" s="1">
        <v>8.9599999999999996E-5</v>
      </c>
      <c r="H1031" s="1">
        <v>6.7999999999999999E-5</v>
      </c>
      <c r="I1031" s="1">
        <v>8.2899999999999996E-5</v>
      </c>
      <c r="J1031" s="1">
        <v>6.8100000000000002E-5</v>
      </c>
      <c r="K1031" s="1">
        <v>9.5199999999999997E-5</v>
      </c>
      <c r="L1031" s="1">
        <v>8.9800000000000001E-5</v>
      </c>
      <c r="M1031" s="1">
        <v>4.9799999999999998E-5</v>
      </c>
      <c r="N1031" s="1">
        <v>4.8300000000000002E-5</v>
      </c>
      <c r="O1031" s="1">
        <v>7.7299999999999995E-5</v>
      </c>
      <c r="P1031" s="1">
        <v>6.7000000000000002E-5</v>
      </c>
      <c r="Q1031" s="1">
        <v>7.7799999999999994E-5</v>
      </c>
      <c r="R1031" s="1">
        <v>8.9300000000000002E-5</v>
      </c>
      <c r="S1031" s="1">
        <v>9.5000000000000005E-5</v>
      </c>
      <c r="T1031" s="1">
        <v>8.1699999999999994E-5</v>
      </c>
    </row>
    <row r="1032" spans="1:20" hidden="1" x14ac:dyDescent="0.25">
      <c r="A1032" t="s">
        <v>1050</v>
      </c>
      <c r="B1032">
        <v>0</v>
      </c>
      <c r="C1032" s="1">
        <v>3.7799999999999997E-5</v>
      </c>
      <c r="D1032" s="1">
        <v>1.52E-5</v>
      </c>
      <c r="E1032" s="1">
        <v>1.56E-5</v>
      </c>
      <c r="F1032">
        <v>0</v>
      </c>
      <c r="G1032" s="1">
        <v>3.6100000000000003E-5</v>
      </c>
      <c r="H1032" s="1">
        <v>3.1900000000000003E-5</v>
      </c>
      <c r="I1032">
        <v>0</v>
      </c>
      <c r="J1032" s="1">
        <v>1.7799999999999999E-5</v>
      </c>
      <c r="K1032" s="1">
        <v>3.6199999999999999E-5</v>
      </c>
      <c r="L1032" s="1">
        <v>3.6600000000000002E-5</v>
      </c>
      <c r="M1032" s="1">
        <v>1.77E-5</v>
      </c>
      <c r="N1032" s="1">
        <v>2.0100000000000001E-5</v>
      </c>
      <c r="O1032" s="1">
        <v>2.3E-5</v>
      </c>
      <c r="P1032" s="1">
        <v>6.2700000000000006E-5</v>
      </c>
      <c r="Q1032" s="1">
        <v>7.1899999999999999E-5</v>
      </c>
      <c r="R1032" s="1">
        <v>9.7E-5</v>
      </c>
      <c r="S1032" s="1">
        <v>9.2200000000000005E-5</v>
      </c>
      <c r="T1032" s="1">
        <v>4.07E-5</v>
      </c>
    </row>
    <row r="1033" spans="1:20" hidden="1" x14ac:dyDescent="0.25">
      <c r="A1033" t="s">
        <v>1051</v>
      </c>
      <c r="B1033">
        <v>0</v>
      </c>
      <c r="C1033" s="1">
        <v>5.02E-5</v>
      </c>
      <c r="D1033" s="1">
        <v>8.8399999999999994E-5</v>
      </c>
      <c r="E1033" s="1">
        <v>6.5099999999999997E-5</v>
      </c>
      <c r="F1033" s="1">
        <v>5.0300000000000003E-5</v>
      </c>
      <c r="G1033" s="1">
        <v>5.0399999999999999E-5</v>
      </c>
      <c r="H1033" s="1">
        <v>4.0899999999999998E-5</v>
      </c>
      <c r="I1033" s="1">
        <v>4.1699999999999997E-5</v>
      </c>
      <c r="J1033" s="1">
        <v>3.7499999999999997E-5</v>
      </c>
      <c r="K1033">
        <v>1.03424E-4</v>
      </c>
      <c r="L1033" s="1">
        <v>8.5900000000000001E-5</v>
      </c>
      <c r="M1033">
        <v>0</v>
      </c>
      <c r="N1033">
        <v>0</v>
      </c>
      <c r="O1033" s="1">
        <v>6.0900000000000003E-5</v>
      </c>
      <c r="P1033">
        <v>0</v>
      </c>
      <c r="Q1033">
        <v>0</v>
      </c>
      <c r="R1033" s="1">
        <v>3.0599999999999998E-5</v>
      </c>
      <c r="S1033" s="1">
        <v>4.6699999999999997E-5</v>
      </c>
      <c r="T1033">
        <v>0</v>
      </c>
    </row>
    <row r="1034" spans="1:20" hidden="1" x14ac:dyDescent="0.25">
      <c r="A1034" t="s">
        <v>1052</v>
      </c>
      <c r="B1034">
        <v>0</v>
      </c>
      <c r="C1034">
        <v>0</v>
      </c>
      <c r="D1034">
        <v>1.03529E-4</v>
      </c>
      <c r="E1034" s="1">
        <v>7.4300000000000004E-5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 s="1">
        <v>6.6099999999999994E-5</v>
      </c>
      <c r="M1034" s="1">
        <v>5.3900000000000002E-5</v>
      </c>
      <c r="N1034">
        <v>0</v>
      </c>
      <c r="O1034" s="1">
        <v>6.1199999999999997E-5</v>
      </c>
      <c r="P1034">
        <v>0</v>
      </c>
      <c r="Q1034" s="1">
        <v>5.8100000000000003E-5</v>
      </c>
      <c r="R1034">
        <v>1.3037199999999999E-4</v>
      </c>
      <c r="S1034" s="1">
        <v>9.5099999999999994E-5</v>
      </c>
      <c r="T1034" s="1">
        <v>5.7599999999999997E-5</v>
      </c>
    </row>
    <row r="1035" spans="1:20" hidden="1" x14ac:dyDescent="0.25">
      <c r="A1035" t="s">
        <v>1053</v>
      </c>
      <c r="B1035">
        <v>1.2432599999999999E-4</v>
      </c>
      <c r="C1035">
        <v>1.90111E-4</v>
      </c>
      <c r="D1035">
        <v>1.23645E-4</v>
      </c>
      <c r="E1035">
        <v>1.47455E-4</v>
      </c>
      <c r="F1035">
        <v>1.4438400000000001E-4</v>
      </c>
      <c r="G1035">
        <v>1.18707E-4</v>
      </c>
      <c r="H1035">
        <v>1.4216700000000001E-4</v>
      </c>
      <c r="I1035">
        <v>1.9210200000000001E-4</v>
      </c>
      <c r="J1035">
        <v>1.4423800000000001E-4</v>
      </c>
      <c r="K1035">
        <v>1.4143399999999999E-4</v>
      </c>
      <c r="L1035">
        <v>1.4043000000000001E-4</v>
      </c>
      <c r="M1035" s="1">
        <v>8.3300000000000005E-5</v>
      </c>
      <c r="N1035">
        <v>1.3213799999999999E-4</v>
      </c>
      <c r="O1035">
        <v>1.4039E-4</v>
      </c>
      <c r="P1035">
        <v>1.2487300000000001E-4</v>
      </c>
      <c r="Q1035">
        <v>1.2513499999999999E-4</v>
      </c>
      <c r="R1035">
        <v>1.8022099999999999E-4</v>
      </c>
      <c r="S1035">
        <v>1.7133900000000001E-4</v>
      </c>
      <c r="T1035" s="1">
        <v>8.7100000000000003E-5</v>
      </c>
    </row>
    <row r="1036" spans="1:20" hidden="1" x14ac:dyDescent="0.25">
      <c r="A1036" t="s">
        <v>1054</v>
      </c>
      <c r="B1036">
        <v>3.78787E-4</v>
      </c>
      <c r="C1036">
        <v>5.9554599999999997E-4</v>
      </c>
      <c r="D1036">
        <v>6.0780299999999997E-4</v>
      </c>
      <c r="E1036">
        <v>5.9699099999999995E-4</v>
      </c>
      <c r="F1036">
        <v>4.8392200000000002E-4</v>
      </c>
      <c r="G1036">
        <v>4.8500799999999999E-4</v>
      </c>
      <c r="H1036">
        <v>4.5575699999999999E-4</v>
      </c>
      <c r="I1036">
        <v>4.2322300000000002E-4</v>
      </c>
      <c r="J1036">
        <v>4.4642999999999999E-4</v>
      </c>
      <c r="K1036">
        <v>6.5268699999999999E-4</v>
      </c>
      <c r="L1036">
        <v>7.0281300000000005E-4</v>
      </c>
      <c r="M1036">
        <v>2.47039E-4</v>
      </c>
      <c r="N1036">
        <v>2.9837100000000002E-4</v>
      </c>
      <c r="O1036">
        <v>3.3804499999999998E-4</v>
      </c>
      <c r="P1036">
        <v>2.50447E-4</v>
      </c>
      <c r="Q1036">
        <v>2.73553E-4</v>
      </c>
      <c r="R1036">
        <v>3.9107299999999997E-4</v>
      </c>
      <c r="S1036">
        <v>3.42002E-4</v>
      </c>
      <c r="T1036">
        <v>2.6534099999999999E-4</v>
      </c>
    </row>
    <row r="1037" spans="1:20" hidden="1" x14ac:dyDescent="0.25">
      <c r="A1037" t="s">
        <v>1055</v>
      </c>
      <c r="B1037">
        <v>1.186905E-3</v>
      </c>
      <c r="C1037">
        <v>2.7786159999999998E-3</v>
      </c>
      <c r="D1037">
        <v>2.7186670000000001E-3</v>
      </c>
      <c r="E1037">
        <v>3.0935950000000002E-3</v>
      </c>
      <c r="F1037">
        <v>2.1575969999999998E-3</v>
      </c>
      <c r="G1037">
        <v>1.601445E-3</v>
      </c>
      <c r="H1037">
        <v>1.639429E-3</v>
      </c>
      <c r="I1037">
        <v>1.7602049999999999E-3</v>
      </c>
      <c r="J1037">
        <v>1.3769629999999999E-3</v>
      </c>
      <c r="K1037">
        <v>2.5778799999999998E-3</v>
      </c>
      <c r="L1037">
        <v>2.4953470000000002E-3</v>
      </c>
      <c r="M1037">
        <v>8.3357500000000003E-4</v>
      </c>
      <c r="N1037">
        <v>1.038675E-3</v>
      </c>
      <c r="O1037">
        <v>1.481366E-3</v>
      </c>
      <c r="P1037">
        <v>5.4970500000000005E-4</v>
      </c>
      <c r="Q1037">
        <v>4.2671499999999998E-4</v>
      </c>
      <c r="R1037">
        <v>4.2733300000000001E-4</v>
      </c>
      <c r="S1037">
        <v>4.1802799999999998E-4</v>
      </c>
      <c r="T1037">
        <v>4.2114499999999999E-4</v>
      </c>
    </row>
    <row r="1038" spans="1:20" hidden="1" x14ac:dyDescent="0.25">
      <c r="A1038" t="s">
        <v>1056</v>
      </c>
      <c r="B1038">
        <v>3.5192300000000003E-4</v>
      </c>
      <c r="C1038">
        <v>6.2577100000000001E-4</v>
      </c>
      <c r="D1038">
        <v>6.20062E-4</v>
      </c>
      <c r="E1038">
        <v>7.1337600000000005E-4</v>
      </c>
      <c r="F1038">
        <v>4.0863100000000001E-4</v>
      </c>
      <c r="G1038">
        <v>4.20849E-4</v>
      </c>
      <c r="H1038">
        <v>5.5823299999999999E-4</v>
      </c>
      <c r="I1038">
        <v>4.1034099999999999E-4</v>
      </c>
      <c r="J1038">
        <v>3.9791799999999998E-4</v>
      </c>
      <c r="K1038">
        <v>6.4731999999999995E-4</v>
      </c>
      <c r="L1038">
        <v>6.5196299999999998E-4</v>
      </c>
      <c r="M1038">
        <v>3.2475199999999998E-4</v>
      </c>
      <c r="N1038">
        <v>3.9856100000000002E-4</v>
      </c>
      <c r="O1038">
        <v>3.9115800000000001E-4</v>
      </c>
      <c r="P1038">
        <v>2.28767E-4</v>
      </c>
      <c r="Q1038">
        <v>2.1268099999999999E-4</v>
      </c>
      <c r="R1038">
        <v>2.9568699999999999E-4</v>
      </c>
      <c r="S1038">
        <v>2.7641900000000002E-4</v>
      </c>
      <c r="T1038">
        <v>2.7089399999999999E-4</v>
      </c>
    </row>
    <row r="1039" spans="1:20" hidden="1" x14ac:dyDescent="0.25">
      <c r="A1039" t="s">
        <v>1057</v>
      </c>
      <c r="B1039" s="1">
        <v>6.6299999999999999E-5</v>
      </c>
      <c r="C1039" s="1">
        <v>8.8200000000000003E-5</v>
      </c>
      <c r="D1039" s="1">
        <v>5.8100000000000003E-5</v>
      </c>
      <c r="E1039" s="1">
        <v>6.8399999999999996E-5</v>
      </c>
      <c r="F1039" s="1">
        <v>7.9200000000000001E-5</v>
      </c>
      <c r="G1039" s="1">
        <v>7.8899999999999993E-5</v>
      </c>
      <c r="H1039" s="1">
        <v>8.2299999999999995E-5</v>
      </c>
      <c r="I1039" s="1">
        <v>7.8999999999999996E-5</v>
      </c>
      <c r="J1039" s="1">
        <v>6.8899999999999994E-5</v>
      </c>
      <c r="K1039" s="1">
        <v>7.08E-5</v>
      </c>
      <c r="L1039" s="1">
        <v>8.0799999999999999E-5</v>
      </c>
      <c r="M1039" s="1">
        <v>5.1499999999999998E-5</v>
      </c>
      <c r="N1039" s="1">
        <v>4.6499999999999999E-5</v>
      </c>
      <c r="O1039" s="1">
        <v>7.25E-5</v>
      </c>
      <c r="P1039" s="1">
        <v>7.9599999999999997E-5</v>
      </c>
      <c r="Q1039" s="1">
        <v>6.2199999999999994E-5</v>
      </c>
      <c r="R1039" s="1">
        <v>6.8499999999999998E-5</v>
      </c>
      <c r="S1039" s="1">
        <v>4.2400000000000001E-5</v>
      </c>
      <c r="T1039" s="1">
        <v>5.0399999999999999E-5</v>
      </c>
    </row>
    <row r="1040" spans="1:20" hidden="1" x14ac:dyDescent="0.25">
      <c r="A1040" t="s">
        <v>1058</v>
      </c>
      <c r="B1040">
        <v>7.4663699999999997E-4</v>
      </c>
      <c r="C1040">
        <v>1.1497219999999999E-3</v>
      </c>
      <c r="D1040">
        <v>1.08814E-3</v>
      </c>
      <c r="E1040">
        <v>6.2702999999999999E-4</v>
      </c>
      <c r="F1040">
        <v>5.70408E-4</v>
      </c>
      <c r="G1040">
        <v>6.5613599999999998E-4</v>
      </c>
      <c r="H1040">
        <v>4.48947E-4</v>
      </c>
      <c r="I1040">
        <v>6.6765100000000001E-4</v>
      </c>
      <c r="J1040">
        <v>5.0950400000000003E-4</v>
      </c>
      <c r="K1040">
        <v>6.8062699999999995E-4</v>
      </c>
      <c r="L1040">
        <v>6.86015E-4</v>
      </c>
      <c r="M1040">
        <v>4.5203399999999998E-4</v>
      </c>
      <c r="N1040">
        <v>5.0846300000000001E-4</v>
      </c>
      <c r="O1040">
        <v>5.6172600000000002E-4</v>
      </c>
      <c r="P1040">
        <v>2.7572000000000002E-4</v>
      </c>
      <c r="Q1040">
        <v>1.98684E-4</v>
      </c>
      <c r="R1040">
        <v>1.59338E-4</v>
      </c>
      <c r="S1040">
        <v>1.25995E-4</v>
      </c>
      <c r="T1040">
        <v>2.2783600000000001E-4</v>
      </c>
    </row>
    <row r="1041" spans="1:20" hidden="1" x14ac:dyDescent="0.25">
      <c r="A1041" t="s">
        <v>1059</v>
      </c>
      <c r="B1041">
        <v>3.9672359999999999E-3</v>
      </c>
      <c r="C1041">
        <v>3.7222129999999998E-3</v>
      </c>
      <c r="D1041">
        <v>3.9519400000000001E-3</v>
      </c>
      <c r="E1041">
        <v>3.8399049999999998E-3</v>
      </c>
      <c r="F1041">
        <v>4.3135439999999999E-3</v>
      </c>
      <c r="G1041">
        <v>3.824844E-3</v>
      </c>
      <c r="H1041">
        <v>5.1615430000000002E-3</v>
      </c>
      <c r="I1041">
        <v>3.3982420000000001E-3</v>
      </c>
      <c r="J1041">
        <v>3.0201310000000001E-3</v>
      </c>
      <c r="K1041">
        <v>2.7720829999999998E-3</v>
      </c>
      <c r="L1041">
        <v>3.0168439999999999E-3</v>
      </c>
      <c r="M1041">
        <v>3.6451270000000002E-3</v>
      </c>
      <c r="N1041">
        <v>2.7904869999999999E-3</v>
      </c>
      <c r="O1041">
        <v>3.7277019999999998E-3</v>
      </c>
      <c r="P1041">
        <v>3.5127280000000001E-3</v>
      </c>
      <c r="Q1041">
        <v>4.127337E-3</v>
      </c>
      <c r="R1041">
        <v>3.575534E-3</v>
      </c>
      <c r="S1041">
        <v>3.2541250000000001E-3</v>
      </c>
      <c r="T1041">
        <v>4.0646579999999996E-3</v>
      </c>
    </row>
    <row r="1042" spans="1:20" hidden="1" x14ac:dyDescent="0.25">
      <c r="A1042" t="s">
        <v>1060</v>
      </c>
      <c r="B1042">
        <v>4.5915000000000002E-4</v>
      </c>
      <c r="C1042">
        <v>3.9110099999999998E-4</v>
      </c>
      <c r="D1042">
        <v>5.8553499999999998E-4</v>
      </c>
      <c r="E1042">
        <v>5.26558E-4</v>
      </c>
      <c r="F1042">
        <v>6.45175E-4</v>
      </c>
      <c r="G1042">
        <v>3.8697299999999998E-4</v>
      </c>
      <c r="H1042">
        <v>5.27405E-4</v>
      </c>
      <c r="I1042">
        <v>4.6828100000000002E-4</v>
      </c>
      <c r="J1042">
        <v>3.5625199999999999E-4</v>
      </c>
      <c r="K1042">
        <v>3.52321E-4</v>
      </c>
      <c r="L1042">
        <v>3.8412599999999999E-4</v>
      </c>
      <c r="M1042">
        <v>5.0882200000000003E-4</v>
      </c>
      <c r="N1042">
        <v>3.7335999999999999E-4</v>
      </c>
      <c r="O1042">
        <v>4.5619299999999997E-4</v>
      </c>
      <c r="P1042">
        <v>3.8141599999999998E-4</v>
      </c>
      <c r="Q1042">
        <v>4.7590499999999999E-4</v>
      </c>
      <c r="R1042">
        <v>4.5769300000000001E-4</v>
      </c>
      <c r="S1042">
        <v>2.8737100000000002E-4</v>
      </c>
      <c r="T1042">
        <v>4.23566E-4</v>
      </c>
    </row>
    <row r="1043" spans="1:20" hidden="1" x14ac:dyDescent="0.25">
      <c r="A1043" t="s">
        <v>1061</v>
      </c>
      <c r="B1043">
        <v>5.104188E-3</v>
      </c>
      <c r="C1043">
        <v>4.2717160000000001E-3</v>
      </c>
      <c r="D1043">
        <v>2.9988860000000001E-3</v>
      </c>
      <c r="E1043">
        <v>3.3426490000000001E-3</v>
      </c>
      <c r="F1043">
        <v>3.6908570000000001E-3</v>
      </c>
      <c r="G1043">
        <v>4.9493840000000002E-3</v>
      </c>
      <c r="H1043">
        <v>8.8534870000000002E-3</v>
      </c>
      <c r="I1043">
        <v>3.8469860000000002E-3</v>
      </c>
      <c r="J1043">
        <v>4.0616269999999999E-3</v>
      </c>
      <c r="K1043">
        <v>3.0095109999999999E-3</v>
      </c>
      <c r="L1043">
        <v>2.6453230000000002E-3</v>
      </c>
      <c r="M1043">
        <v>4.1113479999999999E-3</v>
      </c>
      <c r="N1043">
        <v>4.1473919999999997E-3</v>
      </c>
      <c r="O1043">
        <v>3.6450670000000001E-3</v>
      </c>
      <c r="P1043">
        <v>4.3627869999999999E-3</v>
      </c>
      <c r="Q1043">
        <v>3.5192489999999999E-3</v>
      </c>
      <c r="R1043">
        <v>2.6799129999999999E-3</v>
      </c>
      <c r="S1043">
        <v>1.290809E-3</v>
      </c>
      <c r="T1043">
        <v>1.830297E-3</v>
      </c>
    </row>
    <row r="1044" spans="1:20" hidden="1" x14ac:dyDescent="0.25">
      <c r="A1044" t="s">
        <v>1062</v>
      </c>
      <c r="B1044">
        <v>2.8241300000000002E-4</v>
      </c>
      <c r="C1044">
        <v>3.03682E-4</v>
      </c>
      <c r="D1044">
        <v>3.8938200000000002E-4</v>
      </c>
      <c r="E1044">
        <v>3.1426700000000002E-4</v>
      </c>
      <c r="F1044">
        <v>4.9093699999999999E-4</v>
      </c>
      <c r="G1044">
        <v>3.6519800000000001E-4</v>
      </c>
      <c r="H1044">
        <v>3.5050899999999999E-4</v>
      </c>
      <c r="I1044">
        <v>3.19127E-4</v>
      </c>
      <c r="J1044">
        <v>4.10827E-4</v>
      </c>
      <c r="K1044">
        <v>3.3269199999999999E-4</v>
      </c>
      <c r="L1044">
        <v>3.4612999999999999E-4</v>
      </c>
      <c r="M1044">
        <v>2.27152E-4</v>
      </c>
      <c r="N1044">
        <v>1.2241500000000001E-4</v>
      </c>
      <c r="O1044">
        <v>3.34638E-4</v>
      </c>
      <c r="P1044">
        <v>1.9542E-4</v>
      </c>
      <c r="Q1044" s="1">
        <v>8.1799999999999996E-5</v>
      </c>
      <c r="R1044">
        <v>1.11092E-4</v>
      </c>
      <c r="S1044">
        <v>1.3178699999999999E-4</v>
      </c>
      <c r="T1044" s="1">
        <v>8.5699999999999996E-5</v>
      </c>
    </row>
    <row r="1045" spans="1:20" hidden="1" x14ac:dyDescent="0.25">
      <c r="A1045" t="s">
        <v>1063</v>
      </c>
      <c r="B1045" s="1">
        <v>2.9499999999999999E-5</v>
      </c>
      <c r="C1045" s="1">
        <v>4.2899999999999999E-5</v>
      </c>
      <c r="D1045" s="1">
        <v>3.1600000000000002E-5</v>
      </c>
      <c r="E1045">
        <v>0</v>
      </c>
      <c r="F1045" s="1">
        <v>3.4700000000000003E-5</v>
      </c>
      <c r="G1045" s="1">
        <v>6.3100000000000002E-5</v>
      </c>
      <c r="H1045" s="1">
        <v>6.02E-5</v>
      </c>
      <c r="I1045" s="1">
        <v>4.0000000000000003E-5</v>
      </c>
      <c r="J1045" s="1">
        <v>3.0499999999999999E-5</v>
      </c>
      <c r="K1045" s="1">
        <v>5.0399999999999999E-5</v>
      </c>
      <c r="L1045" s="1">
        <v>3.8999999999999999E-5</v>
      </c>
      <c r="M1045" s="1">
        <v>2.8399999999999999E-5</v>
      </c>
      <c r="N1045" s="1">
        <v>2.1100000000000001E-5</v>
      </c>
      <c r="O1045">
        <v>0</v>
      </c>
      <c r="P1045">
        <v>0</v>
      </c>
      <c r="Q1045" s="1">
        <v>5.0500000000000001E-5</v>
      </c>
      <c r="R1045" s="1">
        <v>3.79E-5</v>
      </c>
      <c r="S1045" s="1">
        <v>3.1399999999999998E-5</v>
      </c>
      <c r="T1045" s="1">
        <v>4.6999999999999997E-5</v>
      </c>
    </row>
    <row r="1046" spans="1:20" hidden="1" x14ac:dyDescent="0.25">
      <c r="A1046" t="s">
        <v>1064</v>
      </c>
      <c r="B1046">
        <v>0</v>
      </c>
      <c r="C1046" s="1">
        <v>2.5199999999999999E-5</v>
      </c>
      <c r="D1046" s="1">
        <v>1.8300000000000001E-5</v>
      </c>
      <c r="E1046" s="1">
        <v>1.98E-5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s="1">
        <v>6.5899999999999996E-6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hidden="1" x14ac:dyDescent="0.25">
      <c r="A1047" t="s">
        <v>1065</v>
      </c>
      <c r="B1047">
        <v>1.57801E-4</v>
      </c>
      <c r="C1047">
        <v>1.8076600000000001E-4</v>
      </c>
      <c r="D1047">
        <v>2.2126900000000001E-4</v>
      </c>
      <c r="E1047">
        <v>1.96491E-4</v>
      </c>
      <c r="F1047">
        <v>2.8487400000000001E-4</v>
      </c>
      <c r="G1047">
        <v>1.13521E-4</v>
      </c>
      <c r="H1047">
        <v>1.4775500000000001E-4</v>
      </c>
      <c r="I1047">
        <v>1.5902000000000001E-4</v>
      </c>
      <c r="J1047">
        <v>1.19076E-4</v>
      </c>
      <c r="K1047">
        <v>1.6503399999999999E-4</v>
      </c>
      <c r="L1047">
        <v>1.2242700000000001E-4</v>
      </c>
      <c r="M1047">
        <v>1.2636099999999999E-4</v>
      </c>
      <c r="N1047" s="1">
        <v>8.2200000000000006E-5</v>
      </c>
      <c r="O1047">
        <v>1.21731E-4</v>
      </c>
      <c r="P1047" s="1">
        <v>8.6000000000000003E-5</v>
      </c>
      <c r="Q1047" s="1">
        <v>8.7000000000000001E-5</v>
      </c>
      <c r="R1047" s="1">
        <v>6.6400000000000001E-5</v>
      </c>
      <c r="S1047">
        <v>5.1770799999999997E-4</v>
      </c>
      <c r="T1047" s="1">
        <v>9.0199999999999997E-5</v>
      </c>
    </row>
    <row r="1048" spans="1:20" hidden="1" x14ac:dyDescent="0.25">
      <c r="A1048" t="s">
        <v>1066</v>
      </c>
      <c r="B1048" s="1">
        <v>6.2799999999999995E-5</v>
      </c>
      <c r="C1048">
        <v>1.0063799999999999E-4</v>
      </c>
      <c r="D1048" s="1">
        <v>2.3200000000000001E-5</v>
      </c>
      <c r="E1048">
        <v>0</v>
      </c>
      <c r="F1048" s="1">
        <v>7.2100000000000004E-5</v>
      </c>
      <c r="G1048" s="1">
        <v>7.4300000000000004E-5</v>
      </c>
      <c r="H1048" s="1">
        <v>6.41E-5</v>
      </c>
      <c r="I1048" s="1">
        <v>8.5099999999999995E-5</v>
      </c>
      <c r="J1048" s="1">
        <v>4.5800000000000002E-5</v>
      </c>
      <c r="K1048" s="1">
        <v>2.23E-5</v>
      </c>
      <c r="L1048" s="1">
        <v>3.3899999999999997E-5</v>
      </c>
      <c r="M1048" s="1">
        <v>3.8099999999999998E-5</v>
      </c>
      <c r="N1048" s="1">
        <v>3.4400000000000003E-5</v>
      </c>
      <c r="O1048" s="1">
        <v>4.6300000000000001E-5</v>
      </c>
      <c r="P1048" s="1">
        <v>3.5200000000000002E-5</v>
      </c>
      <c r="Q1048" s="1">
        <v>2.34E-5</v>
      </c>
      <c r="R1048" s="1">
        <v>3.6699999999999998E-5</v>
      </c>
      <c r="S1048" s="1">
        <v>4.2500000000000003E-5</v>
      </c>
      <c r="T1048" s="1">
        <v>1.9400000000000001E-5</v>
      </c>
    </row>
    <row r="1049" spans="1:20" hidden="1" x14ac:dyDescent="0.25">
      <c r="A1049" t="s">
        <v>1067</v>
      </c>
      <c r="B1049">
        <v>0</v>
      </c>
      <c r="C1049" s="1">
        <v>1.9599999999999999E-5</v>
      </c>
      <c r="D1049" s="1">
        <v>1.06E-5</v>
      </c>
      <c r="E1049" s="1">
        <v>1.6399999999999999E-5</v>
      </c>
      <c r="F1049">
        <v>0</v>
      </c>
      <c r="G1049" s="1">
        <v>1.34E-5</v>
      </c>
      <c r="H1049">
        <v>0</v>
      </c>
      <c r="I1049" s="1">
        <v>1.0499999999999999E-5</v>
      </c>
      <c r="J1049">
        <v>0</v>
      </c>
      <c r="K1049" s="1">
        <v>1.2999999999999999E-5</v>
      </c>
      <c r="L1049" s="1">
        <v>1.2799999999999999E-5</v>
      </c>
      <c r="M1049">
        <v>0</v>
      </c>
      <c r="N1049">
        <v>0</v>
      </c>
      <c r="O1049" s="1">
        <v>8.2900000000000002E-6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hidden="1" x14ac:dyDescent="0.25">
      <c r="A1050" t="s">
        <v>1068</v>
      </c>
      <c r="B1050">
        <v>3.3117900000000002E-4</v>
      </c>
      <c r="C1050">
        <v>5.0122100000000004E-4</v>
      </c>
      <c r="D1050">
        <v>3.8149100000000002E-4</v>
      </c>
      <c r="E1050">
        <v>4.3646800000000002E-4</v>
      </c>
      <c r="F1050">
        <v>7.5744899999999999E-4</v>
      </c>
      <c r="G1050">
        <v>3.9031E-4</v>
      </c>
      <c r="H1050">
        <v>3.0744600000000001E-4</v>
      </c>
      <c r="I1050">
        <v>4.8525400000000001E-4</v>
      </c>
      <c r="J1050">
        <v>4.1599600000000002E-4</v>
      </c>
      <c r="K1050">
        <v>4.2597099999999998E-4</v>
      </c>
      <c r="L1050">
        <v>3.9091799999999997E-4</v>
      </c>
      <c r="M1050">
        <v>2.6770199999999998E-4</v>
      </c>
      <c r="N1050">
        <v>2.2785700000000001E-4</v>
      </c>
      <c r="O1050">
        <v>3.6803900000000002E-4</v>
      </c>
      <c r="P1050">
        <v>2.3796000000000001E-4</v>
      </c>
      <c r="Q1050">
        <v>1.9377399999999999E-4</v>
      </c>
      <c r="R1050">
        <v>1.4394000000000001E-4</v>
      </c>
      <c r="S1050">
        <v>1.4287300000000001E-4</v>
      </c>
      <c r="T1050">
        <v>1.5356199999999999E-4</v>
      </c>
    </row>
    <row r="1051" spans="1:20" hidden="1" x14ac:dyDescent="0.25">
      <c r="A1051" t="s">
        <v>1069</v>
      </c>
      <c r="B1051" s="1">
        <v>3.0199999999999999E-5</v>
      </c>
      <c r="C1051" s="1">
        <v>2.7900000000000001E-5</v>
      </c>
      <c r="D1051" s="1">
        <v>2.3E-5</v>
      </c>
      <c r="E1051" s="1">
        <v>1.7499999999999998E-5</v>
      </c>
      <c r="F1051" s="1">
        <v>2.12E-5</v>
      </c>
      <c r="G1051" s="1">
        <v>3.9700000000000003E-5</v>
      </c>
      <c r="H1051" s="1">
        <v>3.1300000000000002E-5</v>
      </c>
      <c r="I1051" s="1">
        <v>2.4700000000000001E-5</v>
      </c>
      <c r="J1051" s="1">
        <v>3.2400000000000001E-5</v>
      </c>
      <c r="K1051" s="1">
        <v>2.9499999999999999E-5</v>
      </c>
      <c r="L1051" s="1">
        <v>2.5599999999999999E-5</v>
      </c>
      <c r="M1051" s="1">
        <v>3.04E-5</v>
      </c>
      <c r="N1051" s="1">
        <v>1.9599999999999999E-5</v>
      </c>
      <c r="O1051" s="1">
        <v>1.6500000000000001E-5</v>
      </c>
      <c r="P1051" s="1">
        <v>3.3099999999999998E-5</v>
      </c>
      <c r="Q1051" s="1">
        <v>5.5699999999999999E-5</v>
      </c>
      <c r="R1051" s="1">
        <v>4.35E-5</v>
      </c>
      <c r="S1051" s="1">
        <v>3.0499999999999999E-5</v>
      </c>
      <c r="T1051" s="1">
        <v>5.1799999999999999E-5</v>
      </c>
    </row>
    <row r="1052" spans="1:20" hidden="1" x14ac:dyDescent="0.25">
      <c r="A1052" t="s">
        <v>1070</v>
      </c>
      <c r="B1052">
        <v>0</v>
      </c>
      <c r="C1052" s="1">
        <v>2.0999999999999999E-5</v>
      </c>
      <c r="D1052" s="1">
        <v>2.72E-5</v>
      </c>
      <c r="E1052" s="1">
        <v>2.44E-5</v>
      </c>
      <c r="F1052">
        <v>0</v>
      </c>
      <c r="G1052">
        <v>0</v>
      </c>
      <c r="H1052">
        <v>0</v>
      </c>
      <c r="I1052">
        <v>0</v>
      </c>
      <c r="J1052" s="1">
        <v>1.03E-5</v>
      </c>
      <c r="K1052" s="1">
        <v>1.2300000000000001E-5</v>
      </c>
      <c r="L1052" s="1">
        <v>2.0400000000000001E-5</v>
      </c>
      <c r="M1052">
        <v>0</v>
      </c>
      <c r="N1052" s="1">
        <v>1.0200000000000001E-5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hidden="1" x14ac:dyDescent="0.25">
      <c r="A1053" t="s">
        <v>1071</v>
      </c>
      <c r="B1053">
        <v>3.4453400000000002E-4</v>
      </c>
      <c r="C1053">
        <v>3.47311E-4</v>
      </c>
      <c r="D1053">
        <v>3.1424600000000001E-4</v>
      </c>
      <c r="E1053">
        <v>2.7235900000000001E-4</v>
      </c>
      <c r="F1053">
        <v>3.10489E-4</v>
      </c>
      <c r="G1053">
        <v>4.5549300000000001E-4</v>
      </c>
      <c r="H1053">
        <v>3.08468E-4</v>
      </c>
      <c r="I1053">
        <v>3.6177300000000002E-4</v>
      </c>
      <c r="J1053">
        <v>4.8921299999999995E-4</v>
      </c>
      <c r="K1053">
        <v>4.6431100000000002E-4</v>
      </c>
      <c r="L1053">
        <v>5.2177099999999998E-4</v>
      </c>
      <c r="M1053">
        <v>5.4771400000000004E-4</v>
      </c>
      <c r="N1053">
        <v>2.8147699999999998E-4</v>
      </c>
      <c r="O1053">
        <v>4.2847000000000002E-4</v>
      </c>
      <c r="P1053">
        <v>7.3016300000000004E-4</v>
      </c>
      <c r="Q1053">
        <v>5.6994299999999995E-4</v>
      </c>
      <c r="R1053">
        <v>6.1107100000000003E-4</v>
      </c>
      <c r="S1053">
        <v>3.1637400000000002E-4</v>
      </c>
      <c r="T1053">
        <v>4.7206100000000002E-4</v>
      </c>
    </row>
    <row r="1054" spans="1:20" hidden="1" x14ac:dyDescent="0.25">
      <c r="A1054" t="s">
        <v>1072</v>
      </c>
      <c r="B1054">
        <v>2.0573900000000001E-3</v>
      </c>
      <c r="C1054">
        <v>2.0130590000000002E-3</v>
      </c>
      <c r="D1054">
        <v>1.937093E-3</v>
      </c>
      <c r="E1054">
        <v>2.1035939999999999E-3</v>
      </c>
      <c r="F1054">
        <v>1.553189E-3</v>
      </c>
      <c r="G1054">
        <v>2.0661149999999999E-3</v>
      </c>
      <c r="H1054">
        <v>1.1995860000000001E-3</v>
      </c>
      <c r="I1054">
        <v>1.6895969999999999E-3</v>
      </c>
      <c r="J1054">
        <v>1.609594E-3</v>
      </c>
      <c r="K1054">
        <v>1.806041E-3</v>
      </c>
      <c r="L1054">
        <v>2.4996770000000001E-3</v>
      </c>
      <c r="M1054">
        <v>2.1700360000000002E-3</v>
      </c>
      <c r="N1054">
        <v>1.763031E-3</v>
      </c>
      <c r="O1054">
        <v>1.7884070000000001E-3</v>
      </c>
      <c r="P1054">
        <v>1.858546E-3</v>
      </c>
      <c r="Q1054">
        <v>2.1056759999999999E-3</v>
      </c>
      <c r="R1054">
        <v>1.5924750000000001E-3</v>
      </c>
      <c r="S1054">
        <v>1.8561980000000001E-3</v>
      </c>
      <c r="T1054">
        <v>2.236474E-3</v>
      </c>
    </row>
    <row r="1055" spans="1:20" hidden="1" x14ac:dyDescent="0.25">
      <c r="A1055" t="s">
        <v>1073</v>
      </c>
      <c r="B1055">
        <v>1.6364799999999999E-4</v>
      </c>
      <c r="C1055">
        <v>1.6996099999999999E-4</v>
      </c>
      <c r="D1055">
        <v>1.8332400000000001E-4</v>
      </c>
      <c r="E1055">
        <v>1.7522800000000001E-4</v>
      </c>
      <c r="F1055">
        <v>1.46472E-4</v>
      </c>
      <c r="G1055">
        <v>1.5194199999999999E-4</v>
      </c>
      <c r="H1055">
        <v>1.19363E-4</v>
      </c>
      <c r="I1055">
        <v>1.6669499999999999E-4</v>
      </c>
      <c r="J1055">
        <v>1.5883299999999999E-4</v>
      </c>
      <c r="K1055">
        <v>1.8345699999999999E-4</v>
      </c>
      <c r="L1055">
        <v>1.8307800000000001E-4</v>
      </c>
      <c r="M1055">
        <v>1.3072600000000001E-4</v>
      </c>
      <c r="N1055">
        <v>1.03137E-4</v>
      </c>
      <c r="O1055">
        <v>1.3343900000000001E-4</v>
      </c>
      <c r="P1055">
        <v>1.2742100000000001E-4</v>
      </c>
      <c r="Q1055">
        <v>1.56098E-4</v>
      </c>
      <c r="R1055">
        <v>1.2719700000000001E-4</v>
      </c>
      <c r="S1055" s="1">
        <v>6.8499999999999998E-5</v>
      </c>
      <c r="T1055">
        <v>1.0617500000000001E-4</v>
      </c>
    </row>
    <row r="1056" spans="1:20" hidden="1" x14ac:dyDescent="0.25">
      <c r="A1056" t="s">
        <v>1074</v>
      </c>
      <c r="B1056">
        <v>2.5986999999999999E-4</v>
      </c>
      <c r="C1056">
        <v>2.4673099999999998E-4</v>
      </c>
      <c r="D1056">
        <v>2.2273200000000001E-4</v>
      </c>
      <c r="E1056">
        <v>1.6355800000000001E-4</v>
      </c>
      <c r="F1056">
        <v>3.1192900000000001E-4</v>
      </c>
      <c r="G1056">
        <v>1.98445E-4</v>
      </c>
      <c r="H1056">
        <v>2.8379000000000002E-4</v>
      </c>
      <c r="I1056">
        <v>2.3715699999999999E-4</v>
      </c>
      <c r="J1056">
        <v>2.57505E-4</v>
      </c>
      <c r="K1056">
        <v>2.5281799999999998E-4</v>
      </c>
      <c r="L1056">
        <v>3.2292699999999998E-4</v>
      </c>
      <c r="M1056">
        <v>1.66121E-4</v>
      </c>
      <c r="N1056">
        <v>1.77157E-4</v>
      </c>
      <c r="O1056">
        <v>1.3059700000000001E-4</v>
      </c>
      <c r="P1056">
        <v>1.6818099999999999E-4</v>
      </c>
      <c r="Q1056">
        <v>1.7639000000000001E-4</v>
      </c>
      <c r="R1056">
        <v>1.76787E-4</v>
      </c>
      <c r="S1056" s="1">
        <v>6.8999999999999997E-5</v>
      </c>
      <c r="T1056">
        <v>1.05235E-4</v>
      </c>
    </row>
    <row r="1057" spans="1:20" hidden="1" x14ac:dyDescent="0.25">
      <c r="A1057" t="s">
        <v>1075</v>
      </c>
      <c r="B1057">
        <v>0</v>
      </c>
      <c r="C1057">
        <v>0</v>
      </c>
      <c r="D1057">
        <v>0</v>
      </c>
      <c r="E1057">
        <v>0</v>
      </c>
      <c r="F1057">
        <v>0</v>
      </c>
      <c r="G1057" s="1">
        <v>4.5000000000000003E-5</v>
      </c>
      <c r="H1057" s="1">
        <v>2.12E-5</v>
      </c>
      <c r="I1057">
        <v>0</v>
      </c>
      <c r="J1057">
        <v>0</v>
      </c>
      <c r="K1057" s="1">
        <v>1.8300000000000001E-5</v>
      </c>
      <c r="L1057">
        <v>0</v>
      </c>
      <c r="M1057">
        <v>0</v>
      </c>
      <c r="N1057">
        <v>0</v>
      </c>
      <c r="O1057">
        <v>0</v>
      </c>
      <c r="P1057" s="1">
        <v>3.8099999999999998E-5</v>
      </c>
      <c r="Q1057">
        <v>1.1356700000000001E-4</v>
      </c>
      <c r="R1057" s="1">
        <v>6.9900000000000005E-5</v>
      </c>
      <c r="S1057" s="1">
        <v>4.5500000000000001E-5</v>
      </c>
      <c r="T1057">
        <v>2.6526399999999997E-4</v>
      </c>
    </row>
    <row r="1058" spans="1:20" hidden="1" x14ac:dyDescent="0.25">
      <c r="A1058" t="s">
        <v>1076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3.4222099999999997E-4</v>
      </c>
      <c r="R1058">
        <v>3.1263299999999999E-4</v>
      </c>
      <c r="S1058">
        <v>1.3450100000000001E-4</v>
      </c>
      <c r="T1058">
        <v>5.5977200000000005E-4</v>
      </c>
    </row>
    <row r="1059" spans="1:20" hidden="1" x14ac:dyDescent="0.25">
      <c r="A1059" t="s">
        <v>1077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3.1094800000000002E-4</v>
      </c>
      <c r="R1059">
        <v>1.85899E-4</v>
      </c>
      <c r="S1059">
        <v>1.4448600000000001E-4</v>
      </c>
      <c r="T1059">
        <v>4.6764199999999999E-4</v>
      </c>
    </row>
    <row r="1060" spans="1:20" hidden="1" x14ac:dyDescent="0.25">
      <c r="A1060" t="s">
        <v>1078</v>
      </c>
      <c r="B1060">
        <v>0</v>
      </c>
      <c r="C1060">
        <v>0</v>
      </c>
      <c r="D1060">
        <v>0</v>
      </c>
      <c r="E1060">
        <v>0</v>
      </c>
      <c r="F1060">
        <v>1.1281900000000001E-4</v>
      </c>
      <c r="G1060">
        <v>1.9594100000000001E-4</v>
      </c>
      <c r="H1060">
        <v>0</v>
      </c>
      <c r="I1060" s="1">
        <v>9.5299999999999999E-5</v>
      </c>
      <c r="J1060" s="1">
        <v>9.0299999999999999E-5</v>
      </c>
      <c r="K1060">
        <v>1.4918900000000001E-4</v>
      </c>
      <c r="L1060">
        <v>0</v>
      </c>
      <c r="M1060">
        <v>0</v>
      </c>
      <c r="N1060">
        <v>0</v>
      </c>
      <c r="O1060">
        <v>0</v>
      </c>
      <c r="P1060">
        <v>1.61356E-4</v>
      </c>
      <c r="Q1060">
        <v>6.4607300000000005E-4</v>
      </c>
      <c r="R1060">
        <v>3.4437600000000002E-4</v>
      </c>
      <c r="S1060">
        <v>2.4325700000000001E-4</v>
      </c>
      <c r="T1060">
        <v>9.1303499999999998E-4</v>
      </c>
    </row>
    <row r="1061" spans="1:20" hidden="1" x14ac:dyDescent="0.25">
      <c r="A1061" t="s">
        <v>1079</v>
      </c>
      <c r="B1061">
        <v>0</v>
      </c>
      <c r="C1061">
        <v>0</v>
      </c>
      <c r="D1061">
        <v>0</v>
      </c>
      <c r="E1061">
        <v>0</v>
      </c>
      <c r="F1061" s="1">
        <v>8.7999999999999998E-5</v>
      </c>
      <c r="G1061">
        <v>1.6461899999999999E-4</v>
      </c>
      <c r="H1061">
        <v>0</v>
      </c>
      <c r="I1061">
        <v>0</v>
      </c>
      <c r="J1061" s="1">
        <v>7.5300000000000001E-5</v>
      </c>
      <c r="K1061" s="1">
        <v>9.6600000000000003E-5</v>
      </c>
      <c r="L1061">
        <v>0</v>
      </c>
      <c r="M1061">
        <v>0</v>
      </c>
      <c r="N1061">
        <v>0</v>
      </c>
      <c r="O1061">
        <v>0</v>
      </c>
      <c r="P1061">
        <v>1.6843000000000001E-4</v>
      </c>
      <c r="Q1061">
        <v>5.0211099999999996E-4</v>
      </c>
      <c r="R1061">
        <v>3.8370899999999998E-4</v>
      </c>
      <c r="S1061">
        <v>1.5765199999999999E-4</v>
      </c>
      <c r="T1061">
        <v>6.8902199999999996E-4</v>
      </c>
    </row>
    <row r="1062" spans="1:20" hidden="1" x14ac:dyDescent="0.25">
      <c r="A1062" t="s">
        <v>1080</v>
      </c>
      <c r="B1062" s="1">
        <v>1.6099999999999998E-5</v>
      </c>
      <c r="C1062">
        <v>0</v>
      </c>
      <c r="D1062">
        <v>0</v>
      </c>
      <c r="E1062">
        <v>0</v>
      </c>
      <c r="F1062" s="1">
        <v>4.2799999999999997E-5</v>
      </c>
      <c r="G1062" s="1">
        <v>5.1499999999999998E-5</v>
      </c>
      <c r="H1062" s="1">
        <v>2.6800000000000001E-5</v>
      </c>
      <c r="I1062" s="1">
        <v>3.3099999999999998E-5</v>
      </c>
      <c r="J1062" s="1">
        <v>2.3900000000000002E-5</v>
      </c>
      <c r="K1062" s="1">
        <v>2.3099999999999999E-5</v>
      </c>
      <c r="L1062">
        <v>0</v>
      </c>
      <c r="M1062" s="1">
        <v>1.56E-5</v>
      </c>
      <c r="N1062">
        <v>0</v>
      </c>
      <c r="O1062">
        <v>0</v>
      </c>
      <c r="P1062" s="1">
        <v>7.7700000000000005E-5</v>
      </c>
      <c r="Q1062">
        <v>2.10146E-4</v>
      </c>
      <c r="R1062">
        <v>1.3701100000000001E-4</v>
      </c>
      <c r="S1062" s="1">
        <v>5.7500000000000002E-5</v>
      </c>
      <c r="T1062">
        <v>2.9418100000000002E-4</v>
      </c>
    </row>
    <row r="1063" spans="1:20" hidden="1" x14ac:dyDescent="0.25">
      <c r="A1063" t="s">
        <v>1081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1.07409E-4</v>
      </c>
      <c r="Q1063">
        <v>3.1278399999999998E-4</v>
      </c>
      <c r="R1063">
        <v>1.7790699999999999E-4</v>
      </c>
      <c r="S1063">
        <v>0</v>
      </c>
      <c r="T1063">
        <v>4.3597800000000001E-4</v>
      </c>
    </row>
    <row r="1064" spans="1:20" hidden="1" x14ac:dyDescent="0.25">
      <c r="A1064" t="s">
        <v>1082</v>
      </c>
      <c r="B1064">
        <v>0</v>
      </c>
      <c r="C1064">
        <v>0</v>
      </c>
      <c r="D1064">
        <v>0</v>
      </c>
      <c r="E1064">
        <v>0</v>
      </c>
      <c r="F1064" s="1">
        <v>6.7000000000000002E-5</v>
      </c>
      <c r="G1064" s="1">
        <v>7.8499999999999997E-5</v>
      </c>
      <c r="H1064" s="1">
        <v>3.6399999999999997E-5</v>
      </c>
      <c r="I1064" s="1">
        <v>4.5500000000000001E-5</v>
      </c>
      <c r="J1064">
        <v>0</v>
      </c>
      <c r="K1064" s="1">
        <v>6.7999999999999999E-5</v>
      </c>
      <c r="L1064" s="1">
        <v>3.1600000000000002E-5</v>
      </c>
      <c r="M1064">
        <v>0</v>
      </c>
      <c r="N1064">
        <v>0</v>
      </c>
      <c r="O1064">
        <v>0</v>
      </c>
      <c r="P1064">
        <v>1.06166E-4</v>
      </c>
      <c r="Q1064">
        <v>3.6095799999999998E-4</v>
      </c>
      <c r="R1064">
        <v>2.2331900000000001E-4</v>
      </c>
      <c r="S1064" s="1">
        <v>9.2200000000000005E-5</v>
      </c>
      <c r="T1064">
        <v>5.4370899999999997E-4</v>
      </c>
    </row>
    <row r="1065" spans="1:20" hidden="1" x14ac:dyDescent="0.25">
      <c r="A1065" t="s">
        <v>1083</v>
      </c>
      <c r="B1065" s="1">
        <v>1.7799999999999999E-5</v>
      </c>
      <c r="C1065">
        <v>0</v>
      </c>
      <c r="D1065" s="1">
        <v>1.0000000000000001E-5</v>
      </c>
      <c r="E1065" s="1">
        <v>1.1800000000000001E-5</v>
      </c>
      <c r="F1065" s="1">
        <v>4.5599999999999997E-5</v>
      </c>
      <c r="G1065" s="1">
        <v>7.4400000000000006E-5</v>
      </c>
      <c r="H1065" s="1">
        <v>3.4400000000000003E-5</v>
      </c>
      <c r="I1065" s="1">
        <v>3.57E-5</v>
      </c>
      <c r="J1065" s="1">
        <v>2.5400000000000001E-5</v>
      </c>
      <c r="K1065" s="1">
        <v>3.1600000000000002E-5</v>
      </c>
      <c r="L1065" s="1">
        <v>2.05E-5</v>
      </c>
      <c r="M1065" s="1">
        <v>1.8700000000000001E-5</v>
      </c>
      <c r="N1065" s="1">
        <v>1.7900000000000001E-5</v>
      </c>
      <c r="O1065" s="1">
        <v>9.5000000000000005E-6</v>
      </c>
      <c r="P1065" s="1">
        <v>8.1799999999999996E-5</v>
      </c>
      <c r="Q1065">
        <v>2.8145699999999999E-4</v>
      </c>
      <c r="R1065">
        <v>1.90359E-4</v>
      </c>
      <c r="S1065">
        <v>1.29939E-4</v>
      </c>
      <c r="T1065">
        <v>4.6030300000000001E-4</v>
      </c>
    </row>
    <row r="1066" spans="1:20" hidden="1" x14ac:dyDescent="0.25">
      <c r="A1066" t="s">
        <v>1084</v>
      </c>
      <c r="B1066">
        <v>0</v>
      </c>
      <c r="C1066">
        <v>0</v>
      </c>
      <c r="D1066">
        <v>0</v>
      </c>
      <c r="E1066">
        <v>0</v>
      </c>
      <c r="F1066" s="1">
        <v>3.93E-5</v>
      </c>
      <c r="G1066" s="1">
        <v>3.8300000000000003E-5</v>
      </c>
      <c r="H1066" s="1">
        <v>2.02E-5</v>
      </c>
      <c r="I1066" s="1">
        <v>2.83E-5</v>
      </c>
      <c r="J1066" s="1">
        <v>1.95E-5</v>
      </c>
      <c r="K1066" s="1">
        <v>2.0000000000000002E-5</v>
      </c>
      <c r="L1066">
        <v>0</v>
      </c>
      <c r="M1066">
        <v>0</v>
      </c>
      <c r="N1066">
        <v>0</v>
      </c>
      <c r="O1066">
        <v>0</v>
      </c>
      <c r="P1066" s="1">
        <v>5.2800000000000003E-5</v>
      </c>
      <c r="Q1066">
        <v>1.87987E-4</v>
      </c>
      <c r="R1066">
        <v>1.3833699999999999E-4</v>
      </c>
      <c r="S1066" s="1">
        <v>5.0099999999999998E-5</v>
      </c>
      <c r="T1066">
        <v>3.1043599999999998E-4</v>
      </c>
    </row>
    <row r="1067" spans="1:20" hidden="1" x14ac:dyDescent="0.25">
      <c r="A1067" t="s">
        <v>1085</v>
      </c>
      <c r="B1067">
        <v>0</v>
      </c>
      <c r="C1067">
        <v>0</v>
      </c>
      <c r="D1067">
        <v>0</v>
      </c>
      <c r="E1067">
        <v>0</v>
      </c>
      <c r="F1067" s="1">
        <v>1.77E-5</v>
      </c>
      <c r="G1067" s="1">
        <v>4.6999999999999997E-5</v>
      </c>
      <c r="H1067" s="1">
        <v>2.87E-5</v>
      </c>
      <c r="I1067" s="1">
        <v>2.7900000000000001E-5</v>
      </c>
      <c r="J1067">
        <v>0</v>
      </c>
      <c r="K1067" s="1">
        <v>2.8900000000000001E-5</v>
      </c>
      <c r="L1067" s="1">
        <v>1.49E-5</v>
      </c>
      <c r="M1067" s="1">
        <v>1.2E-5</v>
      </c>
      <c r="N1067" s="1">
        <v>2.0599999999999999E-5</v>
      </c>
      <c r="O1067">
        <v>0</v>
      </c>
      <c r="P1067" s="1">
        <v>6.8300000000000007E-5</v>
      </c>
      <c r="Q1067">
        <v>2.17028E-4</v>
      </c>
      <c r="R1067">
        <v>1.3400900000000001E-4</v>
      </c>
      <c r="S1067" s="1">
        <v>7.0400000000000004E-5</v>
      </c>
      <c r="T1067">
        <v>4.04929E-4</v>
      </c>
    </row>
    <row r="1068" spans="1:20" hidden="1" x14ac:dyDescent="0.25">
      <c r="A1068" t="s">
        <v>1086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4.0207200000000001E-4</v>
      </c>
      <c r="R1068">
        <v>2.8165299999999998E-4</v>
      </c>
      <c r="S1068">
        <v>2.2113300000000001E-4</v>
      </c>
      <c r="T1068">
        <v>7.09696E-4</v>
      </c>
    </row>
    <row r="1069" spans="1:20" hidden="1" x14ac:dyDescent="0.25">
      <c r="A1069" t="s">
        <v>1087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1.3337099999999999E-4</v>
      </c>
      <c r="Q1069">
        <v>2.6513300000000002E-4</v>
      </c>
      <c r="R1069">
        <v>2.80346E-4</v>
      </c>
      <c r="S1069">
        <v>2.1762300000000001E-4</v>
      </c>
      <c r="T1069">
        <v>4.8439700000000002E-4</v>
      </c>
    </row>
    <row r="1070" spans="1:20" hidden="1" x14ac:dyDescent="0.25">
      <c r="A1070" t="s">
        <v>1088</v>
      </c>
      <c r="B1070">
        <v>0</v>
      </c>
      <c r="C1070">
        <v>0</v>
      </c>
      <c r="D1070">
        <v>0</v>
      </c>
      <c r="E1070">
        <v>0</v>
      </c>
      <c r="F1070" s="1">
        <v>4.9700000000000002E-5</v>
      </c>
      <c r="G1070" s="1">
        <v>6.2899999999999997E-5</v>
      </c>
      <c r="H1070" s="1">
        <v>2.94E-5</v>
      </c>
      <c r="I1070" s="1">
        <v>3.7499999999999997E-5</v>
      </c>
      <c r="J1070" s="1">
        <v>2.3600000000000001E-5</v>
      </c>
      <c r="K1070" s="1">
        <v>2.65E-5</v>
      </c>
      <c r="L1070" s="1">
        <v>1.04E-5</v>
      </c>
      <c r="M1070">
        <v>0</v>
      </c>
      <c r="N1070">
        <v>0</v>
      </c>
      <c r="O1070">
        <v>0</v>
      </c>
      <c r="P1070" s="1">
        <v>7.8999999999999996E-5</v>
      </c>
      <c r="Q1070">
        <v>2.2615800000000001E-4</v>
      </c>
      <c r="R1070">
        <v>2.19626E-4</v>
      </c>
      <c r="S1070" s="1">
        <v>6.1500000000000004E-5</v>
      </c>
      <c r="T1070">
        <v>3.31436E-4</v>
      </c>
    </row>
    <row r="1071" spans="1:20" hidden="1" x14ac:dyDescent="0.25">
      <c r="A1071" t="s">
        <v>1089</v>
      </c>
      <c r="B1071">
        <v>0</v>
      </c>
      <c r="C1071">
        <v>0</v>
      </c>
      <c r="D1071">
        <v>0</v>
      </c>
      <c r="E1071">
        <v>0</v>
      </c>
      <c r="F1071">
        <v>0</v>
      </c>
      <c r="G1071" s="1">
        <v>5.3600000000000002E-5</v>
      </c>
      <c r="H1071">
        <v>0</v>
      </c>
      <c r="I1071">
        <v>0</v>
      </c>
      <c r="J1071">
        <v>0</v>
      </c>
      <c r="K1071" s="1">
        <v>3.6900000000000002E-5</v>
      </c>
      <c r="L1071">
        <v>0</v>
      </c>
      <c r="M1071">
        <v>0</v>
      </c>
      <c r="N1071" s="1">
        <v>2.6100000000000001E-5</v>
      </c>
      <c r="O1071">
        <v>0</v>
      </c>
      <c r="P1071" s="1">
        <v>8.1500000000000002E-5</v>
      </c>
      <c r="Q1071">
        <v>1.93413E-4</v>
      </c>
      <c r="R1071">
        <v>1.3255100000000001E-4</v>
      </c>
      <c r="S1071">
        <v>1.04897E-4</v>
      </c>
      <c r="T1071">
        <v>3.6185200000000002E-4</v>
      </c>
    </row>
    <row r="1072" spans="1:20" hidden="1" x14ac:dyDescent="0.25">
      <c r="A1072" t="s">
        <v>1090</v>
      </c>
      <c r="B1072">
        <v>0</v>
      </c>
      <c r="C1072" s="1">
        <v>5.3999999999999998E-5</v>
      </c>
      <c r="D1072" s="1">
        <v>9.8200000000000002E-5</v>
      </c>
      <c r="E1072" s="1">
        <v>8.1799999999999996E-5</v>
      </c>
      <c r="F1072" s="1">
        <v>6.6000000000000005E-5</v>
      </c>
      <c r="G1072" s="1">
        <v>7.3399999999999995E-5</v>
      </c>
      <c r="H1072" s="1">
        <v>5.9200000000000002E-5</v>
      </c>
      <c r="I1072" s="1">
        <v>4.4299999999999999E-5</v>
      </c>
      <c r="J1072">
        <v>0</v>
      </c>
      <c r="K1072" s="1">
        <v>7.8700000000000002E-5</v>
      </c>
      <c r="L1072" s="1">
        <v>6.0099999999999997E-5</v>
      </c>
      <c r="M1072">
        <v>0</v>
      </c>
      <c r="N1072">
        <v>0</v>
      </c>
      <c r="O1072" s="1">
        <v>7.3300000000000006E-5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hidden="1" x14ac:dyDescent="0.25">
      <c r="A1073" t="s">
        <v>1091</v>
      </c>
      <c r="B1073" s="1">
        <v>4.3999999999999999E-5</v>
      </c>
      <c r="C1073" s="1">
        <v>5.1799999999999999E-5</v>
      </c>
      <c r="D1073" s="1">
        <v>6.9999999999999994E-5</v>
      </c>
      <c r="E1073">
        <v>2.2403500000000001E-4</v>
      </c>
      <c r="F1073" s="1">
        <v>9.1000000000000003E-5</v>
      </c>
      <c r="G1073" s="1">
        <v>2.7100000000000001E-5</v>
      </c>
      <c r="H1073" s="1">
        <v>2.5000000000000001E-5</v>
      </c>
      <c r="I1073" s="1">
        <v>9.7800000000000006E-5</v>
      </c>
      <c r="J1073" s="1">
        <v>3.1999999999999999E-5</v>
      </c>
      <c r="K1073" s="1">
        <v>5.3499999999999999E-5</v>
      </c>
      <c r="L1073" s="1">
        <v>3.2799999999999998E-5</v>
      </c>
      <c r="M1073" s="1">
        <v>2.72E-5</v>
      </c>
      <c r="N1073">
        <v>0</v>
      </c>
      <c r="O1073">
        <v>1.15673E-4</v>
      </c>
      <c r="P1073">
        <v>0</v>
      </c>
      <c r="Q1073">
        <v>0</v>
      </c>
      <c r="R1073">
        <v>0</v>
      </c>
      <c r="S1073" s="1">
        <v>3.0700000000000001E-5</v>
      </c>
      <c r="T1073">
        <v>0</v>
      </c>
    </row>
    <row r="1074" spans="1:20" hidden="1" x14ac:dyDescent="0.25">
      <c r="A1074" t="s">
        <v>1092</v>
      </c>
      <c r="B1074">
        <v>0</v>
      </c>
      <c r="C1074">
        <v>1.2858600000000001E-4</v>
      </c>
      <c r="D1074">
        <v>1.4966299999999999E-4</v>
      </c>
      <c r="E1074">
        <v>1.5157899999999999E-4</v>
      </c>
      <c r="F1074">
        <v>0</v>
      </c>
      <c r="G1074">
        <v>0</v>
      </c>
      <c r="H1074">
        <v>0</v>
      </c>
      <c r="I1074" s="1">
        <v>5.7500000000000002E-5</v>
      </c>
      <c r="J1074">
        <v>0</v>
      </c>
      <c r="K1074">
        <v>1.0819000000000001E-4</v>
      </c>
      <c r="L1074">
        <v>1.16753E-4</v>
      </c>
      <c r="M1074">
        <v>0</v>
      </c>
      <c r="N1074" s="1">
        <v>3.8399999999999998E-5</v>
      </c>
      <c r="O1074" s="1">
        <v>7.6600000000000005E-5</v>
      </c>
      <c r="P1074" s="1">
        <v>3.8600000000000003E-5</v>
      </c>
      <c r="Q1074">
        <v>0</v>
      </c>
      <c r="R1074">
        <v>0</v>
      </c>
      <c r="S1074">
        <v>0</v>
      </c>
      <c r="T1074">
        <v>0</v>
      </c>
    </row>
    <row r="1075" spans="1:20" hidden="1" x14ac:dyDescent="0.25">
      <c r="A1075" t="s">
        <v>1093</v>
      </c>
      <c r="B1075">
        <v>2.4502699999999998E-4</v>
      </c>
      <c r="C1075">
        <v>1.9329500000000001E-4</v>
      </c>
      <c r="D1075">
        <v>2.8356799999999999E-4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2.11671E-4</v>
      </c>
      <c r="M1075">
        <v>0</v>
      </c>
      <c r="N1075">
        <v>0</v>
      </c>
      <c r="O1075">
        <v>2.7368800000000001E-4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hidden="1" x14ac:dyDescent="0.25">
      <c r="A1076" t="s">
        <v>1094</v>
      </c>
      <c r="B1076" s="1">
        <v>9.4099999999999997E-5</v>
      </c>
      <c r="C1076">
        <v>1.79579E-4</v>
      </c>
      <c r="D1076" s="1">
        <v>5.3399999999999997E-5</v>
      </c>
      <c r="E1076" s="1">
        <v>4.2200000000000003E-5</v>
      </c>
      <c r="F1076">
        <v>1.9277300000000001E-4</v>
      </c>
      <c r="G1076">
        <v>2.6159399999999998E-4</v>
      </c>
      <c r="H1076">
        <v>3.3746399999999999E-4</v>
      </c>
      <c r="I1076">
        <v>1.3161E-4</v>
      </c>
      <c r="J1076">
        <v>1.13224E-4</v>
      </c>
      <c r="K1076" s="1">
        <v>4.8900000000000003E-5</v>
      </c>
      <c r="L1076">
        <v>1.5166499999999999E-4</v>
      </c>
      <c r="M1076">
        <v>1.26234E-4</v>
      </c>
      <c r="N1076">
        <v>1.8558299999999999E-4</v>
      </c>
      <c r="O1076">
        <v>1.2621E-4</v>
      </c>
      <c r="P1076">
        <v>3.6752300000000003E-4</v>
      </c>
      <c r="Q1076" s="1">
        <v>5.3000000000000001E-5</v>
      </c>
      <c r="R1076">
        <v>3.3364899999999999E-4</v>
      </c>
      <c r="S1076" s="1">
        <v>8.4600000000000003E-6</v>
      </c>
      <c r="T1076" s="1">
        <v>4.6E-5</v>
      </c>
    </row>
    <row r="1077" spans="1:20" hidden="1" x14ac:dyDescent="0.25">
      <c r="A1077" t="s">
        <v>1095</v>
      </c>
      <c r="B1077">
        <v>1.18715E-4</v>
      </c>
      <c r="C1077">
        <v>1.87045E-4</v>
      </c>
      <c r="D1077">
        <v>1.02934E-4</v>
      </c>
      <c r="E1077">
        <v>1.06736E-4</v>
      </c>
      <c r="F1077" s="1">
        <v>8.3700000000000002E-5</v>
      </c>
      <c r="G1077">
        <v>1.2061300000000001E-4</v>
      </c>
      <c r="H1077">
        <v>2.5114899999999999E-4</v>
      </c>
      <c r="I1077">
        <v>2.8401499999999998E-4</v>
      </c>
      <c r="J1077">
        <v>3.1237300000000001E-4</v>
      </c>
      <c r="K1077">
        <v>1.4563099999999999E-4</v>
      </c>
      <c r="L1077">
        <v>3.6552699999999999E-4</v>
      </c>
      <c r="M1077">
        <v>3.1113799999999997E-4</v>
      </c>
      <c r="N1077">
        <v>4.3099399999999997E-4</v>
      </c>
      <c r="O1077">
        <v>3.9156800000000002E-4</v>
      </c>
      <c r="P1077">
        <v>3.2483000000000002E-4</v>
      </c>
      <c r="Q1077">
        <v>1.9430399999999999E-4</v>
      </c>
      <c r="R1077">
        <v>3.1200200000000003E-4</v>
      </c>
      <c r="S1077" s="1">
        <v>8.2299999999999995E-5</v>
      </c>
      <c r="T1077">
        <v>1.2516E-4</v>
      </c>
    </row>
    <row r="1078" spans="1:20" hidden="1" x14ac:dyDescent="0.25">
      <c r="A1078" t="s">
        <v>1096</v>
      </c>
      <c r="B1078">
        <v>1.93344E-4</v>
      </c>
      <c r="C1078">
        <v>1.05262E-4</v>
      </c>
      <c r="D1078">
        <v>2.09934E-4</v>
      </c>
      <c r="E1078" s="1">
        <v>8.9300000000000002E-5</v>
      </c>
      <c r="F1078">
        <v>1.11829E-4</v>
      </c>
      <c r="G1078">
        <v>2.8931600000000002E-4</v>
      </c>
      <c r="H1078">
        <v>4.7111499999999998E-4</v>
      </c>
      <c r="I1078">
        <v>1.20004E-4</v>
      </c>
      <c r="J1078">
        <v>1.1620099999999999E-4</v>
      </c>
      <c r="K1078" s="1">
        <v>8.1199999999999995E-5</v>
      </c>
      <c r="L1078">
        <v>1.3320699999999999E-4</v>
      </c>
      <c r="M1078">
        <v>2.24009E-4</v>
      </c>
      <c r="N1078">
        <v>1.9584999999999999E-4</v>
      </c>
      <c r="O1078">
        <v>1.8247399999999999E-4</v>
      </c>
      <c r="P1078">
        <v>1.00775E-4</v>
      </c>
      <c r="Q1078">
        <v>1.36582E-4</v>
      </c>
      <c r="R1078" s="1">
        <v>8.4699999999999999E-5</v>
      </c>
      <c r="S1078" s="1">
        <v>3.6600000000000002E-5</v>
      </c>
      <c r="T1078">
        <v>2.10621E-4</v>
      </c>
    </row>
    <row r="1079" spans="1:20" hidden="1" x14ac:dyDescent="0.25">
      <c r="A1079" t="s">
        <v>1097</v>
      </c>
      <c r="B1079">
        <v>0</v>
      </c>
      <c r="C1079">
        <v>0</v>
      </c>
      <c r="D1079">
        <v>0</v>
      </c>
      <c r="E1079">
        <v>0</v>
      </c>
      <c r="F1079">
        <v>0</v>
      </c>
      <c r="G1079" s="1">
        <v>5.5600000000000003E-5</v>
      </c>
      <c r="H1079">
        <v>0</v>
      </c>
      <c r="I1079">
        <v>0</v>
      </c>
      <c r="J1079" s="1">
        <v>3.1000000000000001E-5</v>
      </c>
      <c r="K1079">
        <v>0</v>
      </c>
      <c r="L1079" s="1">
        <v>3.0899999999999999E-5</v>
      </c>
      <c r="M1079">
        <v>0</v>
      </c>
      <c r="N1079">
        <v>0</v>
      </c>
      <c r="O1079">
        <v>0</v>
      </c>
      <c r="P1079" s="1">
        <v>3.0899999999999999E-5</v>
      </c>
      <c r="Q1079">
        <v>0</v>
      </c>
      <c r="R1079" s="1">
        <v>5.2899999999999998E-5</v>
      </c>
      <c r="S1079">
        <v>1.3825999999999999E-4</v>
      </c>
      <c r="T1079" s="1">
        <v>3.79E-5</v>
      </c>
    </row>
    <row r="1080" spans="1:20" hidden="1" x14ac:dyDescent="0.25">
      <c r="A1080" t="s">
        <v>1098</v>
      </c>
      <c r="B1080" s="1">
        <v>7.3599999999999998E-6</v>
      </c>
      <c r="C1080">
        <v>0</v>
      </c>
      <c r="D1080">
        <v>0</v>
      </c>
      <c r="E1080">
        <v>0</v>
      </c>
      <c r="F1080" s="1">
        <v>8.6899999999999998E-6</v>
      </c>
      <c r="G1080" s="1">
        <v>1.2E-5</v>
      </c>
      <c r="H1080" s="1">
        <v>1.1E-5</v>
      </c>
      <c r="I1080" s="1">
        <v>7.1500000000000002E-6</v>
      </c>
      <c r="J1080" s="1">
        <v>6.4899999999999997E-6</v>
      </c>
      <c r="K1080">
        <v>0</v>
      </c>
      <c r="L1080" s="1">
        <v>4.95E-6</v>
      </c>
      <c r="M1080" s="1">
        <v>7.7800000000000001E-6</v>
      </c>
      <c r="N1080" s="1">
        <v>8.9199999999999993E-6</v>
      </c>
      <c r="O1080" s="1">
        <v>7.1799999999999999E-6</v>
      </c>
      <c r="P1080" s="1">
        <v>8.5099999999999998E-6</v>
      </c>
      <c r="Q1080" s="1">
        <v>1.4600000000000001E-5</v>
      </c>
      <c r="R1080" s="1">
        <v>1.5299999999999999E-5</v>
      </c>
      <c r="S1080" s="1">
        <v>1.19E-5</v>
      </c>
      <c r="T1080" s="1">
        <v>1.4800000000000001E-5</v>
      </c>
    </row>
    <row r="1081" spans="1:20" hidden="1" x14ac:dyDescent="0.25">
      <c r="A1081" t="s">
        <v>1099</v>
      </c>
      <c r="B1081">
        <v>1.7651599999999999E-4</v>
      </c>
      <c r="C1081">
        <v>1.58319E-4</v>
      </c>
      <c r="D1081">
        <v>1.3939000000000001E-4</v>
      </c>
      <c r="E1081">
        <v>1.07941E-4</v>
      </c>
      <c r="F1081">
        <v>2.32298E-4</v>
      </c>
      <c r="G1081">
        <v>3.0076899999999999E-4</v>
      </c>
      <c r="H1081">
        <v>4.48355E-4</v>
      </c>
      <c r="I1081">
        <v>2.0432800000000001E-4</v>
      </c>
      <c r="J1081">
        <v>1.84298E-4</v>
      </c>
      <c r="K1081">
        <v>1.7157500000000001E-4</v>
      </c>
      <c r="L1081">
        <v>2.5167700000000001E-4</v>
      </c>
      <c r="M1081">
        <v>2.28104E-4</v>
      </c>
      <c r="N1081">
        <v>2.6772599999999998E-4</v>
      </c>
      <c r="O1081">
        <v>2.31859E-4</v>
      </c>
      <c r="P1081">
        <v>2.4699999999999999E-4</v>
      </c>
      <c r="Q1081">
        <v>2.8971200000000002E-4</v>
      </c>
      <c r="R1081">
        <v>3.0195800000000001E-4</v>
      </c>
      <c r="S1081">
        <v>2.2789699999999999E-4</v>
      </c>
      <c r="T1081">
        <v>3.0668900000000002E-4</v>
      </c>
    </row>
    <row r="1082" spans="1:20" hidden="1" x14ac:dyDescent="0.25">
      <c r="A1082" t="s">
        <v>1100</v>
      </c>
      <c r="B1082" s="1">
        <v>3.4600000000000001E-5</v>
      </c>
      <c r="C1082">
        <v>0</v>
      </c>
      <c r="D1082">
        <v>0</v>
      </c>
      <c r="E1082">
        <v>0</v>
      </c>
      <c r="F1082" s="1">
        <v>3.15E-5</v>
      </c>
      <c r="G1082" s="1">
        <v>8.0800000000000006E-6</v>
      </c>
      <c r="H1082" s="1">
        <v>8.3999999999999995E-5</v>
      </c>
      <c r="I1082" s="1">
        <v>1.5800000000000001E-5</v>
      </c>
      <c r="J1082" s="1">
        <v>3.1099999999999997E-5</v>
      </c>
      <c r="K1082" s="1">
        <v>4.18E-5</v>
      </c>
      <c r="L1082" s="1">
        <v>2.48E-5</v>
      </c>
      <c r="M1082" s="1">
        <v>4.4199999999999997E-5</v>
      </c>
      <c r="N1082" s="1">
        <v>6.3200000000000005E-5</v>
      </c>
      <c r="O1082" s="1">
        <v>2.12E-5</v>
      </c>
      <c r="P1082" s="1">
        <v>6.5699999999999998E-5</v>
      </c>
      <c r="Q1082" s="1">
        <v>5.0399999999999999E-5</v>
      </c>
      <c r="R1082" s="1">
        <v>7.0400000000000004E-5</v>
      </c>
      <c r="S1082" s="1">
        <v>7.6100000000000007E-5</v>
      </c>
      <c r="T1082" s="1">
        <v>8.6000000000000003E-5</v>
      </c>
    </row>
    <row r="1083" spans="1:20" hidden="1" x14ac:dyDescent="0.25">
      <c r="A1083" t="s">
        <v>1101</v>
      </c>
      <c r="B1083" s="1">
        <v>1.47E-5</v>
      </c>
      <c r="C1083" s="1">
        <v>4.6099999999999999E-6</v>
      </c>
      <c r="D1083" s="1">
        <v>5.8000000000000004E-6</v>
      </c>
      <c r="E1083">
        <v>0</v>
      </c>
      <c r="F1083" s="1">
        <v>6.3600000000000001E-6</v>
      </c>
      <c r="G1083" s="1">
        <v>1.7400000000000001E-6</v>
      </c>
      <c r="H1083" s="1">
        <v>2.1299999999999999E-5</v>
      </c>
      <c r="I1083" s="1">
        <v>3.8399999999999997E-6</v>
      </c>
      <c r="J1083" s="1">
        <v>1.9199999999999999E-5</v>
      </c>
      <c r="K1083" s="1">
        <v>1.5099999999999999E-5</v>
      </c>
      <c r="L1083" s="1">
        <v>8.9800000000000004E-6</v>
      </c>
      <c r="M1083" s="1">
        <v>1.15E-5</v>
      </c>
      <c r="N1083" s="1">
        <v>2.83E-5</v>
      </c>
      <c r="O1083" s="1">
        <v>1.13E-5</v>
      </c>
      <c r="P1083" s="1">
        <v>1.2099999999999999E-5</v>
      </c>
      <c r="Q1083" s="1">
        <v>1.3499999999999999E-5</v>
      </c>
      <c r="R1083" s="1">
        <v>1.6900000000000001E-5</v>
      </c>
      <c r="S1083" s="1">
        <v>9.7699999999999996E-6</v>
      </c>
      <c r="T1083" s="1">
        <v>1.0000000000000001E-5</v>
      </c>
    </row>
    <row r="1084" spans="1:20" hidden="1" x14ac:dyDescent="0.25">
      <c r="A1084" t="s">
        <v>1102</v>
      </c>
      <c r="B1084" s="1">
        <v>4.3000000000000002E-5</v>
      </c>
      <c r="C1084" s="1">
        <v>3.0199999999999999E-5</v>
      </c>
      <c r="D1084" s="1">
        <v>2.6800000000000001E-5</v>
      </c>
      <c r="E1084" s="1">
        <v>3.2799999999999998E-5</v>
      </c>
      <c r="F1084" s="1">
        <v>6.19E-5</v>
      </c>
      <c r="G1084" s="1">
        <v>2.4700000000000001E-5</v>
      </c>
      <c r="H1084" s="1">
        <v>4.21E-5</v>
      </c>
      <c r="I1084" s="1">
        <v>4.2700000000000001E-5</v>
      </c>
      <c r="J1084" s="1">
        <v>2.8099999999999999E-5</v>
      </c>
      <c r="K1084" s="1">
        <v>4.8300000000000002E-5</v>
      </c>
      <c r="L1084" s="1">
        <v>4.5599999999999997E-5</v>
      </c>
      <c r="M1084">
        <v>0</v>
      </c>
      <c r="N1084" s="1">
        <v>3.3399999999999999E-5</v>
      </c>
      <c r="O1084" s="1">
        <v>4.7500000000000003E-5</v>
      </c>
      <c r="P1084" s="1">
        <v>4.0800000000000002E-5</v>
      </c>
      <c r="Q1084" s="1">
        <v>3.6300000000000001E-5</v>
      </c>
      <c r="R1084" s="1">
        <v>5.3600000000000002E-5</v>
      </c>
      <c r="S1084" s="1">
        <v>2.4199999999999999E-5</v>
      </c>
      <c r="T1084" s="1">
        <v>4.3900000000000003E-5</v>
      </c>
    </row>
    <row r="1085" spans="1:20" hidden="1" x14ac:dyDescent="0.25">
      <c r="A1085" t="s">
        <v>1103</v>
      </c>
      <c r="B1085" s="1">
        <v>3.7700000000000002E-5</v>
      </c>
      <c r="C1085">
        <v>0</v>
      </c>
      <c r="D1085">
        <v>0</v>
      </c>
      <c r="E1085">
        <v>0</v>
      </c>
      <c r="F1085">
        <v>0</v>
      </c>
      <c r="G1085">
        <v>0</v>
      </c>
      <c r="H1085" s="1">
        <v>6.7000000000000002E-5</v>
      </c>
      <c r="I1085">
        <v>0</v>
      </c>
      <c r="J1085">
        <v>0</v>
      </c>
      <c r="K1085" s="1">
        <v>4.6100000000000002E-5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1.73287E-4</v>
      </c>
      <c r="R1085" s="1">
        <v>8.6799999999999996E-5</v>
      </c>
      <c r="S1085" s="1">
        <v>3.2400000000000001E-5</v>
      </c>
      <c r="T1085">
        <v>2.8297899999999999E-4</v>
      </c>
    </row>
    <row r="1086" spans="1:20" hidden="1" x14ac:dyDescent="0.25">
      <c r="A1086" t="s">
        <v>1104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 s="1">
        <v>4.5000000000000003E-5</v>
      </c>
      <c r="I1086" s="1">
        <v>3.68E-5</v>
      </c>
      <c r="J1086">
        <v>0</v>
      </c>
      <c r="K1086">
        <v>0</v>
      </c>
      <c r="L1086">
        <v>0</v>
      </c>
      <c r="M1086" s="1">
        <v>3.0800000000000003E-5</v>
      </c>
      <c r="N1086" s="1">
        <v>4.6E-5</v>
      </c>
      <c r="O1086">
        <v>0</v>
      </c>
      <c r="P1086" s="1">
        <v>6.7199999999999994E-5</v>
      </c>
      <c r="Q1086" s="1">
        <v>8.1199999999999995E-5</v>
      </c>
      <c r="R1086" s="1">
        <v>7.0099999999999996E-5</v>
      </c>
      <c r="S1086" s="1">
        <v>4.8099999999999997E-5</v>
      </c>
      <c r="T1086">
        <v>1.13634E-4</v>
      </c>
    </row>
    <row r="1087" spans="1:20" hidden="1" x14ac:dyDescent="0.25">
      <c r="A1087" t="s">
        <v>1105</v>
      </c>
      <c r="B1087">
        <v>0</v>
      </c>
      <c r="C1087" s="1">
        <v>2.2099999999999998E-5</v>
      </c>
      <c r="D1087" s="1">
        <v>2.44E-5</v>
      </c>
      <c r="E1087" s="1">
        <v>2.3799999999999999E-5</v>
      </c>
      <c r="F1087" s="1">
        <v>9.3600000000000002E-6</v>
      </c>
      <c r="G1087" s="1">
        <v>2.26E-5</v>
      </c>
      <c r="H1087">
        <v>0</v>
      </c>
      <c r="I1087">
        <v>0</v>
      </c>
      <c r="J1087" s="1">
        <v>1.91E-5</v>
      </c>
      <c r="K1087" s="1">
        <v>2.0699999999999998E-5</v>
      </c>
      <c r="L1087" s="1">
        <v>2.7399999999999999E-5</v>
      </c>
      <c r="M1087" s="1">
        <v>1.31E-5</v>
      </c>
      <c r="N1087">
        <v>0</v>
      </c>
      <c r="O1087" s="1">
        <v>1.8199999999999999E-5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hidden="1" x14ac:dyDescent="0.25">
      <c r="A1088" t="s">
        <v>1106</v>
      </c>
      <c r="B1088">
        <v>0</v>
      </c>
      <c r="C1088" s="1">
        <v>7.6199999999999995E-5</v>
      </c>
      <c r="D1088" s="1">
        <v>6.9499999999999995E-5</v>
      </c>
      <c r="E1088" s="1">
        <v>6.5699999999999998E-5</v>
      </c>
      <c r="F1088">
        <v>0</v>
      </c>
      <c r="G1088" s="1">
        <v>4.85E-5</v>
      </c>
      <c r="H1088" s="1">
        <v>4.3099999999999997E-5</v>
      </c>
      <c r="I1088" s="1">
        <v>6.8200000000000004E-5</v>
      </c>
      <c r="J1088" s="1">
        <v>1.8199999999999999E-5</v>
      </c>
      <c r="K1088" s="1">
        <v>6.9900000000000005E-5</v>
      </c>
      <c r="L1088" s="1">
        <v>7.9400000000000006E-5</v>
      </c>
      <c r="M1088">
        <v>0</v>
      </c>
      <c r="N1088" s="1">
        <v>3.2400000000000001E-5</v>
      </c>
      <c r="O1088" s="1">
        <v>4.1199999999999999E-5</v>
      </c>
      <c r="P1088">
        <v>0</v>
      </c>
      <c r="Q1088" s="1">
        <v>2.7800000000000001E-5</v>
      </c>
      <c r="R1088" s="1">
        <v>3.6100000000000003E-5</v>
      </c>
      <c r="S1088" s="1">
        <v>5.5099999999999998E-5</v>
      </c>
      <c r="T1088" s="1">
        <v>3.57E-5</v>
      </c>
    </row>
    <row r="1089" spans="1:20" hidden="1" x14ac:dyDescent="0.25">
      <c r="A1089" t="s">
        <v>1107</v>
      </c>
      <c r="B1089" s="1">
        <v>9.3499999999999996E-5</v>
      </c>
      <c r="C1089" s="1">
        <v>7.1699999999999995E-5</v>
      </c>
      <c r="D1089" s="1">
        <v>7.4900000000000005E-5</v>
      </c>
      <c r="E1089" s="1">
        <v>9.1700000000000006E-5</v>
      </c>
      <c r="F1089" s="1">
        <v>7.2200000000000007E-5</v>
      </c>
      <c r="G1089" s="1">
        <v>3.3899999999999997E-5</v>
      </c>
      <c r="H1089" s="1">
        <v>6.3899999999999995E-5</v>
      </c>
      <c r="I1089">
        <v>1.0446900000000001E-4</v>
      </c>
      <c r="J1089" s="1">
        <v>9.7499999999999998E-5</v>
      </c>
      <c r="K1089">
        <v>1.2536700000000001E-4</v>
      </c>
      <c r="L1089" s="1">
        <v>9.2299999999999994E-5</v>
      </c>
      <c r="M1089" s="1">
        <v>8.4099999999999998E-5</v>
      </c>
      <c r="N1089">
        <v>1.64112E-4</v>
      </c>
      <c r="O1089">
        <v>1.14023E-4</v>
      </c>
      <c r="P1089" s="1">
        <v>7.1099999999999994E-5</v>
      </c>
      <c r="Q1089" s="1">
        <v>7.2799999999999994E-5</v>
      </c>
      <c r="R1089" s="1">
        <v>5.8600000000000001E-5</v>
      </c>
      <c r="S1089">
        <v>1.0889E-4</v>
      </c>
      <c r="T1089" s="1">
        <v>8.8300000000000005E-5</v>
      </c>
    </row>
    <row r="1090" spans="1:20" hidden="1" x14ac:dyDescent="0.25">
      <c r="A1090" t="s">
        <v>1108</v>
      </c>
      <c r="B1090">
        <v>1.5267239999999999E-3</v>
      </c>
      <c r="C1090">
        <v>1.3248419999999999E-3</v>
      </c>
      <c r="D1090">
        <v>1.277827E-3</v>
      </c>
      <c r="E1090">
        <v>1.301403E-3</v>
      </c>
      <c r="F1090">
        <v>1.358267E-3</v>
      </c>
      <c r="G1090">
        <v>1.1653729999999999E-3</v>
      </c>
      <c r="H1090">
        <v>9.812E-4</v>
      </c>
      <c r="I1090">
        <v>1.3747430000000001E-3</v>
      </c>
      <c r="J1090">
        <v>1.317789E-3</v>
      </c>
      <c r="K1090">
        <v>1.1696E-3</v>
      </c>
      <c r="L1090">
        <v>1.260939E-3</v>
      </c>
      <c r="M1090">
        <v>1.248376E-3</v>
      </c>
      <c r="N1090">
        <v>1.639302E-3</v>
      </c>
      <c r="O1090">
        <v>1.2034999999999999E-3</v>
      </c>
      <c r="P1090">
        <v>1.1507010000000001E-3</v>
      </c>
      <c r="Q1090">
        <v>8.6562300000000004E-4</v>
      </c>
      <c r="R1090">
        <v>8.7912600000000004E-4</v>
      </c>
      <c r="S1090">
        <v>8.2341300000000005E-4</v>
      </c>
      <c r="T1090">
        <v>1.021419E-3</v>
      </c>
    </row>
    <row r="1091" spans="1:20" hidden="1" x14ac:dyDescent="0.25">
      <c r="A1091" t="s">
        <v>1109</v>
      </c>
      <c r="B1091" s="1">
        <v>2.1699999999999999E-5</v>
      </c>
      <c r="C1091" s="1">
        <v>2.3499999999999999E-5</v>
      </c>
      <c r="D1091" s="1">
        <v>2.09E-5</v>
      </c>
      <c r="E1091" s="1">
        <v>2.1699999999999999E-5</v>
      </c>
      <c r="F1091" s="1">
        <v>2.6400000000000001E-5</v>
      </c>
      <c r="G1091" s="1">
        <v>2.9E-5</v>
      </c>
      <c r="H1091" s="1">
        <v>2.4899999999999999E-5</v>
      </c>
      <c r="I1091" s="1">
        <v>4.0299999999999997E-5</v>
      </c>
      <c r="J1091" s="1">
        <v>2.5299999999999998E-5</v>
      </c>
      <c r="K1091" s="1">
        <v>3.1300000000000002E-5</v>
      </c>
      <c r="L1091" s="1">
        <v>2.0000000000000002E-5</v>
      </c>
      <c r="M1091" s="1">
        <v>2.37E-5</v>
      </c>
      <c r="N1091" s="1">
        <v>2.65E-5</v>
      </c>
      <c r="O1091" s="1">
        <v>1.9599999999999999E-5</v>
      </c>
      <c r="P1091" s="1">
        <v>1.7E-5</v>
      </c>
      <c r="Q1091" s="1">
        <v>1.77E-5</v>
      </c>
      <c r="R1091" s="1">
        <v>1.26E-5</v>
      </c>
      <c r="S1091" s="1">
        <v>1.5699999999999999E-5</v>
      </c>
      <c r="T1091">
        <v>0</v>
      </c>
    </row>
    <row r="1092" spans="1:20" hidden="1" x14ac:dyDescent="0.25">
      <c r="A1092" t="s">
        <v>1110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 s="1">
        <v>7.5499999999999997E-6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1">
        <v>1.3200000000000001E-5</v>
      </c>
      <c r="Q1092" s="1">
        <v>3.3399999999999999E-5</v>
      </c>
      <c r="R1092" s="1">
        <v>3.1399999999999998E-5</v>
      </c>
      <c r="S1092" s="1">
        <v>1.9400000000000001E-5</v>
      </c>
      <c r="T1092" s="1">
        <v>7.5799999999999999E-5</v>
      </c>
    </row>
    <row r="1093" spans="1:20" hidden="1" x14ac:dyDescent="0.25">
      <c r="A1093" t="s">
        <v>1111</v>
      </c>
      <c r="B1093" s="1">
        <v>3.3899999999999997E-5</v>
      </c>
      <c r="C1093" s="1">
        <v>4.46E-5</v>
      </c>
      <c r="D1093">
        <v>0</v>
      </c>
      <c r="E1093" s="1">
        <v>4.4799999999999998E-5</v>
      </c>
      <c r="F1093">
        <v>0</v>
      </c>
      <c r="G1093" s="1">
        <v>4.3099999999999997E-5</v>
      </c>
      <c r="H1093">
        <v>0</v>
      </c>
      <c r="I1093" s="1">
        <v>6.2399999999999999E-5</v>
      </c>
      <c r="J1093" s="1">
        <v>4.7899999999999999E-5</v>
      </c>
      <c r="K1093" s="1">
        <v>5.0300000000000003E-5</v>
      </c>
      <c r="L1093" s="1">
        <v>5.4799999999999997E-5</v>
      </c>
      <c r="M1093">
        <v>0</v>
      </c>
      <c r="N1093" s="1">
        <v>7.08E-5</v>
      </c>
      <c r="O1093" s="1">
        <v>4.4299999999999999E-5</v>
      </c>
      <c r="P1093" s="1">
        <v>3.9400000000000002E-5</v>
      </c>
      <c r="Q1093">
        <v>0</v>
      </c>
      <c r="R1093" s="1">
        <v>4.1E-5</v>
      </c>
      <c r="S1093" s="1">
        <v>6.1099999999999994E-5</v>
      </c>
      <c r="T1093" s="1">
        <v>3.7799999999999997E-5</v>
      </c>
    </row>
    <row r="1094" spans="1:20" hidden="1" x14ac:dyDescent="0.25">
      <c r="A1094" t="s">
        <v>1112</v>
      </c>
      <c r="B1094">
        <v>0</v>
      </c>
      <c r="C1094">
        <v>0</v>
      </c>
      <c r="D1094">
        <v>0</v>
      </c>
      <c r="E1094">
        <v>0</v>
      </c>
      <c r="F1094">
        <v>0</v>
      </c>
      <c r="G1094" s="1">
        <v>1.1E-5</v>
      </c>
      <c r="H1094">
        <v>0</v>
      </c>
      <c r="I1094">
        <v>0</v>
      </c>
      <c r="J1094" s="1">
        <v>1.0499999999999999E-5</v>
      </c>
      <c r="K1094" s="1">
        <v>7.5000000000000002E-6</v>
      </c>
      <c r="L1094">
        <v>0</v>
      </c>
      <c r="M1094" s="1">
        <v>1.5699999999999999E-5</v>
      </c>
      <c r="N1094">
        <v>0</v>
      </c>
      <c r="O1094">
        <v>0</v>
      </c>
      <c r="P1094" s="1">
        <v>1.6699999999999999E-5</v>
      </c>
      <c r="Q1094" s="1">
        <v>3.1999999999999999E-5</v>
      </c>
      <c r="R1094" s="1">
        <v>2.94E-5</v>
      </c>
      <c r="S1094" s="1">
        <v>1.8099999999999999E-5</v>
      </c>
      <c r="T1094" s="1">
        <v>3.9199999999999997E-5</v>
      </c>
    </row>
    <row r="1095" spans="1:20" hidden="1" x14ac:dyDescent="0.25">
      <c r="A1095" t="s">
        <v>1113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1.19098E-4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1.49293E-4</v>
      </c>
      <c r="Q1095">
        <v>2.38342E-4</v>
      </c>
      <c r="R1095">
        <v>1.5572700000000001E-4</v>
      </c>
      <c r="S1095">
        <v>2.32883E-4</v>
      </c>
      <c r="T1095">
        <v>2.40306E-4</v>
      </c>
    </row>
    <row r="1096" spans="1:20" hidden="1" x14ac:dyDescent="0.25">
      <c r="A1096" t="s">
        <v>1114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1">
        <v>1.1199999999999999E-5</v>
      </c>
      <c r="Q1096" s="1">
        <v>1.5099999999999999E-5</v>
      </c>
      <c r="R1096" s="1">
        <v>1.42E-5</v>
      </c>
      <c r="S1096">
        <v>0</v>
      </c>
      <c r="T1096" s="1">
        <v>1.19E-5</v>
      </c>
    </row>
    <row r="1097" spans="1:20" hidden="1" x14ac:dyDescent="0.25">
      <c r="A1097" t="s">
        <v>1115</v>
      </c>
      <c r="B1097">
        <v>4.81373E-4</v>
      </c>
      <c r="C1097">
        <v>4.5505099999999999E-4</v>
      </c>
      <c r="D1097">
        <v>5.1507600000000005E-4</v>
      </c>
      <c r="E1097">
        <v>4.8000899999999999E-4</v>
      </c>
      <c r="F1097">
        <v>5.6628199999999998E-4</v>
      </c>
      <c r="G1097">
        <v>4.7495600000000001E-4</v>
      </c>
      <c r="H1097">
        <v>4.1556600000000003E-4</v>
      </c>
      <c r="I1097">
        <v>6.1575599999999996E-4</v>
      </c>
      <c r="J1097">
        <v>5.6283699999999995E-4</v>
      </c>
      <c r="K1097">
        <v>5.2146500000000004E-4</v>
      </c>
      <c r="L1097">
        <v>4.9877299999999999E-4</v>
      </c>
      <c r="M1097">
        <v>4.16325E-4</v>
      </c>
      <c r="N1097">
        <v>3.9421600000000002E-4</v>
      </c>
      <c r="O1097">
        <v>4.21531E-4</v>
      </c>
      <c r="P1097">
        <v>5.30008E-4</v>
      </c>
      <c r="Q1097">
        <v>3.0832100000000002E-4</v>
      </c>
      <c r="R1097">
        <v>4.4792299999999997E-4</v>
      </c>
      <c r="S1097">
        <v>3.3024600000000002E-4</v>
      </c>
      <c r="T1097">
        <v>2.9779300000000003E-4</v>
      </c>
    </row>
    <row r="1098" spans="1:20" hidden="1" x14ac:dyDescent="0.25">
      <c r="A1098" t="s">
        <v>1116</v>
      </c>
      <c r="B1098">
        <v>1.3049900000000001E-4</v>
      </c>
      <c r="C1098">
        <v>1.2282800000000001E-4</v>
      </c>
      <c r="D1098" s="1">
        <v>9.7600000000000001E-5</v>
      </c>
      <c r="E1098" s="1">
        <v>8.1899999999999999E-5</v>
      </c>
      <c r="F1098" s="1">
        <v>8.1600000000000005E-5</v>
      </c>
      <c r="G1098">
        <v>1.54745E-4</v>
      </c>
      <c r="H1098">
        <v>2.34692E-4</v>
      </c>
      <c r="I1098">
        <v>1.6502199999999999E-4</v>
      </c>
      <c r="J1098">
        <v>0</v>
      </c>
      <c r="K1098">
        <v>1.3500799999999999E-4</v>
      </c>
      <c r="L1098">
        <v>1.50047E-4</v>
      </c>
      <c r="M1098">
        <v>1.5448400000000001E-4</v>
      </c>
      <c r="N1098">
        <v>2.7795000000000001E-4</v>
      </c>
      <c r="O1098" s="1">
        <v>7.64E-5</v>
      </c>
      <c r="P1098">
        <v>1.3778400000000001E-4</v>
      </c>
      <c r="Q1098">
        <v>1.3249900000000001E-4</v>
      </c>
      <c r="R1098">
        <v>7.4814200000000003E-4</v>
      </c>
      <c r="S1098">
        <v>1.3437200000000001E-4</v>
      </c>
      <c r="T1098" s="1">
        <v>7.8300000000000006E-5</v>
      </c>
    </row>
    <row r="1099" spans="1:20" hidden="1" x14ac:dyDescent="0.25">
      <c r="A1099" t="s">
        <v>1117</v>
      </c>
      <c r="B1099">
        <v>1.1240449999999999E-3</v>
      </c>
      <c r="C1099">
        <v>1.1377480000000001E-3</v>
      </c>
      <c r="D1099">
        <v>1.6005609999999999E-3</v>
      </c>
      <c r="E1099">
        <v>1.335613E-3</v>
      </c>
      <c r="F1099">
        <v>1.0277159999999999E-3</v>
      </c>
      <c r="G1099">
        <v>1.0023969999999999E-3</v>
      </c>
      <c r="H1099">
        <v>1.1084720000000001E-3</v>
      </c>
      <c r="I1099">
        <v>8.8252999999999997E-4</v>
      </c>
      <c r="J1099">
        <v>1.1594109999999999E-3</v>
      </c>
      <c r="K1099">
        <v>1.178871E-3</v>
      </c>
      <c r="L1099">
        <v>1.3724640000000001E-3</v>
      </c>
      <c r="M1099">
        <v>1.21075E-3</v>
      </c>
      <c r="N1099">
        <v>9.2749599999999998E-4</v>
      </c>
      <c r="O1099">
        <v>1.1919249999999999E-3</v>
      </c>
      <c r="P1099">
        <v>8.3305200000000003E-4</v>
      </c>
      <c r="Q1099">
        <v>7.6185000000000001E-4</v>
      </c>
      <c r="R1099">
        <v>7.4517400000000003E-4</v>
      </c>
      <c r="S1099">
        <v>7.1192E-4</v>
      </c>
      <c r="T1099">
        <v>9.9882399999999994E-4</v>
      </c>
    </row>
    <row r="1100" spans="1:20" hidden="1" x14ac:dyDescent="0.25">
      <c r="A1100" t="s">
        <v>1118</v>
      </c>
      <c r="B1100" s="1">
        <v>4.35E-5</v>
      </c>
      <c r="C1100" s="1">
        <v>5.5000000000000002E-5</v>
      </c>
      <c r="D1100" s="1">
        <v>4.5800000000000002E-5</v>
      </c>
      <c r="E1100" s="1">
        <v>7.4800000000000002E-5</v>
      </c>
      <c r="F1100">
        <v>2.0495299999999999E-4</v>
      </c>
      <c r="G1100">
        <v>1.10796E-4</v>
      </c>
      <c r="H1100">
        <v>1.56253E-4</v>
      </c>
      <c r="I1100" s="1">
        <v>9.1799999999999995E-5</v>
      </c>
      <c r="J1100" s="1">
        <v>3.6199999999999999E-5</v>
      </c>
      <c r="K1100" s="1">
        <v>5.3100000000000003E-5</v>
      </c>
      <c r="L1100" s="1">
        <v>5.3199999999999999E-5</v>
      </c>
      <c r="M1100" s="1">
        <v>4.2200000000000003E-5</v>
      </c>
      <c r="N1100" s="1">
        <v>6.6600000000000006E-5</v>
      </c>
      <c r="O1100" s="1">
        <v>4.9200000000000003E-5</v>
      </c>
      <c r="P1100" s="1">
        <v>2.41E-5</v>
      </c>
      <c r="Q1100">
        <v>0</v>
      </c>
      <c r="R1100">
        <v>0</v>
      </c>
      <c r="S1100">
        <v>0</v>
      </c>
      <c r="T1100" s="1">
        <v>4.3900000000000003E-5</v>
      </c>
    </row>
    <row r="1101" spans="1:20" hidden="1" x14ac:dyDescent="0.25">
      <c r="A1101" t="s">
        <v>1119</v>
      </c>
      <c r="B1101" s="1">
        <v>8.2000000000000001E-5</v>
      </c>
      <c r="C1101">
        <v>1.04552E-4</v>
      </c>
      <c r="D1101">
        <v>0</v>
      </c>
      <c r="E1101" s="1">
        <v>3.0899999999999999E-5</v>
      </c>
      <c r="F1101">
        <v>0</v>
      </c>
      <c r="G1101">
        <v>0</v>
      </c>
      <c r="H1101">
        <v>1.01247E-4</v>
      </c>
      <c r="I1101">
        <v>1.5743899999999999E-4</v>
      </c>
      <c r="J1101">
        <v>1.3842300000000001E-4</v>
      </c>
      <c r="K1101">
        <v>0</v>
      </c>
      <c r="L1101">
        <v>0</v>
      </c>
      <c r="M1101">
        <v>0</v>
      </c>
      <c r="N1101">
        <v>0</v>
      </c>
      <c r="O1101">
        <v>1.11604E-4</v>
      </c>
      <c r="P1101">
        <v>2.5693899999999997E-4</v>
      </c>
      <c r="Q1101">
        <v>1.78433E-4</v>
      </c>
      <c r="R1101">
        <v>5.3317999999999996E-4</v>
      </c>
      <c r="S1101">
        <v>2.9598E-4</v>
      </c>
      <c r="T1101">
        <v>1.5573099999999999E-4</v>
      </c>
    </row>
    <row r="1102" spans="1:20" hidden="1" x14ac:dyDescent="0.25">
      <c r="A1102" t="s">
        <v>1120</v>
      </c>
      <c r="B1102">
        <v>1.09838E-4</v>
      </c>
      <c r="C1102" s="1">
        <v>6.6699999999999995E-5</v>
      </c>
      <c r="D1102" s="1">
        <v>9.9699999999999998E-5</v>
      </c>
      <c r="E1102" s="1">
        <v>7.2200000000000007E-5</v>
      </c>
      <c r="F1102">
        <v>1.1147800000000001E-4</v>
      </c>
      <c r="G1102">
        <v>1.1877100000000001E-4</v>
      </c>
      <c r="H1102" s="1">
        <v>9.59E-5</v>
      </c>
      <c r="I1102">
        <v>1.2150300000000001E-4</v>
      </c>
      <c r="J1102">
        <v>1.95255E-4</v>
      </c>
      <c r="K1102">
        <v>1.55339E-4</v>
      </c>
      <c r="L1102">
        <v>2.0314199999999999E-4</v>
      </c>
      <c r="M1102" s="1">
        <v>7.4200000000000001E-5</v>
      </c>
      <c r="N1102">
        <v>1.13087E-4</v>
      </c>
      <c r="O1102" s="1">
        <v>7.0599999999999995E-5</v>
      </c>
      <c r="P1102">
        <v>1.0147E-4</v>
      </c>
      <c r="Q1102" s="1">
        <v>9.2200000000000005E-5</v>
      </c>
      <c r="R1102" s="1">
        <v>4.0800000000000002E-5</v>
      </c>
      <c r="S1102">
        <v>1.50767E-4</v>
      </c>
      <c r="T1102" s="1">
        <v>8.2899999999999996E-5</v>
      </c>
    </row>
    <row r="1103" spans="1:20" hidden="1" x14ac:dyDescent="0.25">
      <c r="A1103" t="s">
        <v>1121</v>
      </c>
      <c r="B1103" s="1">
        <v>6.8300000000000007E-5</v>
      </c>
      <c r="C1103" s="1">
        <v>5.3900000000000002E-5</v>
      </c>
      <c r="D1103" s="1">
        <v>8.03E-5</v>
      </c>
      <c r="E1103" s="1">
        <v>2.8099999999999999E-5</v>
      </c>
      <c r="F1103" s="1">
        <v>8.92E-5</v>
      </c>
      <c r="G1103">
        <v>1.0603E-4</v>
      </c>
      <c r="H1103">
        <v>3.32083E-4</v>
      </c>
      <c r="I1103" s="1">
        <v>6.8999999999999997E-5</v>
      </c>
      <c r="J1103" s="1">
        <v>6.3899999999999995E-5</v>
      </c>
      <c r="K1103" s="1">
        <v>7.8200000000000003E-5</v>
      </c>
      <c r="L1103" s="1">
        <v>7.6299999999999998E-5</v>
      </c>
      <c r="M1103">
        <v>1.04632E-4</v>
      </c>
      <c r="N1103">
        <v>1.08399E-4</v>
      </c>
      <c r="O1103">
        <v>1.0953799999999999E-4</v>
      </c>
      <c r="P1103" s="1">
        <v>9.3999999999999994E-5</v>
      </c>
      <c r="Q1103">
        <v>1.4677700000000001E-4</v>
      </c>
      <c r="R1103">
        <v>1.23931E-4</v>
      </c>
      <c r="S1103" s="1">
        <v>8.9599999999999996E-5</v>
      </c>
      <c r="T1103">
        <v>2.1863300000000001E-4</v>
      </c>
    </row>
    <row r="1104" spans="1:20" hidden="1" x14ac:dyDescent="0.25">
      <c r="A1104" t="s">
        <v>1122</v>
      </c>
      <c r="B1104">
        <v>9.8408700000000003E-4</v>
      </c>
      <c r="C1104">
        <v>8.5813000000000003E-4</v>
      </c>
      <c r="D1104">
        <v>1.2214369999999999E-3</v>
      </c>
      <c r="E1104">
        <v>1.0533999999999999E-3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5.9106399999999998E-4</v>
      </c>
      <c r="L1104">
        <v>6.3915300000000005E-4</v>
      </c>
      <c r="M1104">
        <v>5.4989700000000004E-4</v>
      </c>
      <c r="N1104">
        <v>4.5737099999999998E-4</v>
      </c>
      <c r="O1104">
        <v>7.3617300000000001E-4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hidden="1" x14ac:dyDescent="0.25">
      <c r="A1105" t="s">
        <v>1123</v>
      </c>
      <c r="B1105" s="1">
        <v>2.5399999999999998E-6</v>
      </c>
      <c r="C1105" s="1">
        <v>4.9699999999999998E-6</v>
      </c>
      <c r="D1105" s="1">
        <v>5.9100000000000002E-6</v>
      </c>
      <c r="E1105" s="1">
        <v>2.4700000000000001E-6</v>
      </c>
      <c r="F1105" s="1">
        <v>4.0400000000000003E-6</v>
      </c>
      <c r="G1105" s="1">
        <v>9.6900000000000004E-6</v>
      </c>
      <c r="H1105" s="1">
        <v>1.4800000000000001E-5</v>
      </c>
      <c r="I1105" s="1">
        <v>2.39E-6</v>
      </c>
      <c r="J1105">
        <v>0</v>
      </c>
      <c r="K1105">
        <v>0</v>
      </c>
      <c r="L1105" s="1">
        <v>3.8800000000000001E-6</v>
      </c>
      <c r="M1105" s="1">
        <v>4.2100000000000003E-6</v>
      </c>
      <c r="N1105" s="1">
        <v>3.5700000000000001E-6</v>
      </c>
      <c r="O1105" s="1">
        <v>4.42E-6</v>
      </c>
      <c r="P1105">
        <v>0</v>
      </c>
      <c r="Q1105" s="1">
        <v>3.7900000000000001E-6</v>
      </c>
      <c r="R1105">
        <v>0</v>
      </c>
      <c r="S1105" s="1">
        <v>2.8899999999999999E-6</v>
      </c>
      <c r="T1105" s="1">
        <v>4.1899999999999997E-6</v>
      </c>
    </row>
    <row r="1106" spans="1:20" hidden="1" x14ac:dyDescent="0.25">
      <c r="A1106" t="s">
        <v>1124</v>
      </c>
      <c r="B1106">
        <v>5.5579000000000002E-4</v>
      </c>
      <c r="C1106">
        <v>8.5170500000000002E-4</v>
      </c>
      <c r="D1106">
        <v>8.0370599999999995E-4</v>
      </c>
      <c r="E1106">
        <v>8.3696699999999998E-4</v>
      </c>
      <c r="F1106">
        <v>6.7826699999999998E-4</v>
      </c>
      <c r="G1106">
        <v>5.2483E-4</v>
      </c>
      <c r="H1106">
        <v>3.8455299999999999E-4</v>
      </c>
      <c r="I1106">
        <v>4.5188800000000001E-4</v>
      </c>
      <c r="J1106">
        <v>5.4575200000000004E-4</v>
      </c>
      <c r="K1106">
        <v>6.4145300000000005E-4</v>
      </c>
      <c r="L1106">
        <v>6.3862900000000004E-4</v>
      </c>
      <c r="M1106">
        <v>4.2389400000000002E-4</v>
      </c>
      <c r="N1106">
        <v>2.5161200000000002E-4</v>
      </c>
      <c r="O1106">
        <v>3.8059200000000002E-4</v>
      </c>
      <c r="P1106">
        <v>2.34711E-4</v>
      </c>
      <c r="Q1106">
        <v>2.5051300000000001E-4</v>
      </c>
      <c r="R1106">
        <v>1.6642800000000001E-4</v>
      </c>
      <c r="S1106">
        <v>1.4490400000000001E-4</v>
      </c>
      <c r="T1106">
        <v>2.1283000000000001E-4</v>
      </c>
    </row>
    <row r="1107" spans="1:20" hidden="1" x14ac:dyDescent="0.25">
      <c r="A1107" t="s">
        <v>1125</v>
      </c>
      <c r="B1107" s="1">
        <v>3.7599999999999999E-5</v>
      </c>
      <c r="C1107">
        <v>1.0398199999999999E-4</v>
      </c>
      <c r="D1107" s="1">
        <v>9.7E-5</v>
      </c>
      <c r="E1107" s="1">
        <v>9.7299999999999993E-5</v>
      </c>
      <c r="F1107" s="1">
        <v>6.9099999999999999E-5</v>
      </c>
      <c r="G1107" s="1">
        <v>9.0799999999999998E-5</v>
      </c>
      <c r="H1107" s="1">
        <v>6.0800000000000001E-5</v>
      </c>
      <c r="I1107">
        <v>1.02604E-4</v>
      </c>
      <c r="J1107" s="1">
        <v>6.4499999999999996E-5</v>
      </c>
      <c r="K1107" s="1">
        <v>7.1199999999999996E-5</v>
      </c>
      <c r="L1107" s="1">
        <v>8.3300000000000005E-5</v>
      </c>
      <c r="M1107" s="1">
        <v>4.8600000000000002E-5</v>
      </c>
      <c r="N1107" s="1">
        <v>5.4500000000000003E-5</v>
      </c>
      <c r="O1107" s="1">
        <v>8.0799999999999999E-5</v>
      </c>
      <c r="P1107" s="1">
        <v>3.3699999999999999E-5</v>
      </c>
      <c r="Q1107" s="1">
        <v>3.6900000000000002E-5</v>
      </c>
      <c r="R1107" s="1">
        <v>3.7299999999999999E-5</v>
      </c>
      <c r="S1107" s="1">
        <v>4.74E-5</v>
      </c>
      <c r="T1107" s="1">
        <v>3.7100000000000001E-5</v>
      </c>
    </row>
    <row r="1108" spans="1:20" hidden="1" x14ac:dyDescent="0.25">
      <c r="A1108" t="s">
        <v>1126</v>
      </c>
      <c r="B1108" s="1">
        <v>1.1199999999999999E-5</v>
      </c>
      <c r="C1108" s="1">
        <v>1.5500000000000001E-5</v>
      </c>
      <c r="D1108" s="1">
        <v>1.36E-5</v>
      </c>
      <c r="E1108">
        <v>0</v>
      </c>
      <c r="F1108" s="1">
        <v>1.9899999999999999E-5</v>
      </c>
      <c r="G1108" s="1">
        <v>2.34E-5</v>
      </c>
      <c r="H1108">
        <v>0</v>
      </c>
      <c r="I1108" s="1">
        <v>2.16E-5</v>
      </c>
      <c r="J1108" s="1">
        <v>1.7600000000000001E-5</v>
      </c>
      <c r="K1108" s="1">
        <v>2.5899999999999999E-5</v>
      </c>
      <c r="L1108" s="1">
        <v>2.1699999999999999E-5</v>
      </c>
      <c r="M1108">
        <v>0</v>
      </c>
      <c r="N1108" s="1">
        <v>2.2500000000000001E-5</v>
      </c>
      <c r="O1108">
        <v>0</v>
      </c>
      <c r="P1108">
        <v>0</v>
      </c>
      <c r="Q1108" s="1">
        <v>3.8699999999999999E-5</v>
      </c>
      <c r="R1108" s="1">
        <v>2.72E-5</v>
      </c>
      <c r="S1108" s="1">
        <v>4.32E-5</v>
      </c>
      <c r="T1108" s="1">
        <v>4.6300000000000001E-5</v>
      </c>
    </row>
    <row r="1109" spans="1:20" hidden="1" x14ac:dyDescent="0.25">
      <c r="A1109" t="s">
        <v>1127</v>
      </c>
      <c r="B1109">
        <v>2.9313199999999998E-4</v>
      </c>
      <c r="C1109">
        <v>2.9924800000000001E-4</v>
      </c>
      <c r="D1109">
        <v>2.5069600000000001E-4</v>
      </c>
      <c r="E1109">
        <v>1.67527E-4</v>
      </c>
      <c r="F1109">
        <v>1.68407E-4</v>
      </c>
      <c r="G1109">
        <v>1.7283500000000001E-4</v>
      </c>
      <c r="H1109">
        <v>2.3039100000000001E-4</v>
      </c>
      <c r="I1109">
        <v>1.77913E-4</v>
      </c>
      <c r="J1109">
        <v>2.8794900000000002E-4</v>
      </c>
      <c r="K1109">
        <v>2.7946399999999999E-4</v>
      </c>
      <c r="L1109">
        <v>2.6234400000000002E-4</v>
      </c>
      <c r="M1109">
        <v>3.01334E-4</v>
      </c>
      <c r="N1109">
        <v>2.8732999999999997E-4</v>
      </c>
      <c r="O1109">
        <v>2.1693099999999999E-4</v>
      </c>
      <c r="P1109">
        <v>4.1567299999999998E-4</v>
      </c>
      <c r="Q1109">
        <v>5.5302499999999996E-4</v>
      </c>
      <c r="R1109">
        <v>3.6627399999999998E-4</v>
      </c>
      <c r="S1109">
        <v>4.0192500000000003E-4</v>
      </c>
      <c r="T1109">
        <v>4.47391E-4</v>
      </c>
    </row>
    <row r="1110" spans="1:20" hidden="1" x14ac:dyDescent="0.25">
      <c r="A1110" t="s">
        <v>1128</v>
      </c>
      <c r="B1110">
        <v>1.3111500000000001E-4</v>
      </c>
      <c r="C1110" s="1">
        <v>8.2299999999999995E-5</v>
      </c>
      <c r="D1110">
        <v>1.2139899999999999E-4</v>
      </c>
      <c r="E1110" s="1">
        <v>6.6799999999999997E-5</v>
      </c>
      <c r="F1110">
        <v>1.13256E-4</v>
      </c>
      <c r="G1110">
        <v>1.6532999999999999E-4</v>
      </c>
      <c r="H1110">
        <v>2.6166699999999999E-4</v>
      </c>
      <c r="I1110">
        <v>1.0522900000000001E-4</v>
      </c>
      <c r="J1110">
        <v>1.0979E-4</v>
      </c>
      <c r="K1110" s="1">
        <v>8.3200000000000003E-5</v>
      </c>
      <c r="L1110">
        <v>1.3357399999999999E-4</v>
      </c>
      <c r="M1110">
        <v>2.0661099999999999E-4</v>
      </c>
      <c r="N1110">
        <v>2.5274100000000001E-4</v>
      </c>
      <c r="O1110">
        <v>1.6904100000000001E-4</v>
      </c>
      <c r="P1110">
        <v>2.6224400000000002E-4</v>
      </c>
      <c r="Q1110">
        <v>4.8979000000000004E-4</v>
      </c>
      <c r="R1110">
        <v>3.1117200000000002E-4</v>
      </c>
      <c r="S1110">
        <v>3.01186E-4</v>
      </c>
      <c r="T1110">
        <v>4.6005299999999998E-4</v>
      </c>
    </row>
    <row r="1111" spans="1:20" hidden="1" x14ac:dyDescent="0.25">
      <c r="A1111" t="s">
        <v>1129</v>
      </c>
      <c r="B1111">
        <v>0</v>
      </c>
      <c r="C1111">
        <v>1.12422E-4</v>
      </c>
      <c r="D1111" s="1">
        <v>2.0299999999999999E-5</v>
      </c>
      <c r="E1111" s="1">
        <v>1.5E-5</v>
      </c>
      <c r="F1111" s="1">
        <v>9.2799999999999992E-6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s="1">
        <v>7.0099999999999998E-6</v>
      </c>
      <c r="O1111" s="1">
        <v>1.1600000000000001E-5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hidden="1" x14ac:dyDescent="0.25">
      <c r="A1112" t="s">
        <v>1130</v>
      </c>
      <c r="B1112" s="1">
        <v>1.08E-5</v>
      </c>
      <c r="C1112" s="1">
        <v>1.7900000000000001E-5</v>
      </c>
      <c r="D1112" s="1">
        <v>1.6900000000000001E-5</v>
      </c>
      <c r="E1112" s="1">
        <v>1.7099999999999999E-5</v>
      </c>
      <c r="F1112" s="1">
        <v>1.45E-5</v>
      </c>
      <c r="G1112" s="1">
        <v>2.3E-5</v>
      </c>
      <c r="H1112" s="1">
        <v>1.84E-5</v>
      </c>
      <c r="I1112" s="1">
        <v>9.8200000000000008E-6</v>
      </c>
      <c r="J1112" s="1">
        <v>9.3100000000000006E-6</v>
      </c>
      <c r="K1112" s="1">
        <v>1.29E-5</v>
      </c>
      <c r="L1112" s="1">
        <v>1.8099999999999999E-5</v>
      </c>
      <c r="M1112" s="1">
        <v>1.29E-5</v>
      </c>
      <c r="N1112" s="1">
        <v>1.33E-5</v>
      </c>
      <c r="O1112" s="1">
        <v>1.1E-5</v>
      </c>
      <c r="P1112" s="1">
        <v>2.4600000000000002E-5</v>
      </c>
      <c r="Q1112" s="1">
        <v>2.62E-5</v>
      </c>
      <c r="R1112" s="1">
        <v>2.2900000000000001E-5</v>
      </c>
      <c r="S1112" s="1">
        <v>2.5199999999999999E-5</v>
      </c>
      <c r="T1112" s="1">
        <v>2.9899999999999998E-5</v>
      </c>
    </row>
    <row r="1113" spans="1:20" hidden="1" x14ac:dyDescent="0.25">
      <c r="A1113" t="s">
        <v>1131</v>
      </c>
      <c r="B1113" s="1">
        <v>2.3E-5</v>
      </c>
      <c r="C1113" s="1">
        <v>3.6999999999999998E-5</v>
      </c>
      <c r="D1113">
        <v>0</v>
      </c>
      <c r="E1113" s="1">
        <v>2.1999999999999999E-5</v>
      </c>
      <c r="F1113" s="1">
        <v>1.9400000000000001E-5</v>
      </c>
      <c r="G1113" s="1">
        <v>7.0199999999999999E-5</v>
      </c>
      <c r="H1113" s="1">
        <v>2.5599999999999999E-5</v>
      </c>
      <c r="I1113" s="1">
        <v>2.0999999999999999E-5</v>
      </c>
      <c r="J1113" s="1">
        <v>2.2399999999999999E-5</v>
      </c>
      <c r="K1113" s="1">
        <v>3.4600000000000001E-5</v>
      </c>
      <c r="L1113" s="1">
        <v>2.9499999999999999E-5</v>
      </c>
      <c r="M1113" s="1">
        <v>3.93E-5</v>
      </c>
      <c r="N1113" s="1">
        <v>1.95E-5</v>
      </c>
      <c r="O1113" s="1">
        <v>1.0900000000000001E-5</v>
      </c>
      <c r="P1113" s="1">
        <v>4.1100000000000003E-5</v>
      </c>
      <c r="Q1113" s="1">
        <v>8.0099999999999995E-5</v>
      </c>
      <c r="R1113" s="1">
        <v>5.9700000000000001E-5</v>
      </c>
      <c r="S1113">
        <v>1.8124100000000001E-4</v>
      </c>
      <c r="T1113">
        <v>1.19294E-4</v>
      </c>
    </row>
    <row r="1114" spans="1:20" hidden="1" x14ac:dyDescent="0.25">
      <c r="A1114" t="s">
        <v>1132</v>
      </c>
      <c r="B1114">
        <v>0</v>
      </c>
      <c r="C1114">
        <v>0</v>
      </c>
      <c r="D1114">
        <v>0</v>
      </c>
      <c r="E1114">
        <v>0</v>
      </c>
      <c r="F1114">
        <v>0</v>
      </c>
      <c r="G1114" s="1">
        <v>2.2900000000000001E-5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s="1">
        <v>2.4199999999999999E-5</v>
      </c>
      <c r="R1114" s="1">
        <v>1.0900000000000001E-5</v>
      </c>
      <c r="S1114" s="1">
        <v>8.4800000000000001E-5</v>
      </c>
      <c r="T1114" s="1">
        <v>3.57E-5</v>
      </c>
    </row>
    <row r="1115" spans="1:20" hidden="1" x14ac:dyDescent="0.25">
      <c r="A1115" t="s">
        <v>1133</v>
      </c>
      <c r="B1115" s="1">
        <v>3.82E-5</v>
      </c>
      <c r="C1115">
        <v>0</v>
      </c>
      <c r="D1115" s="1">
        <v>3.3800000000000002E-5</v>
      </c>
      <c r="E1115" s="1">
        <v>2.2200000000000001E-5</v>
      </c>
      <c r="F1115" s="1">
        <v>4.7599999999999998E-5</v>
      </c>
      <c r="G1115">
        <v>0</v>
      </c>
      <c r="H1115">
        <v>0</v>
      </c>
      <c r="I1115" s="1">
        <v>4.1999999999999998E-5</v>
      </c>
      <c r="J1115" s="1">
        <v>5.38E-5</v>
      </c>
      <c r="K1115" s="1">
        <v>2.94E-5</v>
      </c>
      <c r="L1115" s="1">
        <v>3.7400000000000001E-5</v>
      </c>
      <c r="M1115" s="1">
        <v>5.52E-5</v>
      </c>
      <c r="N1115" s="1">
        <v>8.0199999999999998E-5</v>
      </c>
      <c r="O1115" s="1">
        <v>3.6300000000000001E-5</v>
      </c>
      <c r="P1115" s="1">
        <v>5.5699999999999999E-5</v>
      </c>
      <c r="Q1115" s="1">
        <v>5.1900000000000001E-5</v>
      </c>
      <c r="R1115" s="1">
        <v>5.0699999999999999E-5</v>
      </c>
      <c r="S1115">
        <v>0</v>
      </c>
      <c r="T1115" s="1">
        <v>4.7200000000000002E-5</v>
      </c>
    </row>
    <row r="1116" spans="1:20" hidden="1" x14ac:dyDescent="0.25">
      <c r="A1116" t="s">
        <v>1134</v>
      </c>
      <c r="B1116" s="1">
        <v>3.8999999999999999E-5</v>
      </c>
      <c r="C1116" s="1">
        <v>8.3399999999999994E-5</v>
      </c>
      <c r="D1116">
        <v>1.10513E-4</v>
      </c>
      <c r="E1116" s="1">
        <v>9.4699999999999998E-5</v>
      </c>
      <c r="F1116" s="1">
        <v>5.0800000000000002E-5</v>
      </c>
      <c r="G1116" s="1">
        <v>7.1600000000000006E-5</v>
      </c>
      <c r="H1116" s="1">
        <v>4.1699999999999997E-5</v>
      </c>
      <c r="I1116" s="1">
        <v>9.2499999999999999E-5</v>
      </c>
      <c r="J1116" s="1">
        <v>7.1199999999999996E-5</v>
      </c>
      <c r="K1116" s="1">
        <v>8.9099999999999997E-5</v>
      </c>
      <c r="L1116" s="1">
        <v>8.7299999999999994E-5</v>
      </c>
      <c r="M1116" s="1">
        <v>6.2500000000000001E-5</v>
      </c>
      <c r="N1116" s="1">
        <v>8.7200000000000005E-5</v>
      </c>
      <c r="O1116" s="1">
        <v>7.2100000000000004E-5</v>
      </c>
      <c r="P1116" s="1">
        <v>5.5800000000000001E-5</v>
      </c>
      <c r="Q1116" s="1">
        <v>5.6799999999999998E-5</v>
      </c>
      <c r="R1116" s="1">
        <v>4.32E-5</v>
      </c>
      <c r="S1116" s="1">
        <v>6.4499999999999996E-5</v>
      </c>
      <c r="T1116" s="1">
        <v>5.13E-5</v>
      </c>
    </row>
    <row r="1117" spans="1:20" hidden="1" x14ac:dyDescent="0.25">
      <c r="A1117" t="s">
        <v>1135</v>
      </c>
      <c r="B1117">
        <v>0</v>
      </c>
      <c r="C1117" s="1">
        <v>3.57E-5</v>
      </c>
      <c r="D1117" s="1">
        <v>2.37E-5</v>
      </c>
      <c r="E1117" s="1">
        <v>1.9199999999999999E-5</v>
      </c>
      <c r="F1117">
        <v>0</v>
      </c>
      <c r="G1117" s="1">
        <v>3.4199999999999998E-5</v>
      </c>
      <c r="H1117">
        <v>0</v>
      </c>
      <c r="I1117">
        <v>0</v>
      </c>
      <c r="J1117">
        <v>0</v>
      </c>
      <c r="K1117">
        <v>0</v>
      </c>
      <c r="L1117" s="1">
        <v>1.8E-5</v>
      </c>
      <c r="M1117">
        <v>0</v>
      </c>
      <c r="N1117">
        <v>0</v>
      </c>
      <c r="O1117" s="1">
        <v>1.13E-5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hidden="1" x14ac:dyDescent="0.25">
      <c r="A1118" t="s">
        <v>1136</v>
      </c>
      <c r="B1118">
        <v>0</v>
      </c>
      <c r="C1118" s="1">
        <v>2.9E-5</v>
      </c>
      <c r="D1118">
        <v>0</v>
      </c>
      <c r="E1118" s="1">
        <v>3.68E-5</v>
      </c>
      <c r="F1118" s="1">
        <v>2.0400000000000001E-5</v>
      </c>
      <c r="G1118">
        <v>0</v>
      </c>
      <c r="H1118" s="1">
        <v>3.7799999999999997E-5</v>
      </c>
      <c r="I1118" s="1">
        <v>2.3600000000000001E-5</v>
      </c>
      <c r="J1118">
        <v>0</v>
      </c>
      <c r="K1118" s="1">
        <v>3.1199999999999999E-5</v>
      </c>
      <c r="L1118" s="1">
        <v>2.5299999999999998E-5</v>
      </c>
      <c r="M1118">
        <v>0</v>
      </c>
      <c r="N1118">
        <v>0</v>
      </c>
      <c r="O1118" s="1">
        <v>3.0599999999999998E-5</v>
      </c>
      <c r="P1118">
        <v>0</v>
      </c>
      <c r="Q1118" s="1">
        <v>2.5299999999999998E-5</v>
      </c>
      <c r="R1118" s="1">
        <v>3.6900000000000002E-5</v>
      </c>
      <c r="S1118" s="1">
        <v>3.6199999999999999E-5</v>
      </c>
      <c r="T1118" s="1">
        <v>3.6999999999999998E-5</v>
      </c>
    </row>
    <row r="1119" spans="1:20" hidden="1" x14ac:dyDescent="0.25">
      <c r="A1119" t="s">
        <v>1137</v>
      </c>
      <c r="B1119" s="1">
        <v>8.03E-5</v>
      </c>
      <c r="C1119" s="1">
        <v>6.9099999999999999E-5</v>
      </c>
      <c r="D1119" s="1">
        <v>5.8100000000000003E-5</v>
      </c>
      <c r="E1119" s="1">
        <v>6.7500000000000001E-5</v>
      </c>
      <c r="F1119" s="1">
        <v>8.5900000000000001E-5</v>
      </c>
      <c r="G1119">
        <v>1.01164E-4</v>
      </c>
      <c r="H1119" s="1">
        <v>8.5799999999999998E-5</v>
      </c>
      <c r="I1119">
        <v>1.16854E-4</v>
      </c>
      <c r="J1119">
        <v>1.2006900000000001E-4</v>
      </c>
      <c r="K1119" s="1">
        <v>7.3300000000000006E-5</v>
      </c>
      <c r="L1119">
        <v>1.30753E-4</v>
      </c>
      <c r="M1119">
        <v>1.08971E-4</v>
      </c>
      <c r="N1119">
        <v>2.21437E-4</v>
      </c>
      <c r="O1119">
        <v>1.2375299999999999E-4</v>
      </c>
      <c r="P1119">
        <v>1.6537299999999999E-4</v>
      </c>
      <c r="Q1119">
        <v>1.7671900000000001E-4</v>
      </c>
      <c r="R1119">
        <v>1.7751999999999999E-4</v>
      </c>
      <c r="S1119">
        <v>2.0172899999999999E-4</v>
      </c>
      <c r="T1119">
        <v>2.5552300000000001E-4</v>
      </c>
    </row>
    <row r="1120" spans="1:20" hidden="1" x14ac:dyDescent="0.25">
      <c r="A1120" t="s">
        <v>1138</v>
      </c>
      <c r="B1120">
        <v>8.6413099999999997E-4</v>
      </c>
      <c r="C1120">
        <v>1.0629890000000001E-3</v>
      </c>
      <c r="D1120">
        <v>9.0311099999999995E-4</v>
      </c>
      <c r="E1120">
        <v>1.020013E-3</v>
      </c>
      <c r="F1120">
        <v>1.227466E-3</v>
      </c>
      <c r="G1120">
        <v>9.3225600000000001E-4</v>
      </c>
      <c r="H1120">
        <v>5.2633200000000002E-4</v>
      </c>
      <c r="I1120">
        <v>9.4654400000000001E-4</v>
      </c>
      <c r="J1120">
        <v>1.0138879999999999E-3</v>
      </c>
      <c r="K1120">
        <v>7.0900599999999998E-4</v>
      </c>
      <c r="L1120">
        <v>7.5505400000000001E-4</v>
      </c>
      <c r="M1120">
        <v>8.4453100000000004E-4</v>
      </c>
      <c r="N1120">
        <v>1.130661E-3</v>
      </c>
      <c r="O1120">
        <v>9.9836400000000007E-4</v>
      </c>
      <c r="P1120">
        <v>8.7667099999999998E-4</v>
      </c>
      <c r="Q1120">
        <v>9.2055900000000005E-4</v>
      </c>
      <c r="R1120">
        <v>6.3245100000000002E-4</v>
      </c>
      <c r="S1120">
        <v>8.9597799999999997E-4</v>
      </c>
      <c r="T1120">
        <v>7.7734799999999997E-4</v>
      </c>
    </row>
    <row r="1121" spans="1:20" hidden="1" x14ac:dyDescent="0.25">
      <c r="A1121" t="s">
        <v>1139</v>
      </c>
      <c r="B1121">
        <v>0</v>
      </c>
      <c r="C1121">
        <v>0</v>
      </c>
      <c r="D1121">
        <v>0</v>
      </c>
      <c r="E1121">
        <v>0</v>
      </c>
      <c r="F1121" s="1">
        <v>1.47E-5</v>
      </c>
      <c r="G1121" s="1">
        <v>1.5999999999999999E-5</v>
      </c>
      <c r="H1121" s="1">
        <v>1.7600000000000001E-5</v>
      </c>
      <c r="I1121">
        <v>0</v>
      </c>
      <c r="J1121" s="1">
        <v>1.01E-5</v>
      </c>
      <c r="K1121" s="1">
        <v>1.0699999999999999E-5</v>
      </c>
      <c r="L1121">
        <v>0</v>
      </c>
      <c r="M1121">
        <v>0</v>
      </c>
      <c r="N1121">
        <v>0</v>
      </c>
      <c r="O1121" s="1">
        <v>8.2600000000000005E-6</v>
      </c>
      <c r="P1121" s="1">
        <v>2.6100000000000001E-5</v>
      </c>
      <c r="Q1121" s="1">
        <v>4.8000000000000001E-5</v>
      </c>
      <c r="R1121" s="1">
        <v>2.7699999999999999E-5</v>
      </c>
      <c r="S1121" s="1">
        <v>3.3599999999999997E-5</v>
      </c>
      <c r="T1121">
        <v>1.16593E-4</v>
      </c>
    </row>
    <row r="1122" spans="1:20" hidden="1" x14ac:dyDescent="0.25">
      <c r="A1122" t="s">
        <v>1140</v>
      </c>
      <c r="B1122" s="1">
        <v>1.6799999999999998E-5</v>
      </c>
      <c r="C1122">
        <v>0</v>
      </c>
      <c r="D1122">
        <v>0</v>
      </c>
      <c r="E1122" s="1">
        <v>1.7399999999999999E-5</v>
      </c>
      <c r="F1122" s="1">
        <v>3.3200000000000001E-5</v>
      </c>
      <c r="G1122">
        <v>0</v>
      </c>
      <c r="H1122" s="1">
        <v>2.3600000000000001E-5</v>
      </c>
      <c r="I1122" s="1">
        <v>1.6699999999999999E-5</v>
      </c>
      <c r="J1122" s="1">
        <v>2.44E-5</v>
      </c>
      <c r="K1122">
        <v>0</v>
      </c>
      <c r="L1122">
        <v>0</v>
      </c>
      <c r="M1122">
        <v>0</v>
      </c>
      <c r="N1122">
        <v>0</v>
      </c>
      <c r="O1122" s="1">
        <v>1.3499999999999999E-5</v>
      </c>
      <c r="P1122" s="1">
        <v>2.3E-5</v>
      </c>
      <c r="Q1122" s="1">
        <v>5.0599999999999997E-5</v>
      </c>
      <c r="R1122" s="1">
        <v>7.3800000000000005E-5</v>
      </c>
      <c r="S1122" s="1">
        <v>4.1100000000000003E-5</v>
      </c>
      <c r="T1122" s="1">
        <v>3.6100000000000003E-5</v>
      </c>
    </row>
    <row r="1123" spans="1:20" hidden="1" x14ac:dyDescent="0.25">
      <c r="A1123" t="s">
        <v>1141</v>
      </c>
      <c r="B1123">
        <v>1.2803599999999999E-4</v>
      </c>
      <c r="C1123">
        <v>1.8463099999999999E-4</v>
      </c>
      <c r="D1123">
        <v>1.9280499999999999E-4</v>
      </c>
      <c r="E1123">
        <v>1.8148599999999999E-4</v>
      </c>
      <c r="F1123">
        <v>1.7265299999999999E-4</v>
      </c>
      <c r="G1123">
        <v>1.61304E-4</v>
      </c>
      <c r="H1123">
        <v>1.2803000000000001E-4</v>
      </c>
      <c r="I1123">
        <v>1.5359600000000001E-4</v>
      </c>
      <c r="J1123">
        <v>1.5831800000000001E-4</v>
      </c>
      <c r="K1123">
        <v>1.6469600000000001E-4</v>
      </c>
      <c r="L1123">
        <v>1.9513500000000001E-4</v>
      </c>
      <c r="M1123" s="1">
        <v>9.2800000000000006E-5</v>
      </c>
      <c r="N1123" s="1">
        <v>5.9899999999999999E-5</v>
      </c>
      <c r="O1123">
        <v>1.6122599999999999E-4</v>
      </c>
      <c r="P1123">
        <v>1.07318E-4</v>
      </c>
      <c r="Q1123" s="1">
        <v>8.7800000000000006E-5</v>
      </c>
      <c r="R1123">
        <v>1.03878E-4</v>
      </c>
      <c r="S1123">
        <v>1.01914E-4</v>
      </c>
      <c r="T1123" s="1">
        <v>9.1100000000000005E-5</v>
      </c>
    </row>
    <row r="1124" spans="1:20" hidden="1" x14ac:dyDescent="0.25">
      <c r="A1124" t="s">
        <v>1142</v>
      </c>
      <c r="B1124" s="1">
        <v>9.5299999999999999E-5</v>
      </c>
      <c r="C1124">
        <v>1.2670699999999999E-4</v>
      </c>
      <c r="D1124" s="1">
        <v>8.8300000000000005E-5</v>
      </c>
      <c r="E1124">
        <v>0</v>
      </c>
      <c r="F1124">
        <v>1.5786899999999999E-4</v>
      </c>
      <c r="G1124">
        <v>1.45014E-4</v>
      </c>
      <c r="H1124">
        <v>1.118686E-3</v>
      </c>
      <c r="I1124">
        <v>2.9063899999999998E-4</v>
      </c>
      <c r="J1124">
        <v>2.25162E-4</v>
      </c>
      <c r="K1124" s="1">
        <v>9.9300000000000001E-5</v>
      </c>
      <c r="L1124">
        <v>1.9369499999999999E-4</v>
      </c>
      <c r="M1124">
        <v>2.9449899999999999E-4</v>
      </c>
      <c r="N1124">
        <v>8.7798900000000003E-4</v>
      </c>
      <c r="O1124">
        <v>6.4782999999999996E-4</v>
      </c>
      <c r="P1124">
        <v>2.0777099999999999E-4</v>
      </c>
      <c r="Q1124">
        <v>0</v>
      </c>
      <c r="R1124">
        <v>1.4557E-4</v>
      </c>
      <c r="S1124">
        <v>0</v>
      </c>
      <c r="T1124" s="1">
        <v>8.5000000000000006E-5</v>
      </c>
    </row>
    <row r="1125" spans="1:20" hidden="1" x14ac:dyDescent="0.25">
      <c r="A1125" t="s">
        <v>1143</v>
      </c>
      <c r="B1125" s="1">
        <v>1.15E-5</v>
      </c>
      <c r="C1125" s="1">
        <v>9.9399999999999997E-6</v>
      </c>
      <c r="D1125" s="1">
        <v>9.3000000000000007E-6</v>
      </c>
      <c r="E1125" s="1">
        <v>1.04E-5</v>
      </c>
      <c r="F1125" s="1">
        <v>1.7399999999999999E-5</v>
      </c>
      <c r="G1125" s="1">
        <v>2.16E-5</v>
      </c>
      <c r="H1125" s="1">
        <v>2.8099999999999999E-5</v>
      </c>
      <c r="I1125" s="1">
        <v>1.7499999999999998E-5</v>
      </c>
      <c r="J1125" s="1">
        <v>1.19E-5</v>
      </c>
      <c r="K1125" s="1">
        <v>1.8499999999999999E-5</v>
      </c>
      <c r="L1125" s="1">
        <v>1.8199999999999999E-5</v>
      </c>
      <c r="M1125" s="1">
        <v>8.1899999999999995E-6</v>
      </c>
      <c r="N1125" s="1">
        <v>9.3700000000000001E-6</v>
      </c>
      <c r="O1125" s="1">
        <v>1.08E-5</v>
      </c>
      <c r="P1125" s="1">
        <v>3.9400000000000002E-5</v>
      </c>
      <c r="Q1125" s="1">
        <v>6.1600000000000007E-5</v>
      </c>
      <c r="R1125" s="1">
        <v>6.2899999999999997E-5</v>
      </c>
      <c r="S1125" s="1">
        <v>7.1299999999999998E-5</v>
      </c>
      <c r="T1125">
        <v>1.22416E-4</v>
      </c>
    </row>
    <row r="1126" spans="1:20" hidden="1" x14ac:dyDescent="0.25">
      <c r="A1126" t="s">
        <v>1144</v>
      </c>
      <c r="B1126">
        <v>2.2849379999999998E-3</v>
      </c>
      <c r="C1126">
        <v>1.4117209999999999E-3</v>
      </c>
      <c r="D1126">
        <v>2.533329E-3</v>
      </c>
      <c r="E1126">
        <v>1.9481769999999999E-3</v>
      </c>
      <c r="F1126">
        <v>1.966677E-3</v>
      </c>
      <c r="G1126">
        <v>1.4007659999999999E-3</v>
      </c>
      <c r="H1126">
        <v>1.6981979999999999E-3</v>
      </c>
      <c r="I1126">
        <v>1.4679109999999999E-3</v>
      </c>
      <c r="J1126">
        <v>1.2853000000000001E-3</v>
      </c>
      <c r="K1126">
        <v>1.551134E-3</v>
      </c>
      <c r="L1126">
        <v>1.42728E-3</v>
      </c>
      <c r="M1126">
        <v>1.8960909999999999E-3</v>
      </c>
      <c r="N1126">
        <v>1.4935160000000001E-3</v>
      </c>
      <c r="O1126">
        <v>1.9514059999999999E-3</v>
      </c>
      <c r="P1126">
        <v>8.7441099999999996E-4</v>
      </c>
      <c r="Q1126">
        <v>9.8561299999999998E-4</v>
      </c>
      <c r="R1126">
        <v>5.2727999999999998E-4</v>
      </c>
      <c r="S1126">
        <v>4.6239099999999998E-4</v>
      </c>
      <c r="T1126">
        <v>1.024839E-3</v>
      </c>
    </row>
    <row r="1127" spans="1:20" hidden="1" x14ac:dyDescent="0.25">
      <c r="A1127" t="s">
        <v>1145</v>
      </c>
      <c r="B1127">
        <v>1.8097400000000001E-4</v>
      </c>
      <c r="C1127">
        <v>2.01413E-4</v>
      </c>
      <c r="D1127">
        <v>0</v>
      </c>
      <c r="E1127">
        <v>0</v>
      </c>
      <c r="F1127">
        <v>6.3890300000000002E-4</v>
      </c>
      <c r="G1127">
        <v>4.0288699999999999E-4</v>
      </c>
      <c r="H1127">
        <v>2.5788100000000001E-4</v>
      </c>
      <c r="I1127">
        <v>9.4449900000000001E-4</v>
      </c>
      <c r="J1127">
        <v>2.5485200000000002E-4</v>
      </c>
      <c r="K1127">
        <v>3.13209E-4</v>
      </c>
      <c r="L1127">
        <v>3.6874100000000001E-4</v>
      </c>
      <c r="M1127">
        <v>4.8839399999999996E-4</v>
      </c>
      <c r="N1127">
        <v>7.5482200000000005E-4</v>
      </c>
      <c r="O1127">
        <v>3.60501E-4</v>
      </c>
      <c r="P1127">
        <v>9.4119500000000003E-4</v>
      </c>
      <c r="Q1127">
        <v>5.43608E-4</v>
      </c>
      <c r="R1127">
        <v>3.2080999999999999E-4</v>
      </c>
      <c r="S1127">
        <v>6.32119E-4</v>
      </c>
      <c r="T1127">
        <v>1.01817E-4</v>
      </c>
    </row>
    <row r="1128" spans="1:20" hidden="1" x14ac:dyDescent="0.25">
      <c r="A1128" t="s">
        <v>1146</v>
      </c>
      <c r="B1128">
        <v>0</v>
      </c>
      <c r="C1128" s="1">
        <v>1.42E-5</v>
      </c>
      <c r="D1128" s="1">
        <v>1.01E-5</v>
      </c>
      <c r="E1128" s="1">
        <v>1.8300000000000001E-5</v>
      </c>
      <c r="F1128">
        <v>0</v>
      </c>
      <c r="G1128">
        <v>0</v>
      </c>
      <c r="H1128">
        <v>0</v>
      </c>
      <c r="I1128">
        <v>0</v>
      </c>
      <c r="J1128">
        <v>0</v>
      </c>
      <c r="K1128" s="1">
        <v>1.11E-5</v>
      </c>
      <c r="L1128" s="1">
        <v>7.2200000000000003E-6</v>
      </c>
      <c r="M1128">
        <v>0</v>
      </c>
      <c r="N1128">
        <v>0</v>
      </c>
      <c r="O1128" s="1">
        <v>6.1199999999999999E-6</v>
      </c>
      <c r="P1128">
        <v>0</v>
      </c>
      <c r="Q1128" s="1">
        <v>9.5100000000000004E-6</v>
      </c>
      <c r="R1128">
        <v>0</v>
      </c>
      <c r="S1128">
        <v>0</v>
      </c>
      <c r="T1128">
        <v>0</v>
      </c>
    </row>
    <row r="1129" spans="1:20" hidden="1" x14ac:dyDescent="0.25">
      <c r="A1129" t="s">
        <v>1147</v>
      </c>
      <c r="B1129" s="1">
        <v>9.1099999999999992E-6</v>
      </c>
      <c r="C1129" s="1">
        <v>8.14E-6</v>
      </c>
      <c r="D1129" s="1">
        <v>1.6699999999999999E-5</v>
      </c>
      <c r="E1129" s="1">
        <v>1.34E-5</v>
      </c>
      <c r="F1129" s="1">
        <v>1.06E-5</v>
      </c>
      <c r="G1129" s="1">
        <v>1.03E-5</v>
      </c>
      <c r="H1129">
        <v>0</v>
      </c>
      <c r="I1129">
        <v>0</v>
      </c>
      <c r="J1129">
        <v>0</v>
      </c>
      <c r="K1129" s="1">
        <v>1.77E-5</v>
      </c>
      <c r="L1129" s="1">
        <v>2.0599999999999999E-5</v>
      </c>
      <c r="M1129" s="1">
        <v>1.59E-5</v>
      </c>
      <c r="N1129">
        <v>0</v>
      </c>
      <c r="O1129" s="1">
        <v>1.9300000000000002E-5</v>
      </c>
      <c r="P1129" s="1">
        <v>6.8700000000000003E-6</v>
      </c>
      <c r="Q1129" s="1">
        <v>6.7700000000000004E-6</v>
      </c>
      <c r="R1129" s="1">
        <v>7.2799999999999998E-6</v>
      </c>
      <c r="S1129" s="1">
        <v>1.5999999999999999E-5</v>
      </c>
      <c r="T1129" s="1">
        <v>2.6800000000000001E-5</v>
      </c>
    </row>
    <row r="1130" spans="1:20" hidden="1" x14ac:dyDescent="0.25">
      <c r="A1130" t="s">
        <v>1148</v>
      </c>
      <c r="B1130">
        <v>2.10454E-4</v>
      </c>
      <c r="C1130">
        <v>4.2130200000000003E-4</v>
      </c>
      <c r="D1130">
        <v>4.2590999999999999E-4</v>
      </c>
      <c r="E1130">
        <v>4.3785699999999999E-4</v>
      </c>
      <c r="F1130">
        <v>2.34942E-4</v>
      </c>
      <c r="G1130">
        <v>3.8511699999999998E-4</v>
      </c>
      <c r="H1130">
        <v>2.8650300000000002E-4</v>
      </c>
      <c r="I1130">
        <v>2.6452099999999998E-4</v>
      </c>
      <c r="J1130">
        <v>1.92136E-4</v>
      </c>
      <c r="K1130">
        <v>3.6798199999999999E-4</v>
      </c>
      <c r="L1130">
        <v>4.0452499999999998E-4</v>
      </c>
      <c r="M1130">
        <v>1.3398699999999999E-4</v>
      </c>
      <c r="N1130">
        <v>1.0606E-4</v>
      </c>
      <c r="O1130">
        <v>2.9352600000000001E-4</v>
      </c>
      <c r="P1130">
        <v>1.4550699999999999E-4</v>
      </c>
      <c r="Q1130">
        <v>1.37195E-4</v>
      </c>
      <c r="R1130">
        <v>1.1170099999999999E-4</v>
      </c>
      <c r="S1130">
        <v>1.19159E-4</v>
      </c>
      <c r="T1130">
        <v>1.48505E-4</v>
      </c>
    </row>
    <row r="1131" spans="1:20" hidden="1" x14ac:dyDescent="0.25">
      <c r="A1131" t="s">
        <v>1149</v>
      </c>
      <c r="B1131" s="1">
        <v>7.9699999999999999E-5</v>
      </c>
      <c r="C1131">
        <v>0</v>
      </c>
      <c r="D1131" s="1">
        <v>7.3700000000000002E-5</v>
      </c>
      <c r="E1131" s="1">
        <v>5.8E-5</v>
      </c>
      <c r="F1131" s="1">
        <v>6.6400000000000001E-5</v>
      </c>
      <c r="G1131" s="1">
        <v>2.8099999999999999E-5</v>
      </c>
      <c r="H1131" s="1">
        <v>9.87E-5</v>
      </c>
      <c r="I1131" s="1">
        <v>3.96E-5</v>
      </c>
      <c r="J1131" s="1">
        <v>5.5399999999999998E-5</v>
      </c>
      <c r="K1131" s="1">
        <v>2.9099999999999999E-5</v>
      </c>
      <c r="L1131" s="1">
        <v>1.59E-5</v>
      </c>
      <c r="M1131" s="1">
        <v>3.7400000000000001E-5</v>
      </c>
      <c r="N1131" s="1">
        <v>4.32E-5</v>
      </c>
      <c r="O1131" s="1">
        <v>6.97E-5</v>
      </c>
      <c r="P1131" s="1">
        <v>5.2899999999999998E-5</v>
      </c>
      <c r="Q1131">
        <v>1.03496E-4</v>
      </c>
      <c r="R1131" s="1">
        <v>9.9500000000000006E-5</v>
      </c>
      <c r="S1131" s="1">
        <v>4.6199999999999998E-5</v>
      </c>
      <c r="T1131">
        <v>2.0345399999999999E-4</v>
      </c>
    </row>
    <row r="1132" spans="1:20" hidden="1" x14ac:dyDescent="0.25">
      <c r="A1132" t="s">
        <v>1150</v>
      </c>
      <c r="B1132">
        <v>1.74575E-4</v>
      </c>
      <c r="C1132">
        <v>2.7526200000000002E-4</v>
      </c>
      <c r="D1132">
        <v>2.4126599999999999E-4</v>
      </c>
      <c r="E1132">
        <v>1.9258799999999999E-4</v>
      </c>
      <c r="F1132">
        <v>1.09332E-4</v>
      </c>
      <c r="G1132">
        <v>1.7372500000000001E-4</v>
      </c>
      <c r="H1132">
        <v>1.1090999999999999E-4</v>
      </c>
      <c r="I1132">
        <v>1.9565500000000001E-4</v>
      </c>
      <c r="J1132">
        <v>1.74904E-4</v>
      </c>
      <c r="K1132">
        <v>2.1863399999999999E-4</v>
      </c>
      <c r="L1132">
        <v>2.4823500000000002E-4</v>
      </c>
      <c r="M1132">
        <v>1.20346E-4</v>
      </c>
      <c r="N1132">
        <v>1.8526400000000001E-4</v>
      </c>
      <c r="O1132">
        <v>1.6731600000000001E-4</v>
      </c>
      <c r="P1132" s="1">
        <v>8.1600000000000005E-5</v>
      </c>
      <c r="Q1132" s="1">
        <v>9.4599999999999996E-5</v>
      </c>
      <c r="R1132">
        <v>1.52514E-4</v>
      </c>
      <c r="S1132">
        <v>1.3421799999999999E-4</v>
      </c>
      <c r="T1132" s="1">
        <v>6.0000000000000002E-5</v>
      </c>
    </row>
    <row r="1133" spans="1:20" hidden="1" x14ac:dyDescent="0.25">
      <c r="A1133" t="s">
        <v>1151</v>
      </c>
      <c r="B1133">
        <v>0</v>
      </c>
      <c r="C1133" s="1">
        <v>2.4499999999999999E-5</v>
      </c>
      <c r="D1133" s="1">
        <v>1.8099999999999999E-5</v>
      </c>
      <c r="E1133">
        <v>0</v>
      </c>
      <c r="F1133" s="1">
        <v>1.7200000000000001E-5</v>
      </c>
      <c r="G1133" s="1">
        <v>1.9199999999999999E-5</v>
      </c>
      <c r="H1133" s="1">
        <v>2.55E-5</v>
      </c>
      <c r="I1133" s="1">
        <v>2.3600000000000001E-5</v>
      </c>
      <c r="J1133" s="1">
        <v>1.84E-5</v>
      </c>
      <c r="K1133" s="1">
        <v>1.52E-5</v>
      </c>
      <c r="L1133" s="1">
        <v>2.1999999999999999E-5</v>
      </c>
      <c r="M1133">
        <v>0</v>
      </c>
      <c r="N1133" s="1">
        <v>1.9300000000000002E-5</v>
      </c>
      <c r="O1133" s="1">
        <v>1.31E-5</v>
      </c>
      <c r="P1133" s="1">
        <v>1.49E-5</v>
      </c>
      <c r="Q1133" s="1">
        <v>1.6200000000000001E-5</v>
      </c>
      <c r="R1133" s="1">
        <v>1.8099999999999999E-5</v>
      </c>
      <c r="S1133" s="1">
        <v>2.4000000000000001E-5</v>
      </c>
      <c r="T1133" s="1">
        <v>1.5500000000000001E-5</v>
      </c>
    </row>
    <row r="1134" spans="1:20" hidden="1" x14ac:dyDescent="0.25">
      <c r="A1134" t="s">
        <v>1152</v>
      </c>
      <c r="B1134" s="1">
        <v>3.4700000000000003E-5</v>
      </c>
      <c r="C1134" s="1">
        <v>6.1199999999999997E-5</v>
      </c>
      <c r="D1134" s="1">
        <v>7.9599999999999997E-5</v>
      </c>
      <c r="E1134" s="1">
        <v>4.74E-5</v>
      </c>
      <c r="F1134" s="1">
        <v>7.6799999999999997E-5</v>
      </c>
      <c r="G1134" s="1">
        <v>4.57E-5</v>
      </c>
      <c r="H1134" s="1">
        <v>9.2E-5</v>
      </c>
      <c r="I1134">
        <v>1.23411E-4</v>
      </c>
      <c r="J1134" s="1">
        <v>4.9599999999999999E-5</v>
      </c>
      <c r="K1134" s="1">
        <v>9.9699999999999998E-5</v>
      </c>
      <c r="L1134">
        <v>1.3719399999999999E-4</v>
      </c>
      <c r="M1134" s="1">
        <v>9.4699999999999998E-5</v>
      </c>
      <c r="N1134" s="1">
        <v>4.0399999999999999E-5</v>
      </c>
      <c r="O1134">
        <v>1.2259200000000001E-4</v>
      </c>
      <c r="P1134" s="1">
        <v>9.8499999999999995E-5</v>
      </c>
      <c r="Q1134" s="1">
        <v>5.27E-5</v>
      </c>
      <c r="R1134" s="1">
        <v>8.3100000000000001E-5</v>
      </c>
      <c r="S1134">
        <v>1.02827E-4</v>
      </c>
      <c r="T1134" s="1">
        <v>4.49E-5</v>
      </c>
    </row>
    <row r="1135" spans="1:20" hidden="1" x14ac:dyDescent="0.25">
      <c r="A1135" t="s">
        <v>1153</v>
      </c>
      <c r="B1135">
        <v>0</v>
      </c>
      <c r="C1135">
        <v>0</v>
      </c>
      <c r="D1135" s="1">
        <v>6.3600000000000001E-5</v>
      </c>
      <c r="E1135">
        <v>0</v>
      </c>
      <c r="F1135" s="1">
        <v>4.3099999999999997E-5</v>
      </c>
      <c r="G1135" s="1">
        <v>8.7700000000000004E-5</v>
      </c>
      <c r="H1135">
        <v>0</v>
      </c>
      <c r="I1135" s="1">
        <v>6.6000000000000005E-5</v>
      </c>
      <c r="J1135" s="1">
        <v>6.6000000000000005E-5</v>
      </c>
      <c r="K1135">
        <v>0</v>
      </c>
      <c r="L1135" s="1">
        <v>4.2700000000000001E-5</v>
      </c>
      <c r="M1135" s="1">
        <v>6.6699999999999995E-5</v>
      </c>
      <c r="N1135" s="1">
        <v>5.5999999999999999E-5</v>
      </c>
      <c r="O1135">
        <v>0</v>
      </c>
      <c r="P1135">
        <v>0</v>
      </c>
      <c r="Q1135" s="1">
        <v>6.8300000000000007E-5</v>
      </c>
      <c r="R1135" s="1">
        <v>7.7899999999999996E-5</v>
      </c>
      <c r="S1135" s="1">
        <v>4.1100000000000003E-5</v>
      </c>
      <c r="T1135" s="1">
        <v>7.7799999999999994E-5</v>
      </c>
    </row>
    <row r="1136" spans="1:20" hidden="1" x14ac:dyDescent="0.25">
      <c r="A1136" t="s">
        <v>1154</v>
      </c>
      <c r="B1136">
        <v>1.21947E-4</v>
      </c>
      <c r="C1136" s="1">
        <v>8.8499999999999996E-5</v>
      </c>
      <c r="D1136" s="1">
        <v>8.03E-5</v>
      </c>
      <c r="E1136" s="1">
        <v>5.94E-5</v>
      </c>
      <c r="F1136">
        <v>2.2105399999999999E-4</v>
      </c>
      <c r="G1136">
        <v>4.5538600000000001E-4</v>
      </c>
      <c r="H1136">
        <v>1.7809499999999999E-4</v>
      </c>
      <c r="I1136">
        <v>2.0145499999999999E-4</v>
      </c>
      <c r="J1136">
        <v>1.7246899999999999E-4</v>
      </c>
      <c r="K1136">
        <v>1.58565E-4</v>
      </c>
      <c r="L1136">
        <v>1.53406E-4</v>
      </c>
      <c r="M1136">
        <v>1.9185299999999999E-4</v>
      </c>
      <c r="N1136">
        <v>2.3377900000000001E-4</v>
      </c>
      <c r="O1136">
        <v>1.02328E-4</v>
      </c>
      <c r="P1136">
        <v>3.5266799999999999E-4</v>
      </c>
      <c r="Q1136">
        <v>5.4092699999999997E-4</v>
      </c>
      <c r="R1136">
        <v>4.1485799999999999E-4</v>
      </c>
      <c r="S1136">
        <v>1.062389E-3</v>
      </c>
      <c r="T1136">
        <v>7.4664399999999998E-4</v>
      </c>
    </row>
    <row r="1137" spans="1:20" hidden="1" x14ac:dyDescent="0.25">
      <c r="A1137" t="s">
        <v>1155</v>
      </c>
      <c r="B1137" s="1">
        <v>2.4499999999999999E-5</v>
      </c>
      <c r="C1137" s="1">
        <v>3.5500000000000002E-5</v>
      </c>
      <c r="D1137" s="1">
        <v>4.0099999999999999E-5</v>
      </c>
      <c r="E1137" s="1">
        <v>4.21E-5</v>
      </c>
      <c r="F1137" s="1">
        <v>3.0000000000000001E-5</v>
      </c>
      <c r="G1137" s="1">
        <v>3.5599999999999998E-5</v>
      </c>
      <c r="H1137" s="1">
        <v>3.0300000000000001E-5</v>
      </c>
      <c r="I1137" s="1">
        <v>3.5299999999999997E-5</v>
      </c>
      <c r="J1137" s="1">
        <v>2.87E-5</v>
      </c>
      <c r="K1137" s="1">
        <v>2.3300000000000001E-5</v>
      </c>
      <c r="L1137" s="1">
        <v>2.7399999999999999E-5</v>
      </c>
      <c r="M1137" s="1">
        <v>1.8199999999999999E-5</v>
      </c>
      <c r="N1137" s="1">
        <v>3.2799999999999998E-5</v>
      </c>
      <c r="O1137" s="1">
        <v>2.4000000000000001E-5</v>
      </c>
      <c r="P1137" s="1">
        <v>2.48E-5</v>
      </c>
      <c r="Q1137" s="1">
        <v>2.34E-5</v>
      </c>
      <c r="R1137" s="1">
        <v>2.7399999999999999E-5</v>
      </c>
      <c r="S1137" s="1">
        <v>2.9E-5</v>
      </c>
      <c r="T1137" s="1">
        <v>2.62E-5</v>
      </c>
    </row>
    <row r="1138" spans="1:20" hidden="1" x14ac:dyDescent="0.25">
      <c r="A1138" t="s">
        <v>1156</v>
      </c>
      <c r="B1138" s="1">
        <v>7.5400000000000003E-5</v>
      </c>
      <c r="C1138" s="1">
        <v>6.86E-5</v>
      </c>
      <c r="D1138" s="1">
        <v>7.47E-5</v>
      </c>
      <c r="E1138" s="1">
        <v>6.2899999999999997E-5</v>
      </c>
      <c r="F1138" s="1">
        <v>7.75E-5</v>
      </c>
      <c r="G1138" s="1">
        <v>6.41E-5</v>
      </c>
      <c r="H1138" s="1">
        <v>5.2200000000000002E-5</v>
      </c>
      <c r="I1138" s="1">
        <v>7.1500000000000003E-5</v>
      </c>
      <c r="J1138" s="1">
        <v>7.7700000000000005E-5</v>
      </c>
      <c r="K1138" s="1">
        <v>6.5300000000000002E-5</v>
      </c>
      <c r="L1138" s="1">
        <v>7.36E-5</v>
      </c>
      <c r="M1138" s="1">
        <v>5.1999999999999997E-5</v>
      </c>
      <c r="N1138">
        <v>1.1149700000000001E-4</v>
      </c>
      <c r="O1138" s="1">
        <v>7.7399999999999998E-5</v>
      </c>
      <c r="P1138" s="1">
        <v>6.9400000000000006E-5</v>
      </c>
      <c r="Q1138" s="1">
        <v>5.8300000000000001E-5</v>
      </c>
      <c r="R1138" s="1">
        <v>5.3399999999999997E-5</v>
      </c>
      <c r="S1138" s="1">
        <v>6.2100000000000005E-5</v>
      </c>
      <c r="T1138" s="1">
        <v>7.4499999999999995E-5</v>
      </c>
    </row>
    <row r="1139" spans="1:20" hidden="1" x14ac:dyDescent="0.25">
      <c r="A1139" t="s">
        <v>1157</v>
      </c>
      <c r="B1139" s="1">
        <v>1.8099999999999999E-5</v>
      </c>
      <c r="C1139" s="1">
        <v>2.8099999999999999E-5</v>
      </c>
      <c r="D1139" s="1">
        <v>2.8900000000000001E-5</v>
      </c>
      <c r="E1139" s="1">
        <v>3.15E-5</v>
      </c>
      <c r="F1139" s="1">
        <v>2.05E-5</v>
      </c>
      <c r="G1139" s="1">
        <v>1.26E-5</v>
      </c>
      <c r="H1139" s="1">
        <v>1.6799999999999998E-5</v>
      </c>
      <c r="I1139" s="1">
        <v>1.5800000000000001E-5</v>
      </c>
      <c r="J1139" s="1">
        <v>1.7900000000000001E-5</v>
      </c>
      <c r="K1139" s="1">
        <v>2.0000000000000002E-5</v>
      </c>
      <c r="L1139" s="1">
        <v>2.0999999999999999E-5</v>
      </c>
      <c r="M1139" s="1">
        <v>1.3699999999999999E-5</v>
      </c>
      <c r="N1139" s="1">
        <v>1.0499999999999999E-5</v>
      </c>
      <c r="O1139" s="1">
        <v>1.8899999999999999E-5</v>
      </c>
      <c r="P1139" s="1">
        <v>1.1E-5</v>
      </c>
      <c r="Q1139">
        <v>0</v>
      </c>
      <c r="R1139">
        <v>0</v>
      </c>
      <c r="S1139">
        <v>0</v>
      </c>
      <c r="T1139">
        <v>0</v>
      </c>
    </row>
    <row r="1140" spans="1:20" hidden="1" x14ac:dyDescent="0.25">
      <c r="A1140" t="s">
        <v>1158</v>
      </c>
      <c r="B1140">
        <v>1.781071E-3</v>
      </c>
      <c r="C1140">
        <v>2.161994E-3</v>
      </c>
      <c r="D1140">
        <v>2.4752070000000001E-3</v>
      </c>
      <c r="E1140">
        <v>2.7213480000000002E-3</v>
      </c>
      <c r="F1140">
        <v>2.020731E-3</v>
      </c>
      <c r="G1140">
        <v>1.380065E-3</v>
      </c>
      <c r="H1140">
        <v>1.814293E-3</v>
      </c>
      <c r="I1140">
        <v>1.9677869999999999E-3</v>
      </c>
      <c r="J1140">
        <v>1.742913E-3</v>
      </c>
      <c r="K1140">
        <v>2.29138E-3</v>
      </c>
      <c r="L1140">
        <v>1.6981940000000001E-3</v>
      </c>
      <c r="M1140">
        <v>1.2775779999999999E-3</v>
      </c>
      <c r="N1140">
        <v>1.5816929999999999E-3</v>
      </c>
      <c r="O1140">
        <v>1.776485E-3</v>
      </c>
      <c r="P1140">
        <v>7.8067499999999999E-4</v>
      </c>
      <c r="Q1140">
        <v>2.9106800000000001E-4</v>
      </c>
      <c r="R1140">
        <v>3.73932E-4</v>
      </c>
      <c r="S1140">
        <v>3.3545200000000003E-4</v>
      </c>
      <c r="T1140">
        <v>4.4558500000000002E-4</v>
      </c>
    </row>
    <row r="1141" spans="1:20" hidden="1" x14ac:dyDescent="0.25">
      <c r="A1141" t="s">
        <v>1159</v>
      </c>
      <c r="B1141" s="1">
        <v>5.4500000000000003E-5</v>
      </c>
      <c r="C1141" s="1">
        <v>4.4199999999999997E-5</v>
      </c>
      <c r="D1141" s="1">
        <v>4.85E-5</v>
      </c>
      <c r="E1141" s="1">
        <v>8.7800000000000006E-5</v>
      </c>
      <c r="F1141" s="1">
        <v>6.1600000000000007E-5</v>
      </c>
      <c r="G1141" s="1">
        <v>2.6400000000000001E-5</v>
      </c>
      <c r="H1141" s="1">
        <v>4.9700000000000002E-5</v>
      </c>
      <c r="I1141" s="1">
        <v>5.3199999999999999E-5</v>
      </c>
      <c r="J1141" s="1">
        <v>5.4500000000000003E-5</v>
      </c>
      <c r="K1141" s="1">
        <v>5.7500000000000002E-5</v>
      </c>
      <c r="L1141" s="1">
        <v>4.2400000000000001E-5</v>
      </c>
      <c r="M1141" s="1">
        <v>3.8500000000000001E-5</v>
      </c>
      <c r="N1141" s="1">
        <v>6.5400000000000004E-5</v>
      </c>
      <c r="O1141" s="1">
        <v>4.8199999999999999E-5</v>
      </c>
      <c r="P1141" s="1">
        <v>4.7700000000000001E-5</v>
      </c>
      <c r="Q1141" s="1">
        <v>3.01E-5</v>
      </c>
      <c r="R1141" s="1">
        <v>2.9E-5</v>
      </c>
      <c r="S1141" s="1">
        <v>4.5300000000000003E-5</v>
      </c>
      <c r="T1141" s="1">
        <v>6.1099999999999994E-5</v>
      </c>
    </row>
    <row r="1142" spans="1:20" hidden="1" x14ac:dyDescent="0.25">
      <c r="A1142" t="s">
        <v>1160</v>
      </c>
      <c r="B1142" s="1">
        <v>1.2300000000000001E-5</v>
      </c>
      <c r="C1142">
        <v>0</v>
      </c>
      <c r="D1142" s="1">
        <v>2.2799999999999999E-5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 s="1">
        <v>1.7E-5</v>
      </c>
      <c r="M1142" s="1">
        <v>1.8600000000000001E-5</v>
      </c>
      <c r="N1142" s="1">
        <v>1.8899999999999999E-5</v>
      </c>
      <c r="O1142">
        <v>0</v>
      </c>
      <c r="P1142" s="1">
        <v>8.4200000000000007E-6</v>
      </c>
      <c r="Q1142" s="1">
        <v>1.8099999999999999E-5</v>
      </c>
      <c r="R1142" s="1">
        <v>2.8200000000000001E-5</v>
      </c>
      <c r="S1142" s="1">
        <v>3.82E-5</v>
      </c>
      <c r="T1142" s="1">
        <v>2.4199999999999999E-5</v>
      </c>
    </row>
    <row r="1143" spans="1:20" hidden="1" x14ac:dyDescent="0.25">
      <c r="A1143" t="s">
        <v>1161</v>
      </c>
      <c r="B1143">
        <v>1.4908099999999999E-4</v>
      </c>
      <c r="C1143">
        <v>2.11702E-4</v>
      </c>
      <c r="D1143">
        <v>1.3670300000000001E-4</v>
      </c>
      <c r="E1143">
        <v>1.3783600000000001E-4</v>
      </c>
      <c r="F1143">
        <v>2.42432E-4</v>
      </c>
      <c r="G1143">
        <v>2.23692E-4</v>
      </c>
      <c r="H1143">
        <v>2.9633600000000002E-4</v>
      </c>
      <c r="I1143">
        <v>3.0661099999999998E-4</v>
      </c>
      <c r="J1143">
        <v>1.7322799999999999E-4</v>
      </c>
      <c r="K1143">
        <v>1.7248900000000001E-4</v>
      </c>
      <c r="L1143">
        <v>2.3841199999999999E-4</v>
      </c>
      <c r="M1143">
        <v>1.5947300000000001E-4</v>
      </c>
      <c r="N1143">
        <v>3.1403799999999999E-4</v>
      </c>
      <c r="O1143">
        <v>1.72583E-4</v>
      </c>
      <c r="P1143">
        <v>3.35605E-4</v>
      </c>
      <c r="Q1143">
        <v>3.9846499999999997E-4</v>
      </c>
      <c r="R1143">
        <v>3.8690300000000002E-4</v>
      </c>
      <c r="S1143">
        <v>5.70022E-4</v>
      </c>
      <c r="T1143">
        <v>1.7988999999999999E-4</v>
      </c>
    </row>
    <row r="1144" spans="1:20" hidden="1" x14ac:dyDescent="0.25">
      <c r="A1144" t="s">
        <v>1162</v>
      </c>
      <c r="B1144">
        <v>1.2301099999999999E-4</v>
      </c>
      <c r="C1144">
        <v>2.11683E-4</v>
      </c>
      <c r="D1144">
        <v>2.3233600000000001E-4</v>
      </c>
      <c r="E1144">
        <v>2.7777100000000001E-4</v>
      </c>
      <c r="F1144">
        <v>1.59338E-4</v>
      </c>
      <c r="G1144">
        <v>1.7058700000000001E-4</v>
      </c>
      <c r="H1144">
        <v>1.9132200000000001E-4</v>
      </c>
      <c r="I1144">
        <v>2.0677599999999999E-4</v>
      </c>
      <c r="J1144">
        <v>1.80089E-4</v>
      </c>
      <c r="K1144">
        <v>1.86935E-4</v>
      </c>
      <c r="L1144">
        <v>1.94625E-4</v>
      </c>
      <c r="M1144">
        <v>1.2875699999999999E-4</v>
      </c>
      <c r="N1144">
        <v>1.11844E-4</v>
      </c>
      <c r="O1144">
        <v>2.1370800000000001E-4</v>
      </c>
      <c r="P1144" s="1">
        <v>8.5400000000000002E-5</v>
      </c>
      <c r="Q1144" s="1">
        <v>9.9300000000000001E-5</v>
      </c>
      <c r="R1144">
        <v>1.00515E-4</v>
      </c>
      <c r="S1144" s="1">
        <v>9.5699999999999995E-5</v>
      </c>
      <c r="T1144" s="1">
        <v>9.7600000000000001E-5</v>
      </c>
    </row>
    <row r="1145" spans="1:20" hidden="1" x14ac:dyDescent="0.25">
      <c r="A1145" t="s">
        <v>1163</v>
      </c>
      <c r="B1145">
        <v>1.2518340000000001E-3</v>
      </c>
      <c r="C1145">
        <v>1.063378E-3</v>
      </c>
      <c r="D1145">
        <v>6.7341199999999997E-4</v>
      </c>
      <c r="E1145">
        <v>1.013318E-3</v>
      </c>
      <c r="F1145">
        <v>1.127199E-3</v>
      </c>
      <c r="G1145">
        <v>8.6424799999999997E-4</v>
      </c>
      <c r="H1145">
        <v>1.0184669999999999E-3</v>
      </c>
      <c r="I1145">
        <v>1.1971390000000001E-3</v>
      </c>
      <c r="J1145">
        <v>1.3031989999999999E-3</v>
      </c>
      <c r="K1145">
        <v>1.198897E-3</v>
      </c>
      <c r="L1145">
        <v>1.1364910000000001E-3</v>
      </c>
      <c r="M1145">
        <v>9.3126199999999998E-4</v>
      </c>
      <c r="N1145">
        <v>8.4823799999999997E-4</v>
      </c>
      <c r="O1145">
        <v>9.9738600000000006E-4</v>
      </c>
      <c r="P1145">
        <v>9.1413099999999999E-4</v>
      </c>
      <c r="Q1145">
        <v>6.3793400000000005E-4</v>
      </c>
      <c r="R1145">
        <v>5.9142000000000005E-4</v>
      </c>
      <c r="S1145">
        <v>5.7128099999999998E-4</v>
      </c>
      <c r="T1145">
        <v>3.4429000000000003E-4</v>
      </c>
    </row>
    <row r="1146" spans="1:20" hidden="1" x14ac:dyDescent="0.25">
      <c r="A1146" t="s">
        <v>1164</v>
      </c>
      <c r="B1146" s="1">
        <v>5.4799999999999997E-5</v>
      </c>
      <c r="C1146" s="1">
        <v>9.6600000000000003E-5</v>
      </c>
      <c r="D1146">
        <v>1.0342500000000001E-4</v>
      </c>
      <c r="E1146">
        <v>1.4376499999999999E-4</v>
      </c>
      <c r="F1146" s="1">
        <v>9.2999999999999997E-5</v>
      </c>
      <c r="G1146" s="1">
        <v>8.4599999999999996E-5</v>
      </c>
      <c r="H1146" s="1">
        <v>7.9200000000000001E-5</v>
      </c>
      <c r="I1146">
        <v>1.00146E-4</v>
      </c>
      <c r="J1146" s="1">
        <v>8.8800000000000004E-5</v>
      </c>
      <c r="K1146" s="1">
        <v>7.3899999999999994E-5</v>
      </c>
      <c r="L1146">
        <v>1.34561E-4</v>
      </c>
      <c r="M1146" s="1">
        <v>3.0700000000000001E-5</v>
      </c>
      <c r="N1146" s="1">
        <v>6.6799999999999997E-5</v>
      </c>
      <c r="O1146" s="1">
        <v>6.9599999999999998E-5</v>
      </c>
      <c r="P1146" s="1">
        <v>8.4300000000000003E-5</v>
      </c>
      <c r="Q1146">
        <v>1.4320500000000001E-4</v>
      </c>
      <c r="R1146">
        <v>1.27651E-4</v>
      </c>
      <c r="S1146">
        <v>1.6380499999999999E-4</v>
      </c>
      <c r="T1146">
        <v>1.2525200000000001E-4</v>
      </c>
    </row>
    <row r="1147" spans="1:20" hidden="1" x14ac:dyDescent="0.25">
      <c r="A1147" t="s">
        <v>1165</v>
      </c>
      <c r="B1147">
        <v>5.4076500000000002E-4</v>
      </c>
      <c r="C1147">
        <v>4.32652E-4</v>
      </c>
      <c r="D1147">
        <v>1.1900099999999999E-4</v>
      </c>
      <c r="E1147">
        <v>1.4537600000000001E-4</v>
      </c>
      <c r="F1147">
        <v>7.83733E-4</v>
      </c>
      <c r="G1147">
        <v>7.5064200000000004E-4</v>
      </c>
      <c r="H1147">
        <v>1.2911800000000001E-4</v>
      </c>
      <c r="I1147">
        <v>5.3543999999999998E-4</v>
      </c>
      <c r="J1147">
        <v>7.92919E-4</v>
      </c>
      <c r="K1147">
        <v>1.71025E-4</v>
      </c>
      <c r="L1147">
        <v>1.4951600000000001E-4</v>
      </c>
      <c r="M1147">
        <v>2.0045999999999999E-4</v>
      </c>
      <c r="N1147">
        <v>2.1282399999999999E-4</v>
      </c>
      <c r="O1147">
        <v>2.23508E-4</v>
      </c>
      <c r="P1147">
        <v>5.8665099999999999E-4</v>
      </c>
      <c r="Q1147">
        <v>2.0297699999999999E-4</v>
      </c>
      <c r="R1147">
        <v>6.7141499999999997E-4</v>
      </c>
      <c r="S1147">
        <v>1.6395299999999999E-4</v>
      </c>
      <c r="T1147">
        <v>1.5918200000000001E-4</v>
      </c>
    </row>
    <row r="1148" spans="1:20" hidden="1" x14ac:dyDescent="0.25">
      <c r="A1148" t="s">
        <v>1166</v>
      </c>
      <c r="B1148">
        <v>2.8816200000000001E-4</v>
      </c>
      <c r="C1148">
        <v>2.4455100000000002E-4</v>
      </c>
      <c r="D1148">
        <v>3.3281800000000002E-4</v>
      </c>
      <c r="E1148">
        <v>3.8597600000000001E-4</v>
      </c>
      <c r="F1148">
        <v>2.4710200000000002E-4</v>
      </c>
      <c r="G1148">
        <v>1.7487700000000001E-4</v>
      </c>
      <c r="H1148">
        <v>1.5911699999999999E-4</v>
      </c>
      <c r="I1148">
        <v>2.6248200000000003E-4</v>
      </c>
      <c r="J1148">
        <v>2.6479999999999999E-4</v>
      </c>
      <c r="K1148">
        <v>2.9936399999999999E-4</v>
      </c>
      <c r="L1148">
        <v>2.3182500000000001E-4</v>
      </c>
      <c r="M1148">
        <v>1.7771E-4</v>
      </c>
      <c r="N1148">
        <v>1.62972E-4</v>
      </c>
      <c r="O1148">
        <v>3.4252300000000001E-4</v>
      </c>
      <c r="P1148">
        <v>1.08652E-4</v>
      </c>
      <c r="Q1148" s="1">
        <v>3.7299999999999999E-5</v>
      </c>
      <c r="R1148" s="1">
        <v>6.6699999999999995E-5</v>
      </c>
      <c r="S1148" s="1">
        <v>2.7399999999999999E-5</v>
      </c>
      <c r="T1148" s="1">
        <v>3.3200000000000001E-5</v>
      </c>
    </row>
    <row r="1149" spans="1:20" hidden="1" x14ac:dyDescent="0.25">
      <c r="A1149" t="s">
        <v>1167</v>
      </c>
      <c r="B1149" s="1">
        <v>3.6000000000000001E-5</v>
      </c>
      <c r="C1149" s="1">
        <v>2.4000000000000001E-5</v>
      </c>
      <c r="D1149" s="1">
        <v>2.87E-5</v>
      </c>
      <c r="E1149" s="1">
        <v>2.72E-5</v>
      </c>
      <c r="F1149" s="1">
        <v>3.1199999999999999E-5</v>
      </c>
      <c r="G1149" s="1">
        <v>3.26E-5</v>
      </c>
      <c r="H1149" s="1">
        <v>3.4400000000000003E-5</v>
      </c>
      <c r="I1149" s="1">
        <v>3.4600000000000001E-5</v>
      </c>
      <c r="J1149" s="1">
        <v>2.0000000000000002E-5</v>
      </c>
      <c r="K1149" s="1">
        <v>2.9099999999999999E-5</v>
      </c>
      <c r="L1149" s="1">
        <v>2.5899999999999999E-5</v>
      </c>
      <c r="M1149" s="1">
        <v>2.5599999999999999E-5</v>
      </c>
      <c r="N1149" s="1">
        <v>2.6599999999999999E-5</v>
      </c>
      <c r="O1149" s="1">
        <v>2.8099999999999999E-5</v>
      </c>
      <c r="P1149" s="1">
        <v>3.6999999999999998E-5</v>
      </c>
      <c r="Q1149" s="1">
        <v>2.5700000000000001E-5</v>
      </c>
      <c r="R1149" s="1">
        <v>3.3699999999999999E-5</v>
      </c>
      <c r="S1149" s="1">
        <v>2.48E-5</v>
      </c>
      <c r="T1149" s="1">
        <v>2.6800000000000001E-5</v>
      </c>
    </row>
    <row r="1150" spans="1:20" hidden="1" x14ac:dyDescent="0.25">
      <c r="A1150" t="s">
        <v>1168</v>
      </c>
      <c r="B1150" s="1">
        <v>4.7299999999999998E-5</v>
      </c>
      <c r="C1150" s="1">
        <v>4.2400000000000001E-5</v>
      </c>
      <c r="D1150" s="1">
        <v>4.7700000000000001E-5</v>
      </c>
      <c r="E1150" s="1">
        <v>6.9499999999999995E-5</v>
      </c>
      <c r="F1150" s="1">
        <v>4.18E-5</v>
      </c>
      <c r="G1150">
        <v>0</v>
      </c>
      <c r="H1150" s="1">
        <v>2.8399999999999999E-5</v>
      </c>
      <c r="I1150" s="1">
        <v>4.8699999999999998E-5</v>
      </c>
      <c r="J1150" s="1">
        <v>4.8699999999999998E-5</v>
      </c>
      <c r="K1150" s="1">
        <v>5.3900000000000002E-5</v>
      </c>
      <c r="L1150" s="1">
        <v>4.1600000000000002E-5</v>
      </c>
      <c r="M1150" s="1">
        <v>2.7500000000000001E-5</v>
      </c>
      <c r="N1150" s="1">
        <v>3.1900000000000003E-5</v>
      </c>
      <c r="O1150" s="1">
        <v>5.8699999999999997E-5</v>
      </c>
      <c r="P1150">
        <v>0</v>
      </c>
      <c r="Q1150">
        <v>0</v>
      </c>
      <c r="R1150">
        <v>0</v>
      </c>
      <c r="S1150">
        <v>0</v>
      </c>
      <c r="T1150" s="1">
        <v>1.88E-5</v>
      </c>
    </row>
    <row r="1151" spans="1:20" hidden="1" x14ac:dyDescent="0.25">
      <c r="A1151" t="s">
        <v>1169</v>
      </c>
      <c r="B1151">
        <v>4.5033699999999998E-4</v>
      </c>
      <c r="C1151">
        <v>9.8117199999999999E-4</v>
      </c>
      <c r="D1151">
        <v>8.44873E-4</v>
      </c>
      <c r="E1151">
        <v>9.12534E-4</v>
      </c>
      <c r="F1151">
        <v>6.3172300000000005E-4</v>
      </c>
      <c r="G1151">
        <v>8.3494000000000005E-4</v>
      </c>
      <c r="H1151">
        <v>3.8544099999999998E-4</v>
      </c>
      <c r="I1151">
        <v>5.9972900000000002E-4</v>
      </c>
      <c r="J1151">
        <v>5.0971000000000002E-4</v>
      </c>
      <c r="K1151">
        <v>5.7045399999999997E-4</v>
      </c>
      <c r="L1151">
        <v>5.8613800000000005E-4</v>
      </c>
      <c r="M1151">
        <v>4.9498499999999998E-4</v>
      </c>
      <c r="N1151">
        <v>6.5240899999999995E-4</v>
      </c>
      <c r="O1151">
        <v>5.4059400000000004E-4</v>
      </c>
      <c r="P1151">
        <v>2.60504E-4</v>
      </c>
      <c r="Q1151">
        <v>3.2456899999999998E-4</v>
      </c>
      <c r="R1151">
        <v>3.2741900000000002E-4</v>
      </c>
      <c r="S1151">
        <v>4.8521600000000001E-4</v>
      </c>
      <c r="T1151">
        <v>2.7830999999999998E-4</v>
      </c>
    </row>
    <row r="1152" spans="1:20" hidden="1" x14ac:dyDescent="0.25">
      <c r="A1152" t="s">
        <v>1170</v>
      </c>
      <c r="B1152">
        <v>0</v>
      </c>
      <c r="C1152" s="1">
        <v>3.29E-5</v>
      </c>
      <c r="D1152" s="1">
        <v>3.68E-5</v>
      </c>
      <c r="E1152" s="1">
        <v>3.1399999999999998E-5</v>
      </c>
      <c r="F1152">
        <v>0</v>
      </c>
      <c r="G1152">
        <v>0</v>
      </c>
      <c r="H1152">
        <v>0</v>
      </c>
      <c r="I1152" s="1">
        <v>1.5800000000000001E-5</v>
      </c>
      <c r="J1152">
        <v>0</v>
      </c>
      <c r="K1152" s="1">
        <v>2.1800000000000001E-5</v>
      </c>
      <c r="L1152" s="1">
        <v>1.3900000000000001E-5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hidden="1" x14ac:dyDescent="0.25">
      <c r="A1153" t="s">
        <v>1171</v>
      </c>
      <c r="B1153">
        <v>1.824177E-3</v>
      </c>
      <c r="C1153">
        <v>1.181163E-3</v>
      </c>
      <c r="D1153">
        <v>1.4971909999999999E-3</v>
      </c>
      <c r="E1153">
        <v>1.7420409999999999E-3</v>
      </c>
      <c r="F1153">
        <v>1.4745439999999999E-3</v>
      </c>
      <c r="G1153">
        <v>1.4137850000000001E-3</v>
      </c>
      <c r="H1153">
        <v>1.6266239999999999E-3</v>
      </c>
      <c r="I1153">
        <v>1.6441419999999999E-3</v>
      </c>
      <c r="J1153">
        <v>2.1930420000000001E-3</v>
      </c>
      <c r="K1153">
        <v>1.705682E-3</v>
      </c>
      <c r="L1153">
        <v>1.423861E-3</v>
      </c>
      <c r="M1153">
        <v>2.0011120000000002E-3</v>
      </c>
      <c r="N1153">
        <v>2.439082E-3</v>
      </c>
      <c r="O1153">
        <v>2.3317450000000001E-3</v>
      </c>
      <c r="P1153">
        <v>2.2073269999999998E-3</v>
      </c>
      <c r="Q1153">
        <v>2.0192029999999998E-3</v>
      </c>
      <c r="R1153">
        <v>2.9998580000000002E-3</v>
      </c>
      <c r="S1153">
        <v>2.043946E-3</v>
      </c>
      <c r="T1153">
        <v>2.2508850000000002E-3</v>
      </c>
    </row>
    <row r="1154" spans="1:20" hidden="1" x14ac:dyDescent="0.25">
      <c r="A1154" t="s">
        <v>1172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 s="1">
        <v>3.1699999999999998E-5</v>
      </c>
      <c r="I1154" s="1">
        <v>2.23E-5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1">
        <v>3.2299999999999999E-5</v>
      </c>
      <c r="Q1154" s="1">
        <v>6.1299999999999999E-5</v>
      </c>
      <c r="R1154" s="1">
        <v>4.3000000000000002E-5</v>
      </c>
      <c r="S1154" s="1">
        <v>3.65E-5</v>
      </c>
      <c r="T1154" s="1">
        <v>3.5200000000000002E-5</v>
      </c>
    </row>
    <row r="1155" spans="1:20" hidden="1" x14ac:dyDescent="0.25">
      <c r="A1155" t="s">
        <v>1173</v>
      </c>
      <c r="B1155" s="1">
        <v>1.34E-5</v>
      </c>
      <c r="C1155" s="1">
        <v>4.2400000000000001E-5</v>
      </c>
      <c r="D1155" s="1">
        <v>2.0299999999999999E-5</v>
      </c>
      <c r="E1155" s="1">
        <v>2.1299999999999999E-5</v>
      </c>
      <c r="F1155">
        <v>1.04591E-4</v>
      </c>
      <c r="G1155">
        <v>3.2208900000000001E-4</v>
      </c>
      <c r="H1155" s="1">
        <v>8.1000000000000004E-5</v>
      </c>
      <c r="I1155">
        <v>1.00406E-4</v>
      </c>
      <c r="J1155" s="1">
        <v>6.8200000000000004E-5</v>
      </c>
      <c r="K1155" s="1">
        <v>8.4800000000000001E-5</v>
      </c>
      <c r="L1155" s="1">
        <v>7.9699999999999999E-5</v>
      </c>
      <c r="M1155" s="1">
        <v>5.4599999999999999E-5</v>
      </c>
      <c r="N1155" s="1">
        <v>6.0099999999999997E-5</v>
      </c>
      <c r="O1155" s="1">
        <v>2.34E-5</v>
      </c>
      <c r="P1155">
        <v>1.59553E-4</v>
      </c>
      <c r="Q1155">
        <v>3.40976E-4</v>
      </c>
      <c r="R1155">
        <v>4.24778E-4</v>
      </c>
      <c r="S1155">
        <v>7.3331500000000001E-4</v>
      </c>
      <c r="T1155">
        <v>4.11884E-4</v>
      </c>
    </row>
    <row r="1156" spans="1:20" hidden="1" x14ac:dyDescent="0.25">
      <c r="A1156" t="s">
        <v>1174</v>
      </c>
      <c r="B1156">
        <v>0</v>
      </c>
      <c r="C1156">
        <v>0</v>
      </c>
      <c r="D1156">
        <v>0</v>
      </c>
      <c r="E1156">
        <v>0</v>
      </c>
      <c r="F1156" s="1">
        <v>3.7100000000000001E-6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1">
        <v>1.1199999999999999E-5</v>
      </c>
      <c r="Q1156" s="1">
        <v>3.7599999999999999E-5</v>
      </c>
      <c r="R1156" s="1">
        <v>4.0899999999999998E-5</v>
      </c>
      <c r="S1156" s="1">
        <v>2.6800000000000001E-5</v>
      </c>
      <c r="T1156">
        <v>1.04755E-4</v>
      </c>
    </row>
    <row r="1157" spans="1:20" hidden="1" x14ac:dyDescent="0.25">
      <c r="A1157" t="s">
        <v>1175</v>
      </c>
      <c r="B1157">
        <v>1.2308499999999999E-4</v>
      </c>
      <c r="C1157">
        <v>1.7254600000000001E-4</v>
      </c>
      <c r="D1157">
        <v>0</v>
      </c>
      <c r="E1157">
        <v>0</v>
      </c>
      <c r="F1157">
        <v>2.0516800000000001E-4</v>
      </c>
      <c r="G1157">
        <v>1.21154E-4</v>
      </c>
      <c r="H1157">
        <v>1.39266E-4</v>
      </c>
      <c r="I1157">
        <v>2.2251000000000001E-4</v>
      </c>
      <c r="J1157">
        <v>1.6238E-4</v>
      </c>
      <c r="K1157">
        <v>1.8652E-4</v>
      </c>
      <c r="L1157">
        <v>1.97834E-4</v>
      </c>
      <c r="M1157">
        <v>1.3802000000000001E-4</v>
      </c>
      <c r="N1157">
        <v>2.7066500000000001E-4</v>
      </c>
      <c r="O1157">
        <v>2.0585199999999999E-4</v>
      </c>
      <c r="P1157">
        <v>2.0021700000000001E-4</v>
      </c>
      <c r="Q1157">
        <v>2.8037800000000002E-4</v>
      </c>
      <c r="R1157">
        <v>2.69893E-4</v>
      </c>
      <c r="S1157">
        <v>2.5398E-4</v>
      </c>
      <c r="T1157">
        <v>3.58143E-4</v>
      </c>
    </row>
    <row r="1158" spans="1:20" hidden="1" x14ac:dyDescent="0.25">
      <c r="A1158" t="s">
        <v>1176</v>
      </c>
      <c r="B1158">
        <v>1.1134E-4</v>
      </c>
      <c r="C1158">
        <v>1.31934E-4</v>
      </c>
      <c r="D1158">
        <v>1.4104699999999999E-4</v>
      </c>
      <c r="E1158">
        <v>1.2484400000000001E-4</v>
      </c>
      <c r="F1158">
        <v>1.0970400000000001E-4</v>
      </c>
      <c r="G1158">
        <v>1.2337399999999999E-4</v>
      </c>
      <c r="H1158">
        <v>1.99896E-4</v>
      </c>
      <c r="I1158" s="1">
        <v>8.8700000000000001E-5</v>
      </c>
      <c r="J1158">
        <v>1.77703E-4</v>
      </c>
      <c r="K1158" s="1">
        <v>9.4599999999999996E-5</v>
      </c>
      <c r="L1158">
        <v>1.1964399999999999E-4</v>
      </c>
      <c r="M1158" s="1">
        <v>8.1100000000000006E-5</v>
      </c>
      <c r="N1158" s="1">
        <v>6.8200000000000004E-5</v>
      </c>
      <c r="O1158" s="1">
        <v>8.6899999999999998E-5</v>
      </c>
      <c r="P1158">
        <v>1.1889E-4</v>
      </c>
      <c r="Q1158">
        <v>1.67634E-4</v>
      </c>
      <c r="R1158">
        <v>1.1570600000000001E-4</v>
      </c>
      <c r="S1158" s="1">
        <v>9.0500000000000004E-5</v>
      </c>
      <c r="T1158">
        <v>1.12773E-4</v>
      </c>
    </row>
    <row r="1159" spans="1:20" hidden="1" x14ac:dyDescent="0.25">
      <c r="A1159" t="s">
        <v>1177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 s="1">
        <v>6.1299999999999998E-6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s="1">
        <v>1.1399999999999999E-5</v>
      </c>
      <c r="R1159" s="1">
        <v>1.0000000000000001E-5</v>
      </c>
      <c r="S1159" s="1">
        <v>7.7700000000000001E-6</v>
      </c>
      <c r="T1159" s="1">
        <v>3.0300000000000001E-5</v>
      </c>
    </row>
    <row r="1160" spans="1:20" hidden="1" x14ac:dyDescent="0.25">
      <c r="A1160" t="s">
        <v>1178</v>
      </c>
      <c r="B1160" s="1">
        <v>3.5200000000000002E-5</v>
      </c>
      <c r="C1160" s="1">
        <v>2.26E-5</v>
      </c>
      <c r="D1160" s="1">
        <v>2.4199999999999999E-5</v>
      </c>
      <c r="E1160" s="1">
        <v>2.5700000000000001E-5</v>
      </c>
      <c r="F1160" s="1">
        <v>3.6999999999999998E-5</v>
      </c>
      <c r="G1160">
        <v>0</v>
      </c>
      <c r="H1160" s="1">
        <v>1.9199999999999999E-5</v>
      </c>
      <c r="I1160" s="1">
        <v>1.3499999999999999E-5</v>
      </c>
      <c r="J1160" s="1">
        <v>1.34E-5</v>
      </c>
      <c r="K1160" s="1">
        <v>2.27E-5</v>
      </c>
      <c r="L1160" s="1">
        <v>2.0599999999999999E-5</v>
      </c>
      <c r="M1160">
        <v>0</v>
      </c>
      <c r="N1160" s="1">
        <v>1.6099999999999998E-5</v>
      </c>
      <c r="O1160" s="1">
        <v>1.56E-5</v>
      </c>
      <c r="P1160" s="1">
        <v>1.0699999999999999E-5</v>
      </c>
      <c r="Q1160">
        <v>0</v>
      </c>
      <c r="R1160" s="1">
        <v>1.1800000000000001E-5</v>
      </c>
      <c r="S1160" s="1">
        <v>1.1600000000000001E-5</v>
      </c>
      <c r="T1160" s="1">
        <v>1.7799999999999999E-5</v>
      </c>
    </row>
    <row r="1161" spans="1:20" hidden="1" x14ac:dyDescent="0.25">
      <c r="A1161" t="s">
        <v>1179</v>
      </c>
      <c r="B1161" s="1">
        <v>2.1500000000000002E-6</v>
      </c>
      <c r="C1161" s="1">
        <v>1.8199999999999999E-6</v>
      </c>
      <c r="D1161" s="1">
        <v>3.2600000000000001E-6</v>
      </c>
      <c r="E1161" s="1">
        <v>3.67E-6</v>
      </c>
      <c r="F1161">
        <v>0</v>
      </c>
      <c r="G1161">
        <v>0</v>
      </c>
      <c r="H1161">
        <v>0</v>
      </c>
      <c r="I1161" s="1">
        <v>1.44E-6</v>
      </c>
      <c r="J1161" s="1">
        <v>1.9300000000000002E-6</v>
      </c>
      <c r="K1161" s="1">
        <v>1.48E-6</v>
      </c>
      <c r="L1161" s="1">
        <v>1.17E-6</v>
      </c>
      <c r="M1161" s="1">
        <v>1.3799999999999999E-6</v>
      </c>
      <c r="N1161" s="1">
        <v>1.33E-6</v>
      </c>
      <c r="O1161" s="1">
        <v>1.9800000000000001E-6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hidden="1" x14ac:dyDescent="0.25">
      <c r="A1162" t="s">
        <v>1180</v>
      </c>
      <c r="B1162">
        <v>6.3633600000000004E-4</v>
      </c>
      <c r="C1162">
        <v>6.8325299999999999E-4</v>
      </c>
      <c r="D1162">
        <v>9.768419999999999E-4</v>
      </c>
      <c r="E1162">
        <v>9.9865299999999995E-4</v>
      </c>
      <c r="F1162">
        <v>6.7793699999999998E-4</v>
      </c>
      <c r="G1162">
        <v>5.5116500000000005E-4</v>
      </c>
      <c r="H1162">
        <v>7.0441500000000001E-4</v>
      </c>
      <c r="I1162">
        <v>6.42345E-4</v>
      </c>
      <c r="J1162">
        <v>7.1882800000000002E-4</v>
      </c>
      <c r="K1162">
        <v>8.2682199999999995E-4</v>
      </c>
      <c r="L1162">
        <v>7.0267699999999997E-4</v>
      </c>
      <c r="M1162">
        <v>5.9114499999999995E-4</v>
      </c>
      <c r="N1162">
        <v>6.4778199999999996E-4</v>
      </c>
      <c r="O1162">
        <v>9.0693000000000002E-4</v>
      </c>
      <c r="P1162">
        <v>5.4377799999999997E-4</v>
      </c>
      <c r="Q1162">
        <v>3.9702900000000002E-4</v>
      </c>
      <c r="R1162">
        <v>3.7545800000000001E-4</v>
      </c>
      <c r="S1162">
        <v>3.00814E-4</v>
      </c>
      <c r="T1162">
        <v>3.4811400000000001E-4</v>
      </c>
    </row>
    <row r="1163" spans="1:20" hidden="1" x14ac:dyDescent="0.25">
      <c r="A1163" t="s">
        <v>1181</v>
      </c>
      <c r="B1163" s="1">
        <v>6.6600000000000006E-5</v>
      </c>
      <c r="C1163">
        <v>1.8849599999999999E-4</v>
      </c>
      <c r="D1163" s="1">
        <v>5.4200000000000003E-5</v>
      </c>
      <c r="E1163">
        <v>1.4324300000000001E-4</v>
      </c>
      <c r="F1163">
        <v>1.9527300000000001E-4</v>
      </c>
      <c r="G1163">
        <v>2.4453499999999999E-4</v>
      </c>
      <c r="H1163">
        <v>3.52803E-4</v>
      </c>
      <c r="I1163">
        <v>1.80364E-4</v>
      </c>
      <c r="J1163">
        <v>1.8513899999999999E-4</v>
      </c>
      <c r="K1163">
        <v>2.01459E-4</v>
      </c>
      <c r="L1163">
        <v>2.12699E-4</v>
      </c>
      <c r="M1163">
        <v>1.17539E-4</v>
      </c>
      <c r="N1163">
        <v>2.10812E-4</v>
      </c>
      <c r="O1163">
        <v>1.00868E-4</v>
      </c>
      <c r="P1163" s="1">
        <v>8.2899999999999996E-5</v>
      </c>
      <c r="Q1163" s="1">
        <v>6.7000000000000002E-5</v>
      </c>
      <c r="R1163" s="1">
        <v>7.08E-5</v>
      </c>
      <c r="S1163">
        <v>3.5338600000000002E-4</v>
      </c>
      <c r="T1163">
        <v>1.17065E-4</v>
      </c>
    </row>
    <row r="1164" spans="1:20" hidden="1" x14ac:dyDescent="0.25">
      <c r="A1164" t="s">
        <v>1182</v>
      </c>
      <c r="B1164" s="1">
        <v>6.5500000000000006E-5</v>
      </c>
      <c r="C1164" s="1">
        <v>3.29E-5</v>
      </c>
      <c r="D1164" s="1">
        <v>4.3399999999999998E-5</v>
      </c>
      <c r="E1164" s="1">
        <v>4.35E-5</v>
      </c>
      <c r="F1164" s="1">
        <v>6.02E-5</v>
      </c>
      <c r="G1164">
        <v>1.57007E-4</v>
      </c>
      <c r="H1164" s="1">
        <v>8.2999999999999998E-5</v>
      </c>
      <c r="I1164" s="1">
        <v>3.5299999999999997E-5</v>
      </c>
      <c r="J1164" s="1">
        <v>6.1600000000000007E-5</v>
      </c>
      <c r="K1164">
        <v>1.00231E-4</v>
      </c>
      <c r="L1164" s="1">
        <v>6.5400000000000004E-5</v>
      </c>
      <c r="M1164" s="1">
        <v>6.6400000000000001E-5</v>
      </c>
      <c r="N1164" s="1">
        <v>3.6100000000000003E-5</v>
      </c>
      <c r="O1164" s="1">
        <v>2.62E-5</v>
      </c>
      <c r="P1164" s="1">
        <v>7.4599999999999997E-5</v>
      </c>
      <c r="Q1164">
        <v>1.6185E-4</v>
      </c>
      <c r="R1164">
        <v>1.15763E-4</v>
      </c>
      <c r="S1164">
        <v>2.4172399999999999E-4</v>
      </c>
      <c r="T1164">
        <v>2.8845500000000002E-4</v>
      </c>
    </row>
    <row r="1165" spans="1:20" hidden="1" x14ac:dyDescent="0.25">
      <c r="A1165" t="s">
        <v>1183</v>
      </c>
      <c r="B1165" s="1">
        <v>2.0000000000000002E-5</v>
      </c>
      <c r="C1165" s="1">
        <v>3.3399999999999999E-5</v>
      </c>
      <c r="D1165" s="1">
        <v>2.6599999999999999E-5</v>
      </c>
      <c r="E1165" s="1">
        <v>2.34E-5</v>
      </c>
      <c r="F1165" s="1">
        <v>1.9300000000000002E-5</v>
      </c>
      <c r="G1165" s="1">
        <v>3.1399999999999998E-5</v>
      </c>
      <c r="H1165" s="1">
        <v>3.0000000000000001E-5</v>
      </c>
      <c r="I1165" s="1">
        <v>3.7700000000000002E-5</v>
      </c>
      <c r="J1165" s="1">
        <v>3.01E-5</v>
      </c>
      <c r="K1165" s="1">
        <v>4.1300000000000001E-5</v>
      </c>
      <c r="L1165" s="1">
        <v>2.5999999999999998E-5</v>
      </c>
      <c r="M1165">
        <v>0</v>
      </c>
      <c r="N1165">
        <v>0</v>
      </c>
      <c r="O1165" s="1">
        <v>2.6999999999999999E-5</v>
      </c>
      <c r="P1165" s="1">
        <v>2.0800000000000001E-5</v>
      </c>
      <c r="Q1165" s="1">
        <v>4.7400000000000004E-6</v>
      </c>
      <c r="R1165" s="1">
        <v>1.8600000000000001E-5</v>
      </c>
      <c r="S1165" s="1">
        <v>1.03E-5</v>
      </c>
      <c r="T1165">
        <v>0</v>
      </c>
    </row>
    <row r="1166" spans="1:20" hidden="1" x14ac:dyDescent="0.25">
      <c r="A1166" t="s">
        <v>1184</v>
      </c>
      <c r="B1166">
        <v>1.2924799999999999E-4</v>
      </c>
      <c r="C1166">
        <v>1.46317E-4</v>
      </c>
      <c r="D1166">
        <v>1.5598599999999999E-4</v>
      </c>
      <c r="E1166">
        <v>1.71211E-4</v>
      </c>
      <c r="F1166">
        <v>1.21203E-4</v>
      </c>
      <c r="G1166">
        <v>1.32244E-4</v>
      </c>
      <c r="H1166" s="1">
        <v>9.1600000000000004E-5</v>
      </c>
      <c r="I1166">
        <v>1.6697500000000001E-4</v>
      </c>
      <c r="J1166">
        <v>1.57033E-4</v>
      </c>
      <c r="K1166">
        <v>1.3420399999999999E-4</v>
      </c>
      <c r="L1166">
        <v>1.54015E-4</v>
      </c>
      <c r="M1166">
        <v>1.1469299999999999E-4</v>
      </c>
      <c r="N1166">
        <v>1.7848300000000001E-4</v>
      </c>
      <c r="O1166">
        <v>1.53363E-4</v>
      </c>
      <c r="P1166" s="1">
        <v>7.64E-5</v>
      </c>
      <c r="Q1166" s="1">
        <v>3.9199999999999997E-5</v>
      </c>
      <c r="R1166" s="1">
        <v>5.9700000000000001E-5</v>
      </c>
      <c r="S1166" s="1">
        <v>6.3600000000000001E-5</v>
      </c>
      <c r="T1166" s="1">
        <v>3.8899999999999997E-5</v>
      </c>
    </row>
    <row r="1167" spans="1:20" hidden="1" x14ac:dyDescent="0.25">
      <c r="A1167" t="s">
        <v>1185</v>
      </c>
      <c r="B1167">
        <v>5.6214500000000001E-4</v>
      </c>
      <c r="C1167">
        <v>5.3899000000000004E-4</v>
      </c>
      <c r="D1167">
        <v>5.4946900000000002E-4</v>
      </c>
      <c r="E1167">
        <v>4.4736E-4</v>
      </c>
      <c r="F1167">
        <v>6.2512099999999997E-4</v>
      </c>
      <c r="G1167">
        <v>5.7356699999999998E-4</v>
      </c>
      <c r="H1167">
        <v>6.3095399999999998E-4</v>
      </c>
      <c r="I1167">
        <v>5.6123499999999999E-4</v>
      </c>
      <c r="J1167">
        <v>3.6822299999999999E-4</v>
      </c>
      <c r="K1167">
        <v>6.4032499999999997E-4</v>
      </c>
      <c r="L1167">
        <v>4.5298199999999999E-4</v>
      </c>
      <c r="M1167">
        <v>3.6062799999999999E-4</v>
      </c>
      <c r="N1167">
        <v>3.2814699999999999E-4</v>
      </c>
      <c r="O1167">
        <v>3.02935E-4</v>
      </c>
      <c r="P1167">
        <v>4.61941E-4</v>
      </c>
      <c r="Q1167">
        <v>7.3162100000000001E-4</v>
      </c>
      <c r="R1167">
        <v>6.7348199999999999E-4</v>
      </c>
      <c r="S1167">
        <v>7.1317899999999998E-4</v>
      </c>
      <c r="T1167">
        <v>1.2191859999999999E-3</v>
      </c>
    </row>
    <row r="1168" spans="1:20" hidden="1" x14ac:dyDescent="0.25">
      <c r="A1168" t="s">
        <v>1186</v>
      </c>
      <c r="B1168">
        <v>1.7520099999999999E-4</v>
      </c>
      <c r="C1168">
        <v>2.6503200000000001E-4</v>
      </c>
      <c r="D1168">
        <v>2.3372099999999999E-4</v>
      </c>
      <c r="E1168">
        <v>2.4340899999999999E-4</v>
      </c>
      <c r="F1168">
        <v>1.64838E-4</v>
      </c>
      <c r="G1168">
        <v>1.87049E-4</v>
      </c>
      <c r="H1168">
        <v>1.12265E-4</v>
      </c>
      <c r="I1168">
        <v>1.55198E-4</v>
      </c>
      <c r="J1168">
        <v>1.8783999999999999E-4</v>
      </c>
      <c r="K1168">
        <v>2.37679E-4</v>
      </c>
      <c r="L1168">
        <v>2.6154599999999998E-4</v>
      </c>
      <c r="M1168">
        <v>1.3108799999999999E-4</v>
      </c>
      <c r="N1168" s="1">
        <v>4.6799999999999999E-5</v>
      </c>
      <c r="O1168">
        <v>1.86792E-4</v>
      </c>
      <c r="P1168">
        <v>1.11477E-4</v>
      </c>
      <c r="Q1168" s="1">
        <v>5.63E-5</v>
      </c>
      <c r="R1168" s="1">
        <v>8.4099999999999998E-5</v>
      </c>
      <c r="S1168">
        <v>1.0331300000000001E-4</v>
      </c>
      <c r="T1168" s="1">
        <v>5.4200000000000003E-5</v>
      </c>
    </row>
    <row r="1169" spans="1:20" hidden="1" x14ac:dyDescent="0.25">
      <c r="A1169" t="s">
        <v>1187</v>
      </c>
      <c r="B1169" s="1">
        <v>2.1100000000000001E-5</v>
      </c>
      <c r="C1169" s="1">
        <v>3.3000000000000003E-5</v>
      </c>
      <c r="D1169" s="1">
        <v>4.0500000000000002E-5</v>
      </c>
      <c r="E1169" s="1">
        <v>5.2099999999999999E-5</v>
      </c>
      <c r="F1169" s="1">
        <v>3.5899999999999998E-5</v>
      </c>
      <c r="G1169" s="1">
        <v>3.3399999999999999E-5</v>
      </c>
      <c r="H1169" s="1">
        <v>2.0299999999999999E-5</v>
      </c>
      <c r="I1169" s="1">
        <v>3.3599999999999997E-5</v>
      </c>
      <c r="J1169" s="1">
        <v>2.9499999999999999E-5</v>
      </c>
      <c r="K1169" s="1">
        <v>2.9099999999999999E-5</v>
      </c>
      <c r="L1169" s="1">
        <v>3.43E-5</v>
      </c>
      <c r="M1169" s="1">
        <v>1.36E-5</v>
      </c>
      <c r="N1169" s="1">
        <v>1.49E-5</v>
      </c>
      <c r="O1169" s="1">
        <v>4.0800000000000002E-5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hidden="1" x14ac:dyDescent="0.25">
      <c r="A1170" t="s">
        <v>1188</v>
      </c>
      <c r="B1170" s="1">
        <v>2.1500000000000001E-5</v>
      </c>
      <c r="C1170">
        <v>1.3014299999999999E-4</v>
      </c>
      <c r="D1170" s="1">
        <v>9.8099999999999999E-5</v>
      </c>
      <c r="E1170">
        <v>1.5144900000000001E-4</v>
      </c>
      <c r="F1170" s="1">
        <v>5.13E-5</v>
      </c>
      <c r="G1170" s="1">
        <v>6.3600000000000001E-5</v>
      </c>
      <c r="H1170" s="1">
        <v>1.4800000000000001E-5</v>
      </c>
      <c r="I1170" s="1">
        <v>2.2099999999999998E-5</v>
      </c>
      <c r="J1170" s="1">
        <v>2.51E-5</v>
      </c>
      <c r="K1170" s="1">
        <v>6.7000000000000002E-5</v>
      </c>
      <c r="L1170" s="1">
        <v>5.1E-5</v>
      </c>
      <c r="M1170">
        <v>0</v>
      </c>
      <c r="N1170" s="1">
        <v>9.9599999999999995E-6</v>
      </c>
      <c r="O1170" s="1">
        <v>2.3799999999999999E-5</v>
      </c>
      <c r="P1170">
        <v>0</v>
      </c>
      <c r="Q1170">
        <v>0</v>
      </c>
      <c r="R1170">
        <v>0</v>
      </c>
      <c r="S1170" s="1">
        <v>8.5099999999999998E-6</v>
      </c>
      <c r="T1170">
        <v>0</v>
      </c>
    </row>
    <row r="1171" spans="1:20" hidden="1" x14ac:dyDescent="0.25">
      <c r="A1171" t="s">
        <v>1189</v>
      </c>
      <c r="B1171" s="1">
        <v>3.15E-5</v>
      </c>
      <c r="C1171" s="1">
        <v>2.58E-5</v>
      </c>
      <c r="D1171" s="1">
        <v>1.98E-5</v>
      </c>
      <c r="E1171" s="1">
        <v>1.66E-5</v>
      </c>
      <c r="F1171" s="1">
        <v>2.72E-5</v>
      </c>
      <c r="G1171" s="1">
        <v>3.6699999999999998E-5</v>
      </c>
      <c r="H1171" s="1">
        <v>3.8099999999999998E-5</v>
      </c>
      <c r="I1171" s="1">
        <v>2.4000000000000001E-5</v>
      </c>
      <c r="J1171" s="1">
        <v>2.1299999999999999E-5</v>
      </c>
      <c r="K1171" s="1">
        <v>3.6600000000000002E-5</v>
      </c>
      <c r="L1171" s="1">
        <v>3.0300000000000001E-5</v>
      </c>
      <c r="M1171" s="1">
        <v>2.6400000000000001E-5</v>
      </c>
      <c r="N1171" s="1">
        <v>2.3300000000000001E-5</v>
      </c>
      <c r="O1171" s="1">
        <v>1.2300000000000001E-5</v>
      </c>
      <c r="P1171" s="1">
        <v>5.52E-5</v>
      </c>
      <c r="Q1171" s="1">
        <v>9.8900000000000005E-5</v>
      </c>
      <c r="R1171" s="1">
        <v>6.8800000000000005E-5</v>
      </c>
      <c r="S1171" s="1">
        <v>8.1799999999999996E-5</v>
      </c>
      <c r="T1171">
        <v>1.0037E-4</v>
      </c>
    </row>
    <row r="1172" spans="1:20" hidden="1" x14ac:dyDescent="0.25">
      <c r="A1172" t="s">
        <v>1190</v>
      </c>
      <c r="B1172" s="1">
        <v>1.7799999999999999E-5</v>
      </c>
      <c r="C1172">
        <v>0</v>
      </c>
      <c r="D1172" s="1">
        <v>1.1E-5</v>
      </c>
      <c r="E1172">
        <v>0</v>
      </c>
      <c r="F1172">
        <v>0</v>
      </c>
      <c r="G1172">
        <v>0</v>
      </c>
      <c r="H1172" s="1">
        <v>3.2400000000000001E-5</v>
      </c>
      <c r="I1172">
        <v>0</v>
      </c>
      <c r="J1172" s="1">
        <v>1.59E-5</v>
      </c>
      <c r="K1172">
        <v>0</v>
      </c>
      <c r="L1172">
        <v>0</v>
      </c>
      <c r="M1172">
        <v>0</v>
      </c>
      <c r="N1172">
        <v>0</v>
      </c>
      <c r="O1172">
        <v>0</v>
      </c>
      <c r="P1172" s="1">
        <v>2.2500000000000001E-5</v>
      </c>
      <c r="Q1172" s="1">
        <v>4.9799999999999998E-5</v>
      </c>
      <c r="R1172" s="1">
        <v>3.4199999999999998E-5</v>
      </c>
      <c r="S1172" s="1">
        <v>3.65E-5</v>
      </c>
      <c r="T1172" s="1">
        <v>9.6500000000000001E-5</v>
      </c>
    </row>
    <row r="1173" spans="1:20" hidden="1" x14ac:dyDescent="0.25">
      <c r="A1173" t="s">
        <v>1191</v>
      </c>
      <c r="B1173" s="1">
        <v>2.55E-5</v>
      </c>
      <c r="C1173">
        <v>0</v>
      </c>
      <c r="D1173" s="1">
        <v>2.09E-5</v>
      </c>
      <c r="E1173" s="1">
        <v>1.7099999999999999E-5</v>
      </c>
      <c r="F1173" s="1">
        <v>2.3300000000000001E-5</v>
      </c>
      <c r="G1173" s="1">
        <v>1.6099999999999998E-5</v>
      </c>
      <c r="H1173" s="1">
        <v>3.93E-5</v>
      </c>
      <c r="I1173" s="1">
        <v>2.34E-5</v>
      </c>
      <c r="J1173" s="1">
        <v>2.1500000000000001E-5</v>
      </c>
      <c r="K1173" s="1">
        <v>1.8199999999999999E-5</v>
      </c>
      <c r="L1173" s="1">
        <v>1.11E-5</v>
      </c>
      <c r="M1173" s="1">
        <v>1.95E-5</v>
      </c>
      <c r="N1173" s="1">
        <v>1.9000000000000001E-5</v>
      </c>
      <c r="O1173" s="1">
        <v>1.6099999999999998E-5</v>
      </c>
      <c r="P1173" s="1">
        <v>3.8500000000000001E-5</v>
      </c>
      <c r="Q1173" s="1">
        <v>5.6400000000000002E-5</v>
      </c>
      <c r="R1173" s="1">
        <v>4.5000000000000003E-5</v>
      </c>
      <c r="S1173" s="1">
        <v>4.2799999999999997E-5</v>
      </c>
      <c r="T1173">
        <v>1.3336000000000001E-4</v>
      </c>
    </row>
    <row r="1174" spans="1:20" hidden="1" x14ac:dyDescent="0.25">
      <c r="A1174" t="s">
        <v>1192</v>
      </c>
      <c r="B1174">
        <v>1.56052E-4</v>
      </c>
      <c r="C1174">
        <v>1.7298899999999999E-4</v>
      </c>
      <c r="D1174">
        <v>1.26568E-4</v>
      </c>
      <c r="E1174" s="1">
        <v>9.9699999999999998E-5</v>
      </c>
      <c r="F1174">
        <v>2.7975299999999999E-4</v>
      </c>
      <c r="G1174">
        <v>7.2887400000000001E-4</v>
      </c>
      <c r="H1174">
        <v>2.3742699999999999E-4</v>
      </c>
      <c r="I1174">
        <v>2.1116599999999999E-4</v>
      </c>
      <c r="J1174">
        <v>2.26789E-4</v>
      </c>
      <c r="K1174">
        <v>3.0819700000000002E-4</v>
      </c>
      <c r="L1174">
        <v>2.6270900000000002E-4</v>
      </c>
      <c r="M1174">
        <v>2.2428899999999999E-4</v>
      </c>
      <c r="N1174">
        <v>1.43394E-4</v>
      </c>
      <c r="O1174" s="1">
        <v>9.7600000000000001E-5</v>
      </c>
      <c r="P1174">
        <v>4.9044599999999996E-4</v>
      </c>
      <c r="Q1174">
        <v>8.6954999999999997E-4</v>
      </c>
      <c r="R1174">
        <v>8.7980299999999997E-4</v>
      </c>
      <c r="S1174">
        <v>2.513974E-3</v>
      </c>
      <c r="T1174">
        <v>1.038808E-3</v>
      </c>
    </row>
    <row r="1175" spans="1:20" hidden="1" x14ac:dyDescent="0.25">
      <c r="A1175" t="s">
        <v>1193</v>
      </c>
      <c r="B1175" s="1">
        <v>1.8199999999999999E-5</v>
      </c>
      <c r="C1175" s="1">
        <v>1.22E-5</v>
      </c>
      <c r="D1175" s="1">
        <v>7.6000000000000001E-6</v>
      </c>
      <c r="E1175">
        <v>0</v>
      </c>
      <c r="F1175" s="1">
        <v>3.4999999999999997E-5</v>
      </c>
      <c r="G1175" s="1">
        <v>9.7200000000000004E-5</v>
      </c>
      <c r="H1175" s="1">
        <v>2.5700000000000001E-5</v>
      </c>
      <c r="I1175" s="1">
        <v>4.2200000000000003E-5</v>
      </c>
      <c r="J1175" s="1">
        <v>2.9899999999999998E-5</v>
      </c>
      <c r="K1175" s="1">
        <v>3.3099999999999998E-5</v>
      </c>
      <c r="L1175" s="1">
        <v>3.1399999999999998E-5</v>
      </c>
      <c r="M1175" s="1">
        <v>2.2799999999999999E-5</v>
      </c>
      <c r="N1175" s="1">
        <v>2.4000000000000001E-5</v>
      </c>
      <c r="O1175" s="1">
        <v>1.52E-5</v>
      </c>
      <c r="P1175" s="1">
        <v>8.1899999999999999E-5</v>
      </c>
      <c r="Q1175">
        <v>1.5759199999999999E-4</v>
      </c>
      <c r="R1175">
        <v>1.05388E-4</v>
      </c>
      <c r="S1175">
        <v>3.14944E-4</v>
      </c>
      <c r="T1175">
        <v>2.2697099999999999E-4</v>
      </c>
    </row>
    <row r="1176" spans="1:20" hidden="1" x14ac:dyDescent="0.25">
      <c r="A1176" t="s">
        <v>1194</v>
      </c>
      <c r="B1176" s="1">
        <v>3.68E-5</v>
      </c>
      <c r="C1176" s="1">
        <v>3.3000000000000003E-5</v>
      </c>
      <c r="D1176" s="1">
        <v>2.9600000000000001E-5</v>
      </c>
      <c r="E1176">
        <v>0</v>
      </c>
      <c r="F1176" s="1">
        <v>7.3499999999999998E-5</v>
      </c>
      <c r="G1176">
        <v>2.1236599999999999E-4</v>
      </c>
      <c r="H1176" s="1">
        <v>6.58E-5</v>
      </c>
      <c r="I1176" s="1">
        <v>8.4300000000000003E-5</v>
      </c>
      <c r="J1176" s="1">
        <v>7.2100000000000004E-5</v>
      </c>
      <c r="K1176" s="1">
        <v>9.1899999999999998E-5</v>
      </c>
      <c r="L1176" s="1">
        <v>5.8900000000000002E-5</v>
      </c>
      <c r="M1176" s="1">
        <v>6.3499999999999999E-5</v>
      </c>
      <c r="N1176" s="1">
        <v>6.0999999999999999E-5</v>
      </c>
      <c r="O1176" s="1">
        <v>2.3099999999999999E-5</v>
      </c>
      <c r="P1176">
        <v>1.6185900000000001E-4</v>
      </c>
      <c r="Q1176">
        <v>2.9509300000000002E-4</v>
      </c>
      <c r="R1176">
        <v>2.31924E-4</v>
      </c>
      <c r="S1176">
        <v>4.87818E-4</v>
      </c>
      <c r="T1176">
        <v>3.7583899999999999E-4</v>
      </c>
    </row>
    <row r="1177" spans="1:20" hidden="1" x14ac:dyDescent="0.25">
      <c r="A1177" t="s">
        <v>1195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s="1">
        <v>1.7499999999999998E-5</v>
      </c>
      <c r="J1177">
        <v>0</v>
      </c>
      <c r="K1177">
        <v>0</v>
      </c>
      <c r="L1177">
        <v>0</v>
      </c>
      <c r="M1177" s="1">
        <v>1.6799999999999998E-5</v>
      </c>
      <c r="N1177" s="1">
        <v>2.4700000000000001E-5</v>
      </c>
      <c r="O1177" s="1">
        <v>8.0199999999999994E-6</v>
      </c>
      <c r="P1177">
        <v>0</v>
      </c>
      <c r="Q1177" s="1">
        <v>2.8099999999999999E-5</v>
      </c>
      <c r="R1177" s="1">
        <v>1.98E-5</v>
      </c>
      <c r="S1177" s="1">
        <v>2.51E-5</v>
      </c>
      <c r="T1177" s="1">
        <v>2.16E-5</v>
      </c>
    </row>
    <row r="1178" spans="1:20" hidden="1" x14ac:dyDescent="0.25">
      <c r="A1178" t="s">
        <v>1196</v>
      </c>
      <c r="B1178">
        <v>2.60535E-4</v>
      </c>
      <c r="C1178">
        <v>3.6114399999999998E-4</v>
      </c>
      <c r="D1178">
        <v>2.60146E-4</v>
      </c>
      <c r="E1178">
        <v>2.9917600000000001E-4</v>
      </c>
      <c r="F1178">
        <v>1.4527600000000001E-4</v>
      </c>
      <c r="G1178">
        <v>2.8508299999999999E-4</v>
      </c>
      <c r="H1178">
        <v>2.3409200000000001E-4</v>
      </c>
      <c r="I1178">
        <v>1.9434300000000001E-4</v>
      </c>
      <c r="J1178">
        <v>1.71411E-4</v>
      </c>
      <c r="K1178">
        <v>2.71487E-4</v>
      </c>
      <c r="L1178">
        <v>2.51563E-4</v>
      </c>
      <c r="M1178">
        <v>2.50072E-4</v>
      </c>
      <c r="N1178">
        <v>1.58169E-4</v>
      </c>
      <c r="O1178">
        <v>2.1922399999999999E-4</v>
      </c>
      <c r="P1178">
        <v>1.45513E-4</v>
      </c>
      <c r="Q1178">
        <v>1.64136E-4</v>
      </c>
      <c r="R1178">
        <v>1.6190000000000001E-4</v>
      </c>
      <c r="S1178">
        <v>1.7176999999999999E-4</v>
      </c>
      <c r="T1178">
        <v>2.6899200000000002E-4</v>
      </c>
    </row>
    <row r="1179" spans="1:20" hidden="1" x14ac:dyDescent="0.25">
      <c r="A1179" t="s">
        <v>1197</v>
      </c>
      <c r="B1179">
        <v>1.5213100000000001E-4</v>
      </c>
      <c r="C1179">
        <v>1.3477199999999999E-4</v>
      </c>
      <c r="D1179">
        <v>2.0808600000000001E-4</v>
      </c>
      <c r="E1179">
        <v>1.99555E-4</v>
      </c>
      <c r="F1179">
        <v>1.7121700000000001E-4</v>
      </c>
      <c r="G1179">
        <v>1.11536E-4</v>
      </c>
      <c r="H1179">
        <v>1.0148400000000001E-4</v>
      </c>
      <c r="I1179">
        <v>1.4974899999999999E-4</v>
      </c>
      <c r="J1179">
        <v>1.48577E-4</v>
      </c>
      <c r="K1179">
        <v>1.5580499999999999E-4</v>
      </c>
      <c r="L1179">
        <v>1.5889300000000001E-4</v>
      </c>
      <c r="M1179" s="1">
        <v>8.42E-5</v>
      </c>
      <c r="N1179">
        <v>1.1769000000000001E-4</v>
      </c>
      <c r="O1179">
        <v>1.52688E-4</v>
      </c>
      <c r="P1179" s="1">
        <v>7.8700000000000002E-5</v>
      </c>
      <c r="Q1179" s="1">
        <v>4.1399999999999997E-5</v>
      </c>
      <c r="R1179" s="1">
        <v>4.5300000000000003E-5</v>
      </c>
      <c r="S1179" s="1">
        <v>2.41E-5</v>
      </c>
      <c r="T1179" s="1">
        <v>3.3399999999999999E-5</v>
      </c>
    </row>
    <row r="1180" spans="1:20" hidden="1" x14ac:dyDescent="0.25">
      <c r="A1180" t="s">
        <v>1198</v>
      </c>
      <c r="B1180">
        <v>2.9135889999999998E-3</v>
      </c>
      <c r="C1180">
        <v>4.0414989999999996E-3</v>
      </c>
      <c r="D1180">
        <v>2.6476490000000002E-3</v>
      </c>
      <c r="E1180">
        <v>3.9868409999999996E-3</v>
      </c>
      <c r="F1180">
        <v>6.2706070000000001E-3</v>
      </c>
      <c r="G1180">
        <v>3.7538490000000001E-3</v>
      </c>
      <c r="H1180">
        <v>3.7322829999999999E-3</v>
      </c>
      <c r="I1180">
        <v>4.6629669999999996E-3</v>
      </c>
      <c r="J1180">
        <v>4.3575009999999997E-3</v>
      </c>
      <c r="K1180">
        <v>2.6048180000000001E-3</v>
      </c>
      <c r="L1180">
        <v>2.817408E-3</v>
      </c>
      <c r="M1180">
        <v>2.8252149999999998E-3</v>
      </c>
      <c r="N1180">
        <v>2.7102329999999998E-3</v>
      </c>
      <c r="O1180">
        <v>4.2345480000000003E-3</v>
      </c>
      <c r="P1180">
        <v>2.0612159999999998E-3</v>
      </c>
      <c r="Q1180">
        <v>2.1697410000000002E-3</v>
      </c>
      <c r="R1180">
        <v>2.1968949999999999E-3</v>
      </c>
      <c r="S1180">
        <v>3.9840650000000002E-3</v>
      </c>
      <c r="T1180">
        <v>2.3959480000000002E-3</v>
      </c>
    </row>
    <row r="1181" spans="1:20" hidden="1" x14ac:dyDescent="0.25">
      <c r="A1181" t="s">
        <v>1199</v>
      </c>
      <c r="B1181">
        <v>1.3685884000000001E-2</v>
      </c>
      <c r="C1181">
        <v>1.4698350000000001E-2</v>
      </c>
      <c r="D1181">
        <v>1.2189349E-2</v>
      </c>
      <c r="E1181">
        <v>1.2726971E-2</v>
      </c>
      <c r="F1181">
        <v>1.2539150000000001E-2</v>
      </c>
      <c r="G1181">
        <v>1.3906649E-2</v>
      </c>
      <c r="H1181">
        <v>1.4436554000000001E-2</v>
      </c>
      <c r="I1181">
        <v>1.4395824E-2</v>
      </c>
      <c r="J1181">
        <v>1.5619182000000001E-2</v>
      </c>
      <c r="K1181">
        <v>1.0531199999999999E-2</v>
      </c>
      <c r="L1181">
        <v>1.3072307999999999E-2</v>
      </c>
      <c r="M1181">
        <v>1.4460647E-2</v>
      </c>
      <c r="N1181">
        <v>1.9668101E-2</v>
      </c>
      <c r="O1181">
        <v>1.4264238E-2</v>
      </c>
      <c r="P1181">
        <v>9.4221189999999996E-3</v>
      </c>
      <c r="Q1181">
        <v>9.8143150000000005E-3</v>
      </c>
      <c r="R1181">
        <v>1.2862063999999999E-2</v>
      </c>
      <c r="S1181">
        <v>1.0032097E-2</v>
      </c>
      <c r="T1181">
        <v>9.0673279999999995E-3</v>
      </c>
    </row>
    <row r="1182" spans="1:20" hidden="1" x14ac:dyDescent="0.25">
      <c r="A1182" t="s">
        <v>1200</v>
      </c>
      <c r="B1182" s="1">
        <v>1.0900000000000001E-5</v>
      </c>
      <c r="C1182">
        <v>0</v>
      </c>
      <c r="D1182">
        <v>0</v>
      </c>
      <c r="E1182">
        <v>0</v>
      </c>
      <c r="F1182" s="1">
        <v>1.7799999999999999E-5</v>
      </c>
      <c r="G1182">
        <v>0</v>
      </c>
      <c r="H1182" s="1">
        <v>1.4399999999999999E-5</v>
      </c>
      <c r="I1182" s="1">
        <v>8.6999999999999997E-6</v>
      </c>
      <c r="J1182">
        <v>0</v>
      </c>
      <c r="K1182" s="1">
        <v>1.11E-5</v>
      </c>
      <c r="L1182" s="1">
        <v>7.52E-6</v>
      </c>
      <c r="M1182">
        <v>0</v>
      </c>
      <c r="N1182">
        <v>0</v>
      </c>
      <c r="O1182">
        <v>0</v>
      </c>
      <c r="P1182" s="1">
        <v>1.98E-5</v>
      </c>
      <c r="Q1182" s="1">
        <v>3.0899999999999999E-5</v>
      </c>
      <c r="R1182" s="1">
        <v>2.0100000000000001E-5</v>
      </c>
      <c r="S1182" s="1">
        <v>1.5099999999999999E-5</v>
      </c>
      <c r="T1182" s="1">
        <v>2.0800000000000001E-5</v>
      </c>
    </row>
    <row r="1183" spans="1:20" hidden="1" x14ac:dyDescent="0.25">
      <c r="A1183" t="s">
        <v>1201</v>
      </c>
      <c r="B1183">
        <v>2.2931699999999999E-4</v>
      </c>
      <c r="C1183">
        <v>2.4454099999999997E-4</v>
      </c>
      <c r="D1183">
        <v>2.38822E-4</v>
      </c>
      <c r="E1183">
        <v>2.6243399999999997E-4</v>
      </c>
      <c r="F1183">
        <v>3.9071100000000002E-4</v>
      </c>
      <c r="G1183">
        <v>3.0909900000000002E-4</v>
      </c>
      <c r="H1183">
        <v>3.5683699999999999E-4</v>
      </c>
      <c r="I1183">
        <v>2.42947E-4</v>
      </c>
      <c r="J1183">
        <v>2.26713E-4</v>
      </c>
      <c r="K1183">
        <v>3.1655000000000002E-4</v>
      </c>
      <c r="L1183">
        <v>3.0656200000000002E-4</v>
      </c>
      <c r="M1183">
        <v>2.5668099999999998E-4</v>
      </c>
      <c r="N1183">
        <v>2.6854400000000001E-4</v>
      </c>
      <c r="O1183">
        <v>1.7777799999999999E-4</v>
      </c>
      <c r="P1183">
        <v>2.9092400000000002E-4</v>
      </c>
      <c r="Q1183">
        <v>4.3494999999999997E-4</v>
      </c>
      <c r="R1183">
        <v>2.9479300000000001E-4</v>
      </c>
      <c r="S1183">
        <v>5.1158699999999998E-4</v>
      </c>
      <c r="T1183">
        <v>4.6047500000000001E-4</v>
      </c>
    </row>
    <row r="1184" spans="1:20" hidden="1" x14ac:dyDescent="0.25">
      <c r="A1184" t="s">
        <v>1202</v>
      </c>
      <c r="B1184" s="1">
        <v>9.3700000000000001E-5</v>
      </c>
      <c r="C1184" s="1">
        <v>9.9099999999999996E-5</v>
      </c>
      <c r="D1184" s="1">
        <v>9.9699999999999998E-5</v>
      </c>
      <c r="E1184" s="1">
        <v>8.42E-5</v>
      </c>
      <c r="F1184" s="1">
        <v>8.7700000000000004E-5</v>
      </c>
      <c r="G1184" s="1">
        <v>8.7600000000000002E-5</v>
      </c>
      <c r="H1184" s="1">
        <v>6.7600000000000003E-5</v>
      </c>
      <c r="I1184" s="1">
        <v>9.0600000000000007E-5</v>
      </c>
      <c r="J1184" s="1">
        <v>9.0699999999999996E-5</v>
      </c>
      <c r="K1184" s="1">
        <v>9.7700000000000003E-5</v>
      </c>
      <c r="L1184" s="1">
        <v>9.3200000000000002E-5</v>
      </c>
      <c r="M1184" s="1">
        <v>8.5699999999999996E-5</v>
      </c>
      <c r="N1184">
        <v>1.5509200000000001E-4</v>
      </c>
      <c r="O1184" s="1">
        <v>8.2100000000000003E-5</v>
      </c>
      <c r="P1184">
        <v>1.04103E-4</v>
      </c>
      <c r="Q1184" s="1">
        <v>7.2399999999999998E-5</v>
      </c>
      <c r="R1184" s="1">
        <v>7.6199999999999995E-5</v>
      </c>
      <c r="S1184" s="1">
        <v>6.9300000000000004E-5</v>
      </c>
      <c r="T1184" s="1">
        <v>8.9900000000000003E-5</v>
      </c>
    </row>
    <row r="1185" spans="1:20" hidden="1" x14ac:dyDescent="0.25">
      <c r="A1185" t="s">
        <v>1203</v>
      </c>
      <c r="B1185" s="1">
        <v>1.22E-5</v>
      </c>
      <c r="C1185" s="1">
        <v>7.4699999999999996E-6</v>
      </c>
      <c r="D1185" s="1">
        <v>1.01E-5</v>
      </c>
      <c r="E1185" s="1">
        <v>1.45E-5</v>
      </c>
      <c r="F1185" s="1">
        <v>1.6099999999999998E-5</v>
      </c>
      <c r="G1185">
        <v>0</v>
      </c>
      <c r="H1185" s="1">
        <v>1.0900000000000001E-5</v>
      </c>
      <c r="I1185" s="1">
        <v>9.6900000000000004E-6</v>
      </c>
      <c r="J1185" s="1">
        <v>8.2099999999999993E-6</v>
      </c>
      <c r="K1185" s="1">
        <v>1.24E-5</v>
      </c>
      <c r="L1185" s="1">
        <v>7.7200000000000006E-6</v>
      </c>
      <c r="M1185" s="1">
        <v>1.4600000000000001E-5</v>
      </c>
      <c r="N1185" s="1">
        <v>1.1E-5</v>
      </c>
      <c r="O1185" s="1">
        <v>1.6399999999999999E-5</v>
      </c>
      <c r="P1185" s="1">
        <v>1.0900000000000001E-5</v>
      </c>
      <c r="Q1185" s="1">
        <v>7.6699999999999994E-6</v>
      </c>
      <c r="R1185" s="1">
        <v>5.9499999999999998E-6</v>
      </c>
      <c r="S1185">
        <v>0</v>
      </c>
      <c r="T1185" s="1">
        <v>9.1700000000000003E-6</v>
      </c>
    </row>
    <row r="1186" spans="1:20" hidden="1" x14ac:dyDescent="0.25">
      <c r="A1186" t="s">
        <v>1204</v>
      </c>
      <c r="B1186" s="1">
        <v>6.05E-5</v>
      </c>
      <c r="C1186">
        <v>1.35074E-4</v>
      </c>
      <c r="D1186">
        <v>1.10184E-4</v>
      </c>
      <c r="E1186">
        <v>1.1712E-4</v>
      </c>
      <c r="F1186" s="1">
        <v>6.3899999999999995E-5</v>
      </c>
      <c r="G1186" s="1">
        <v>9.2299999999999994E-5</v>
      </c>
      <c r="H1186" s="1">
        <v>6.1400000000000002E-5</v>
      </c>
      <c r="I1186" s="1">
        <v>6.9999999999999994E-5</v>
      </c>
      <c r="J1186" s="1">
        <v>6.1099999999999994E-5</v>
      </c>
      <c r="K1186">
        <v>1.1240599999999999E-4</v>
      </c>
      <c r="L1186">
        <v>1.01551E-4</v>
      </c>
      <c r="M1186" s="1">
        <v>5.0500000000000001E-5</v>
      </c>
      <c r="N1186" s="1">
        <v>9.31E-5</v>
      </c>
      <c r="O1186" s="1">
        <v>8.14E-5</v>
      </c>
      <c r="P1186" s="1">
        <v>5.0800000000000002E-5</v>
      </c>
      <c r="Q1186" s="1">
        <v>4.2599999999999999E-5</v>
      </c>
      <c r="R1186">
        <v>0</v>
      </c>
      <c r="S1186">
        <v>0</v>
      </c>
      <c r="T1186">
        <v>0</v>
      </c>
    </row>
    <row r="1187" spans="1:20" hidden="1" x14ac:dyDescent="0.25">
      <c r="A1187" t="s">
        <v>1205</v>
      </c>
      <c r="B1187" s="1">
        <v>9.2600000000000001E-5</v>
      </c>
      <c r="C1187">
        <v>1.4233E-4</v>
      </c>
      <c r="D1187">
        <v>1.11655E-4</v>
      </c>
      <c r="E1187">
        <v>1.1779500000000001E-4</v>
      </c>
      <c r="F1187" s="1">
        <v>8.8200000000000003E-5</v>
      </c>
      <c r="G1187">
        <v>1.3745200000000001E-4</v>
      </c>
      <c r="H1187" s="1">
        <v>8.6399999999999999E-5</v>
      </c>
      <c r="I1187">
        <v>1.3240100000000001E-4</v>
      </c>
      <c r="J1187">
        <v>1.23122E-4</v>
      </c>
      <c r="K1187">
        <v>1.3460699999999999E-4</v>
      </c>
      <c r="L1187">
        <v>1.18415E-4</v>
      </c>
      <c r="M1187" s="1">
        <v>6.6099999999999994E-5</v>
      </c>
      <c r="N1187">
        <v>1.1386400000000001E-4</v>
      </c>
      <c r="O1187">
        <v>1.1472300000000001E-4</v>
      </c>
      <c r="P1187" s="1">
        <v>6.1699999999999995E-5</v>
      </c>
      <c r="Q1187" s="1">
        <v>5.1499999999999998E-5</v>
      </c>
      <c r="R1187" s="1">
        <v>4.0299999999999997E-5</v>
      </c>
      <c r="S1187" s="1">
        <v>6.0999999999999999E-5</v>
      </c>
      <c r="T1187">
        <v>0</v>
      </c>
    </row>
    <row r="1188" spans="1:20" hidden="1" x14ac:dyDescent="0.25">
      <c r="A1188" t="s">
        <v>1206</v>
      </c>
      <c r="B1188" s="1">
        <v>1.6099999999999998E-5</v>
      </c>
      <c r="C1188" s="1">
        <v>3.04E-5</v>
      </c>
      <c r="D1188" s="1">
        <v>1.9400000000000001E-5</v>
      </c>
      <c r="E1188" s="1">
        <v>1.4800000000000001E-5</v>
      </c>
      <c r="F1188">
        <v>0</v>
      </c>
      <c r="G1188">
        <v>0</v>
      </c>
      <c r="H1188" s="1">
        <v>1.9300000000000002E-5</v>
      </c>
      <c r="I1188" s="1">
        <v>3.4100000000000002E-5</v>
      </c>
      <c r="J1188">
        <v>0</v>
      </c>
      <c r="K1188" s="1">
        <v>1.8199999999999999E-5</v>
      </c>
      <c r="L1188" s="1">
        <v>2.8200000000000001E-5</v>
      </c>
      <c r="M1188">
        <v>0</v>
      </c>
      <c r="N1188" s="1">
        <v>2.1699999999999999E-5</v>
      </c>
      <c r="O1188">
        <v>0</v>
      </c>
      <c r="P1188" s="1">
        <v>1.7399999999999999E-5</v>
      </c>
      <c r="Q1188" s="1">
        <v>1.45E-5</v>
      </c>
      <c r="R1188" s="1">
        <v>1.66E-5</v>
      </c>
      <c r="S1188" s="1">
        <v>1.9899999999999999E-5</v>
      </c>
      <c r="T1188" s="1">
        <v>2.0999999999999999E-5</v>
      </c>
    </row>
    <row r="1189" spans="1:20" hidden="1" x14ac:dyDescent="0.25">
      <c r="A1189" t="s">
        <v>1207</v>
      </c>
      <c r="B1189" s="1">
        <v>7.4099999999999999E-5</v>
      </c>
      <c r="C1189">
        <v>1.18301E-4</v>
      </c>
      <c r="D1189">
        <v>1.0630599999999999E-4</v>
      </c>
      <c r="E1189">
        <v>1.14238E-4</v>
      </c>
      <c r="F1189" s="1">
        <v>5.3100000000000003E-5</v>
      </c>
      <c r="G1189" s="1">
        <v>7.9400000000000006E-5</v>
      </c>
      <c r="H1189" s="1">
        <v>8.4599999999999996E-5</v>
      </c>
      <c r="I1189">
        <v>1.2416200000000001E-4</v>
      </c>
      <c r="J1189" s="1">
        <v>4.4199999999999997E-5</v>
      </c>
      <c r="K1189" s="1">
        <v>8.5199999999999997E-5</v>
      </c>
      <c r="L1189">
        <v>1.00388E-4</v>
      </c>
      <c r="M1189" s="1">
        <v>7.3899999999999994E-5</v>
      </c>
      <c r="N1189" s="1">
        <v>4.5399999999999999E-5</v>
      </c>
      <c r="O1189" s="1">
        <v>7.08E-5</v>
      </c>
      <c r="P1189" s="1">
        <v>5.4599999999999999E-5</v>
      </c>
      <c r="Q1189" s="1">
        <v>6.2000000000000003E-5</v>
      </c>
      <c r="R1189" s="1">
        <v>7.6699999999999994E-5</v>
      </c>
      <c r="S1189" s="1">
        <v>8.0900000000000001E-5</v>
      </c>
      <c r="T1189" s="1">
        <v>6.5699999999999998E-5</v>
      </c>
    </row>
    <row r="1190" spans="1:20" hidden="1" x14ac:dyDescent="0.25">
      <c r="A1190" t="s">
        <v>1208</v>
      </c>
      <c r="B1190">
        <v>5.6751499999999999E-4</v>
      </c>
      <c r="C1190">
        <v>5.3563099999999995E-4</v>
      </c>
      <c r="D1190">
        <v>4.1871200000000001E-4</v>
      </c>
      <c r="E1190">
        <v>5.5932099999999999E-4</v>
      </c>
      <c r="F1190">
        <v>5.22172E-4</v>
      </c>
      <c r="G1190">
        <v>3.35512E-4</v>
      </c>
      <c r="H1190">
        <v>4.3636400000000001E-4</v>
      </c>
      <c r="I1190">
        <v>5.9551700000000005E-4</v>
      </c>
      <c r="J1190">
        <v>4.5177200000000002E-4</v>
      </c>
      <c r="K1190">
        <v>4.5600000000000003E-4</v>
      </c>
      <c r="L1190">
        <v>3.9392700000000002E-4</v>
      </c>
      <c r="M1190">
        <v>4.3450500000000001E-4</v>
      </c>
      <c r="N1190">
        <v>2.8763600000000002E-4</v>
      </c>
      <c r="O1190">
        <v>4.0714899999999999E-4</v>
      </c>
      <c r="P1190">
        <v>4.3555500000000001E-4</v>
      </c>
      <c r="Q1190">
        <v>3.2511200000000001E-4</v>
      </c>
      <c r="R1190">
        <v>3.8066499999999997E-4</v>
      </c>
      <c r="S1190">
        <v>2.34885E-4</v>
      </c>
      <c r="T1190">
        <v>3.6377300000000002E-4</v>
      </c>
    </row>
    <row r="1191" spans="1:20" hidden="1" x14ac:dyDescent="0.25">
      <c r="A1191" t="s">
        <v>1209</v>
      </c>
      <c r="B1191">
        <v>2.2908499999999999E-4</v>
      </c>
      <c r="C1191">
        <v>3.37509E-4</v>
      </c>
      <c r="D1191">
        <v>3.25717E-4</v>
      </c>
      <c r="E1191">
        <v>3.5534100000000001E-4</v>
      </c>
      <c r="F1191">
        <v>1.88378E-4</v>
      </c>
      <c r="G1191">
        <v>2.1568100000000001E-4</v>
      </c>
      <c r="H1191">
        <v>2.4661600000000001E-4</v>
      </c>
      <c r="I1191">
        <v>2.78862E-4</v>
      </c>
      <c r="J1191">
        <v>2.21647E-4</v>
      </c>
      <c r="K1191">
        <v>2.7798100000000001E-4</v>
      </c>
      <c r="L1191">
        <v>3.29993E-4</v>
      </c>
      <c r="M1191">
        <v>1.95873E-4</v>
      </c>
      <c r="N1191">
        <v>1.3936100000000001E-4</v>
      </c>
      <c r="O1191">
        <v>1.9638300000000001E-4</v>
      </c>
      <c r="P1191">
        <v>1.4616799999999999E-4</v>
      </c>
      <c r="Q1191">
        <v>1.8542999999999999E-4</v>
      </c>
      <c r="R1191">
        <v>1.5269799999999999E-4</v>
      </c>
      <c r="S1191">
        <v>1.494E-4</v>
      </c>
      <c r="T1191">
        <v>1.6888600000000001E-4</v>
      </c>
    </row>
    <row r="1192" spans="1:20" hidden="1" x14ac:dyDescent="0.25">
      <c r="A1192" t="s">
        <v>1210</v>
      </c>
      <c r="B1192">
        <v>7.2377900000000002E-4</v>
      </c>
      <c r="C1192">
        <v>6.1185099999999995E-4</v>
      </c>
      <c r="D1192">
        <v>7.8738600000000005E-4</v>
      </c>
      <c r="E1192">
        <v>6.4013500000000001E-4</v>
      </c>
      <c r="F1192">
        <v>8.8433000000000001E-4</v>
      </c>
      <c r="G1192">
        <v>7.5291799999999999E-4</v>
      </c>
      <c r="H1192">
        <v>6.3258200000000002E-4</v>
      </c>
      <c r="I1192">
        <v>7.0461899999999997E-4</v>
      </c>
      <c r="J1192">
        <v>8.4216800000000002E-4</v>
      </c>
      <c r="K1192">
        <v>8.15608E-4</v>
      </c>
      <c r="L1192">
        <v>9.0808499999999999E-4</v>
      </c>
      <c r="M1192">
        <v>5.9751800000000001E-4</v>
      </c>
      <c r="N1192">
        <v>9.3943100000000001E-4</v>
      </c>
      <c r="O1192">
        <v>7.4607700000000005E-4</v>
      </c>
      <c r="P1192">
        <v>9.8311899999999996E-4</v>
      </c>
      <c r="Q1192">
        <v>7.7487300000000003E-4</v>
      </c>
      <c r="R1192">
        <v>1.0047369999999999E-3</v>
      </c>
      <c r="S1192">
        <v>1.27648E-3</v>
      </c>
      <c r="T1192">
        <v>9.7505699999999999E-4</v>
      </c>
    </row>
    <row r="1193" spans="1:20" hidden="1" x14ac:dyDescent="0.25">
      <c r="A1193" t="s">
        <v>1211</v>
      </c>
      <c r="B1193">
        <v>4.4316899999999998E-4</v>
      </c>
      <c r="C1193">
        <v>4.5840900000000001E-4</v>
      </c>
      <c r="D1193">
        <v>5.0941799999999998E-4</v>
      </c>
      <c r="E1193">
        <v>5.2930900000000005E-4</v>
      </c>
      <c r="F1193">
        <v>4.5029400000000001E-4</v>
      </c>
      <c r="G1193">
        <v>3.6758800000000002E-4</v>
      </c>
      <c r="H1193">
        <v>4.40953E-4</v>
      </c>
      <c r="I1193">
        <v>4.2807700000000001E-4</v>
      </c>
      <c r="J1193">
        <v>3.8873E-4</v>
      </c>
      <c r="K1193">
        <v>4.6819500000000003E-4</v>
      </c>
      <c r="L1193">
        <v>4.4858300000000001E-4</v>
      </c>
      <c r="M1193">
        <v>4.0801800000000001E-4</v>
      </c>
      <c r="N1193">
        <v>3.4613999999999999E-4</v>
      </c>
      <c r="O1193">
        <v>3.8377799999999998E-4</v>
      </c>
      <c r="P1193">
        <v>3.3518699999999997E-4</v>
      </c>
      <c r="Q1193">
        <v>3.9115500000000002E-4</v>
      </c>
      <c r="R1193">
        <v>4.0148199999999999E-4</v>
      </c>
      <c r="S1193">
        <v>3.2435400000000001E-4</v>
      </c>
      <c r="T1193">
        <v>3.3278099999999998E-4</v>
      </c>
    </row>
    <row r="1194" spans="1:20" hidden="1" x14ac:dyDescent="0.25">
      <c r="A1194" t="s">
        <v>1212</v>
      </c>
      <c r="B1194">
        <v>1.956499E-3</v>
      </c>
      <c r="C1194">
        <v>3.224934E-3</v>
      </c>
      <c r="D1194">
        <v>3.0602799999999999E-3</v>
      </c>
      <c r="E1194">
        <v>3.6282939999999998E-3</v>
      </c>
      <c r="F1194">
        <v>2.0149539999999998E-3</v>
      </c>
      <c r="G1194">
        <v>2.8545300000000001E-3</v>
      </c>
      <c r="H1194">
        <v>2.302321E-3</v>
      </c>
      <c r="I1194">
        <v>2.843632E-3</v>
      </c>
      <c r="J1194">
        <v>2.2173409999999998E-3</v>
      </c>
      <c r="K1194">
        <v>3.1264499999999998E-3</v>
      </c>
      <c r="L1194">
        <v>3.1214630000000001E-3</v>
      </c>
      <c r="M1194">
        <v>1.6410909999999999E-3</v>
      </c>
      <c r="N1194">
        <v>1.697116E-3</v>
      </c>
      <c r="O1194">
        <v>2.735992E-3</v>
      </c>
      <c r="P1194">
        <v>2.204615E-3</v>
      </c>
      <c r="Q1194">
        <v>2.1729330000000002E-3</v>
      </c>
      <c r="R1194">
        <v>3.056783E-3</v>
      </c>
      <c r="S1194">
        <v>2.1506049999999999E-3</v>
      </c>
      <c r="T1194">
        <v>2.0850700000000001E-3</v>
      </c>
    </row>
    <row r="1195" spans="1:20" hidden="1" x14ac:dyDescent="0.25">
      <c r="A1195" t="s">
        <v>1213</v>
      </c>
      <c r="B1195">
        <v>0</v>
      </c>
      <c r="C1195">
        <v>0</v>
      </c>
      <c r="D1195">
        <v>0</v>
      </c>
      <c r="E1195">
        <v>0</v>
      </c>
      <c r="F1195" s="1">
        <v>7.0099999999999996E-5</v>
      </c>
      <c r="G1195">
        <v>0</v>
      </c>
      <c r="H1195" s="1">
        <v>2.65E-5</v>
      </c>
      <c r="I1195">
        <v>1.26964E-4</v>
      </c>
      <c r="J1195">
        <v>1.2745599999999999E-4</v>
      </c>
      <c r="K1195" s="1">
        <v>2.3499999999999999E-5</v>
      </c>
      <c r="L1195" s="1">
        <v>1.8899999999999999E-5</v>
      </c>
      <c r="M1195" s="1">
        <v>1.88E-5</v>
      </c>
      <c r="N1195" s="1">
        <v>6.7700000000000006E-5</v>
      </c>
      <c r="O1195" s="1">
        <v>3.5599999999999998E-5</v>
      </c>
      <c r="P1195">
        <v>1.3713899999999999E-4</v>
      </c>
      <c r="Q1195">
        <v>5.2372200000000001E-4</v>
      </c>
      <c r="R1195">
        <v>7.9465899999999997E-4</v>
      </c>
      <c r="S1195">
        <v>1.65346E-4</v>
      </c>
      <c r="T1195">
        <v>4.5538399999999998E-4</v>
      </c>
    </row>
    <row r="1196" spans="1:20" hidden="1" x14ac:dyDescent="0.25">
      <c r="A1196" t="s">
        <v>1214</v>
      </c>
      <c r="B1196">
        <v>3.3445000000000003E-4</v>
      </c>
      <c r="C1196">
        <v>2.3349699999999999E-4</v>
      </c>
      <c r="D1196">
        <v>2.2557999999999999E-4</v>
      </c>
      <c r="E1196">
        <v>2.76858E-4</v>
      </c>
      <c r="F1196">
        <v>3.4869000000000002E-4</v>
      </c>
      <c r="G1196">
        <v>2.54985E-4</v>
      </c>
      <c r="H1196">
        <v>2.4603100000000002E-4</v>
      </c>
      <c r="I1196">
        <v>2.9466600000000001E-4</v>
      </c>
      <c r="J1196">
        <v>3.6454499999999997E-4</v>
      </c>
      <c r="K1196">
        <v>2.70881E-4</v>
      </c>
      <c r="L1196">
        <v>2.6038400000000001E-4</v>
      </c>
      <c r="M1196">
        <v>2.8728800000000002E-4</v>
      </c>
      <c r="N1196">
        <v>3.0141199999999998E-4</v>
      </c>
      <c r="O1196">
        <v>3.1848999999999999E-4</v>
      </c>
      <c r="P1196">
        <v>4.4260700000000003E-4</v>
      </c>
      <c r="Q1196">
        <v>4.07818E-4</v>
      </c>
      <c r="R1196">
        <v>5.4328700000000005E-4</v>
      </c>
      <c r="S1196">
        <v>3.1108299999999998E-4</v>
      </c>
      <c r="T1196">
        <v>4.1244099999999999E-4</v>
      </c>
    </row>
    <row r="1197" spans="1:20" hidden="1" x14ac:dyDescent="0.25">
      <c r="A1197" t="s">
        <v>1215</v>
      </c>
      <c r="B1197">
        <v>3.2818830000000002E-3</v>
      </c>
      <c r="C1197">
        <v>2.1330350000000001E-3</v>
      </c>
      <c r="D1197">
        <v>2.5444920000000002E-3</v>
      </c>
      <c r="E1197">
        <v>2.7086969999999999E-3</v>
      </c>
      <c r="F1197">
        <v>2.7971599999999999E-3</v>
      </c>
      <c r="G1197">
        <v>2.2243240000000002E-3</v>
      </c>
      <c r="H1197">
        <v>2.2007329999999999E-3</v>
      </c>
      <c r="I1197">
        <v>2.4286500000000001E-3</v>
      </c>
      <c r="J1197">
        <v>2.9629639999999998E-3</v>
      </c>
      <c r="K1197">
        <v>2.8833840000000001E-3</v>
      </c>
      <c r="L1197">
        <v>2.3592740000000002E-3</v>
      </c>
      <c r="M1197">
        <v>2.4877599999999999E-3</v>
      </c>
      <c r="N1197">
        <v>2.7493370000000001E-3</v>
      </c>
      <c r="O1197">
        <v>2.8805710000000002E-3</v>
      </c>
      <c r="P1197">
        <v>2.6044739999999999E-3</v>
      </c>
      <c r="Q1197">
        <v>1.588849E-3</v>
      </c>
      <c r="R1197">
        <v>2.0819549999999999E-3</v>
      </c>
      <c r="S1197">
        <v>1.533417E-3</v>
      </c>
      <c r="T1197">
        <v>1.7437970000000001E-3</v>
      </c>
    </row>
    <row r="1198" spans="1:20" hidden="1" x14ac:dyDescent="0.25">
      <c r="A1198" t="s">
        <v>1216</v>
      </c>
      <c r="B1198">
        <v>1.22055E-4</v>
      </c>
      <c r="C1198">
        <v>1.1527399999999999E-4</v>
      </c>
      <c r="D1198">
        <v>1.13706E-4</v>
      </c>
      <c r="E1198">
        <v>1.29369E-4</v>
      </c>
      <c r="F1198">
        <v>1.6010500000000001E-4</v>
      </c>
      <c r="G1198">
        <v>1.39927E-4</v>
      </c>
      <c r="H1198">
        <v>1.34129E-4</v>
      </c>
      <c r="I1198">
        <v>1.69369E-4</v>
      </c>
      <c r="J1198">
        <v>1.8937500000000001E-4</v>
      </c>
      <c r="K1198">
        <v>1.00701E-4</v>
      </c>
      <c r="L1198">
        <v>1.46785E-4</v>
      </c>
      <c r="M1198">
        <v>1.52433E-4</v>
      </c>
      <c r="N1198">
        <v>2.18099E-4</v>
      </c>
      <c r="O1198">
        <v>1.9290799999999999E-4</v>
      </c>
      <c r="P1198">
        <v>2.0899699999999999E-4</v>
      </c>
      <c r="Q1198">
        <v>2.0609900000000001E-4</v>
      </c>
      <c r="R1198">
        <v>2.2625E-4</v>
      </c>
      <c r="S1198">
        <v>2.2631600000000001E-4</v>
      </c>
      <c r="T1198">
        <v>2.1855600000000001E-4</v>
      </c>
    </row>
    <row r="1199" spans="1:20" hidden="1" x14ac:dyDescent="0.25">
      <c r="A1199" t="s">
        <v>1217</v>
      </c>
      <c r="B1199">
        <v>3.2428699999999998E-4</v>
      </c>
      <c r="C1199">
        <v>2.0438699999999999E-4</v>
      </c>
      <c r="D1199">
        <v>2.5816400000000002E-4</v>
      </c>
      <c r="E1199">
        <v>2.7450100000000002E-4</v>
      </c>
      <c r="F1199">
        <v>2.65283E-4</v>
      </c>
      <c r="G1199">
        <v>2.6675800000000002E-4</v>
      </c>
      <c r="H1199">
        <v>2.1324500000000001E-4</v>
      </c>
      <c r="I1199">
        <v>2.47056E-4</v>
      </c>
      <c r="J1199">
        <v>3.6488100000000001E-4</v>
      </c>
      <c r="K1199">
        <v>2.5127299999999999E-4</v>
      </c>
      <c r="L1199">
        <v>2.1393700000000001E-4</v>
      </c>
      <c r="M1199">
        <v>3.0706599999999999E-4</v>
      </c>
      <c r="N1199">
        <v>2.8541299999999999E-4</v>
      </c>
      <c r="O1199">
        <v>2.40287E-4</v>
      </c>
      <c r="P1199">
        <v>3.1618E-4</v>
      </c>
      <c r="Q1199">
        <v>3.6549100000000001E-4</v>
      </c>
      <c r="R1199">
        <v>4.4439099999999998E-4</v>
      </c>
      <c r="S1199">
        <v>2.7877000000000002E-4</v>
      </c>
      <c r="T1199">
        <v>3.9374599999999999E-4</v>
      </c>
    </row>
    <row r="1200" spans="1:20" hidden="1" x14ac:dyDescent="0.25">
      <c r="A1200" t="s">
        <v>1218</v>
      </c>
      <c r="B1200" s="1">
        <v>2.7399999999999999E-5</v>
      </c>
      <c r="C1200">
        <v>0</v>
      </c>
      <c r="D1200" s="1">
        <v>2.8099999999999999E-5</v>
      </c>
      <c r="E1200" s="1">
        <v>1.8E-5</v>
      </c>
      <c r="F1200" s="1">
        <v>3.57E-5</v>
      </c>
      <c r="G1200" s="1">
        <v>2.3099999999999999E-5</v>
      </c>
      <c r="H1200" s="1">
        <v>2.1800000000000001E-5</v>
      </c>
      <c r="I1200" s="1">
        <v>2.9499999999999999E-5</v>
      </c>
      <c r="J1200" s="1">
        <v>2.6599999999999999E-5</v>
      </c>
      <c r="K1200" s="1">
        <v>1.1800000000000001E-5</v>
      </c>
      <c r="L1200" s="1">
        <v>1.63E-5</v>
      </c>
      <c r="M1200" s="1">
        <v>3.2400000000000001E-5</v>
      </c>
      <c r="N1200" s="1">
        <v>3.3899999999999997E-5</v>
      </c>
      <c r="O1200" s="1">
        <v>3.43E-5</v>
      </c>
      <c r="P1200" s="1">
        <v>4.7200000000000002E-5</v>
      </c>
      <c r="Q1200" s="1">
        <v>4.74E-5</v>
      </c>
      <c r="R1200" s="1">
        <v>4.0000000000000003E-5</v>
      </c>
      <c r="S1200" s="1">
        <v>2.8900000000000001E-5</v>
      </c>
      <c r="T1200" s="1">
        <v>3.0800000000000003E-5</v>
      </c>
    </row>
    <row r="1201" spans="1:20" hidden="1" x14ac:dyDescent="0.25">
      <c r="A1201" t="s">
        <v>1219</v>
      </c>
      <c r="B1201">
        <v>1.38021E-4</v>
      </c>
      <c r="C1201">
        <v>1.15566E-4</v>
      </c>
      <c r="D1201">
        <v>1.5665000000000001E-4</v>
      </c>
      <c r="E1201">
        <v>1.89655E-4</v>
      </c>
      <c r="F1201">
        <v>1.628E-4</v>
      </c>
      <c r="G1201">
        <v>1.01321E-4</v>
      </c>
      <c r="H1201">
        <v>1.2830400000000001E-4</v>
      </c>
      <c r="I1201">
        <v>1.6540000000000001E-4</v>
      </c>
      <c r="J1201" s="1">
        <v>9.9400000000000004E-5</v>
      </c>
      <c r="K1201" s="1">
        <v>9.1799999999999995E-5</v>
      </c>
      <c r="L1201" s="1">
        <v>8.5099999999999995E-5</v>
      </c>
      <c r="M1201" s="1">
        <v>7.1799999999999997E-5</v>
      </c>
      <c r="N1201" s="1">
        <v>6.86E-5</v>
      </c>
      <c r="O1201">
        <v>1.6540500000000001E-4</v>
      </c>
      <c r="P1201" s="1">
        <v>5.0399999999999999E-5</v>
      </c>
      <c r="Q1201" s="1">
        <v>2.37E-5</v>
      </c>
      <c r="R1201" s="1">
        <v>2.41E-5</v>
      </c>
      <c r="S1201" s="1">
        <v>1.5999999999999999E-5</v>
      </c>
      <c r="T1201" s="1">
        <v>1.8E-5</v>
      </c>
    </row>
    <row r="1202" spans="1:20" hidden="1" x14ac:dyDescent="0.25">
      <c r="A1202" t="s">
        <v>1220</v>
      </c>
      <c r="B1202" s="1">
        <v>2.05E-5</v>
      </c>
      <c r="C1202">
        <v>0</v>
      </c>
      <c r="D1202" s="1">
        <v>1.27E-5</v>
      </c>
      <c r="E1202" s="1">
        <v>1.2099999999999999E-5</v>
      </c>
      <c r="F1202" s="1">
        <v>2.3E-5</v>
      </c>
      <c r="G1202" s="1">
        <v>2.44E-5</v>
      </c>
      <c r="H1202" s="1">
        <v>2.3900000000000002E-5</v>
      </c>
      <c r="I1202" s="1">
        <v>2.83E-5</v>
      </c>
      <c r="J1202" s="1">
        <v>2.9099999999999999E-5</v>
      </c>
      <c r="K1202" s="1">
        <v>1.6900000000000001E-5</v>
      </c>
      <c r="L1202" s="1">
        <v>1.34E-5</v>
      </c>
      <c r="M1202" s="1">
        <v>2.1500000000000001E-5</v>
      </c>
      <c r="N1202" s="1">
        <v>2.2500000000000001E-5</v>
      </c>
      <c r="O1202" s="1">
        <v>1.9599999999999999E-5</v>
      </c>
      <c r="P1202" s="1">
        <v>4.0500000000000002E-5</v>
      </c>
      <c r="Q1202" s="1">
        <v>4.8199999999999999E-5</v>
      </c>
      <c r="R1202" s="1">
        <v>4.5399999999999999E-5</v>
      </c>
      <c r="S1202" s="1">
        <v>3.4499999999999998E-5</v>
      </c>
      <c r="T1202" s="1">
        <v>5.1600000000000001E-5</v>
      </c>
    </row>
    <row r="1203" spans="1:20" hidden="1" x14ac:dyDescent="0.25">
      <c r="A1203" t="s">
        <v>1221</v>
      </c>
      <c r="B1203" s="1">
        <v>3.82E-5</v>
      </c>
      <c r="C1203" s="1">
        <v>3.5099999999999999E-5</v>
      </c>
      <c r="D1203" s="1">
        <v>4.0800000000000002E-5</v>
      </c>
      <c r="E1203" s="1">
        <v>4.0599999999999998E-5</v>
      </c>
      <c r="F1203" s="1">
        <v>3.43E-5</v>
      </c>
      <c r="G1203" s="1">
        <v>2.7800000000000001E-5</v>
      </c>
      <c r="H1203" s="1">
        <v>2.6699999999999998E-5</v>
      </c>
      <c r="I1203" s="1">
        <v>3.6600000000000002E-5</v>
      </c>
      <c r="J1203" s="1">
        <v>4.2700000000000001E-5</v>
      </c>
      <c r="K1203" s="1">
        <v>4.5200000000000001E-5</v>
      </c>
      <c r="L1203" s="1">
        <v>3.5500000000000002E-5</v>
      </c>
      <c r="M1203" s="1">
        <v>3.5299999999999997E-5</v>
      </c>
      <c r="N1203" s="1">
        <v>3.6000000000000001E-5</v>
      </c>
      <c r="O1203" s="1">
        <v>4.7599999999999998E-5</v>
      </c>
      <c r="P1203" s="1">
        <v>2.3600000000000001E-5</v>
      </c>
      <c r="Q1203">
        <v>0</v>
      </c>
      <c r="R1203" s="1">
        <v>2.26E-5</v>
      </c>
      <c r="S1203">
        <v>0</v>
      </c>
      <c r="T1203" s="1">
        <v>1.0200000000000001E-5</v>
      </c>
    </row>
    <row r="1204" spans="1:20" hidden="1" x14ac:dyDescent="0.25">
      <c r="A1204" t="s">
        <v>1222</v>
      </c>
      <c r="B1204" s="1">
        <v>9.6100000000000005E-5</v>
      </c>
      <c r="C1204">
        <v>2.2820699999999999E-4</v>
      </c>
      <c r="D1204">
        <v>1.9311299999999999E-4</v>
      </c>
      <c r="E1204">
        <v>1.98125E-4</v>
      </c>
      <c r="F1204">
        <v>1.9632100000000001E-4</v>
      </c>
      <c r="G1204">
        <v>3.80777E-4</v>
      </c>
      <c r="H1204">
        <v>1.9267199999999999E-4</v>
      </c>
      <c r="I1204" s="1">
        <v>8.6000000000000003E-5</v>
      </c>
      <c r="J1204">
        <v>1.10637E-4</v>
      </c>
      <c r="K1204">
        <v>2.1840499999999999E-4</v>
      </c>
      <c r="L1204">
        <v>1.77646E-4</v>
      </c>
      <c r="M1204" s="1">
        <v>5.8600000000000001E-5</v>
      </c>
      <c r="N1204">
        <v>0</v>
      </c>
      <c r="O1204">
        <v>0</v>
      </c>
      <c r="P1204">
        <v>1.7101700000000001E-4</v>
      </c>
      <c r="Q1204">
        <v>2.0090200000000001E-4</v>
      </c>
      <c r="R1204" s="1">
        <v>7.8899999999999993E-5</v>
      </c>
      <c r="S1204">
        <v>5.1645E-4</v>
      </c>
      <c r="T1204">
        <v>2.33773E-4</v>
      </c>
    </row>
    <row r="1205" spans="1:20" hidden="1" x14ac:dyDescent="0.25">
      <c r="A1205" t="s">
        <v>1223</v>
      </c>
      <c r="B1205">
        <v>0</v>
      </c>
      <c r="C1205" s="1">
        <v>1.0499999999999999E-5</v>
      </c>
      <c r="D1205" s="1">
        <v>1.1399999999999999E-5</v>
      </c>
      <c r="E1205" s="1">
        <v>1.33E-5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hidden="1" x14ac:dyDescent="0.25">
      <c r="A1206" t="s">
        <v>1224</v>
      </c>
      <c r="B1206" s="1">
        <v>5.1600000000000001E-5</v>
      </c>
      <c r="C1206">
        <v>0</v>
      </c>
      <c r="D1206" s="1">
        <v>2.41E-5</v>
      </c>
      <c r="E1206" s="1">
        <v>3.29E-5</v>
      </c>
      <c r="F1206" s="1">
        <v>8.3200000000000003E-5</v>
      </c>
      <c r="G1206">
        <v>1.1702800000000001E-4</v>
      </c>
      <c r="H1206" s="1">
        <v>6.02E-5</v>
      </c>
      <c r="I1206" s="1">
        <v>9.2700000000000004E-5</v>
      </c>
      <c r="J1206" s="1">
        <v>7.3700000000000002E-5</v>
      </c>
      <c r="K1206">
        <v>1.2505200000000001E-4</v>
      </c>
      <c r="L1206" s="1">
        <v>4.1100000000000003E-5</v>
      </c>
      <c r="M1206" s="1">
        <v>4.88E-5</v>
      </c>
      <c r="N1206" s="1">
        <v>2.69E-5</v>
      </c>
      <c r="O1206" s="1">
        <v>2.5899999999999999E-5</v>
      </c>
      <c r="P1206">
        <v>2.2303199999999999E-4</v>
      </c>
      <c r="Q1206">
        <v>5.7246399999999996E-4</v>
      </c>
      <c r="R1206">
        <v>3.9276399999999998E-4</v>
      </c>
      <c r="S1206">
        <v>2.2567799999999999E-4</v>
      </c>
      <c r="T1206">
        <v>7.8457199999999998E-4</v>
      </c>
    </row>
    <row r="1207" spans="1:20" hidden="1" x14ac:dyDescent="0.25">
      <c r="A1207" t="s">
        <v>1225</v>
      </c>
      <c r="B1207" s="1">
        <v>3.2499999999999997E-5</v>
      </c>
      <c r="C1207">
        <v>0</v>
      </c>
      <c r="D1207">
        <v>0</v>
      </c>
      <c r="E1207">
        <v>0</v>
      </c>
      <c r="F1207" s="1">
        <v>5.7200000000000001E-5</v>
      </c>
      <c r="G1207" s="1">
        <v>8.1199999999999995E-5</v>
      </c>
      <c r="H1207" s="1">
        <v>3.8500000000000001E-5</v>
      </c>
      <c r="I1207" s="1">
        <v>5.38E-5</v>
      </c>
      <c r="J1207" s="1">
        <v>3.79E-5</v>
      </c>
      <c r="K1207" s="1">
        <v>5.7299999999999997E-5</v>
      </c>
      <c r="L1207" s="1">
        <v>1.6900000000000001E-5</v>
      </c>
      <c r="M1207" s="1">
        <v>2.72E-5</v>
      </c>
      <c r="N1207">
        <v>0</v>
      </c>
      <c r="O1207">
        <v>0</v>
      </c>
      <c r="P1207">
        <v>1.09968E-4</v>
      </c>
      <c r="Q1207">
        <v>3.6204400000000001E-4</v>
      </c>
      <c r="R1207">
        <v>1.93921E-4</v>
      </c>
      <c r="S1207">
        <v>1.20005E-4</v>
      </c>
      <c r="T1207">
        <v>4.58381E-4</v>
      </c>
    </row>
    <row r="1208" spans="1:20" hidden="1" x14ac:dyDescent="0.25">
      <c r="A1208" t="s">
        <v>1226</v>
      </c>
      <c r="B1208">
        <v>3.2819300000000001E-4</v>
      </c>
      <c r="C1208">
        <v>3.1137200000000003E-4</v>
      </c>
      <c r="D1208">
        <v>3.3418500000000003E-4</v>
      </c>
      <c r="E1208">
        <v>3.1931599999999999E-4</v>
      </c>
      <c r="F1208">
        <v>3.2967199999999998E-4</v>
      </c>
      <c r="G1208">
        <v>4.7981500000000003E-4</v>
      </c>
      <c r="H1208">
        <v>4.7226199999999999E-4</v>
      </c>
      <c r="I1208">
        <v>5.6590600000000003E-4</v>
      </c>
      <c r="J1208">
        <v>4.1232999999999998E-4</v>
      </c>
      <c r="K1208">
        <v>3.4300699999999999E-4</v>
      </c>
      <c r="L1208">
        <v>3.11098E-4</v>
      </c>
      <c r="M1208">
        <v>4.4705800000000001E-4</v>
      </c>
      <c r="N1208">
        <v>5.3673000000000002E-4</v>
      </c>
      <c r="O1208">
        <v>4.8625099999999999E-4</v>
      </c>
      <c r="P1208">
        <v>4.3813199999999999E-4</v>
      </c>
      <c r="Q1208">
        <v>5.8695600000000002E-4</v>
      </c>
      <c r="R1208">
        <v>6.0411999999999998E-4</v>
      </c>
      <c r="S1208">
        <v>7.4220999999999998E-4</v>
      </c>
      <c r="T1208">
        <v>3.9386199999999998E-4</v>
      </c>
    </row>
    <row r="1209" spans="1:20" hidden="1" x14ac:dyDescent="0.25">
      <c r="A1209" t="s">
        <v>1227</v>
      </c>
      <c r="B1209" s="1">
        <v>9.4400000000000004E-5</v>
      </c>
      <c r="C1209">
        <v>2.16574E-4</v>
      </c>
      <c r="D1209">
        <v>2.13513E-4</v>
      </c>
      <c r="E1209">
        <v>1.9950400000000001E-4</v>
      </c>
      <c r="F1209">
        <v>1.27145E-4</v>
      </c>
      <c r="G1209">
        <v>1.69328E-4</v>
      </c>
      <c r="H1209" s="1">
        <v>8.4800000000000001E-5</v>
      </c>
      <c r="I1209" s="1">
        <v>6.1500000000000004E-5</v>
      </c>
      <c r="J1209">
        <v>1.0778899999999999E-4</v>
      </c>
      <c r="K1209">
        <v>1.3202E-4</v>
      </c>
      <c r="L1209">
        <v>1.8243999999999999E-4</v>
      </c>
      <c r="M1209" s="1">
        <v>8.7899999999999995E-5</v>
      </c>
      <c r="N1209">
        <v>0</v>
      </c>
      <c r="O1209" s="1">
        <v>6.6400000000000001E-5</v>
      </c>
      <c r="P1209" s="1">
        <v>4.5399999999999999E-5</v>
      </c>
      <c r="Q1209" s="1">
        <v>6.6500000000000004E-5</v>
      </c>
      <c r="R1209" s="1">
        <v>4.9599999999999999E-5</v>
      </c>
      <c r="S1209" s="1">
        <v>7.6799999999999997E-5</v>
      </c>
      <c r="T1209" s="1">
        <v>6.9300000000000004E-5</v>
      </c>
    </row>
    <row r="1210" spans="1:20" hidden="1" x14ac:dyDescent="0.25">
      <c r="A1210" t="s">
        <v>1228</v>
      </c>
      <c r="B1210">
        <v>1.55136E-4</v>
      </c>
      <c r="C1210">
        <v>2.99399E-4</v>
      </c>
      <c r="D1210">
        <v>2.5360200000000002E-4</v>
      </c>
      <c r="E1210">
        <v>2.4846299999999998E-4</v>
      </c>
      <c r="F1210">
        <v>2.19383E-4</v>
      </c>
      <c r="G1210">
        <v>2.5665699999999998E-4</v>
      </c>
      <c r="H1210">
        <v>1.7703599999999999E-4</v>
      </c>
      <c r="I1210">
        <v>2.2830699999999999E-4</v>
      </c>
      <c r="J1210">
        <v>1.56854E-4</v>
      </c>
      <c r="K1210">
        <v>1.34478E-4</v>
      </c>
      <c r="L1210">
        <v>1.8321900000000001E-4</v>
      </c>
      <c r="M1210" s="1">
        <v>9.5000000000000005E-5</v>
      </c>
      <c r="N1210">
        <v>1.00801E-4</v>
      </c>
      <c r="O1210">
        <v>2.0758899999999999E-4</v>
      </c>
      <c r="P1210">
        <v>1.192E-4</v>
      </c>
      <c r="Q1210">
        <v>1.51805E-4</v>
      </c>
      <c r="R1210">
        <v>1.57143E-4</v>
      </c>
      <c r="S1210">
        <v>1.57861E-4</v>
      </c>
      <c r="T1210">
        <v>1.58042E-4</v>
      </c>
    </row>
    <row r="1211" spans="1:20" hidden="1" x14ac:dyDescent="0.25">
      <c r="A1211" t="s">
        <v>1229</v>
      </c>
      <c r="B1211">
        <v>0</v>
      </c>
      <c r="C1211">
        <v>0</v>
      </c>
      <c r="D1211">
        <v>0</v>
      </c>
      <c r="E1211">
        <v>0</v>
      </c>
      <c r="F1211">
        <v>0</v>
      </c>
      <c r="G1211" s="1">
        <v>4.2799999999999997E-5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1">
        <v>4.1999999999999998E-5</v>
      </c>
      <c r="Q1211">
        <v>2.1368599999999999E-4</v>
      </c>
      <c r="R1211" s="1">
        <v>5.1900000000000001E-5</v>
      </c>
      <c r="S1211">
        <v>1.30168E-4</v>
      </c>
      <c r="T1211">
        <v>2.4372599999999999E-4</v>
      </c>
    </row>
    <row r="1212" spans="1:20" hidden="1" x14ac:dyDescent="0.25">
      <c r="A1212" t="s">
        <v>1230</v>
      </c>
      <c r="B1212" s="1">
        <v>1.3900000000000001E-5</v>
      </c>
      <c r="C1212">
        <v>0</v>
      </c>
      <c r="D1212">
        <v>0</v>
      </c>
      <c r="E1212" s="1">
        <v>7.5000000000000002E-6</v>
      </c>
      <c r="F1212" s="1">
        <v>1.6699999999999999E-5</v>
      </c>
      <c r="G1212" s="1">
        <v>2.3600000000000001E-5</v>
      </c>
      <c r="H1212" s="1">
        <v>1.9300000000000002E-5</v>
      </c>
      <c r="I1212" s="1">
        <v>1.2099999999999999E-5</v>
      </c>
      <c r="J1212">
        <v>0</v>
      </c>
      <c r="K1212" s="1">
        <v>1.15E-5</v>
      </c>
      <c r="L1212" s="1">
        <v>1.22E-5</v>
      </c>
      <c r="M1212" s="1">
        <v>6.99E-6</v>
      </c>
      <c r="N1212">
        <v>0</v>
      </c>
      <c r="O1212">
        <v>0</v>
      </c>
      <c r="P1212" s="1">
        <v>2.05E-5</v>
      </c>
      <c r="Q1212" s="1">
        <v>2.3E-5</v>
      </c>
      <c r="R1212" s="1">
        <v>1.6500000000000001E-5</v>
      </c>
      <c r="S1212">
        <v>0</v>
      </c>
      <c r="T1212" s="1">
        <v>2.4300000000000001E-5</v>
      </c>
    </row>
    <row r="1213" spans="1:20" hidden="1" x14ac:dyDescent="0.25">
      <c r="A1213" t="s">
        <v>1231</v>
      </c>
      <c r="B1213" s="1">
        <v>1.9000000000000001E-5</v>
      </c>
      <c r="C1213" s="1">
        <v>2.9799999999999999E-5</v>
      </c>
      <c r="D1213" s="1">
        <v>3.26E-5</v>
      </c>
      <c r="E1213" s="1">
        <v>3.3899999999999997E-5</v>
      </c>
      <c r="F1213" s="1">
        <v>8.85E-6</v>
      </c>
      <c r="G1213" s="1">
        <v>2.34E-5</v>
      </c>
      <c r="H1213" s="1">
        <v>1.43E-5</v>
      </c>
      <c r="I1213" s="1">
        <v>3.9400000000000004E-6</v>
      </c>
      <c r="J1213" s="1">
        <v>1.6699999999999999E-5</v>
      </c>
      <c r="K1213" s="1">
        <v>1.38E-5</v>
      </c>
      <c r="L1213" s="1">
        <v>2.9200000000000002E-5</v>
      </c>
      <c r="M1213" s="1">
        <v>4.1400000000000002E-6</v>
      </c>
      <c r="N1213">
        <v>0</v>
      </c>
      <c r="O1213" s="1">
        <v>2.27E-5</v>
      </c>
      <c r="P1213">
        <v>0</v>
      </c>
      <c r="Q1213" s="1">
        <v>1.01E-5</v>
      </c>
      <c r="R1213">
        <v>0</v>
      </c>
      <c r="S1213">
        <v>0</v>
      </c>
      <c r="T1213" s="1">
        <v>9.5000000000000005E-6</v>
      </c>
    </row>
    <row r="1214" spans="1:20" hidden="1" x14ac:dyDescent="0.25">
      <c r="A1214" t="s">
        <v>1232</v>
      </c>
      <c r="B1214">
        <v>1.25671E-4</v>
      </c>
      <c r="C1214">
        <v>3.4736499999999998E-4</v>
      </c>
      <c r="D1214">
        <v>3.0625900000000002E-4</v>
      </c>
      <c r="E1214">
        <v>3.3446300000000001E-4</v>
      </c>
      <c r="F1214">
        <v>1.1045899999999999E-4</v>
      </c>
      <c r="G1214">
        <v>2.0047199999999999E-4</v>
      </c>
      <c r="H1214" s="1">
        <v>7.2299999999999996E-5</v>
      </c>
      <c r="I1214" s="1">
        <v>6.3E-5</v>
      </c>
      <c r="J1214" s="1">
        <v>7.6600000000000005E-5</v>
      </c>
      <c r="K1214">
        <v>2.14625E-4</v>
      </c>
      <c r="L1214">
        <v>2.1644399999999999E-4</v>
      </c>
      <c r="M1214">
        <v>1.2001400000000001E-4</v>
      </c>
      <c r="N1214" s="1">
        <v>8.8700000000000001E-5</v>
      </c>
      <c r="O1214">
        <v>1.12957E-4</v>
      </c>
      <c r="P1214" s="1">
        <v>3.7100000000000001E-5</v>
      </c>
      <c r="Q1214">
        <v>0</v>
      </c>
      <c r="R1214">
        <v>0</v>
      </c>
      <c r="S1214" s="1">
        <v>3.3399999999999999E-5</v>
      </c>
      <c r="T1214" s="1">
        <v>5.52E-5</v>
      </c>
    </row>
    <row r="1215" spans="1:20" hidden="1" x14ac:dyDescent="0.25">
      <c r="A1215" t="s">
        <v>1233</v>
      </c>
      <c r="B1215" s="1">
        <v>9.2800000000000006E-5</v>
      </c>
      <c r="C1215" s="1">
        <v>4.7200000000000002E-5</v>
      </c>
      <c r="D1215">
        <v>3.5545100000000001E-4</v>
      </c>
      <c r="E1215">
        <v>1.7199199999999999E-4</v>
      </c>
      <c r="F1215" s="1">
        <v>5.7000000000000003E-5</v>
      </c>
      <c r="G1215" s="1">
        <v>9.2800000000000006E-5</v>
      </c>
      <c r="H1215" s="1">
        <v>5.6400000000000002E-5</v>
      </c>
      <c r="I1215">
        <v>0</v>
      </c>
      <c r="J1215">
        <v>0</v>
      </c>
      <c r="K1215">
        <v>1.2111499999999999E-4</v>
      </c>
      <c r="L1215" s="1">
        <v>9.1500000000000001E-5</v>
      </c>
      <c r="M1215">
        <v>8.1157500000000004E-4</v>
      </c>
      <c r="N1215">
        <v>4.15685E-4</v>
      </c>
      <c r="O1215">
        <v>2.5748200000000001E-4</v>
      </c>
      <c r="P1215" s="1">
        <v>5.2299999999999997E-5</v>
      </c>
      <c r="Q1215" s="1">
        <v>9.4500000000000007E-5</v>
      </c>
      <c r="R1215">
        <v>0</v>
      </c>
      <c r="S1215">
        <v>2.0271300000000001E-4</v>
      </c>
      <c r="T1215">
        <v>1.7937899999999999E-4</v>
      </c>
    </row>
    <row r="1216" spans="1:20" hidden="1" x14ac:dyDescent="0.25">
      <c r="A1216" t="s">
        <v>1234</v>
      </c>
      <c r="B1216" s="1">
        <v>6.0699999999999998E-5</v>
      </c>
      <c r="C1216">
        <v>1.55589E-4</v>
      </c>
      <c r="D1216" s="1">
        <v>8.0500000000000005E-5</v>
      </c>
      <c r="E1216" s="1">
        <v>9.0099999999999995E-5</v>
      </c>
      <c r="F1216">
        <v>1.4972E-4</v>
      </c>
      <c r="G1216">
        <v>1.6771399999999999E-4</v>
      </c>
      <c r="H1216">
        <v>1.6558600000000001E-4</v>
      </c>
      <c r="I1216" s="1">
        <v>8.6399999999999999E-5</v>
      </c>
      <c r="J1216">
        <v>1.0491400000000001E-4</v>
      </c>
      <c r="K1216">
        <v>1.2744500000000001E-4</v>
      </c>
      <c r="L1216">
        <v>2.0264099999999999E-4</v>
      </c>
      <c r="M1216">
        <v>1.2392100000000001E-4</v>
      </c>
      <c r="N1216">
        <v>1.46995E-4</v>
      </c>
      <c r="O1216">
        <v>1.2378199999999999E-4</v>
      </c>
      <c r="P1216">
        <v>1.2427400000000001E-4</v>
      </c>
      <c r="Q1216" s="1">
        <v>9.0299999999999999E-5</v>
      </c>
      <c r="R1216">
        <v>1.86181E-4</v>
      </c>
      <c r="S1216" s="1">
        <v>7.6199999999999995E-5</v>
      </c>
      <c r="T1216" s="1">
        <v>8.2899999999999996E-5</v>
      </c>
    </row>
    <row r="1217" spans="1:20" hidden="1" x14ac:dyDescent="0.25">
      <c r="A1217" t="s">
        <v>1235</v>
      </c>
      <c r="B1217" s="1">
        <v>3.7100000000000001E-5</v>
      </c>
      <c r="C1217" s="1">
        <v>9.7499999999999998E-5</v>
      </c>
      <c r="D1217" s="1">
        <v>8.92E-5</v>
      </c>
      <c r="E1217" s="1">
        <v>9.8099999999999999E-5</v>
      </c>
      <c r="F1217">
        <v>0</v>
      </c>
      <c r="G1217" s="1">
        <v>8.1100000000000006E-5</v>
      </c>
      <c r="H1217" s="1">
        <v>5.3199999999999999E-5</v>
      </c>
      <c r="I1217" s="1">
        <v>3.1999999999999999E-5</v>
      </c>
      <c r="J1217" s="1">
        <v>3.6699999999999998E-5</v>
      </c>
      <c r="K1217" s="1">
        <v>7.9800000000000002E-5</v>
      </c>
      <c r="L1217" s="1">
        <v>7.4300000000000004E-5</v>
      </c>
      <c r="M1217" s="1">
        <v>2.8600000000000001E-5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hidden="1" x14ac:dyDescent="0.25">
      <c r="A1218" t="s">
        <v>1236</v>
      </c>
      <c r="B1218" s="1">
        <v>1.8600000000000001E-5</v>
      </c>
      <c r="C1218" s="1">
        <v>2.8500000000000002E-5</v>
      </c>
      <c r="D1218" s="1">
        <v>4.5099999999999998E-5</v>
      </c>
      <c r="E1218" s="1">
        <v>4.9100000000000001E-5</v>
      </c>
      <c r="F1218" s="1">
        <v>2.1500000000000001E-5</v>
      </c>
      <c r="G1218" s="1">
        <v>4.2599999999999999E-5</v>
      </c>
      <c r="H1218" s="1">
        <v>2.8099999999999999E-5</v>
      </c>
      <c r="I1218" s="1">
        <v>3.5200000000000002E-5</v>
      </c>
      <c r="J1218" s="1">
        <v>2.94E-5</v>
      </c>
      <c r="K1218" s="1">
        <v>3.2799999999999998E-5</v>
      </c>
      <c r="L1218" s="1">
        <v>3.26E-5</v>
      </c>
      <c r="M1218">
        <v>0</v>
      </c>
      <c r="N1218">
        <v>0</v>
      </c>
      <c r="O1218" s="1">
        <v>1.6699999999999999E-5</v>
      </c>
      <c r="P1218">
        <v>0</v>
      </c>
      <c r="Q1218" s="1">
        <v>2.9099999999999999E-5</v>
      </c>
      <c r="R1218" s="1">
        <v>3.18E-5</v>
      </c>
      <c r="S1218" s="1">
        <v>2.6299999999999999E-5</v>
      </c>
      <c r="T1218" s="1">
        <v>3.18E-5</v>
      </c>
    </row>
    <row r="1219" spans="1:20" hidden="1" x14ac:dyDescent="0.25">
      <c r="A1219" t="s">
        <v>1237</v>
      </c>
      <c r="B1219" s="1">
        <v>7.4699999999999996E-6</v>
      </c>
      <c r="C1219" s="1">
        <v>2.12E-5</v>
      </c>
      <c r="D1219" s="1">
        <v>1.9899999999999999E-5</v>
      </c>
      <c r="E1219" s="1">
        <v>2.0599999999999999E-5</v>
      </c>
      <c r="F1219" s="1">
        <v>7.6499999999999996E-6</v>
      </c>
      <c r="G1219" s="1">
        <v>1.1E-5</v>
      </c>
      <c r="H1219" s="1">
        <v>9.7000000000000003E-6</v>
      </c>
      <c r="I1219" s="1">
        <v>8.6999999999999997E-6</v>
      </c>
      <c r="J1219">
        <v>0</v>
      </c>
      <c r="K1219" s="1">
        <v>1.9199999999999999E-5</v>
      </c>
      <c r="L1219" s="1">
        <v>1.95E-5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s="1">
        <v>7.4900000000000003E-6</v>
      </c>
    </row>
    <row r="1220" spans="1:20" hidden="1" x14ac:dyDescent="0.25">
      <c r="A1220" t="s">
        <v>1238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 s="1">
        <v>2.4000000000000001E-5</v>
      </c>
      <c r="I1220">
        <v>0</v>
      </c>
      <c r="J1220" s="1">
        <v>3.1999999999999999E-5</v>
      </c>
      <c r="K1220">
        <v>0</v>
      </c>
      <c r="L1220">
        <v>0</v>
      </c>
      <c r="M1220">
        <v>0</v>
      </c>
      <c r="N1220" s="1">
        <v>2.8500000000000002E-5</v>
      </c>
      <c r="O1220">
        <v>0</v>
      </c>
      <c r="P1220" s="1">
        <v>3.5899999999999998E-5</v>
      </c>
      <c r="Q1220" s="1">
        <v>5.5800000000000001E-5</v>
      </c>
      <c r="R1220" s="1">
        <v>3.5800000000000003E-5</v>
      </c>
      <c r="S1220" s="1">
        <v>4.6499999999999999E-5</v>
      </c>
      <c r="T1220" s="1">
        <v>8.7000000000000001E-5</v>
      </c>
    </row>
    <row r="1221" spans="1:20" hidden="1" x14ac:dyDescent="0.25">
      <c r="A1221" t="s">
        <v>1239</v>
      </c>
      <c r="B1221">
        <v>2.10931E-4</v>
      </c>
      <c r="C1221">
        <v>2.0871900000000001E-4</v>
      </c>
      <c r="D1221">
        <v>2.3250899999999999E-4</v>
      </c>
      <c r="E1221">
        <v>2.4505099999999998E-4</v>
      </c>
      <c r="F1221">
        <v>2.5200400000000001E-4</v>
      </c>
      <c r="G1221">
        <v>2.23329E-4</v>
      </c>
      <c r="H1221">
        <v>1.5223E-4</v>
      </c>
      <c r="I1221">
        <v>2.2612700000000001E-4</v>
      </c>
      <c r="J1221">
        <v>1.77524E-4</v>
      </c>
      <c r="K1221">
        <v>2.6246599999999999E-4</v>
      </c>
      <c r="L1221">
        <v>2.6020200000000001E-4</v>
      </c>
      <c r="M1221">
        <v>2.2440200000000001E-4</v>
      </c>
      <c r="N1221">
        <v>3.3964800000000001E-4</v>
      </c>
      <c r="O1221">
        <v>2.8945700000000002E-4</v>
      </c>
      <c r="P1221">
        <v>1.5760399999999999E-4</v>
      </c>
      <c r="Q1221">
        <v>1.22655E-4</v>
      </c>
      <c r="R1221">
        <v>1.21557E-4</v>
      </c>
      <c r="S1221">
        <v>1.1677E-4</v>
      </c>
      <c r="T1221">
        <v>1.5366199999999999E-4</v>
      </c>
    </row>
    <row r="1222" spans="1:20" hidden="1" x14ac:dyDescent="0.25">
      <c r="A1222" t="s">
        <v>1240</v>
      </c>
      <c r="B1222">
        <v>2.79506E-4</v>
      </c>
      <c r="C1222">
        <v>2.7478099999999998E-4</v>
      </c>
      <c r="D1222">
        <v>3.0427699999999999E-4</v>
      </c>
      <c r="E1222">
        <v>2.9100699999999997E-4</v>
      </c>
      <c r="F1222">
        <v>2.9601900000000001E-4</v>
      </c>
      <c r="G1222">
        <v>2.1529000000000001E-4</v>
      </c>
      <c r="H1222">
        <v>2.3678300000000001E-4</v>
      </c>
      <c r="I1222">
        <v>2.05317E-4</v>
      </c>
      <c r="J1222">
        <v>2.6149700000000002E-4</v>
      </c>
      <c r="K1222">
        <v>2.7449400000000002E-4</v>
      </c>
      <c r="L1222">
        <v>2.1034499999999999E-4</v>
      </c>
      <c r="M1222">
        <v>1.7383000000000001E-4</v>
      </c>
      <c r="N1222">
        <v>1.90414E-4</v>
      </c>
      <c r="O1222">
        <v>2.0084000000000001E-4</v>
      </c>
      <c r="P1222">
        <v>2.71222E-4</v>
      </c>
      <c r="Q1222">
        <v>4.3961100000000002E-4</v>
      </c>
      <c r="R1222">
        <v>3.2864800000000002E-4</v>
      </c>
      <c r="S1222">
        <v>1.4362500000000001E-4</v>
      </c>
      <c r="T1222">
        <v>5.6138599999999998E-4</v>
      </c>
    </row>
    <row r="1223" spans="1:20" hidden="1" x14ac:dyDescent="0.25">
      <c r="A1223" t="s">
        <v>1241</v>
      </c>
      <c r="B1223" s="1">
        <v>5.1E-5</v>
      </c>
      <c r="C1223" s="1">
        <v>4.6400000000000003E-5</v>
      </c>
      <c r="D1223" s="1">
        <v>7.5799999999999999E-5</v>
      </c>
      <c r="E1223" s="1">
        <v>6.2000000000000003E-5</v>
      </c>
      <c r="F1223" s="1">
        <v>4.2500000000000003E-5</v>
      </c>
      <c r="G1223" s="1">
        <v>4.0599999999999998E-5</v>
      </c>
      <c r="H1223" s="1">
        <v>8.2999999999999998E-5</v>
      </c>
      <c r="I1223" s="1">
        <v>4.8900000000000003E-5</v>
      </c>
      <c r="J1223">
        <v>0</v>
      </c>
      <c r="K1223" s="1">
        <v>5.8E-5</v>
      </c>
      <c r="L1223" s="1">
        <v>6.05E-5</v>
      </c>
      <c r="M1223" s="1">
        <v>4.3099999999999997E-5</v>
      </c>
      <c r="N1223" s="1">
        <v>3.8000000000000002E-5</v>
      </c>
      <c r="O1223" s="1">
        <v>6.5199999999999999E-5</v>
      </c>
      <c r="P1223" s="1">
        <v>5.7899999999999998E-5</v>
      </c>
      <c r="Q1223" s="1">
        <v>9.7100000000000002E-5</v>
      </c>
      <c r="R1223" s="1">
        <v>9.5099999999999994E-5</v>
      </c>
      <c r="S1223" s="1">
        <v>5.1999999999999997E-5</v>
      </c>
      <c r="T1223">
        <v>1.13501E-4</v>
      </c>
    </row>
    <row r="1224" spans="1:20" hidden="1" x14ac:dyDescent="0.25">
      <c r="A1224" t="s">
        <v>1242</v>
      </c>
      <c r="B1224">
        <v>6.6678110000000001E-3</v>
      </c>
      <c r="C1224">
        <v>4.2206589999999999E-3</v>
      </c>
      <c r="D1224">
        <v>4.2575640000000001E-3</v>
      </c>
      <c r="E1224">
        <v>5.0117039999999996E-3</v>
      </c>
      <c r="F1224">
        <v>4.6419900000000004E-3</v>
      </c>
      <c r="G1224">
        <v>4.4778860000000004E-3</v>
      </c>
      <c r="H1224">
        <v>4.2777850000000001E-3</v>
      </c>
      <c r="I1224">
        <v>5.3461569999999998E-3</v>
      </c>
      <c r="J1224">
        <v>6.2738159999999998E-3</v>
      </c>
      <c r="K1224">
        <v>5.332631E-3</v>
      </c>
      <c r="L1224">
        <v>4.4933560000000004E-3</v>
      </c>
      <c r="M1224">
        <v>5.5474169999999998E-3</v>
      </c>
      <c r="N1224">
        <v>5.6908749999999998E-3</v>
      </c>
      <c r="O1224">
        <v>5.9607269999999999E-3</v>
      </c>
      <c r="P1224">
        <v>5.7721500000000002E-3</v>
      </c>
      <c r="Q1224">
        <v>3.8911240000000001E-3</v>
      </c>
      <c r="R1224">
        <v>4.2102019999999997E-3</v>
      </c>
      <c r="S1224">
        <v>3.113972E-3</v>
      </c>
      <c r="T1224">
        <v>3.1158850000000001E-3</v>
      </c>
    </row>
    <row r="1225" spans="1:20" hidden="1" x14ac:dyDescent="0.25">
      <c r="A1225" t="s">
        <v>1243</v>
      </c>
      <c r="B1225">
        <v>3.0578799999999998E-4</v>
      </c>
      <c r="C1225">
        <v>2.6786399999999998E-4</v>
      </c>
      <c r="D1225">
        <v>3.9625199999999999E-4</v>
      </c>
      <c r="E1225">
        <v>2.2288899999999999E-4</v>
      </c>
      <c r="F1225">
        <v>1.76198E-4</v>
      </c>
      <c r="G1225">
        <v>1.4669999999999999E-4</v>
      </c>
      <c r="H1225">
        <v>1.4412499999999999E-4</v>
      </c>
      <c r="I1225">
        <v>1.7124299999999999E-4</v>
      </c>
      <c r="J1225">
        <v>1.92234E-4</v>
      </c>
      <c r="K1225">
        <v>2.58769E-4</v>
      </c>
      <c r="L1225">
        <v>2.2628399999999999E-4</v>
      </c>
      <c r="M1225">
        <v>1.2811100000000001E-4</v>
      </c>
      <c r="N1225">
        <v>1.3019799999999999E-4</v>
      </c>
      <c r="O1225">
        <v>1.6217799999999999E-4</v>
      </c>
      <c r="P1225">
        <v>1.2316700000000001E-4</v>
      </c>
      <c r="Q1225" s="1">
        <v>5.2599999999999998E-5</v>
      </c>
      <c r="R1225" s="1">
        <v>5.6199999999999997E-5</v>
      </c>
      <c r="S1225" s="1">
        <v>2.8600000000000001E-5</v>
      </c>
      <c r="T1225" s="1">
        <v>4.4799999999999998E-5</v>
      </c>
    </row>
    <row r="1226" spans="1:20" hidden="1" x14ac:dyDescent="0.25">
      <c r="A1226" t="s">
        <v>1244</v>
      </c>
      <c r="B1226" s="1">
        <v>8.8200000000000003E-5</v>
      </c>
      <c r="C1226" s="1">
        <v>6.7000000000000002E-5</v>
      </c>
      <c r="D1226" s="1">
        <v>5.7899999999999998E-5</v>
      </c>
      <c r="E1226" s="1">
        <v>7.3999999999999996E-5</v>
      </c>
      <c r="F1226">
        <v>1.28441E-4</v>
      </c>
      <c r="G1226">
        <v>1.17626E-4</v>
      </c>
      <c r="H1226">
        <v>1.00962E-4</v>
      </c>
      <c r="I1226">
        <v>1.2686300000000001E-4</v>
      </c>
      <c r="J1226">
        <v>1.2306799999999999E-4</v>
      </c>
      <c r="K1226" s="1">
        <v>9.3399999999999993E-5</v>
      </c>
      <c r="L1226" s="1">
        <v>8.4900000000000004E-5</v>
      </c>
      <c r="M1226">
        <v>1.15946E-4</v>
      </c>
      <c r="N1226">
        <v>1.8921500000000001E-4</v>
      </c>
      <c r="O1226" s="1">
        <v>6.86E-5</v>
      </c>
      <c r="P1226">
        <v>1.7953199999999999E-4</v>
      </c>
      <c r="Q1226">
        <v>2.6534300000000002E-4</v>
      </c>
      <c r="R1226">
        <v>3.3805599999999999E-4</v>
      </c>
      <c r="S1226">
        <v>3.93144E-4</v>
      </c>
      <c r="T1226">
        <v>2.9712100000000002E-4</v>
      </c>
    </row>
    <row r="1227" spans="1:20" hidden="1" x14ac:dyDescent="0.25">
      <c r="A1227" t="s">
        <v>1245</v>
      </c>
      <c r="B1227" s="1">
        <v>2.4600000000000002E-5</v>
      </c>
      <c r="C1227" s="1">
        <v>2.4199999999999999E-5</v>
      </c>
      <c r="D1227" s="1">
        <v>1.3499999999999999E-5</v>
      </c>
      <c r="E1227" s="1">
        <v>1.15E-5</v>
      </c>
      <c r="F1227" s="1">
        <v>2.4700000000000001E-5</v>
      </c>
      <c r="G1227" s="1">
        <v>2.2099999999999998E-5</v>
      </c>
      <c r="H1227" s="1">
        <v>3.4799999999999999E-5</v>
      </c>
      <c r="I1227" s="1">
        <v>3.8600000000000003E-5</v>
      </c>
      <c r="J1227" s="1">
        <v>3.3200000000000001E-5</v>
      </c>
      <c r="K1227" s="1">
        <v>3.93E-5</v>
      </c>
      <c r="L1227" s="1">
        <v>4.5000000000000003E-5</v>
      </c>
      <c r="M1227" s="1">
        <v>4.7599999999999998E-5</v>
      </c>
      <c r="N1227" s="1">
        <v>5.0599999999999997E-5</v>
      </c>
      <c r="O1227" s="1">
        <v>3.0000000000000001E-5</v>
      </c>
      <c r="P1227" s="1">
        <v>3.8099999999999998E-5</v>
      </c>
      <c r="Q1227" s="1">
        <v>6.6299999999999999E-5</v>
      </c>
      <c r="R1227" s="1">
        <v>9.6199999999999994E-5</v>
      </c>
      <c r="S1227" s="1">
        <v>4.2899999999999999E-5</v>
      </c>
      <c r="T1227" s="1">
        <v>8.0599999999999994E-5</v>
      </c>
    </row>
    <row r="1228" spans="1:20" hidden="1" x14ac:dyDescent="0.25">
      <c r="A1228" t="s">
        <v>1246</v>
      </c>
      <c r="B1228">
        <v>0</v>
      </c>
      <c r="C1228" s="1">
        <v>7.4499999999999998E-6</v>
      </c>
      <c r="D1228">
        <v>0</v>
      </c>
      <c r="E1228" s="1">
        <v>3.8E-6</v>
      </c>
      <c r="F1228" s="1">
        <v>6.0299999999999999E-6</v>
      </c>
      <c r="G1228">
        <v>0</v>
      </c>
      <c r="H1228" s="1">
        <v>7.6599999999999995E-6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s="1">
        <v>1.27E-5</v>
      </c>
      <c r="R1228" s="1">
        <v>5.04E-6</v>
      </c>
      <c r="S1228" s="1">
        <v>1.4600000000000001E-5</v>
      </c>
      <c r="T1228" s="1">
        <v>7.8900000000000007E-6</v>
      </c>
    </row>
    <row r="1229" spans="1:20" hidden="1" x14ac:dyDescent="0.25">
      <c r="A1229" t="s">
        <v>1247</v>
      </c>
      <c r="B1229" s="1">
        <v>4.1300000000000001E-5</v>
      </c>
      <c r="C1229" s="1">
        <v>2.2099999999999998E-5</v>
      </c>
      <c r="D1229" s="1">
        <v>4.3000000000000002E-5</v>
      </c>
      <c r="E1229" s="1">
        <v>2.76E-5</v>
      </c>
      <c r="F1229" s="1">
        <v>5.77E-5</v>
      </c>
      <c r="G1229">
        <v>1.05824E-4</v>
      </c>
      <c r="H1229" s="1">
        <v>8.6700000000000007E-5</v>
      </c>
      <c r="I1229" s="1">
        <v>5.2899999999999998E-5</v>
      </c>
      <c r="J1229" s="1">
        <v>7.0599999999999995E-5</v>
      </c>
      <c r="K1229" s="1">
        <v>2.9300000000000001E-5</v>
      </c>
      <c r="L1229" s="1">
        <v>5.1400000000000003E-5</v>
      </c>
      <c r="M1229" s="1">
        <v>6.3600000000000001E-5</v>
      </c>
      <c r="N1229" s="1">
        <v>4.4100000000000001E-5</v>
      </c>
      <c r="O1229" s="1">
        <v>3.9900000000000001E-5</v>
      </c>
      <c r="P1229" s="1">
        <v>7.2600000000000003E-5</v>
      </c>
      <c r="Q1229" s="1">
        <v>4.99E-5</v>
      </c>
      <c r="R1229" s="1">
        <v>3.4499999999999998E-5</v>
      </c>
      <c r="S1229" s="1">
        <v>3.0700000000000001E-5</v>
      </c>
      <c r="T1229" s="1">
        <v>5.5500000000000001E-5</v>
      </c>
    </row>
    <row r="1230" spans="1:20" hidden="1" x14ac:dyDescent="0.25">
      <c r="A1230" t="s">
        <v>1248</v>
      </c>
      <c r="B1230" s="1">
        <v>6.4700000000000001E-5</v>
      </c>
      <c r="C1230" s="1">
        <v>9.9300000000000001E-5</v>
      </c>
      <c r="D1230" s="1">
        <v>7.6899999999999999E-5</v>
      </c>
      <c r="E1230" s="1">
        <v>8.0500000000000005E-5</v>
      </c>
      <c r="F1230" s="1">
        <v>5.6199999999999997E-5</v>
      </c>
      <c r="G1230" s="1">
        <v>5.1E-5</v>
      </c>
      <c r="H1230">
        <v>1.2363399999999999E-4</v>
      </c>
      <c r="I1230">
        <v>1.5482000000000001E-4</v>
      </c>
      <c r="J1230" s="1">
        <v>7.3899999999999994E-5</v>
      </c>
      <c r="K1230">
        <v>1.07703E-4</v>
      </c>
      <c r="L1230">
        <v>1.24323E-4</v>
      </c>
      <c r="M1230" s="1">
        <v>7.7899999999999996E-5</v>
      </c>
      <c r="N1230">
        <v>1.3906199999999999E-4</v>
      </c>
      <c r="O1230">
        <v>1.0597700000000001E-4</v>
      </c>
      <c r="P1230">
        <v>1.1449400000000001E-4</v>
      </c>
      <c r="Q1230">
        <v>1.3552200000000001E-4</v>
      </c>
      <c r="R1230">
        <v>1.80533E-4</v>
      </c>
      <c r="S1230">
        <v>1.86773E-4</v>
      </c>
      <c r="T1230">
        <v>1.7803200000000001E-4</v>
      </c>
    </row>
    <row r="1231" spans="1:20" hidden="1" x14ac:dyDescent="0.25">
      <c r="A1231" t="s">
        <v>1249</v>
      </c>
      <c r="B1231">
        <v>0</v>
      </c>
      <c r="C1231">
        <v>0</v>
      </c>
      <c r="D1231" s="1">
        <v>1.2799999999999999E-5</v>
      </c>
      <c r="E1231">
        <v>0</v>
      </c>
      <c r="F1231">
        <v>0</v>
      </c>
      <c r="G1231" s="1">
        <v>5.2099999999999999E-5</v>
      </c>
      <c r="H1231" s="1">
        <v>2.16E-5</v>
      </c>
      <c r="I1231" s="1">
        <v>3.1399999999999998E-5</v>
      </c>
      <c r="J1231" s="1">
        <v>3.26E-5</v>
      </c>
      <c r="K1231" s="1">
        <v>2.0100000000000001E-5</v>
      </c>
      <c r="L1231" s="1">
        <v>3.9199999999999997E-5</v>
      </c>
      <c r="M1231" s="1">
        <v>2.3099999999999999E-5</v>
      </c>
      <c r="N1231" s="1">
        <v>2.3600000000000001E-5</v>
      </c>
      <c r="O1231" s="1">
        <v>1.8499999999999999E-5</v>
      </c>
      <c r="P1231" s="1">
        <v>6.02E-5</v>
      </c>
      <c r="Q1231" s="1">
        <v>2.7100000000000001E-5</v>
      </c>
      <c r="R1231" s="1">
        <v>6.1199999999999997E-5</v>
      </c>
      <c r="S1231" s="1">
        <v>7.08E-5</v>
      </c>
      <c r="T1231" s="1">
        <v>7.3200000000000004E-5</v>
      </c>
    </row>
    <row r="1232" spans="1:20" hidden="1" x14ac:dyDescent="0.25">
      <c r="A1232" t="s">
        <v>1250</v>
      </c>
      <c r="B1232">
        <v>2.5396799999999999E-3</v>
      </c>
      <c r="C1232">
        <v>2.7314040000000002E-3</v>
      </c>
      <c r="D1232">
        <v>1.4956520000000001E-3</v>
      </c>
      <c r="E1232">
        <v>1.633626E-3</v>
      </c>
      <c r="F1232">
        <v>3.5012569999999998E-3</v>
      </c>
      <c r="G1232">
        <v>6.0113229999999998E-3</v>
      </c>
      <c r="H1232">
        <v>7.0060340000000004E-3</v>
      </c>
      <c r="I1232">
        <v>6.427721E-3</v>
      </c>
      <c r="J1232">
        <v>3.9831429999999998E-3</v>
      </c>
      <c r="K1232">
        <v>3.5839740000000002E-3</v>
      </c>
      <c r="L1232">
        <v>5.9046819999999996E-3</v>
      </c>
      <c r="M1232">
        <v>5.1096120000000004E-3</v>
      </c>
      <c r="N1232">
        <v>4.2547380000000001E-3</v>
      </c>
      <c r="O1232">
        <v>3.1135569999999999E-3</v>
      </c>
      <c r="P1232">
        <v>3.7341560000000002E-3</v>
      </c>
      <c r="Q1232">
        <v>4.8647029999999997E-3</v>
      </c>
      <c r="R1232">
        <v>4.4570649999999996E-3</v>
      </c>
      <c r="S1232">
        <v>1.441374E-3</v>
      </c>
      <c r="T1232">
        <v>3.593153E-3</v>
      </c>
    </row>
    <row r="1233" spans="1:20" hidden="1" x14ac:dyDescent="0.25">
      <c r="A1233" t="s">
        <v>1251</v>
      </c>
      <c r="B1233" s="1">
        <v>7.1600000000000006E-5</v>
      </c>
      <c r="C1233" s="1">
        <v>5.6400000000000002E-5</v>
      </c>
      <c r="D1233" s="1">
        <v>6.7000000000000002E-5</v>
      </c>
      <c r="E1233" s="1">
        <v>5.3300000000000001E-5</v>
      </c>
      <c r="F1233" s="1">
        <v>5.8400000000000003E-5</v>
      </c>
      <c r="G1233" s="1">
        <v>9.1600000000000004E-5</v>
      </c>
      <c r="H1233" s="1">
        <v>7.4800000000000002E-5</v>
      </c>
      <c r="I1233" s="1">
        <v>7.0500000000000006E-5</v>
      </c>
      <c r="J1233" s="1">
        <v>6.4800000000000003E-5</v>
      </c>
      <c r="K1233" s="1">
        <v>4.5800000000000002E-5</v>
      </c>
      <c r="L1233" s="1">
        <v>8.5099999999999995E-5</v>
      </c>
      <c r="M1233" s="1">
        <v>4.46E-5</v>
      </c>
      <c r="N1233" s="1">
        <v>8.5500000000000005E-5</v>
      </c>
      <c r="O1233" s="1">
        <v>7.7700000000000005E-5</v>
      </c>
      <c r="P1233" s="1">
        <v>9.59E-5</v>
      </c>
      <c r="Q1233" s="1">
        <v>6.1600000000000007E-5</v>
      </c>
      <c r="R1233" s="1">
        <v>8.4699999999999999E-5</v>
      </c>
      <c r="S1233" s="1">
        <v>5.5800000000000001E-5</v>
      </c>
      <c r="T1233" s="1">
        <v>7.3100000000000001E-5</v>
      </c>
    </row>
    <row r="1234" spans="1:20" hidden="1" x14ac:dyDescent="0.25">
      <c r="A1234" t="s">
        <v>1252</v>
      </c>
      <c r="B1234" s="1">
        <v>7.4400000000000006E-5</v>
      </c>
      <c r="C1234">
        <v>0</v>
      </c>
      <c r="D1234" s="1">
        <v>5.1999999999999997E-5</v>
      </c>
      <c r="E1234" s="1">
        <v>5.0699999999999999E-5</v>
      </c>
      <c r="F1234">
        <v>1.2821800000000001E-4</v>
      </c>
      <c r="G1234" s="1">
        <v>8.7100000000000003E-5</v>
      </c>
      <c r="H1234" s="1">
        <v>9.5400000000000001E-5</v>
      </c>
      <c r="I1234">
        <v>0</v>
      </c>
      <c r="J1234">
        <v>1.6683299999999999E-4</v>
      </c>
      <c r="K1234" s="1">
        <v>8.2999999999999998E-5</v>
      </c>
      <c r="L1234" s="1">
        <v>9.2200000000000005E-5</v>
      </c>
      <c r="M1234">
        <v>1.1349300000000001E-4</v>
      </c>
      <c r="N1234" s="1">
        <v>9.1100000000000005E-5</v>
      </c>
      <c r="O1234" s="1">
        <v>7.6199999999999995E-5</v>
      </c>
      <c r="P1234">
        <v>2.18574E-4</v>
      </c>
      <c r="Q1234">
        <v>4.17809E-4</v>
      </c>
      <c r="R1234">
        <v>3.1829999999999998E-4</v>
      </c>
      <c r="S1234">
        <v>2.8026599999999999E-4</v>
      </c>
      <c r="T1234">
        <v>3.5389699999999999E-4</v>
      </c>
    </row>
    <row r="1235" spans="1:20" hidden="1" x14ac:dyDescent="0.25">
      <c r="A1235" t="s">
        <v>1253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s="1">
        <v>1.6200000000000001E-5</v>
      </c>
      <c r="R1235" s="1">
        <v>2.0100000000000001E-5</v>
      </c>
      <c r="S1235" s="1">
        <v>2.3799999999999999E-5</v>
      </c>
      <c r="T1235" s="1">
        <v>1.9400000000000001E-5</v>
      </c>
    </row>
    <row r="1236" spans="1:20" hidden="1" x14ac:dyDescent="0.25">
      <c r="A1236" t="s">
        <v>1254</v>
      </c>
      <c r="B1236">
        <v>1.77417E-4</v>
      </c>
      <c r="C1236">
        <v>2.4371399999999999E-4</v>
      </c>
      <c r="D1236">
        <v>3.0375699999999999E-4</v>
      </c>
      <c r="E1236">
        <v>2.35744E-4</v>
      </c>
      <c r="F1236">
        <v>2.0556E-4</v>
      </c>
      <c r="G1236">
        <v>1.30829E-4</v>
      </c>
      <c r="H1236" s="1">
        <v>8.4400000000000005E-5</v>
      </c>
      <c r="I1236" s="1">
        <v>8.0099999999999995E-5</v>
      </c>
      <c r="J1236" s="1">
        <v>9.0799999999999998E-5</v>
      </c>
      <c r="K1236">
        <v>1.45606E-4</v>
      </c>
      <c r="L1236">
        <v>1.7264599999999999E-4</v>
      </c>
      <c r="M1236" s="1">
        <v>6.8700000000000003E-5</v>
      </c>
      <c r="N1236" s="1">
        <v>3.1199999999999999E-5</v>
      </c>
      <c r="O1236">
        <v>1.20347E-4</v>
      </c>
      <c r="P1236" s="1">
        <v>3.65E-5</v>
      </c>
      <c r="Q1236" s="1">
        <v>1.5800000000000001E-5</v>
      </c>
      <c r="R1236" s="1">
        <v>2.26E-5</v>
      </c>
      <c r="S1236" s="1">
        <v>2.9600000000000001E-5</v>
      </c>
      <c r="T1236" s="1">
        <v>2.3600000000000001E-5</v>
      </c>
    </row>
    <row r="1237" spans="1:20" hidden="1" x14ac:dyDescent="0.25">
      <c r="A1237" t="s">
        <v>1255</v>
      </c>
      <c r="B1237" s="1">
        <v>1.2799999999999999E-5</v>
      </c>
      <c r="C1237" s="1">
        <v>1.17E-5</v>
      </c>
      <c r="D1237" s="1">
        <v>2.6100000000000001E-5</v>
      </c>
      <c r="E1237" s="1">
        <v>1.3699999999999999E-5</v>
      </c>
      <c r="F1237" s="1">
        <v>2.34E-5</v>
      </c>
      <c r="G1237" s="1">
        <v>1.1399999999999999E-5</v>
      </c>
      <c r="H1237" s="1">
        <v>1.2300000000000001E-5</v>
      </c>
      <c r="I1237" s="1">
        <v>1.38E-5</v>
      </c>
      <c r="J1237" s="1">
        <v>8.8899999999999996E-6</v>
      </c>
      <c r="K1237" s="1">
        <v>1.3200000000000001E-5</v>
      </c>
      <c r="L1237" s="1">
        <v>1.38E-5</v>
      </c>
      <c r="M1237" s="1">
        <v>1.11E-5</v>
      </c>
      <c r="N1237" s="1">
        <v>1.5E-5</v>
      </c>
      <c r="O1237" s="1">
        <v>1.22E-5</v>
      </c>
      <c r="P1237" s="1">
        <v>4.7199999999999997E-6</v>
      </c>
      <c r="Q1237">
        <v>0</v>
      </c>
      <c r="R1237" s="1">
        <v>5.5799999999999999E-6</v>
      </c>
      <c r="S1237" s="1">
        <v>1.08E-5</v>
      </c>
      <c r="T1237">
        <v>0</v>
      </c>
    </row>
    <row r="1238" spans="1:20" hidden="1" x14ac:dyDescent="0.25">
      <c r="A1238" t="s">
        <v>1256</v>
      </c>
      <c r="B1238" s="1">
        <v>8.7100000000000003E-5</v>
      </c>
      <c r="C1238">
        <v>1.3958500000000001E-4</v>
      </c>
      <c r="D1238">
        <v>1.7037000000000001E-4</v>
      </c>
      <c r="E1238">
        <v>1.2309699999999999E-4</v>
      </c>
      <c r="F1238">
        <v>1.05383E-4</v>
      </c>
      <c r="G1238" s="1">
        <v>5.6199999999999997E-5</v>
      </c>
      <c r="H1238" s="1">
        <v>3.5800000000000003E-5</v>
      </c>
      <c r="I1238" s="1">
        <v>5.3000000000000001E-5</v>
      </c>
      <c r="J1238" s="1">
        <v>5.1999999999999997E-5</v>
      </c>
      <c r="K1238" s="1">
        <v>8.0099999999999995E-5</v>
      </c>
      <c r="L1238">
        <v>1.17259E-4</v>
      </c>
      <c r="M1238" s="1">
        <v>3.5899999999999998E-5</v>
      </c>
      <c r="N1238" s="1">
        <v>2.2099999999999998E-5</v>
      </c>
      <c r="O1238" s="1">
        <v>5.8400000000000003E-5</v>
      </c>
      <c r="P1238" s="1">
        <v>2.0999999999999999E-5</v>
      </c>
      <c r="Q1238" s="1">
        <v>7.8699999999999992E-6</v>
      </c>
      <c r="R1238" s="1">
        <v>7.6199999999999999E-6</v>
      </c>
      <c r="S1238" s="1">
        <v>8.3299999999999999E-6</v>
      </c>
      <c r="T1238" s="1">
        <v>6.1E-6</v>
      </c>
    </row>
    <row r="1239" spans="1:20" hidden="1" x14ac:dyDescent="0.25">
      <c r="A1239" t="s">
        <v>1257</v>
      </c>
      <c r="B1239" s="1">
        <v>5.2500000000000002E-5</v>
      </c>
      <c r="C1239" s="1">
        <v>7.1899999999999999E-5</v>
      </c>
      <c r="D1239" s="1">
        <v>5.2099999999999999E-5</v>
      </c>
      <c r="E1239" s="1">
        <v>4.9799999999999998E-5</v>
      </c>
      <c r="F1239" s="1">
        <v>8.6700000000000007E-5</v>
      </c>
      <c r="G1239" s="1">
        <v>7.8100000000000001E-5</v>
      </c>
      <c r="H1239">
        <v>1.1699799999999999E-4</v>
      </c>
      <c r="I1239">
        <v>1.2474200000000001E-4</v>
      </c>
      <c r="J1239" s="1">
        <v>5.7399999999999999E-5</v>
      </c>
      <c r="K1239" s="1">
        <v>7.0900000000000002E-5</v>
      </c>
      <c r="L1239" s="1">
        <v>9.31E-5</v>
      </c>
      <c r="M1239" s="1">
        <v>6.2000000000000003E-5</v>
      </c>
      <c r="N1239" s="1">
        <v>6.8999999999999997E-5</v>
      </c>
      <c r="O1239" s="1">
        <v>5.3699999999999997E-5</v>
      </c>
      <c r="P1239" s="1">
        <v>7.75E-5</v>
      </c>
      <c r="Q1239" s="1">
        <v>8.3100000000000001E-5</v>
      </c>
      <c r="R1239">
        <v>1.32855E-4</v>
      </c>
      <c r="S1239">
        <v>1.9315099999999999E-4</v>
      </c>
      <c r="T1239" s="1">
        <v>8.6600000000000004E-5</v>
      </c>
    </row>
    <row r="1240" spans="1:20" hidden="1" x14ac:dyDescent="0.25">
      <c r="A1240" t="s">
        <v>1258</v>
      </c>
      <c r="B1240" s="1">
        <v>3.4799999999999999E-5</v>
      </c>
      <c r="C1240" s="1">
        <v>6.2600000000000004E-5</v>
      </c>
      <c r="D1240" s="1">
        <v>3.5599999999999998E-5</v>
      </c>
      <c r="E1240" s="1">
        <v>3.9799999999999998E-5</v>
      </c>
      <c r="F1240" s="1">
        <v>3.2799999999999998E-5</v>
      </c>
      <c r="G1240" s="1">
        <v>7.6000000000000004E-5</v>
      </c>
      <c r="H1240" s="1">
        <v>8.3700000000000002E-5</v>
      </c>
      <c r="I1240" s="1">
        <v>4.1699999999999997E-5</v>
      </c>
      <c r="J1240" s="1">
        <v>3.5099999999999999E-5</v>
      </c>
      <c r="K1240" s="1">
        <v>4.9400000000000001E-5</v>
      </c>
      <c r="L1240" s="1">
        <v>5.1600000000000001E-5</v>
      </c>
      <c r="M1240" s="1">
        <v>4.1300000000000001E-5</v>
      </c>
      <c r="N1240" s="1">
        <v>4.74E-5</v>
      </c>
      <c r="O1240" s="1">
        <v>3.8000000000000002E-5</v>
      </c>
      <c r="P1240" s="1">
        <v>5.1400000000000003E-5</v>
      </c>
      <c r="Q1240" s="1">
        <v>7.6600000000000005E-5</v>
      </c>
      <c r="R1240" s="1">
        <v>7.7399999999999998E-5</v>
      </c>
      <c r="S1240">
        <v>1.79459E-4</v>
      </c>
      <c r="T1240" s="1">
        <v>4.9400000000000001E-5</v>
      </c>
    </row>
    <row r="1241" spans="1:20" hidden="1" x14ac:dyDescent="0.25">
      <c r="A1241" t="s">
        <v>1259</v>
      </c>
      <c r="B1241">
        <v>0</v>
      </c>
      <c r="C1241" s="1">
        <v>9.5000000000000005E-6</v>
      </c>
      <c r="D1241" s="1">
        <v>5.8699999999999997E-6</v>
      </c>
      <c r="E1241" s="1">
        <v>1.4399999999999999E-5</v>
      </c>
      <c r="F1241">
        <v>0</v>
      </c>
      <c r="G1241" s="1">
        <v>1.17E-5</v>
      </c>
      <c r="H1241">
        <v>0</v>
      </c>
      <c r="I1241">
        <v>0</v>
      </c>
      <c r="J1241" s="1">
        <v>2.04E-6</v>
      </c>
      <c r="K1241" s="1">
        <v>6.1199999999999999E-6</v>
      </c>
      <c r="L1241" s="1">
        <v>8.4400000000000005E-6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s="1">
        <v>7.6499999999999996E-6</v>
      </c>
      <c r="T1241">
        <v>0</v>
      </c>
    </row>
    <row r="1242" spans="1:20" hidden="1" x14ac:dyDescent="0.25">
      <c r="A1242" t="s">
        <v>1260</v>
      </c>
      <c r="B1242" s="1">
        <v>9.1299999999999997E-5</v>
      </c>
      <c r="C1242" s="1">
        <v>9.1100000000000005E-5</v>
      </c>
      <c r="D1242">
        <v>0</v>
      </c>
      <c r="E1242">
        <v>0</v>
      </c>
      <c r="F1242" s="1">
        <v>3.8800000000000001E-5</v>
      </c>
      <c r="G1242">
        <v>1.205E-4</v>
      </c>
      <c r="H1242">
        <v>1.14914E-4</v>
      </c>
      <c r="I1242">
        <v>0</v>
      </c>
      <c r="J1242">
        <v>1.7566899999999999E-4</v>
      </c>
      <c r="K1242" s="1">
        <v>9.1000000000000003E-5</v>
      </c>
      <c r="L1242">
        <v>2.3483299999999999E-4</v>
      </c>
      <c r="M1242">
        <v>1.5430500000000001E-4</v>
      </c>
      <c r="N1242">
        <v>2.7357899999999998E-4</v>
      </c>
      <c r="O1242">
        <v>1.2294899999999999E-4</v>
      </c>
      <c r="P1242">
        <v>2.3215200000000001E-4</v>
      </c>
      <c r="Q1242">
        <v>1.70147E-4</v>
      </c>
      <c r="R1242">
        <v>1.8736800000000001E-4</v>
      </c>
      <c r="S1242">
        <v>0</v>
      </c>
      <c r="T1242">
        <v>0</v>
      </c>
    </row>
    <row r="1243" spans="1:20" hidden="1" x14ac:dyDescent="0.25">
      <c r="A1243" t="s">
        <v>1261</v>
      </c>
      <c r="B1243" s="1">
        <v>4.1999999999999998E-5</v>
      </c>
      <c r="C1243" s="1">
        <v>4.74E-5</v>
      </c>
      <c r="D1243" s="1">
        <v>2.9899999999999998E-5</v>
      </c>
      <c r="E1243" s="1">
        <v>6.2000000000000003E-5</v>
      </c>
      <c r="F1243" s="1">
        <v>3.9900000000000001E-5</v>
      </c>
      <c r="G1243" s="1">
        <v>2.8099999999999999E-5</v>
      </c>
      <c r="H1243" s="1">
        <v>8.7000000000000001E-5</v>
      </c>
      <c r="I1243" s="1">
        <v>4.9700000000000002E-5</v>
      </c>
      <c r="J1243" s="1">
        <v>5.13E-5</v>
      </c>
      <c r="K1243" s="1">
        <v>7.1099999999999994E-5</v>
      </c>
      <c r="L1243" s="1">
        <v>8.25E-5</v>
      </c>
      <c r="M1243" s="1">
        <v>4.4299999999999999E-5</v>
      </c>
      <c r="N1243" s="1">
        <v>4.9599999999999999E-5</v>
      </c>
      <c r="O1243" s="1">
        <v>5.3900000000000002E-5</v>
      </c>
      <c r="P1243" s="1">
        <v>4.6E-5</v>
      </c>
      <c r="Q1243" s="1">
        <v>8.5699999999999996E-5</v>
      </c>
      <c r="R1243" s="1">
        <v>5.9799999999999997E-5</v>
      </c>
      <c r="S1243" s="1">
        <v>7.2399999999999998E-5</v>
      </c>
      <c r="T1243" s="1">
        <v>6.3299999999999994E-5</v>
      </c>
    </row>
    <row r="1244" spans="1:20" hidden="1" x14ac:dyDescent="0.25">
      <c r="A1244" t="s">
        <v>1262</v>
      </c>
      <c r="B1244" s="1">
        <v>5.8900000000000002E-5</v>
      </c>
      <c r="C1244" s="1">
        <v>3.7499999999999997E-5</v>
      </c>
      <c r="D1244" s="1">
        <v>4.1199999999999999E-5</v>
      </c>
      <c r="E1244" s="1">
        <v>3.8500000000000001E-5</v>
      </c>
      <c r="F1244" s="1">
        <v>4.9400000000000001E-5</v>
      </c>
      <c r="G1244" s="1">
        <v>5.3600000000000002E-5</v>
      </c>
      <c r="H1244" s="1">
        <v>6.1299999999999999E-5</v>
      </c>
      <c r="I1244" s="1">
        <v>5.2800000000000003E-5</v>
      </c>
      <c r="J1244" s="1">
        <v>8.4400000000000005E-5</v>
      </c>
      <c r="K1244" s="1">
        <v>3.4499999999999998E-5</v>
      </c>
      <c r="L1244" s="1">
        <v>5.1799999999999999E-5</v>
      </c>
      <c r="M1244" s="1">
        <v>8.8900000000000006E-5</v>
      </c>
      <c r="N1244" s="1">
        <v>6.58E-5</v>
      </c>
      <c r="O1244" s="1">
        <v>8.8800000000000004E-5</v>
      </c>
      <c r="P1244">
        <v>1.1113200000000001E-4</v>
      </c>
      <c r="Q1244">
        <v>1.9027599999999999E-4</v>
      </c>
      <c r="R1244">
        <v>1.3025100000000001E-4</v>
      </c>
      <c r="S1244">
        <v>1.98631E-4</v>
      </c>
      <c r="T1244">
        <v>2.19075E-4</v>
      </c>
    </row>
    <row r="1245" spans="1:20" hidden="1" x14ac:dyDescent="0.25">
      <c r="A1245" t="s">
        <v>1263</v>
      </c>
      <c r="B1245">
        <v>2.0013799999999999E-4</v>
      </c>
      <c r="C1245">
        <v>1.8926500000000001E-4</v>
      </c>
      <c r="D1245">
        <v>1.5967499999999999E-4</v>
      </c>
      <c r="E1245">
        <v>1.84606E-4</v>
      </c>
      <c r="F1245">
        <v>2.1306100000000001E-4</v>
      </c>
      <c r="G1245">
        <v>1.5242599999999999E-4</v>
      </c>
      <c r="H1245">
        <v>1.7117400000000001E-4</v>
      </c>
      <c r="I1245">
        <v>2.1716800000000001E-4</v>
      </c>
      <c r="J1245">
        <v>2.4465000000000001E-4</v>
      </c>
      <c r="K1245">
        <v>2.17674E-4</v>
      </c>
      <c r="L1245">
        <v>2.2835999999999999E-4</v>
      </c>
      <c r="M1245">
        <v>1.90438E-4</v>
      </c>
      <c r="N1245">
        <v>2.9267099999999999E-4</v>
      </c>
      <c r="O1245">
        <v>2.2995700000000001E-4</v>
      </c>
      <c r="P1245">
        <v>2.3091400000000001E-4</v>
      </c>
      <c r="Q1245">
        <v>2.4605100000000001E-4</v>
      </c>
      <c r="R1245">
        <v>2.5694100000000001E-4</v>
      </c>
      <c r="S1245">
        <v>2.4618300000000002E-4</v>
      </c>
      <c r="T1245">
        <v>2.5861599999999998E-4</v>
      </c>
    </row>
    <row r="1246" spans="1:20" hidden="1" x14ac:dyDescent="0.25">
      <c r="A1246" t="s">
        <v>1264</v>
      </c>
      <c r="B1246" s="1">
        <v>3.5500000000000002E-5</v>
      </c>
      <c r="C1246" s="1">
        <v>4.1999999999999998E-5</v>
      </c>
      <c r="D1246" s="1">
        <v>3.0700000000000001E-5</v>
      </c>
      <c r="E1246" s="1">
        <v>4.6699999999999997E-5</v>
      </c>
      <c r="F1246">
        <v>1.2998E-4</v>
      </c>
      <c r="G1246">
        <v>4.1649500000000002E-4</v>
      </c>
      <c r="H1246">
        <v>2.39414E-4</v>
      </c>
      <c r="I1246">
        <v>1.5696300000000001E-4</v>
      </c>
      <c r="J1246" s="1">
        <v>6.6000000000000005E-5</v>
      </c>
      <c r="K1246">
        <v>1.67851E-4</v>
      </c>
      <c r="L1246">
        <v>1.16908E-4</v>
      </c>
      <c r="M1246">
        <v>1.2850900000000001E-4</v>
      </c>
      <c r="N1246" s="1">
        <v>8.81E-5</v>
      </c>
      <c r="O1246" s="1">
        <v>6.9599999999999998E-5</v>
      </c>
      <c r="P1246">
        <v>2.21552E-4</v>
      </c>
      <c r="Q1246">
        <v>7.5722099999999998E-4</v>
      </c>
      <c r="R1246">
        <v>2.3966800000000001E-4</v>
      </c>
      <c r="S1246">
        <v>1.6087849999999999E-3</v>
      </c>
      <c r="T1246">
        <v>7.0775600000000003E-4</v>
      </c>
    </row>
    <row r="1247" spans="1:20" hidden="1" x14ac:dyDescent="0.25">
      <c r="A1247" t="s">
        <v>1265</v>
      </c>
      <c r="B1247">
        <v>2.9639400000000001E-4</v>
      </c>
      <c r="C1247">
        <v>2.96118E-4</v>
      </c>
      <c r="D1247">
        <v>3.0443100000000003E-4</v>
      </c>
      <c r="E1247">
        <v>2.2128E-4</v>
      </c>
      <c r="F1247">
        <v>2.5493800000000002E-4</v>
      </c>
      <c r="G1247">
        <v>2.97788E-4</v>
      </c>
      <c r="H1247">
        <v>2.5285500000000002E-4</v>
      </c>
      <c r="I1247">
        <v>3.5121099999999998E-4</v>
      </c>
      <c r="J1247">
        <v>2.5824799999999998E-4</v>
      </c>
      <c r="K1247">
        <v>3.1252E-4</v>
      </c>
      <c r="L1247">
        <v>3.3733199999999997E-4</v>
      </c>
      <c r="M1247">
        <v>2.5049600000000001E-4</v>
      </c>
      <c r="N1247">
        <v>3.8079699999999999E-4</v>
      </c>
      <c r="O1247">
        <v>2.82563E-4</v>
      </c>
      <c r="P1247">
        <v>3.0880099999999999E-4</v>
      </c>
      <c r="Q1247">
        <v>1.6167800000000001E-4</v>
      </c>
      <c r="R1247">
        <v>2.1970099999999999E-4</v>
      </c>
      <c r="S1247">
        <v>1.8412999999999999E-4</v>
      </c>
      <c r="T1247">
        <v>1.9140300000000001E-4</v>
      </c>
    </row>
    <row r="1248" spans="1:20" hidden="1" x14ac:dyDescent="0.25">
      <c r="A1248" t="s">
        <v>1266</v>
      </c>
      <c r="B1248" s="1">
        <v>2.55E-5</v>
      </c>
      <c r="C1248">
        <v>0</v>
      </c>
      <c r="D1248">
        <v>0</v>
      </c>
      <c r="E1248">
        <v>0</v>
      </c>
      <c r="F1248" s="1">
        <v>1.7799999999999999E-5</v>
      </c>
      <c r="G1248">
        <v>0</v>
      </c>
      <c r="H1248" s="1">
        <v>2.1800000000000001E-5</v>
      </c>
      <c r="I1248" s="1">
        <v>2.1399999999999998E-5</v>
      </c>
      <c r="J1248" s="1">
        <v>2.2399999999999999E-5</v>
      </c>
      <c r="K1248" s="1">
        <v>1.15E-5</v>
      </c>
      <c r="L1248">
        <v>0</v>
      </c>
      <c r="M1248">
        <v>0</v>
      </c>
      <c r="N1248" s="1">
        <v>4.0500000000000002E-5</v>
      </c>
      <c r="O1248" s="1">
        <v>1.84E-5</v>
      </c>
      <c r="P1248" s="1">
        <v>3.4900000000000001E-5</v>
      </c>
      <c r="Q1248" s="1">
        <v>4.1300000000000001E-5</v>
      </c>
      <c r="R1248" s="1">
        <v>3.7200000000000003E-5</v>
      </c>
      <c r="S1248" s="1">
        <v>2.2799999999999999E-5</v>
      </c>
      <c r="T1248" s="1">
        <v>3.6900000000000002E-5</v>
      </c>
    </row>
    <row r="1249" spans="1:20" hidden="1" x14ac:dyDescent="0.25">
      <c r="A1249" t="s">
        <v>1267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 s="1">
        <v>3.0300000000000001E-5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1">
        <v>5.6199999999999997E-5</v>
      </c>
      <c r="Q1249" s="1">
        <v>8.1299999999999997E-5</v>
      </c>
      <c r="R1249" s="1">
        <v>9.6000000000000002E-5</v>
      </c>
      <c r="S1249" s="1">
        <v>3.5800000000000003E-5</v>
      </c>
      <c r="T1249" s="1">
        <v>6.7100000000000005E-5</v>
      </c>
    </row>
    <row r="1250" spans="1:20" hidden="1" x14ac:dyDescent="0.25">
      <c r="A1250" t="s">
        <v>1268</v>
      </c>
      <c r="B1250">
        <v>2.5155400000000002E-4</v>
      </c>
      <c r="C1250">
        <v>1.4833700000000001E-4</v>
      </c>
      <c r="D1250">
        <v>2.14129E-4</v>
      </c>
      <c r="E1250">
        <v>1.7513699999999999E-4</v>
      </c>
      <c r="F1250">
        <v>1.57601E-4</v>
      </c>
      <c r="G1250">
        <v>2.0668999999999999E-4</v>
      </c>
      <c r="H1250">
        <v>1.9416E-4</v>
      </c>
      <c r="I1250">
        <v>2.4849399999999998E-4</v>
      </c>
      <c r="J1250">
        <v>1.96486E-4</v>
      </c>
      <c r="K1250">
        <v>0</v>
      </c>
      <c r="L1250">
        <v>3.4590199999999998E-4</v>
      </c>
      <c r="M1250">
        <v>3.2181000000000001E-4</v>
      </c>
      <c r="N1250">
        <v>1.9800699999999999E-4</v>
      </c>
      <c r="O1250">
        <v>0</v>
      </c>
      <c r="P1250">
        <v>3.4727800000000002E-4</v>
      </c>
      <c r="Q1250">
        <v>4.5330499999999998E-4</v>
      </c>
      <c r="R1250">
        <v>5.3900400000000005E-4</v>
      </c>
      <c r="S1250">
        <v>3.7689700000000001E-4</v>
      </c>
      <c r="T1250">
        <v>5.1855800000000002E-4</v>
      </c>
    </row>
    <row r="1251" spans="1:20" hidden="1" x14ac:dyDescent="0.25">
      <c r="A1251" t="s">
        <v>1269</v>
      </c>
      <c r="B1251" s="1">
        <v>6.4699999999999999E-6</v>
      </c>
      <c r="C1251" s="1">
        <v>1.8600000000000001E-5</v>
      </c>
      <c r="D1251" s="1">
        <v>2.2099999999999998E-5</v>
      </c>
      <c r="E1251" s="1">
        <v>1.4100000000000001E-5</v>
      </c>
      <c r="F1251" s="1">
        <v>7.8399999999999995E-6</v>
      </c>
      <c r="G1251">
        <v>0</v>
      </c>
      <c r="H1251">
        <v>0</v>
      </c>
      <c r="I1251">
        <v>0</v>
      </c>
      <c r="J1251" s="1">
        <v>5.2700000000000004E-6</v>
      </c>
      <c r="K1251" s="1">
        <v>1.1800000000000001E-5</v>
      </c>
      <c r="L1251" s="1">
        <v>1.17E-5</v>
      </c>
      <c r="M1251">
        <v>0</v>
      </c>
      <c r="N1251">
        <v>0</v>
      </c>
      <c r="O1251">
        <v>0</v>
      </c>
      <c r="P1251">
        <v>0</v>
      </c>
      <c r="Q1251">
        <v>0</v>
      </c>
      <c r="R1251" s="1">
        <v>4.3100000000000002E-6</v>
      </c>
      <c r="S1251">
        <v>0</v>
      </c>
      <c r="T1251">
        <v>0</v>
      </c>
    </row>
    <row r="1252" spans="1:20" hidden="1" x14ac:dyDescent="0.25">
      <c r="A1252" t="s">
        <v>1270</v>
      </c>
      <c r="B1252">
        <v>5.877625E-3</v>
      </c>
      <c r="C1252">
        <v>8.5934659999999993E-3</v>
      </c>
      <c r="D1252">
        <v>9.3001650000000009E-3</v>
      </c>
      <c r="E1252">
        <v>8.9145809999999995E-3</v>
      </c>
      <c r="F1252">
        <v>8.142257E-3</v>
      </c>
      <c r="G1252">
        <v>7.5718640000000002E-3</v>
      </c>
      <c r="H1252">
        <v>4.7503809999999997E-3</v>
      </c>
      <c r="I1252">
        <v>6.2094539999999997E-3</v>
      </c>
      <c r="J1252">
        <v>6.133337E-3</v>
      </c>
      <c r="K1252">
        <v>7.8864969999999993E-3</v>
      </c>
      <c r="L1252">
        <v>9.2000529999999997E-3</v>
      </c>
      <c r="M1252">
        <v>5.4954740000000002E-3</v>
      </c>
      <c r="N1252">
        <v>5.5993759999999997E-3</v>
      </c>
      <c r="O1252">
        <v>7.4478340000000004E-3</v>
      </c>
      <c r="P1252">
        <v>5.6614079999999997E-3</v>
      </c>
      <c r="Q1252">
        <v>4.1161640000000003E-3</v>
      </c>
      <c r="R1252">
        <v>6.0705059999999998E-3</v>
      </c>
      <c r="S1252">
        <v>6.0400239999999997E-3</v>
      </c>
      <c r="T1252">
        <v>4.5880390000000004E-3</v>
      </c>
    </row>
    <row r="1253" spans="1:20" hidden="1" x14ac:dyDescent="0.25">
      <c r="A1253" t="s">
        <v>1271</v>
      </c>
      <c r="B1253">
        <v>2.5499300000000002E-4</v>
      </c>
      <c r="C1253">
        <v>2.32845E-4</v>
      </c>
      <c r="D1253">
        <v>1.70605E-4</v>
      </c>
      <c r="E1253">
        <v>1.5641E-4</v>
      </c>
      <c r="F1253">
        <v>3.8848700000000002E-4</v>
      </c>
      <c r="G1253">
        <v>9.0429900000000001E-4</v>
      </c>
      <c r="H1253">
        <v>2.6132999999999999E-4</v>
      </c>
      <c r="I1253">
        <v>3.4538E-4</v>
      </c>
      <c r="J1253">
        <v>2.95564E-4</v>
      </c>
      <c r="K1253">
        <v>2.9023900000000002E-4</v>
      </c>
      <c r="L1253">
        <v>3.1330900000000001E-4</v>
      </c>
      <c r="M1253">
        <v>3.7669500000000002E-4</v>
      </c>
      <c r="N1253">
        <v>3.1472800000000001E-4</v>
      </c>
      <c r="O1253">
        <v>2.10888E-4</v>
      </c>
      <c r="P1253">
        <v>7.1157499999999999E-4</v>
      </c>
      <c r="Q1253">
        <v>8.4193799999999997E-4</v>
      </c>
      <c r="R1253">
        <v>7.6121800000000003E-4</v>
      </c>
      <c r="S1253">
        <v>2.1776920000000002E-3</v>
      </c>
      <c r="T1253">
        <v>1.118602E-3</v>
      </c>
    </row>
    <row r="1254" spans="1:20" hidden="1" x14ac:dyDescent="0.25">
      <c r="A1254" t="s">
        <v>1272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s="1">
        <v>7.2799999999999994E-5</v>
      </c>
      <c r="R1254" s="1">
        <v>9.2999999999999997E-5</v>
      </c>
      <c r="S1254" s="1">
        <v>6.7500000000000001E-5</v>
      </c>
      <c r="T1254">
        <v>1.0513700000000001E-4</v>
      </c>
    </row>
    <row r="1255" spans="1:20" hidden="1" x14ac:dyDescent="0.25">
      <c r="A1255" t="s">
        <v>1273</v>
      </c>
      <c r="B1255" s="1">
        <v>2.3099999999999999E-5</v>
      </c>
      <c r="C1255" s="1">
        <v>4.71E-5</v>
      </c>
      <c r="D1255" s="1">
        <v>4.6E-5</v>
      </c>
      <c r="E1255" s="1">
        <v>4.4299999999999999E-5</v>
      </c>
      <c r="F1255" s="1">
        <v>2.9899999999999998E-5</v>
      </c>
      <c r="G1255" s="1">
        <v>2.8900000000000001E-5</v>
      </c>
      <c r="H1255">
        <v>0</v>
      </c>
      <c r="I1255" s="1">
        <v>3.8099999999999998E-5</v>
      </c>
      <c r="J1255" s="1">
        <v>2.3200000000000001E-5</v>
      </c>
      <c r="K1255" s="1">
        <v>4.2599999999999999E-5</v>
      </c>
      <c r="L1255" s="1">
        <v>4.2799999999999997E-5</v>
      </c>
      <c r="M1255" s="1">
        <v>3.5299999999999997E-5</v>
      </c>
      <c r="N1255" s="1">
        <v>2.8E-5</v>
      </c>
      <c r="O1255" s="1">
        <v>1.6799999999999998E-5</v>
      </c>
      <c r="P1255" s="1">
        <v>3.1300000000000002E-5</v>
      </c>
      <c r="Q1255" s="1">
        <v>3.0700000000000001E-5</v>
      </c>
      <c r="R1255" s="1">
        <v>5.3399999999999997E-5</v>
      </c>
      <c r="S1255" s="1">
        <v>1.9599999999999999E-5</v>
      </c>
      <c r="T1255" s="1">
        <v>4.85E-5</v>
      </c>
    </row>
    <row r="1256" spans="1:20" hidden="1" x14ac:dyDescent="0.25">
      <c r="A1256" t="s">
        <v>1274</v>
      </c>
      <c r="B1256" s="1">
        <v>4.32E-5</v>
      </c>
      <c r="C1256" s="1">
        <v>4.5500000000000001E-5</v>
      </c>
      <c r="D1256" s="1">
        <v>3.1099999999999997E-5</v>
      </c>
      <c r="E1256" s="1">
        <v>3.0899999999999999E-5</v>
      </c>
      <c r="F1256" s="1">
        <v>3.43E-5</v>
      </c>
      <c r="G1256" s="1">
        <v>1.6900000000000001E-5</v>
      </c>
      <c r="H1256" s="1">
        <v>1.7399999999999999E-5</v>
      </c>
      <c r="I1256" s="1">
        <v>3.9900000000000001E-5</v>
      </c>
      <c r="J1256" s="1">
        <v>4.3099999999999997E-5</v>
      </c>
      <c r="K1256" s="1">
        <v>3.4100000000000002E-5</v>
      </c>
      <c r="L1256" s="1">
        <v>2.7900000000000001E-5</v>
      </c>
      <c r="M1256">
        <v>0</v>
      </c>
      <c r="N1256">
        <v>0</v>
      </c>
      <c r="O1256" s="1">
        <v>2.9200000000000002E-5</v>
      </c>
      <c r="P1256" s="1">
        <v>1.4800000000000001E-5</v>
      </c>
      <c r="Q1256">
        <v>0</v>
      </c>
      <c r="R1256">
        <v>0</v>
      </c>
      <c r="S1256">
        <v>0</v>
      </c>
      <c r="T1256">
        <v>0</v>
      </c>
    </row>
    <row r="1257" spans="1:20" hidden="1" x14ac:dyDescent="0.25">
      <c r="A1257" t="s">
        <v>1275</v>
      </c>
      <c r="B1257">
        <v>0</v>
      </c>
      <c r="C1257" s="1">
        <v>7.2799999999999994E-5</v>
      </c>
      <c r="D1257" s="1">
        <v>7.75E-5</v>
      </c>
      <c r="E1257" s="1">
        <v>7.4800000000000002E-5</v>
      </c>
      <c r="F1257">
        <v>0</v>
      </c>
      <c r="G1257" s="1">
        <v>4.5599999999999997E-5</v>
      </c>
      <c r="H1257" s="1">
        <v>2.8399999999999999E-5</v>
      </c>
      <c r="I1257" s="1">
        <v>4.2500000000000003E-5</v>
      </c>
      <c r="J1257">
        <v>0</v>
      </c>
      <c r="K1257" s="1">
        <v>7.9900000000000004E-5</v>
      </c>
      <c r="L1257" s="1">
        <v>7.6100000000000007E-5</v>
      </c>
      <c r="M1257">
        <v>0</v>
      </c>
      <c r="N1257">
        <v>0</v>
      </c>
      <c r="O1257" s="1">
        <v>2.94E-5</v>
      </c>
      <c r="P1257">
        <v>0</v>
      </c>
      <c r="Q1257">
        <v>0</v>
      </c>
      <c r="R1257">
        <v>0</v>
      </c>
      <c r="S1257">
        <v>0</v>
      </c>
      <c r="T1257" s="1">
        <v>2.37E-5</v>
      </c>
    </row>
    <row r="1258" spans="1:20" hidden="1" x14ac:dyDescent="0.25">
      <c r="A1258" t="s">
        <v>1276</v>
      </c>
      <c r="B1258">
        <v>2.4250899999999999E-4</v>
      </c>
      <c r="C1258">
        <v>3.3162399999999998E-4</v>
      </c>
      <c r="D1258">
        <v>3.3770700000000002E-4</v>
      </c>
      <c r="E1258">
        <v>3.18635E-4</v>
      </c>
      <c r="F1258">
        <v>2.69673E-4</v>
      </c>
      <c r="G1258">
        <v>3.2758800000000002E-4</v>
      </c>
      <c r="H1258">
        <v>2.0960400000000001E-4</v>
      </c>
      <c r="I1258">
        <v>2.6544300000000003E-4</v>
      </c>
      <c r="J1258">
        <v>2.20535E-4</v>
      </c>
      <c r="K1258">
        <v>2.6858399999999999E-4</v>
      </c>
      <c r="L1258">
        <v>3.0777000000000002E-4</v>
      </c>
      <c r="M1258">
        <v>1.84074E-4</v>
      </c>
      <c r="N1258">
        <v>1.6502699999999999E-4</v>
      </c>
      <c r="O1258">
        <v>2.39151E-4</v>
      </c>
      <c r="P1258">
        <v>1.9951100000000001E-4</v>
      </c>
      <c r="Q1258">
        <v>2.05594E-4</v>
      </c>
      <c r="R1258">
        <v>2.1560899999999999E-4</v>
      </c>
      <c r="S1258">
        <v>2.6157099999999999E-4</v>
      </c>
      <c r="T1258">
        <v>1.7662999999999999E-4</v>
      </c>
    </row>
    <row r="1259" spans="1:20" hidden="1" x14ac:dyDescent="0.25">
      <c r="A1259" t="s">
        <v>1277</v>
      </c>
      <c r="B1259">
        <v>0</v>
      </c>
      <c r="C1259" s="1">
        <v>1.1199999999999999E-5</v>
      </c>
      <c r="D1259" s="1">
        <v>9.8900000000000002E-6</v>
      </c>
      <c r="E1259" s="1">
        <v>7.9899999999999997E-6</v>
      </c>
      <c r="F1259" s="1">
        <v>7.5299999999999999E-6</v>
      </c>
      <c r="G1259">
        <v>0</v>
      </c>
      <c r="H1259" s="1">
        <v>6.4300000000000003E-6</v>
      </c>
      <c r="I1259">
        <v>0</v>
      </c>
      <c r="J1259" s="1">
        <v>5.04E-6</v>
      </c>
      <c r="K1259">
        <v>0</v>
      </c>
      <c r="L1259" s="1">
        <v>4.0799999999999999E-6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hidden="1" x14ac:dyDescent="0.25">
      <c r="A1260" t="s">
        <v>1278</v>
      </c>
      <c r="B1260">
        <v>2.8853599999999999E-4</v>
      </c>
      <c r="C1260">
        <v>2.63245E-4</v>
      </c>
      <c r="D1260">
        <v>3.43269E-4</v>
      </c>
      <c r="E1260">
        <v>3.2606699999999998E-4</v>
      </c>
      <c r="F1260">
        <v>1.7688299999999999E-4</v>
      </c>
      <c r="G1260">
        <v>1.8096599999999999E-4</v>
      </c>
      <c r="H1260">
        <v>2.1552499999999999E-4</v>
      </c>
      <c r="I1260">
        <v>2.7547999999999998E-4</v>
      </c>
      <c r="J1260">
        <v>2.7193200000000001E-4</v>
      </c>
      <c r="K1260">
        <v>2.7031700000000001E-4</v>
      </c>
      <c r="L1260">
        <v>2.7866399999999997E-4</v>
      </c>
      <c r="M1260">
        <v>2.32172E-4</v>
      </c>
      <c r="N1260">
        <v>2.7567500000000002E-4</v>
      </c>
      <c r="O1260">
        <v>3.7668100000000002E-4</v>
      </c>
      <c r="P1260">
        <v>1.74131E-4</v>
      </c>
      <c r="Q1260" s="1">
        <v>6.6600000000000006E-5</v>
      </c>
      <c r="R1260">
        <v>1.33332E-4</v>
      </c>
      <c r="S1260">
        <v>1.6350100000000001E-4</v>
      </c>
      <c r="T1260">
        <v>1.19405E-4</v>
      </c>
    </row>
    <row r="1261" spans="1:20" hidden="1" x14ac:dyDescent="0.25">
      <c r="A1261" t="s">
        <v>1279</v>
      </c>
      <c r="B1261">
        <v>1.63225E-4</v>
      </c>
      <c r="C1261">
        <v>3.26037E-4</v>
      </c>
      <c r="D1261">
        <v>4.3649599999999998E-4</v>
      </c>
      <c r="E1261">
        <v>4.22994E-4</v>
      </c>
      <c r="F1261">
        <v>1.9519900000000001E-4</v>
      </c>
      <c r="G1261">
        <v>2.5051000000000001E-4</v>
      </c>
      <c r="H1261">
        <v>2.18378E-4</v>
      </c>
      <c r="I1261">
        <v>2.1460300000000001E-4</v>
      </c>
      <c r="J1261">
        <v>1.60867E-4</v>
      </c>
      <c r="K1261">
        <v>3.5912800000000001E-4</v>
      </c>
      <c r="L1261">
        <v>3.4799899999999999E-4</v>
      </c>
      <c r="M1261">
        <v>1.5062100000000001E-4</v>
      </c>
      <c r="N1261">
        <v>1.6940999999999999E-4</v>
      </c>
      <c r="O1261">
        <v>2.3590899999999999E-4</v>
      </c>
      <c r="P1261">
        <v>1.3830299999999999E-4</v>
      </c>
      <c r="Q1261">
        <v>1.3814900000000001E-4</v>
      </c>
      <c r="R1261">
        <v>1.63313E-4</v>
      </c>
      <c r="S1261">
        <v>1.6726499999999999E-4</v>
      </c>
      <c r="T1261">
        <v>1.5662E-4</v>
      </c>
    </row>
    <row r="1262" spans="1:20" hidden="1" x14ac:dyDescent="0.25">
      <c r="A1262" t="s">
        <v>1280</v>
      </c>
      <c r="B1262">
        <v>2.8616699999999999E-4</v>
      </c>
      <c r="C1262">
        <v>7.0729600000000005E-4</v>
      </c>
      <c r="D1262">
        <v>7.57016E-4</v>
      </c>
      <c r="E1262">
        <v>7.5473399999999996E-4</v>
      </c>
      <c r="F1262">
        <v>3.7455700000000003E-4</v>
      </c>
      <c r="G1262">
        <v>5.54715E-4</v>
      </c>
      <c r="H1262">
        <v>4.2862999999999999E-4</v>
      </c>
      <c r="I1262">
        <v>4.16752E-4</v>
      </c>
      <c r="J1262">
        <v>3.2067700000000001E-4</v>
      </c>
      <c r="K1262">
        <v>7.1401799999999997E-4</v>
      </c>
      <c r="L1262">
        <v>6.7913200000000004E-4</v>
      </c>
      <c r="M1262">
        <v>3.0152599999999999E-4</v>
      </c>
      <c r="N1262">
        <v>2.3276199999999999E-4</v>
      </c>
      <c r="O1262">
        <v>3.8147499999999999E-4</v>
      </c>
      <c r="P1262">
        <v>2.3333199999999999E-4</v>
      </c>
      <c r="Q1262">
        <v>2.5785800000000002E-4</v>
      </c>
      <c r="R1262">
        <v>2.5761700000000002E-4</v>
      </c>
      <c r="S1262">
        <v>2.3056899999999999E-4</v>
      </c>
      <c r="T1262">
        <v>2.8651499999999999E-4</v>
      </c>
    </row>
    <row r="1263" spans="1:20" hidden="1" x14ac:dyDescent="0.25">
      <c r="A1263" t="s">
        <v>1281</v>
      </c>
      <c r="B1263" s="1">
        <v>6.8499999999999998E-5</v>
      </c>
      <c r="C1263">
        <v>1.44876E-4</v>
      </c>
      <c r="D1263">
        <v>1.20448E-4</v>
      </c>
      <c r="E1263">
        <v>1.3172600000000001E-4</v>
      </c>
      <c r="F1263" s="1">
        <v>5.24E-5</v>
      </c>
      <c r="G1263" s="1">
        <v>9.3399999999999993E-5</v>
      </c>
      <c r="H1263" s="1">
        <v>8.7499999999999999E-5</v>
      </c>
      <c r="I1263" s="1">
        <v>7.8300000000000006E-5</v>
      </c>
      <c r="J1263" s="1">
        <v>6.9400000000000006E-5</v>
      </c>
      <c r="K1263">
        <v>1.26647E-4</v>
      </c>
      <c r="L1263">
        <v>1.1668E-4</v>
      </c>
      <c r="M1263" s="1">
        <v>4.8099999999999997E-5</v>
      </c>
      <c r="N1263" s="1">
        <v>3.9900000000000001E-5</v>
      </c>
      <c r="O1263" s="1">
        <v>7.1000000000000005E-5</v>
      </c>
      <c r="P1263" s="1">
        <v>4.0899999999999998E-5</v>
      </c>
      <c r="Q1263" s="1">
        <v>3.54E-5</v>
      </c>
      <c r="R1263" s="1">
        <v>3.8600000000000003E-5</v>
      </c>
      <c r="S1263" s="1">
        <v>4.4799999999999998E-5</v>
      </c>
      <c r="T1263" s="1">
        <v>4.3300000000000002E-5</v>
      </c>
    </row>
    <row r="1264" spans="1:20" hidden="1" x14ac:dyDescent="0.25">
      <c r="A1264" t="s">
        <v>1282</v>
      </c>
      <c r="B1264" s="1">
        <v>5.52E-5</v>
      </c>
      <c r="C1264">
        <v>2.30986E-4</v>
      </c>
      <c r="D1264">
        <v>1.6413199999999999E-4</v>
      </c>
      <c r="E1264">
        <v>2.0045999999999999E-4</v>
      </c>
      <c r="F1264">
        <v>1.46658E-4</v>
      </c>
      <c r="G1264">
        <v>2.06441E-4</v>
      </c>
      <c r="H1264" s="1">
        <v>7.5099999999999996E-5</v>
      </c>
      <c r="I1264">
        <v>1.1464E-4</v>
      </c>
      <c r="J1264" s="1">
        <v>7.9300000000000003E-5</v>
      </c>
      <c r="K1264">
        <v>1.9859599999999999E-4</v>
      </c>
      <c r="L1264">
        <v>2.0687799999999999E-4</v>
      </c>
      <c r="M1264" s="1">
        <v>6.2700000000000006E-5</v>
      </c>
      <c r="N1264" s="1">
        <v>6.1199999999999997E-5</v>
      </c>
      <c r="O1264">
        <v>1.2038499999999999E-4</v>
      </c>
      <c r="P1264" s="1">
        <v>5.2599999999999998E-5</v>
      </c>
      <c r="Q1264" s="1">
        <v>6.5699999999999998E-5</v>
      </c>
      <c r="R1264">
        <v>1.11675E-4</v>
      </c>
      <c r="S1264" s="1">
        <v>9.59E-5</v>
      </c>
      <c r="T1264" s="1">
        <v>6.1500000000000004E-5</v>
      </c>
    </row>
    <row r="1265" spans="1:20" hidden="1" x14ac:dyDescent="0.25">
      <c r="A1265" t="s">
        <v>1283</v>
      </c>
      <c r="B1265">
        <v>0</v>
      </c>
      <c r="C1265" s="1">
        <v>3.1600000000000002E-5</v>
      </c>
      <c r="D1265" s="1">
        <v>2.3900000000000002E-5</v>
      </c>
      <c r="E1265" s="1">
        <v>2.9099999999999999E-5</v>
      </c>
      <c r="F1265" s="1">
        <v>2.6599999999999999E-5</v>
      </c>
      <c r="G1265" s="1">
        <v>3.0000000000000001E-5</v>
      </c>
      <c r="H1265" s="1">
        <v>2.09E-5</v>
      </c>
      <c r="I1265" s="1">
        <v>1.9199999999999999E-5</v>
      </c>
      <c r="J1265" s="1">
        <v>1.9199999999999999E-5</v>
      </c>
      <c r="K1265" s="1">
        <v>2.0999999999999999E-5</v>
      </c>
      <c r="L1265" s="1">
        <v>1.84E-5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s="1">
        <v>1.9000000000000001E-5</v>
      </c>
    </row>
    <row r="1266" spans="1:20" hidden="1" x14ac:dyDescent="0.25">
      <c r="A1266" t="s">
        <v>1284</v>
      </c>
      <c r="B1266" s="1">
        <v>3.7100000000000001E-5</v>
      </c>
      <c r="C1266" s="1">
        <v>7.0900000000000002E-5</v>
      </c>
      <c r="D1266" s="1">
        <v>8.2200000000000006E-5</v>
      </c>
      <c r="E1266" s="1">
        <v>7.6299999999999998E-5</v>
      </c>
      <c r="F1266" s="1">
        <v>4.3399999999999998E-5</v>
      </c>
      <c r="G1266" s="1">
        <v>5.0399999999999999E-5</v>
      </c>
      <c r="H1266" s="1">
        <v>4.6E-5</v>
      </c>
      <c r="I1266" s="1">
        <v>3.8099999999999998E-5</v>
      </c>
      <c r="J1266" s="1">
        <v>2.9899999999999998E-5</v>
      </c>
      <c r="K1266" s="1">
        <v>6.3600000000000001E-5</v>
      </c>
      <c r="L1266" s="1">
        <v>5.2599999999999998E-5</v>
      </c>
      <c r="M1266" s="1">
        <v>2.87E-5</v>
      </c>
      <c r="N1266">
        <v>0</v>
      </c>
      <c r="O1266" s="1">
        <v>3.1699999999999998E-5</v>
      </c>
      <c r="P1266">
        <v>0</v>
      </c>
      <c r="Q1266" s="1">
        <v>2.5899999999999999E-5</v>
      </c>
      <c r="R1266" s="1">
        <v>2.1500000000000001E-5</v>
      </c>
      <c r="S1266" s="1">
        <v>2.3099999999999999E-5</v>
      </c>
      <c r="T1266" s="1">
        <v>2.3499999999999999E-5</v>
      </c>
    </row>
    <row r="1267" spans="1:20" hidden="1" x14ac:dyDescent="0.25">
      <c r="A1267" t="s">
        <v>1285</v>
      </c>
      <c r="B1267">
        <v>8.66495E-4</v>
      </c>
      <c r="C1267">
        <v>1.1817959999999999E-3</v>
      </c>
      <c r="D1267">
        <v>1.4177250000000001E-3</v>
      </c>
      <c r="E1267">
        <v>1.3456830000000001E-3</v>
      </c>
      <c r="F1267">
        <v>9.54641E-4</v>
      </c>
      <c r="G1267">
        <v>7.8620999999999997E-4</v>
      </c>
      <c r="H1267">
        <v>5.6626300000000001E-4</v>
      </c>
      <c r="I1267">
        <v>8.9779300000000003E-4</v>
      </c>
      <c r="J1267">
        <v>9.3638100000000002E-4</v>
      </c>
      <c r="K1267">
        <v>1.3046640000000001E-3</v>
      </c>
      <c r="L1267">
        <v>1.11853E-3</v>
      </c>
      <c r="M1267">
        <v>6.5500499999999995E-4</v>
      </c>
      <c r="N1267">
        <v>7.7603500000000001E-4</v>
      </c>
      <c r="O1267">
        <v>8.5375399999999997E-4</v>
      </c>
      <c r="P1267">
        <v>4.52783E-4</v>
      </c>
      <c r="Q1267">
        <v>2.1038900000000001E-4</v>
      </c>
      <c r="R1267">
        <v>2.3019499999999999E-4</v>
      </c>
      <c r="S1267">
        <v>3.0847999999999997E-4</v>
      </c>
      <c r="T1267">
        <v>3.5203300000000002E-4</v>
      </c>
    </row>
    <row r="1268" spans="1:20" hidden="1" x14ac:dyDescent="0.25">
      <c r="A1268" t="s">
        <v>1286</v>
      </c>
      <c r="B1268" s="1">
        <v>6.4399999999999993E-5</v>
      </c>
      <c r="C1268" s="1">
        <v>8.9699999999999998E-5</v>
      </c>
      <c r="D1268">
        <v>1.13164E-4</v>
      </c>
      <c r="E1268" s="1">
        <v>9.6799999999999995E-5</v>
      </c>
      <c r="F1268" s="1">
        <v>6.0099999999999997E-5</v>
      </c>
      <c r="G1268" s="1">
        <v>4.8600000000000002E-5</v>
      </c>
      <c r="H1268" s="1">
        <v>4.7299999999999998E-5</v>
      </c>
      <c r="I1268" s="1">
        <v>4.5899999999999998E-5</v>
      </c>
      <c r="J1268">
        <v>0</v>
      </c>
      <c r="K1268" s="1">
        <v>5.8999999999999998E-5</v>
      </c>
      <c r="L1268" s="1">
        <v>5.24E-5</v>
      </c>
      <c r="M1268" s="1">
        <v>3.2100000000000001E-5</v>
      </c>
      <c r="N1268" s="1">
        <v>3.04E-5</v>
      </c>
      <c r="O1268" s="1">
        <v>4.5899999999999998E-5</v>
      </c>
      <c r="P1268">
        <v>0</v>
      </c>
      <c r="Q1268">
        <v>0</v>
      </c>
      <c r="R1268">
        <v>0</v>
      </c>
      <c r="S1268">
        <v>0</v>
      </c>
      <c r="T1268" s="1">
        <v>8.3799999999999994E-6</v>
      </c>
    </row>
    <row r="1269" spans="1:20" hidden="1" x14ac:dyDescent="0.25">
      <c r="A1269" t="s">
        <v>1287</v>
      </c>
      <c r="B1269">
        <v>1.456918E-3</v>
      </c>
      <c r="C1269">
        <v>2.6349849999999998E-3</v>
      </c>
      <c r="D1269">
        <v>2.2099989999999998E-3</v>
      </c>
      <c r="E1269">
        <v>2.0181270000000002E-3</v>
      </c>
      <c r="F1269">
        <v>2.0235779999999998E-3</v>
      </c>
      <c r="G1269">
        <v>1.578112E-3</v>
      </c>
      <c r="H1269">
        <v>1.302802E-3</v>
      </c>
      <c r="I1269">
        <v>1.8562120000000001E-3</v>
      </c>
      <c r="J1269">
        <v>2.0219180000000002E-3</v>
      </c>
      <c r="K1269">
        <v>2.0305430000000001E-3</v>
      </c>
      <c r="L1269">
        <v>1.8246250000000001E-3</v>
      </c>
      <c r="M1269">
        <v>1.159855E-3</v>
      </c>
      <c r="N1269">
        <v>1.7349679999999999E-3</v>
      </c>
      <c r="O1269">
        <v>1.5593650000000001E-3</v>
      </c>
      <c r="P1269">
        <v>8.6090699999999995E-4</v>
      </c>
      <c r="Q1269">
        <v>5.6023900000000003E-4</v>
      </c>
      <c r="R1269">
        <v>5.3250300000000003E-4</v>
      </c>
      <c r="S1269">
        <v>5.4479500000000004E-4</v>
      </c>
      <c r="T1269">
        <v>6.4709800000000003E-4</v>
      </c>
    </row>
    <row r="1270" spans="1:20" hidden="1" x14ac:dyDescent="0.25">
      <c r="A1270" t="s">
        <v>1288</v>
      </c>
      <c r="B1270">
        <v>1.1150300000000001E-4</v>
      </c>
      <c r="C1270" s="1">
        <v>9.0600000000000007E-5</v>
      </c>
      <c r="D1270">
        <v>1.10529E-4</v>
      </c>
      <c r="E1270" s="1">
        <v>9.6299999999999996E-5</v>
      </c>
      <c r="F1270" s="1">
        <v>8.4400000000000005E-5</v>
      </c>
      <c r="G1270" s="1">
        <v>6.4900000000000005E-5</v>
      </c>
      <c r="H1270" s="1">
        <v>6.05E-5</v>
      </c>
      <c r="I1270" s="1">
        <v>7.6100000000000007E-5</v>
      </c>
      <c r="J1270" s="1">
        <v>7.5300000000000001E-5</v>
      </c>
      <c r="K1270" s="1">
        <v>6.9999999999999994E-5</v>
      </c>
      <c r="L1270" s="1">
        <v>7.6199999999999995E-5</v>
      </c>
      <c r="M1270" s="1">
        <v>5.6799999999999998E-5</v>
      </c>
      <c r="N1270" s="1">
        <v>5.6900000000000001E-5</v>
      </c>
      <c r="O1270" s="1">
        <v>8.7200000000000005E-5</v>
      </c>
      <c r="P1270" s="1">
        <v>4.8300000000000002E-5</v>
      </c>
      <c r="Q1270" s="1">
        <v>3.1199999999999999E-5</v>
      </c>
      <c r="R1270" s="1">
        <v>3.3599999999999997E-5</v>
      </c>
      <c r="S1270" s="1">
        <v>2.0599999999999999E-5</v>
      </c>
      <c r="T1270" s="1">
        <v>2.97E-5</v>
      </c>
    </row>
    <row r="1271" spans="1:20" hidden="1" x14ac:dyDescent="0.25">
      <c r="A1271" t="s">
        <v>1289</v>
      </c>
      <c r="B1271">
        <v>1.4815999999999999E-4</v>
      </c>
      <c r="C1271" s="1">
        <v>9.6799999999999995E-5</v>
      </c>
      <c r="D1271" s="1">
        <v>7.6500000000000003E-5</v>
      </c>
      <c r="E1271" s="1">
        <v>5.27E-5</v>
      </c>
      <c r="F1271">
        <v>2.31852E-4</v>
      </c>
      <c r="G1271">
        <v>2.14828E-4</v>
      </c>
      <c r="H1271">
        <v>1.67866E-4</v>
      </c>
      <c r="I1271">
        <v>2.8664400000000002E-4</v>
      </c>
      <c r="J1271">
        <v>1.01259E-4</v>
      </c>
      <c r="K1271" s="1">
        <v>9.6000000000000002E-5</v>
      </c>
      <c r="L1271">
        <v>1.16165E-4</v>
      </c>
      <c r="M1271">
        <v>1.9439300000000001E-4</v>
      </c>
      <c r="N1271">
        <v>2.8702300000000002E-4</v>
      </c>
      <c r="O1271" s="1">
        <v>9.8300000000000004E-5</v>
      </c>
      <c r="P1271">
        <v>2.24451E-4</v>
      </c>
      <c r="Q1271">
        <v>6.9063499999999999E-4</v>
      </c>
      <c r="R1271">
        <v>2.6573699999999999E-4</v>
      </c>
      <c r="S1271">
        <v>3.2306700000000002E-4</v>
      </c>
      <c r="T1271">
        <v>7.9859799999999997E-4</v>
      </c>
    </row>
    <row r="1272" spans="1:20" hidden="1" x14ac:dyDescent="0.25">
      <c r="A1272" t="s">
        <v>1290</v>
      </c>
      <c r="B1272" s="1">
        <v>2.3799999999999999E-5</v>
      </c>
      <c r="C1272">
        <v>0</v>
      </c>
      <c r="D1272">
        <v>0</v>
      </c>
      <c r="E1272">
        <v>0</v>
      </c>
      <c r="F1272" s="1">
        <v>2.5400000000000001E-5</v>
      </c>
      <c r="G1272" s="1">
        <v>2.8900000000000001E-5</v>
      </c>
      <c r="H1272" s="1">
        <v>2.26E-5</v>
      </c>
      <c r="I1272" s="1">
        <v>2.65E-5</v>
      </c>
      <c r="J1272">
        <v>0</v>
      </c>
      <c r="K1272">
        <v>0</v>
      </c>
      <c r="L1272">
        <v>0</v>
      </c>
      <c r="M1272" s="1">
        <v>3.1099999999999997E-5</v>
      </c>
      <c r="N1272" s="1">
        <v>4.71E-5</v>
      </c>
      <c r="O1272">
        <v>0</v>
      </c>
      <c r="P1272" s="1">
        <v>5.2299999999999997E-5</v>
      </c>
      <c r="Q1272">
        <v>1.2759300000000001E-4</v>
      </c>
      <c r="R1272" s="1">
        <v>6.5300000000000002E-5</v>
      </c>
      <c r="S1272" s="1">
        <v>4.3699999999999998E-5</v>
      </c>
      <c r="T1272">
        <v>1.7061999999999999E-4</v>
      </c>
    </row>
    <row r="1273" spans="1:20" hidden="1" x14ac:dyDescent="0.25">
      <c r="A1273" t="s">
        <v>1291</v>
      </c>
      <c r="B1273">
        <v>4.8500870000000003E-3</v>
      </c>
      <c r="C1273">
        <v>3.6894079999999999E-3</v>
      </c>
      <c r="D1273">
        <v>3.2981590000000002E-3</v>
      </c>
      <c r="E1273">
        <v>3.5446150000000001E-3</v>
      </c>
      <c r="F1273">
        <v>5.7465779999999996E-3</v>
      </c>
      <c r="G1273">
        <v>4.385407E-3</v>
      </c>
      <c r="H1273">
        <v>3.6719600000000002E-3</v>
      </c>
      <c r="I1273">
        <v>5.2655660000000002E-3</v>
      </c>
      <c r="J1273">
        <v>6.3562590000000004E-3</v>
      </c>
      <c r="K1273">
        <v>3.3442490000000001E-3</v>
      </c>
      <c r="L1273">
        <v>3.4888810000000001E-3</v>
      </c>
      <c r="M1273">
        <v>4.756924E-3</v>
      </c>
      <c r="N1273">
        <v>5.7143890000000003E-3</v>
      </c>
      <c r="O1273">
        <v>5.2400399999999996E-3</v>
      </c>
      <c r="P1273">
        <v>7.4801770000000002E-3</v>
      </c>
      <c r="Q1273">
        <v>9.0475820000000002E-3</v>
      </c>
      <c r="R1273">
        <v>8.7822449999999993E-3</v>
      </c>
      <c r="S1273">
        <v>8.8902789999999992E-3</v>
      </c>
      <c r="T1273">
        <v>8.6052379999999994E-3</v>
      </c>
    </row>
    <row r="1274" spans="1:20" hidden="1" x14ac:dyDescent="0.25">
      <c r="A1274" t="s">
        <v>1292</v>
      </c>
      <c r="B1274">
        <v>4.824175E-3</v>
      </c>
      <c r="C1274">
        <v>3.4674649999999999E-3</v>
      </c>
      <c r="D1274">
        <v>3.719642E-3</v>
      </c>
      <c r="E1274">
        <v>3.6107069999999999E-3</v>
      </c>
      <c r="F1274">
        <v>4.3350000000000003E-3</v>
      </c>
      <c r="G1274">
        <v>3.3140779999999998E-3</v>
      </c>
      <c r="H1274">
        <v>3.3842579999999998E-3</v>
      </c>
      <c r="I1274">
        <v>4.1806439999999999E-3</v>
      </c>
      <c r="J1274">
        <v>4.5601909999999999E-3</v>
      </c>
      <c r="K1274">
        <v>3.4710029999999998E-3</v>
      </c>
      <c r="L1274">
        <v>3.489565E-3</v>
      </c>
      <c r="M1274">
        <v>4.2092099999999997E-3</v>
      </c>
      <c r="N1274">
        <v>4.3817639999999998E-3</v>
      </c>
      <c r="O1274">
        <v>4.9022479999999997E-3</v>
      </c>
      <c r="P1274">
        <v>4.4348820000000002E-3</v>
      </c>
      <c r="Q1274">
        <v>2.9541260000000001E-3</v>
      </c>
      <c r="R1274">
        <v>2.6551140000000001E-3</v>
      </c>
      <c r="S1274">
        <v>2.7651339999999998E-3</v>
      </c>
      <c r="T1274">
        <v>2.6276649999999999E-3</v>
      </c>
    </row>
    <row r="1275" spans="1:20" hidden="1" x14ac:dyDescent="0.25">
      <c r="A1275" t="s">
        <v>1293</v>
      </c>
      <c r="B1275">
        <v>1.6866799999999999E-4</v>
      </c>
      <c r="C1275" s="1">
        <v>5.6900000000000001E-5</v>
      </c>
      <c r="D1275" s="1">
        <v>6.0399999999999998E-5</v>
      </c>
      <c r="E1275" s="1">
        <v>3.93E-5</v>
      </c>
      <c r="F1275">
        <v>2.4883499999999999E-4</v>
      </c>
      <c r="G1275">
        <v>1.67763E-4</v>
      </c>
      <c r="H1275">
        <v>2.30106E-4</v>
      </c>
      <c r="I1275">
        <v>1.4583E-4</v>
      </c>
      <c r="J1275">
        <v>1.9443600000000001E-4</v>
      </c>
      <c r="K1275" s="1">
        <v>9.2100000000000003E-5</v>
      </c>
      <c r="L1275">
        <v>0</v>
      </c>
      <c r="M1275">
        <v>2.2644900000000001E-4</v>
      </c>
      <c r="N1275">
        <v>2.5418800000000003E-4</v>
      </c>
      <c r="O1275">
        <v>1.3544499999999999E-4</v>
      </c>
      <c r="P1275">
        <v>4.2948200000000002E-4</v>
      </c>
      <c r="Q1275">
        <v>7.7382000000000004E-4</v>
      </c>
      <c r="R1275">
        <v>4.96019E-4</v>
      </c>
      <c r="S1275">
        <v>4.2683800000000002E-4</v>
      </c>
      <c r="T1275">
        <v>1.1796829999999999E-3</v>
      </c>
    </row>
    <row r="1276" spans="1:20" hidden="1" x14ac:dyDescent="0.25">
      <c r="A1276" t="s">
        <v>1294</v>
      </c>
      <c r="B1276">
        <v>0</v>
      </c>
      <c r="C1276">
        <v>0</v>
      </c>
      <c r="D1276">
        <v>0</v>
      </c>
      <c r="E1276">
        <v>0</v>
      </c>
      <c r="F1276">
        <v>0</v>
      </c>
      <c r="G1276" s="1">
        <v>8.3100000000000001E-5</v>
      </c>
      <c r="H1276" s="1">
        <v>3.3200000000000001E-5</v>
      </c>
      <c r="I1276">
        <v>0</v>
      </c>
      <c r="J1276" s="1">
        <v>3.1199999999999999E-5</v>
      </c>
      <c r="K1276" s="1">
        <v>2.19E-5</v>
      </c>
      <c r="L1276" s="1">
        <v>2.0299999999999999E-5</v>
      </c>
      <c r="M1276" s="1">
        <v>3.4799999999999999E-5</v>
      </c>
      <c r="N1276">
        <v>0</v>
      </c>
      <c r="O1276" s="1">
        <v>1.5999999999999999E-5</v>
      </c>
      <c r="P1276" s="1">
        <v>8.6100000000000006E-5</v>
      </c>
      <c r="Q1276">
        <v>1.16325E-4</v>
      </c>
      <c r="R1276" s="1">
        <v>9.9099999999999996E-5</v>
      </c>
      <c r="S1276">
        <v>1.79259E-4</v>
      </c>
      <c r="T1276">
        <v>1.40715E-4</v>
      </c>
    </row>
    <row r="1277" spans="1:20" hidden="1" x14ac:dyDescent="0.25">
      <c r="A1277" t="s">
        <v>1295</v>
      </c>
      <c r="B1277">
        <v>5.3657800000000001E-4</v>
      </c>
      <c r="C1277">
        <v>7.2189800000000001E-4</v>
      </c>
      <c r="D1277">
        <v>7.3276600000000004E-4</v>
      </c>
      <c r="E1277">
        <v>6.7862800000000002E-4</v>
      </c>
      <c r="F1277">
        <v>6.1905599999999999E-4</v>
      </c>
      <c r="G1277">
        <v>6.9102200000000001E-4</v>
      </c>
      <c r="H1277">
        <v>5.9938600000000004E-4</v>
      </c>
      <c r="I1277">
        <v>6.3330899999999998E-4</v>
      </c>
      <c r="J1277">
        <v>7.9329800000000001E-4</v>
      </c>
      <c r="K1277">
        <v>6.43791E-4</v>
      </c>
      <c r="L1277">
        <v>6.9367400000000003E-4</v>
      </c>
      <c r="M1277">
        <v>3.8898699999999998E-4</v>
      </c>
      <c r="N1277">
        <v>4.9277000000000001E-4</v>
      </c>
      <c r="O1277">
        <v>6.30735E-4</v>
      </c>
      <c r="P1277">
        <v>5.0181399999999995E-4</v>
      </c>
      <c r="Q1277">
        <v>4.2272499999999999E-4</v>
      </c>
      <c r="R1277">
        <v>4.6013500000000003E-4</v>
      </c>
      <c r="S1277">
        <v>8.1491799999999998E-4</v>
      </c>
      <c r="T1277">
        <v>4.3426800000000002E-4</v>
      </c>
    </row>
    <row r="1278" spans="1:20" hidden="1" x14ac:dyDescent="0.25">
      <c r="A1278" t="s">
        <v>1296</v>
      </c>
      <c r="B1278">
        <v>3.061626E-3</v>
      </c>
      <c r="C1278">
        <v>2.1475880000000002E-3</v>
      </c>
      <c r="D1278">
        <v>2.5596960000000002E-3</v>
      </c>
      <c r="E1278">
        <v>2.5792060000000001E-3</v>
      </c>
      <c r="F1278">
        <v>4.0909759999999996E-3</v>
      </c>
      <c r="G1278">
        <v>3.9580140000000002E-3</v>
      </c>
      <c r="H1278">
        <v>2.7691059999999999E-3</v>
      </c>
      <c r="I1278">
        <v>3.4336530000000001E-3</v>
      </c>
      <c r="J1278">
        <v>4.8555769999999998E-3</v>
      </c>
      <c r="K1278">
        <v>2.919301E-3</v>
      </c>
      <c r="L1278">
        <v>3.8955029999999998E-3</v>
      </c>
      <c r="M1278">
        <v>3.8335180000000002E-3</v>
      </c>
      <c r="N1278">
        <v>5.0115280000000003E-3</v>
      </c>
      <c r="O1278">
        <v>4.2276090000000002E-3</v>
      </c>
      <c r="P1278">
        <v>6.3857510000000003E-3</v>
      </c>
      <c r="Q1278">
        <v>1.3600101E-2</v>
      </c>
      <c r="R1278">
        <v>1.0244636999999999E-2</v>
      </c>
      <c r="S1278">
        <v>1.1895559999999999E-2</v>
      </c>
      <c r="T1278">
        <v>1.1635046E-2</v>
      </c>
    </row>
    <row r="1279" spans="1:20" hidden="1" x14ac:dyDescent="0.25">
      <c r="A1279" t="s">
        <v>1297</v>
      </c>
      <c r="B1279" s="1">
        <v>8.2399999999999997E-5</v>
      </c>
      <c r="C1279">
        <v>1.06742E-4</v>
      </c>
      <c r="D1279">
        <v>1.25575E-4</v>
      </c>
      <c r="E1279" s="1">
        <v>9.1199999999999994E-5</v>
      </c>
      <c r="F1279" s="1">
        <v>6.6199999999999996E-5</v>
      </c>
      <c r="G1279" s="1">
        <v>7.5799999999999999E-5</v>
      </c>
      <c r="H1279" s="1">
        <v>4.8199999999999999E-5</v>
      </c>
      <c r="I1279" s="1">
        <v>5.41E-5</v>
      </c>
      <c r="J1279" s="1">
        <v>7.08E-5</v>
      </c>
      <c r="K1279" s="1">
        <v>7.8899999999999993E-5</v>
      </c>
      <c r="L1279" s="1">
        <v>9.2899999999999995E-5</v>
      </c>
      <c r="M1279" s="1">
        <v>4.1699999999999997E-5</v>
      </c>
      <c r="N1279" s="1">
        <v>2.02E-5</v>
      </c>
      <c r="O1279" s="1">
        <v>9.2100000000000003E-5</v>
      </c>
      <c r="P1279" s="1">
        <v>3.8500000000000001E-5</v>
      </c>
      <c r="Q1279" s="1">
        <v>1.3900000000000001E-5</v>
      </c>
      <c r="R1279" s="1">
        <v>2.3600000000000001E-5</v>
      </c>
      <c r="S1279" s="1">
        <v>1.43E-5</v>
      </c>
      <c r="T1279" s="1">
        <v>1.4E-5</v>
      </c>
    </row>
    <row r="1280" spans="1:20" hidden="1" x14ac:dyDescent="0.25">
      <c r="A1280" t="s">
        <v>1298</v>
      </c>
      <c r="B1280" s="1">
        <v>3.1199999999999999E-5</v>
      </c>
      <c r="C1280" s="1">
        <v>4.4499999999999997E-5</v>
      </c>
      <c r="D1280" s="1">
        <v>5.6700000000000003E-5</v>
      </c>
      <c r="E1280" s="1">
        <v>3.0499999999999999E-5</v>
      </c>
      <c r="F1280" s="1">
        <v>3.8800000000000001E-5</v>
      </c>
      <c r="G1280" s="1">
        <v>7.4999999999999993E-5</v>
      </c>
      <c r="H1280" s="1">
        <v>4.2599999999999999E-5</v>
      </c>
      <c r="I1280" s="1">
        <v>6.4999999999999994E-5</v>
      </c>
      <c r="J1280" s="1">
        <v>5.7399999999999999E-5</v>
      </c>
      <c r="K1280" s="1">
        <v>4.07E-5</v>
      </c>
      <c r="L1280" s="1">
        <v>9.2200000000000005E-5</v>
      </c>
      <c r="M1280" s="1">
        <v>4.1900000000000002E-5</v>
      </c>
      <c r="N1280" s="1">
        <v>2.3099999999999999E-5</v>
      </c>
      <c r="O1280" s="1">
        <v>5.3300000000000001E-5</v>
      </c>
      <c r="P1280" s="1">
        <v>2.87E-5</v>
      </c>
      <c r="Q1280" s="1">
        <v>1.77E-5</v>
      </c>
      <c r="R1280" s="1">
        <v>2.2799999999999999E-5</v>
      </c>
      <c r="S1280" s="1">
        <v>2.23E-5</v>
      </c>
      <c r="T1280" s="1">
        <v>2.5599999999999999E-5</v>
      </c>
    </row>
    <row r="1281" spans="1:20" hidden="1" x14ac:dyDescent="0.25">
      <c r="A1281" t="s">
        <v>1299</v>
      </c>
      <c r="B1281" s="1">
        <v>1.4399999999999999E-5</v>
      </c>
      <c r="C1281" s="1">
        <v>1.88E-5</v>
      </c>
      <c r="D1281" s="1">
        <v>1.0900000000000001E-5</v>
      </c>
      <c r="E1281" s="1">
        <v>1.4800000000000001E-5</v>
      </c>
      <c r="F1281" s="1">
        <v>8.3899999999999993E-6</v>
      </c>
      <c r="G1281">
        <v>0</v>
      </c>
      <c r="H1281" s="1">
        <v>2.02E-5</v>
      </c>
      <c r="I1281" s="1">
        <v>1.43E-5</v>
      </c>
      <c r="J1281">
        <v>0</v>
      </c>
      <c r="K1281" s="1">
        <v>7.9899999999999997E-6</v>
      </c>
      <c r="L1281" s="1">
        <v>1.03E-5</v>
      </c>
      <c r="M1281" s="1">
        <v>9.5899999999999997E-6</v>
      </c>
      <c r="N1281" s="1">
        <v>5.7100000000000004E-6</v>
      </c>
      <c r="O1281" s="1">
        <v>4.8099999999999997E-6</v>
      </c>
      <c r="P1281" s="1">
        <v>7.79E-6</v>
      </c>
      <c r="Q1281" s="1">
        <v>1.34E-5</v>
      </c>
      <c r="R1281" s="1">
        <v>1.1800000000000001E-5</v>
      </c>
      <c r="S1281" s="1">
        <v>1.0900000000000001E-5</v>
      </c>
      <c r="T1281" s="1">
        <v>1.08E-5</v>
      </c>
    </row>
    <row r="1282" spans="1:20" hidden="1" x14ac:dyDescent="0.25">
      <c r="A1282" t="s">
        <v>1300</v>
      </c>
      <c r="B1282">
        <v>0</v>
      </c>
      <c r="C1282" s="1">
        <v>4.4900000000000002E-6</v>
      </c>
      <c r="D1282" s="1">
        <v>6.2500000000000003E-6</v>
      </c>
      <c r="E1282" s="1">
        <v>5.57E-6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s="1">
        <v>2.92E-6</v>
      </c>
      <c r="S1282">
        <v>0</v>
      </c>
      <c r="T1282">
        <v>0</v>
      </c>
    </row>
    <row r="1283" spans="1:20" hidden="1" x14ac:dyDescent="0.25">
      <c r="A1283" t="s">
        <v>1301</v>
      </c>
      <c r="B1283">
        <v>2.1217799999999999E-4</v>
      </c>
      <c r="C1283">
        <v>2.7947699999999998E-4</v>
      </c>
      <c r="D1283">
        <v>3.0729800000000001E-4</v>
      </c>
      <c r="E1283">
        <v>2.9565899999999998E-4</v>
      </c>
      <c r="F1283">
        <v>4.2545400000000002E-4</v>
      </c>
      <c r="G1283">
        <v>2.5797999999999999E-4</v>
      </c>
      <c r="H1283">
        <v>2.3837399999999999E-4</v>
      </c>
      <c r="I1283">
        <v>2.7271100000000003E-4</v>
      </c>
      <c r="J1283">
        <v>3.03331E-4</v>
      </c>
      <c r="K1283">
        <v>2.3216600000000001E-4</v>
      </c>
      <c r="L1283">
        <v>2.09419E-4</v>
      </c>
      <c r="M1283">
        <v>1.75253E-4</v>
      </c>
      <c r="N1283">
        <v>1.2509700000000001E-4</v>
      </c>
      <c r="O1283">
        <v>2.5483899999999998E-4</v>
      </c>
      <c r="P1283">
        <v>1.79204E-4</v>
      </c>
      <c r="Q1283">
        <v>1.8341000000000001E-4</v>
      </c>
      <c r="R1283">
        <v>1.8086400000000001E-4</v>
      </c>
      <c r="S1283">
        <v>1.3990699999999999E-4</v>
      </c>
      <c r="T1283">
        <v>1.5758300000000001E-4</v>
      </c>
    </row>
    <row r="1284" spans="1:20" hidden="1" x14ac:dyDescent="0.25">
      <c r="A1284" t="s">
        <v>1302</v>
      </c>
      <c r="B1284" s="1">
        <v>3.4E-5</v>
      </c>
      <c r="C1284">
        <v>1.2808399999999999E-4</v>
      </c>
      <c r="D1284">
        <v>1.07317E-4</v>
      </c>
      <c r="E1284" s="1">
        <v>4.5399999999999999E-5</v>
      </c>
      <c r="F1284">
        <v>1.2804099999999999E-4</v>
      </c>
      <c r="G1284">
        <v>1.7681899999999999E-4</v>
      </c>
      <c r="H1284">
        <v>0</v>
      </c>
      <c r="I1284" s="1">
        <v>6.3700000000000003E-5</v>
      </c>
      <c r="J1284" s="1">
        <v>5.6799999999999998E-5</v>
      </c>
      <c r="K1284">
        <v>1.14968E-4</v>
      </c>
      <c r="L1284">
        <v>1.49087E-4</v>
      </c>
      <c r="M1284" s="1">
        <v>6.9300000000000004E-5</v>
      </c>
      <c r="N1284" s="1">
        <v>5.2200000000000002E-5</v>
      </c>
      <c r="O1284" s="1">
        <v>5.1199999999999998E-5</v>
      </c>
      <c r="P1284" s="1">
        <v>9.6700000000000006E-5</v>
      </c>
      <c r="Q1284">
        <v>1.6715600000000001E-4</v>
      </c>
      <c r="R1284">
        <v>1.84475E-4</v>
      </c>
      <c r="S1284">
        <v>3.3868400000000001E-4</v>
      </c>
      <c r="T1284">
        <v>1.50428E-4</v>
      </c>
    </row>
    <row r="1285" spans="1:20" hidden="1" x14ac:dyDescent="0.25">
      <c r="A1285" t="s">
        <v>1303</v>
      </c>
      <c r="B1285">
        <v>1.88748E-4</v>
      </c>
      <c r="C1285">
        <v>1.50381E-4</v>
      </c>
      <c r="D1285">
        <v>2.52775E-4</v>
      </c>
      <c r="E1285">
        <v>2.4679299999999998E-4</v>
      </c>
      <c r="F1285">
        <v>2.6895899999999998E-4</v>
      </c>
      <c r="G1285">
        <v>1.9906399999999999E-4</v>
      </c>
      <c r="H1285">
        <v>1.19914E-4</v>
      </c>
      <c r="I1285">
        <v>1.46272E-4</v>
      </c>
      <c r="J1285">
        <v>1.6979500000000001E-4</v>
      </c>
      <c r="K1285">
        <v>1.6218999999999999E-4</v>
      </c>
      <c r="L1285">
        <v>1.68436E-4</v>
      </c>
      <c r="M1285">
        <v>1.6949099999999999E-4</v>
      </c>
      <c r="N1285">
        <v>1.3841299999999999E-4</v>
      </c>
      <c r="O1285">
        <v>1.89867E-4</v>
      </c>
      <c r="P1285">
        <v>1.617E-4</v>
      </c>
      <c r="Q1285">
        <v>1.4219699999999999E-4</v>
      </c>
      <c r="R1285">
        <v>1.19727E-4</v>
      </c>
      <c r="S1285">
        <v>1.4852499999999999E-4</v>
      </c>
      <c r="T1285">
        <v>1.63451E-4</v>
      </c>
    </row>
    <row r="1286" spans="1:20" hidden="1" x14ac:dyDescent="0.25">
      <c r="A1286" t="s">
        <v>1304</v>
      </c>
      <c r="B1286">
        <v>1.7331399999999999E-4</v>
      </c>
      <c r="C1286">
        <v>2.28698E-4</v>
      </c>
      <c r="D1286">
        <v>4.0381599999999998E-4</v>
      </c>
      <c r="E1286">
        <v>3.4433499999999998E-4</v>
      </c>
      <c r="F1286">
        <v>4.1464300000000002E-4</v>
      </c>
      <c r="G1286">
        <v>1.87049E-4</v>
      </c>
      <c r="H1286">
        <v>1.8881599999999999E-4</v>
      </c>
      <c r="I1286">
        <v>2.52286E-4</v>
      </c>
      <c r="J1286">
        <v>2.6285799999999998E-4</v>
      </c>
      <c r="K1286">
        <v>2.1965799999999999E-4</v>
      </c>
      <c r="L1286">
        <v>2.6792800000000001E-4</v>
      </c>
      <c r="M1286">
        <v>1.49185E-4</v>
      </c>
      <c r="N1286">
        <v>1.13278E-4</v>
      </c>
      <c r="O1286">
        <v>2.7010499999999998E-4</v>
      </c>
      <c r="P1286">
        <v>1.46682E-4</v>
      </c>
      <c r="Q1286">
        <v>1.23051E-4</v>
      </c>
      <c r="R1286">
        <v>1.1684900000000001E-4</v>
      </c>
      <c r="S1286">
        <v>1.01445E-4</v>
      </c>
      <c r="T1286">
        <v>1.3441500000000001E-4</v>
      </c>
    </row>
    <row r="1287" spans="1:20" hidden="1" x14ac:dyDescent="0.25">
      <c r="A1287" t="s">
        <v>1305</v>
      </c>
      <c r="B1287">
        <v>1.4291299999999999E-4</v>
      </c>
      <c r="C1287">
        <v>1.7065299999999999E-4</v>
      </c>
      <c r="D1287">
        <v>1.68982E-4</v>
      </c>
      <c r="E1287">
        <v>2.14265E-4</v>
      </c>
      <c r="F1287">
        <v>1.1822E-4</v>
      </c>
      <c r="G1287">
        <v>1.8073199999999999E-4</v>
      </c>
      <c r="H1287">
        <v>1.92809E-4</v>
      </c>
      <c r="I1287">
        <v>2.3098699999999999E-4</v>
      </c>
      <c r="J1287">
        <v>1.74134E-4</v>
      </c>
      <c r="K1287">
        <v>2.3235399999999999E-4</v>
      </c>
      <c r="L1287">
        <v>1.7180900000000001E-4</v>
      </c>
      <c r="M1287">
        <v>1.8809E-4</v>
      </c>
      <c r="N1287">
        <v>1.40641E-4</v>
      </c>
      <c r="O1287">
        <v>1.3149599999999999E-4</v>
      </c>
      <c r="P1287">
        <v>1.9603000000000001E-4</v>
      </c>
      <c r="Q1287">
        <v>1.8666900000000001E-4</v>
      </c>
      <c r="R1287">
        <v>2.0209700000000001E-4</v>
      </c>
      <c r="S1287">
        <v>3.0876599999999998E-4</v>
      </c>
      <c r="T1287">
        <v>3.27728E-4</v>
      </c>
    </row>
    <row r="1288" spans="1:20" hidden="1" x14ac:dyDescent="0.25">
      <c r="A1288" t="s">
        <v>1306</v>
      </c>
      <c r="B1288" s="1">
        <v>1.2999999999999999E-5</v>
      </c>
      <c r="C1288" s="1">
        <v>4.7899999999999999E-5</v>
      </c>
      <c r="D1288" s="1">
        <v>8.8300000000000005E-5</v>
      </c>
      <c r="E1288" s="1">
        <v>7.3200000000000004E-5</v>
      </c>
      <c r="F1288" s="1">
        <v>5.8799999999999999E-5</v>
      </c>
      <c r="G1288" s="1">
        <v>5.1E-5</v>
      </c>
      <c r="H1288" s="1">
        <v>4.4700000000000002E-5</v>
      </c>
      <c r="I1288" s="1">
        <v>3.2199999999999997E-5</v>
      </c>
      <c r="J1288" s="1">
        <v>3.4900000000000001E-5</v>
      </c>
      <c r="K1288" s="1">
        <v>6.7399999999999998E-5</v>
      </c>
      <c r="L1288" s="1">
        <v>6.1699999999999995E-5</v>
      </c>
      <c r="M1288" s="1">
        <v>4.8399999999999997E-5</v>
      </c>
      <c r="N1288" s="1">
        <v>3.29E-5</v>
      </c>
      <c r="O1288" s="1">
        <v>2.7699999999999999E-5</v>
      </c>
      <c r="P1288" s="1">
        <v>2.5199999999999999E-5</v>
      </c>
      <c r="Q1288" s="1">
        <v>2.65E-5</v>
      </c>
      <c r="R1288">
        <v>0</v>
      </c>
      <c r="S1288" s="1">
        <v>1.8300000000000001E-5</v>
      </c>
      <c r="T1288" s="1">
        <v>4.46E-5</v>
      </c>
    </row>
    <row r="1289" spans="1:20" hidden="1" x14ac:dyDescent="0.25">
      <c r="A1289" t="s">
        <v>1307</v>
      </c>
      <c r="B1289">
        <v>0</v>
      </c>
      <c r="C1289" s="1">
        <v>2.69E-5</v>
      </c>
      <c r="D1289" s="1">
        <v>2.8099999999999999E-5</v>
      </c>
      <c r="E1289" s="1">
        <v>1.6799999999999998E-5</v>
      </c>
      <c r="F1289" s="1">
        <v>1.3499999999999999E-5</v>
      </c>
      <c r="G1289">
        <v>0</v>
      </c>
      <c r="H1289">
        <v>0</v>
      </c>
      <c r="I1289">
        <v>0</v>
      </c>
      <c r="J1289">
        <v>0</v>
      </c>
      <c r="K1289" s="1">
        <v>1.03E-5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hidden="1" x14ac:dyDescent="0.25">
      <c r="A1290" t="s">
        <v>1308</v>
      </c>
      <c r="B1290" s="1">
        <v>2.58E-5</v>
      </c>
      <c r="C1290" s="1">
        <v>6.05E-5</v>
      </c>
      <c r="D1290" s="1">
        <v>8.1799999999999996E-5</v>
      </c>
      <c r="E1290">
        <v>1.2392499999999999E-4</v>
      </c>
      <c r="F1290" s="1">
        <v>9.5099999999999994E-5</v>
      </c>
      <c r="G1290" s="1">
        <v>5.0699999999999999E-5</v>
      </c>
      <c r="H1290" s="1">
        <v>4.85E-5</v>
      </c>
      <c r="I1290" s="1">
        <v>4.5599999999999997E-5</v>
      </c>
      <c r="J1290" s="1">
        <v>3.9700000000000003E-5</v>
      </c>
      <c r="K1290" s="1">
        <v>7.3999999999999996E-5</v>
      </c>
      <c r="L1290" s="1">
        <v>4.85E-5</v>
      </c>
      <c r="M1290" s="1">
        <v>4.5000000000000003E-5</v>
      </c>
      <c r="N1290" s="1">
        <v>3.2299999999999999E-5</v>
      </c>
      <c r="O1290" s="1">
        <v>3.3800000000000002E-5</v>
      </c>
      <c r="P1290">
        <v>0</v>
      </c>
      <c r="Q1290" s="1">
        <v>3.15E-5</v>
      </c>
      <c r="R1290">
        <v>0</v>
      </c>
      <c r="S1290" s="1">
        <v>2.83E-5</v>
      </c>
      <c r="T1290" s="1">
        <v>3.6300000000000001E-5</v>
      </c>
    </row>
    <row r="1291" spans="1:20" hidden="1" x14ac:dyDescent="0.25">
      <c r="A1291" t="s">
        <v>1309</v>
      </c>
      <c r="B1291">
        <v>0</v>
      </c>
      <c r="C1291" s="1">
        <v>3.2199999999999997E-5</v>
      </c>
      <c r="D1291" s="1">
        <v>2.27E-5</v>
      </c>
      <c r="E1291" s="1">
        <v>2.3E-5</v>
      </c>
      <c r="F1291" s="1">
        <v>9.0400000000000002E-5</v>
      </c>
      <c r="G1291">
        <v>2.0996200000000001E-4</v>
      </c>
      <c r="H1291" s="1">
        <v>8.6799999999999996E-5</v>
      </c>
      <c r="I1291" s="1">
        <v>8.2899999999999996E-5</v>
      </c>
      <c r="J1291" s="1">
        <v>8.0599999999999994E-5</v>
      </c>
      <c r="K1291" s="1">
        <v>7.0900000000000002E-5</v>
      </c>
      <c r="L1291" s="1">
        <v>6.9999999999999994E-5</v>
      </c>
      <c r="M1291" s="1">
        <v>7.0500000000000006E-5</v>
      </c>
      <c r="N1291" s="1">
        <v>8.2100000000000003E-5</v>
      </c>
      <c r="O1291" s="1">
        <v>3.9400000000000002E-5</v>
      </c>
      <c r="P1291">
        <v>1.56033E-4</v>
      </c>
      <c r="Q1291">
        <v>2.2684699999999999E-4</v>
      </c>
      <c r="R1291">
        <v>2.23391E-4</v>
      </c>
      <c r="S1291">
        <v>5.1215899999999999E-4</v>
      </c>
      <c r="T1291">
        <v>3.36989E-4</v>
      </c>
    </row>
    <row r="1292" spans="1:20" hidden="1" x14ac:dyDescent="0.25">
      <c r="A1292" t="s">
        <v>1310</v>
      </c>
      <c r="B1292">
        <v>0</v>
      </c>
      <c r="C1292">
        <v>0</v>
      </c>
      <c r="D1292">
        <v>0</v>
      </c>
      <c r="E1292">
        <v>0</v>
      </c>
      <c r="F1292">
        <v>0</v>
      </c>
      <c r="G1292" s="1">
        <v>3.9899999999999999E-6</v>
      </c>
      <c r="H1292" s="1">
        <v>2.9900000000000002E-6</v>
      </c>
      <c r="I1292" s="1">
        <v>2.0099999999999998E-6</v>
      </c>
      <c r="J1292">
        <v>0</v>
      </c>
      <c r="K1292" s="1">
        <v>1.8500000000000001E-6</v>
      </c>
      <c r="L1292" s="1">
        <v>2.4200000000000001E-6</v>
      </c>
      <c r="M1292">
        <v>0</v>
      </c>
      <c r="N1292">
        <v>0</v>
      </c>
      <c r="O1292">
        <v>0</v>
      </c>
      <c r="P1292">
        <v>0</v>
      </c>
      <c r="Q1292" s="1">
        <v>1.88E-6</v>
      </c>
      <c r="R1292" s="1">
        <v>1.44E-6</v>
      </c>
      <c r="S1292" s="1">
        <v>3.8199999999999998E-6</v>
      </c>
      <c r="T1292" s="1">
        <v>1.61E-6</v>
      </c>
    </row>
    <row r="1293" spans="1:20" hidden="1" x14ac:dyDescent="0.25">
      <c r="A1293" t="s">
        <v>1311</v>
      </c>
      <c r="B1293">
        <v>2.05818E-4</v>
      </c>
      <c r="C1293">
        <v>1.92623E-4</v>
      </c>
      <c r="D1293">
        <v>2.38879E-4</v>
      </c>
      <c r="E1293">
        <v>1.2303800000000001E-4</v>
      </c>
      <c r="F1293">
        <v>1.8381499999999999E-4</v>
      </c>
      <c r="G1293">
        <v>4.1909199999999998E-4</v>
      </c>
      <c r="H1293">
        <v>5.8524900000000003E-4</v>
      </c>
      <c r="I1293">
        <v>2.6242399999999998E-4</v>
      </c>
      <c r="J1293">
        <v>2.3571099999999999E-4</v>
      </c>
      <c r="K1293">
        <v>1.41734E-4</v>
      </c>
      <c r="L1293">
        <v>2.0579800000000001E-4</v>
      </c>
      <c r="M1293">
        <v>3.0569899999999999E-4</v>
      </c>
      <c r="N1293">
        <v>4.4032300000000001E-4</v>
      </c>
      <c r="O1293">
        <v>2.6454099999999997E-4</v>
      </c>
      <c r="P1293">
        <v>3.0991999999999999E-4</v>
      </c>
      <c r="Q1293">
        <v>5.664E-4</v>
      </c>
      <c r="R1293">
        <v>3.1220500000000002E-4</v>
      </c>
      <c r="S1293">
        <v>0</v>
      </c>
      <c r="T1293">
        <v>8.1656299999999997E-4</v>
      </c>
    </row>
    <row r="1294" spans="1:20" hidden="1" x14ac:dyDescent="0.25">
      <c r="A1294" t="s">
        <v>1312</v>
      </c>
      <c r="B1294">
        <v>0</v>
      </c>
      <c r="C1294">
        <v>0</v>
      </c>
      <c r="D1294">
        <v>0</v>
      </c>
      <c r="E1294">
        <v>0</v>
      </c>
      <c r="F1294" s="1">
        <v>5.22E-6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s="1">
        <v>3.9799999999999998E-5</v>
      </c>
      <c r="R1294" s="1">
        <v>3.1999999999999999E-5</v>
      </c>
      <c r="S1294" s="1">
        <v>5.2900000000000002E-6</v>
      </c>
      <c r="T1294" s="1">
        <v>5.1700000000000003E-5</v>
      </c>
    </row>
    <row r="1295" spans="1:20" hidden="1" x14ac:dyDescent="0.25">
      <c r="A1295" t="s">
        <v>1313</v>
      </c>
      <c r="B1295" s="1">
        <v>1.4600000000000001E-5</v>
      </c>
      <c r="C1295" s="1">
        <v>5.5500000000000001E-5</v>
      </c>
      <c r="D1295" s="1">
        <v>4.6699999999999997E-5</v>
      </c>
      <c r="E1295">
        <v>0</v>
      </c>
      <c r="F1295" s="1">
        <v>3.1000000000000001E-5</v>
      </c>
      <c r="G1295" s="1">
        <v>5.8300000000000001E-5</v>
      </c>
      <c r="H1295">
        <v>0</v>
      </c>
      <c r="I1295" s="1">
        <v>2.27E-5</v>
      </c>
      <c r="J1295">
        <v>0</v>
      </c>
      <c r="K1295" s="1">
        <v>2.9200000000000002E-5</v>
      </c>
      <c r="L1295" s="1">
        <v>3.9900000000000001E-5</v>
      </c>
      <c r="M1295">
        <v>0</v>
      </c>
      <c r="N1295">
        <v>0</v>
      </c>
      <c r="O1295">
        <v>0</v>
      </c>
      <c r="P1295" s="1">
        <v>3.0499999999999999E-5</v>
      </c>
      <c r="Q1295" s="1">
        <v>4.2500000000000003E-5</v>
      </c>
      <c r="R1295" s="1">
        <v>3.8099999999999998E-5</v>
      </c>
      <c r="S1295" s="1">
        <v>4.74E-5</v>
      </c>
      <c r="T1295" s="1">
        <v>6.5500000000000006E-5</v>
      </c>
    </row>
    <row r="1296" spans="1:20" hidden="1" x14ac:dyDescent="0.25">
      <c r="A1296" t="s">
        <v>1314</v>
      </c>
      <c r="B1296">
        <v>1.13124E-4</v>
      </c>
      <c r="C1296">
        <v>1.5059000000000001E-4</v>
      </c>
      <c r="D1296">
        <v>1.6932899999999999E-4</v>
      </c>
      <c r="E1296">
        <v>1.65964E-4</v>
      </c>
      <c r="F1296">
        <v>1.8469800000000001E-4</v>
      </c>
      <c r="G1296">
        <v>1.8478599999999999E-4</v>
      </c>
      <c r="H1296">
        <v>1.5437599999999999E-4</v>
      </c>
      <c r="I1296">
        <v>1.9597899999999999E-4</v>
      </c>
      <c r="J1296">
        <v>1.4411299999999999E-4</v>
      </c>
      <c r="K1296">
        <v>2.01258E-4</v>
      </c>
      <c r="L1296">
        <v>1.6442900000000001E-4</v>
      </c>
      <c r="M1296" s="1">
        <v>8.81E-5</v>
      </c>
      <c r="N1296">
        <v>1.49536E-4</v>
      </c>
      <c r="O1296">
        <v>1.6898799999999999E-4</v>
      </c>
      <c r="P1296">
        <v>1.5060400000000001E-4</v>
      </c>
      <c r="Q1296">
        <v>1.7573900000000001E-4</v>
      </c>
      <c r="R1296">
        <v>1.41092E-4</v>
      </c>
      <c r="S1296">
        <v>1.8605999999999999E-4</v>
      </c>
      <c r="T1296">
        <v>2.0476000000000001E-4</v>
      </c>
    </row>
    <row r="1297" spans="1:20" hidden="1" x14ac:dyDescent="0.25">
      <c r="A1297" t="s">
        <v>1315</v>
      </c>
      <c r="B1297">
        <v>0</v>
      </c>
      <c r="C1297">
        <v>0</v>
      </c>
      <c r="D1297" s="1">
        <v>2.4000000000000001E-5</v>
      </c>
      <c r="E1297" s="1">
        <v>2.3099999999999999E-5</v>
      </c>
      <c r="F1297">
        <v>0</v>
      </c>
      <c r="G1297" s="1">
        <v>2.34E-5</v>
      </c>
      <c r="H1297">
        <v>0</v>
      </c>
      <c r="I1297" s="1">
        <v>1.98E-5</v>
      </c>
      <c r="J1297" s="1">
        <v>6.5100000000000004E-6</v>
      </c>
      <c r="K1297" s="1">
        <v>3.43E-5</v>
      </c>
      <c r="L1297" s="1">
        <v>2.3200000000000001E-5</v>
      </c>
      <c r="M1297">
        <v>0</v>
      </c>
      <c r="N1297" s="1">
        <v>3.6100000000000003E-5</v>
      </c>
      <c r="O1297" s="1">
        <v>2.8099999999999999E-5</v>
      </c>
      <c r="P1297" s="1">
        <v>1.66E-5</v>
      </c>
      <c r="Q1297" s="1">
        <v>3.1900000000000003E-5</v>
      </c>
      <c r="R1297" s="1">
        <v>2.4000000000000001E-5</v>
      </c>
      <c r="S1297">
        <v>0</v>
      </c>
      <c r="T1297" s="1">
        <v>3.7299999999999999E-5</v>
      </c>
    </row>
    <row r="1298" spans="1:20" hidden="1" x14ac:dyDescent="0.25">
      <c r="A1298" t="s">
        <v>1316</v>
      </c>
      <c r="B1298">
        <v>0</v>
      </c>
      <c r="C1298">
        <v>0</v>
      </c>
      <c r="D1298" s="1">
        <v>1.4399999999999999E-5</v>
      </c>
      <c r="E1298">
        <v>0</v>
      </c>
      <c r="F1298">
        <v>0</v>
      </c>
      <c r="G1298">
        <v>0</v>
      </c>
      <c r="H1298" s="1">
        <v>1.3499999999999999E-5</v>
      </c>
      <c r="I1298" s="1">
        <v>1.0499999999999999E-5</v>
      </c>
      <c r="J1298">
        <v>0</v>
      </c>
      <c r="K1298" s="1">
        <v>1.7499999999999998E-5</v>
      </c>
      <c r="L1298">
        <v>0</v>
      </c>
      <c r="M1298">
        <v>0</v>
      </c>
      <c r="N1298" s="1">
        <v>1.8899999999999999E-5</v>
      </c>
      <c r="O1298">
        <v>0</v>
      </c>
      <c r="P1298" s="1">
        <v>1.73E-5</v>
      </c>
      <c r="Q1298" s="1">
        <v>2.1999999999999999E-5</v>
      </c>
      <c r="R1298" s="1">
        <v>2.12E-5</v>
      </c>
      <c r="S1298" s="1">
        <v>1.9000000000000001E-5</v>
      </c>
      <c r="T1298">
        <v>0</v>
      </c>
    </row>
    <row r="1299" spans="1:20" hidden="1" x14ac:dyDescent="0.25">
      <c r="A1299" t="s">
        <v>1317</v>
      </c>
      <c r="B1299">
        <v>7.9186100000000004E-4</v>
      </c>
      <c r="C1299">
        <v>5.9432899999999999E-4</v>
      </c>
      <c r="D1299">
        <v>8.3299800000000005E-4</v>
      </c>
      <c r="E1299">
        <v>7.7612199999999997E-4</v>
      </c>
      <c r="F1299">
        <v>5.7956800000000003E-4</v>
      </c>
      <c r="G1299">
        <v>4.7909599999999998E-4</v>
      </c>
      <c r="H1299">
        <v>3.8906800000000001E-4</v>
      </c>
      <c r="I1299">
        <v>6.2387599999999999E-4</v>
      </c>
      <c r="J1299">
        <v>6.4788400000000005E-4</v>
      </c>
      <c r="K1299">
        <v>7.2802900000000005E-4</v>
      </c>
      <c r="L1299">
        <v>5.43766E-4</v>
      </c>
      <c r="M1299">
        <v>5.8455400000000004E-4</v>
      </c>
      <c r="N1299">
        <v>6.2191700000000004E-4</v>
      </c>
      <c r="O1299">
        <v>7.7916200000000002E-4</v>
      </c>
      <c r="P1299">
        <v>2.5474100000000001E-4</v>
      </c>
      <c r="Q1299" s="1">
        <v>9.98E-5</v>
      </c>
      <c r="R1299">
        <v>1.18397E-4</v>
      </c>
      <c r="S1299">
        <v>0</v>
      </c>
      <c r="T1299" s="1">
        <v>6.1299999999999999E-5</v>
      </c>
    </row>
    <row r="1300" spans="1:20" hidden="1" x14ac:dyDescent="0.25">
      <c r="A1300" t="s">
        <v>1318</v>
      </c>
      <c r="B1300" s="1">
        <v>1.5800000000000001E-5</v>
      </c>
      <c r="C1300" s="1">
        <v>1.77E-5</v>
      </c>
      <c r="D1300" s="1">
        <v>1.6699999999999999E-5</v>
      </c>
      <c r="E1300" s="1">
        <v>1.3900000000000001E-5</v>
      </c>
      <c r="F1300">
        <v>0</v>
      </c>
      <c r="G1300">
        <v>0</v>
      </c>
      <c r="H1300">
        <v>0</v>
      </c>
      <c r="I1300">
        <v>0</v>
      </c>
      <c r="J1300" s="1">
        <v>8.32E-6</v>
      </c>
      <c r="K1300" s="1">
        <v>1.03E-5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hidden="1" x14ac:dyDescent="0.25">
      <c r="A1301" t="s">
        <v>1319</v>
      </c>
      <c r="B1301">
        <v>8.2122200000000003E-4</v>
      </c>
      <c r="C1301">
        <v>3.2638200000000001E-4</v>
      </c>
      <c r="D1301">
        <v>3.56125E-4</v>
      </c>
      <c r="E1301">
        <v>2.6144100000000001E-4</v>
      </c>
      <c r="F1301">
        <v>6.8156800000000002E-4</v>
      </c>
      <c r="G1301">
        <v>7.14433E-4</v>
      </c>
      <c r="H1301">
        <v>8.1447799999999999E-4</v>
      </c>
      <c r="I1301">
        <v>8.4296700000000002E-4</v>
      </c>
      <c r="J1301">
        <v>7.1107199999999998E-4</v>
      </c>
      <c r="K1301">
        <v>4.3795800000000001E-4</v>
      </c>
      <c r="L1301">
        <v>5.6940799999999998E-4</v>
      </c>
      <c r="M1301">
        <v>1.0182990000000001E-3</v>
      </c>
      <c r="N1301">
        <v>1.2018930000000001E-3</v>
      </c>
      <c r="O1301">
        <v>6.6798400000000005E-4</v>
      </c>
      <c r="P1301">
        <v>7.6412099999999998E-4</v>
      </c>
      <c r="Q1301">
        <v>1.1202860000000001E-3</v>
      </c>
      <c r="R1301">
        <v>1.2188730000000001E-3</v>
      </c>
      <c r="S1301">
        <v>7.8291199999999997E-4</v>
      </c>
      <c r="T1301">
        <v>1.437626E-3</v>
      </c>
    </row>
    <row r="1302" spans="1:20" hidden="1" x14ac:dyDescent="0.25">
      <c r="A1302" t="s">
        <v>1320</v>
      </c>
      <c r="B1302">
        <v>6.79639E-4</v>
      </c>
      <c r="C1302">
        <v>5.8157700000000001E-4</v>
      </c>
      <c r="D1302">
        <v>5.7281400000000005E-4</v>
      </c>
      <c r="E1302">
        <v>7.0767499999999995E-4</v>
      </c>
      <c r="F1302">
        <v>1.3622689999999999E-3</v>
      </c>
      <c r="G1302">
        <v>1.1822320000000001E-3</v>
      </c>
      <c r="H1302">
        <v>1.0826399999999999E-3</v>
      </c>
      <c r="I1302">
        <v>1.1182880000000001E-3</v>
      </c>
      <c r="J1302">
        <v>1.37897E-3</v>
      </c>
      <c r="K1302">
        <v>8.1024199999999997E-4</v>
      </c>
      <c r="L1302">
        <v>7.1888200000000001E-4</v>
      </c>
      <c r="M1302">
        <v>1.0732980000000001E-3</v>
      </c>
      <c r="N1302">
        <v>1.878914E-3</v>
      </c>
      <c r="O1302">
        <v>1.0210410000000001E-3</v>
      </c>
      <c r="P1302">
        <v>1.4838309999999999E-3</v>
      </c>
      <c r="Q1302">
        <v>2.003753E-3</v>
      </c>
      <c r="R1302">
        <v>2.5960089999999998E-3</v>
      </c>
      <c r="S1302">
        <v>2.2052080000000002E-3</v>
      </c>
      <c r="T1302">
        <v>2.226483E-3</v>
      </c>
    </row>
    <row r="1303" spans="1:20" hidden="1" x14ac:dyDescent="0.25">
      <c r="A1303" t="s">
        <v>1321</v>
      </c>
      <c r="B1303" s="1">
        <v>7.9800000000000002E-5</v>
      </c>
      <c r="C1303">
        <v>2.4723200000000001E-4</v>
      </c>
      <c r="D1303">
        <v>1.7166699999999999E-4</v>
      </c>
      <c r="E1303">
        <v>1.8641299999999999E-4</v>
      </c>
      <c r="F1303" s="1">
        <v>9.1600000000000004E-5</v>
      </c>
      <c r="G1303">
        <v>1.3478399999999999E-4</v>
      </c>
      <c r="H1303" s="1">
        <v>6.8100000000000002E-5</v>
      </c>
      <c r="I1303" s="1">
        <v>4.4700000000000002E-5</v>
      </c>
      <c r="J1303" s="1">
        <v>8.6899999999999998E-5</v>
      </c>
      <c r="K1303">
        <v>1.1521199999999999E-4</v>
      </c>
      <c r="L1303">
        <v>1.01984E-4</v>
      </c>
      <c r="M1303" s="1">
        <v>6.7299999999999996E-5</v>
      </c>
      <c r="N1303" s="1">
        <v>4.2799999999999997E-5</v>
      </c>
      <c r="O1303" s="1">
        <v>5.5899999999999997E-5</v>
      </c>
      <c r="P1303" s="1">
        <v>1.8300000000000001E-5</v>
      </c>
      <c r="Q1303" s="1">
        <v>5.6900000000000001E-5</v>
      </c>
      <c r="R1303" s="1">
        <v>2.72E-5</v>
      </c>
      <c r="S1303">
        <v>0</v>
      </c>
      <c r="T1303" s="1">
        <v>4.46E-5</v>
      </c>
    </row>
    <row r="1304" spans="1:20" hidden="1" x14ac:dyDescent="0.25">
      <c r="A1304" t="s">
        <v>1322</v>
      </c>
      <c r="B1304">
        <v>2.2682400000000001E-4</v>
      </c>
      <c r="C1304">
        <v>1.3434800000000001E-4</v>
      </c>
      <c r="D1304">
        <v>1.7644000000000001E-4</v>
      </c>
      <c r="E1304">
        <v>1.9219899999999999E-4</v>
      </c>
      <c r="F1304">
        <v>2.7296599999999997E-4</v>
      </c>
      <c r="G1304">
        <v>1.65138E-4</v>
      </c>
      <c r="H1304">
        <v>2.98294E-4</v>
      </c>
      <c r="I1304">
        <v>2.11053E-4</v>
      </c>
      <c r="J1304">
        <v>2.4666800000000002E-4</v>
      </c>
      <c r="K1304">
        <v>1.7470699999999999E-4</v>
      </c>
      <c r="L1304">
        <v>1.6510400000000001E-4</v>
      </c>
      <c r="M1304">
        <v>1.6843899999999999E-4</v>
      </c>
      <c r="N1304">
        <v>1.9510400000000001E-4</v>
      </c>
      <c r="O1304">
        <v>2.2825699999999999E-4</v>
      </c>
      <c r="P1304">
        <v>1.95121E-4</v>
      </c>
      <c r="Q1304">
        <v>1.5252000000000001E-4</v>
      </c>
      <c r="R1304">
        <v>2.1588299999999999E-4</v>
      </c>
      <c r="S1304">
        <v>1.26081E-4</v>
      </c>
      <c r="T1304">
        <v>1.20977E-4</v>
      </c>
    </row>
    <row r="1305" spans="1:20" hidden="1" x14ac:dyDescent="0.25">
      <c r="A1305" t="s">
        <v>1323</v>
      </c>
      <c r="B1305">
        <v>1.3965700000000001E-4</v>
      </c>
      <c r="C1305" s="1">
        <v>6.3100000000000002E-5</v>
      </c>
      <c r="D1305">
        <v>1.2745000000000001E-4</v>
      </c>
      <c r="E1305">
        <v>1.08812E-4</v>
      </c>
      <c r="F1305">
        <v>1.0595299999999999E-4</v>
      </c>
      <c r="G1305">
        <v>1.2202200000000001E-4</v>
      </c>
      <c r="H1305">
        <v>2.2898100000000001E-4</v>
      </c>
      <c r="I1305">
        <v>1.43366E-4</v>
      </c>
      <c r="J1305">
        <v>1.8006200000000001E-4</v>
      </c>
      <c r="K1305">
        <v>1.22989E-4</v>
      </c>
      <c r="L1305">
        <v>1.14374E-4</v>
      </c>
      <c r="M1305">
        <v>1.4416099999999999E-4</v>
      </c>
      <c r="N1305" s="1">
        <v>9.2899999999999995E-5</v>
      </c>
      <c r="O1305">
        <v>1.2929200000000001E-4</v>
      </c>
      <c r="P1305">
        <v>1.7864500000000001E-4</v>
      </c>
      <c r="Q1305" s="1">
        <v>9.8400000000000007E-5</v>
      </c>
      <c r="R1305">
        <v>1.63227E-4</v>
      </c>
      <c r="S1305" s="1">
        <v>8.6799999999999996E-5</v>
      </c>
      <c r="T1305">
        <v>1.18808E-4</v>
      </c>
    </row>
    <row r="1306" spans="1:20" hidden="1" x14ac:dyDescent="0.25">
      <c r="A1306" t="s">
        <v>1324</v>
      </c>
      <c r="B1306">
        <v>3.5476099999999999E-4</v>
      </c>
      <c r="C1306">
        <v>2.1258299999999999E-4</v>
      </c>
      <c r="D1306">
        <v>3.4423100000000002E-4</v>
      </c>
      <c r="E1306">
        <v>3.5993599999999999E-4</v>
      </c>
      <c r="F1306">
        <v>3.4894599999999999E-4</v>
      </c>
      <c r="G1306">
        <v>2.5717600000000002E-4</v>
      </c>
      <c r="H1306">
        <v>3.8843900000000003E-4</v>
      </c>
      <c r="I1306">
        <v>2.9129299999999998E-4</v>
      </c>
      <c r="J1306">
        <v>3.15209E-4</v>
      </c>
      <c r="K1306">
        <v>3.3503E-4</v>
      </c>
      <c r="L1306">
        <v>3.1608899999999998E-4</v>
      </c>
      <c r="M1306">
        <v>3.86499E-4</v>
      </c>
      <c r="N1306">
        <v>3.6267599999999998E-4</v>
      </c>
      <c r="O1306">
        <v>3.34008E-4</v>
      </c>
      <c r="P1306">
        <v>2.96676E-4</v>
      </c>
      <c r="Q1306">
        <v>2.20597E-4</v>
      </c>
      <c r="R1306">
        <v>3.1084500000000002E-4</v>
      </c>
      <c r="S1306">
        <v>2.36498E-4</v>
      </c>
      <c r="T1306">
        <v>2.5046999999999998E-4</v>
      </c>
    </row>
    <row r="1307" spans="1:20" hidden="1" x14ac:dyDescent="0.25">
      <c r="A1307" t="s">
        <v>1325</v>
      </c>
      <c r="B1307">
        <v>2.37066E-4</v>
      </c>
      <c r="C1307">
        <v>0</v>
      </c>
      <c r="D1307">
        <v>1.3045799999999999E-4</v>
      </c>
      <c r="E1307">
        <v>1.40999E-4</v>
      </c>
      <c r="F1307">
        <v>2.3403900000000001E-4</v>
      </c>
      <c r="G1307">
        <v>1.6752100000000001E-4</v>
      </c>
      <c r="H1307">
        <v>2.2631300000000001E-4</v>
      </c>
      <c r="I1307">
        <v>1.6166999999999999E-4</v>
      </c>
      <c r="J1307">
        <v>2.6545099999999999E-4</v>
      </c>
      <c r="K1307">
        <v>1.3496E-4</v>
      </c>
      <c r="L1307">
        <v>1.32996E-4</v>
      </c>
      <c r="M1307">
        <v>1.86183E-4</v>
      </c>
      <c r="N1307">
        <v>1.5061400000000001E-4</v>
      </c>
      <c r="O1307">
        <v>2.21552E-4</v>
      </c>
      <c r="P1307">
        <v>1.64616E-4</v>
      </c>
      <c r="Q1307">
        <v>1.0854299999999999E-4</v>
      </c>
      <c r="R1307">
        <v>1.8261899999999999E-4</v>
      </c>
      <c r="S1307" s="1">
        <v>9.1000000000000003E-5</v>
      </c>
      <c r="T1307" s="1">
        <v>9.0099999999999995E-5</v>
      </c>
    </row>
    <row r="1308" spans="1:20" hidden="1" x14ac:dyDescent="0.25">
      <c r="A1308" t="s">
        <v>1326</v>
      </c>
      <c r="B1308">
        <v>3.2969100000000001E-4</v>
      </c>
      <c r="C1308">
        <v>2.0556E-4</v>
      </c>
      <c r="D1308">
        <v>2.6245499999999998E-4</v>
      </c>
      <c r="E1308">
        <v>2.52489E-4</v>
      </c>
      <c r="F1308">
        <v>3.6786000000000002E-4</v>
      </c>
      <c r="G1308">
        <v>2.5447300000000001E-4</v>
      </c>
      <c r="H1308">
        <v>4.8425299999999997E-4</v>
      </c>
      <c r="I1308">
        <v>2.3900000000000001E-4</v>
      </c>
      <c r="J1308">
        <v>3.4686899999999998E-4</v>
      </c>
      <c r="K1308">
        <v>3.0836399999999999E-4</v>
      </c>
      <c r="L1308">
        <v>2.7020800000000003E-4</v>
      </c>
      <c r="M1308">
        <v>2.8692099999999999E-4</v>
      </c>
      <c r="N1308">
        <v>3.2645999999999999E-4</v>
      </c>
      <c r="O1308">
        <v>3.9068499999999999E-4</v>
      </c>
      <c r="P1308">
        <v>3.0963699999999998E-4</v>
      </c>
      <c r="Q1308">
        <v>2.4854400000000001E-4</v>
      </c>
      <c r="R1308">
        <v>3.80928E-4</v>
      </c>
      <c r="S1308">
        <v>2.56703E-4</v>
      </c>
      <c r="T1308">
        <v>2.8505400000000003E-4</v>
      </c>
    </row>
    <row r="1309" spans="1:20" hidden="1" x14ac:dyDescent="0.25">
      <c r="A1309" t="s">
        <v>1327</v>
      </c>
      <c r="B1309">
        <v>2.58008E-4</v>
      </c>
      <c r="C1309">
        <v>1.8256199999999999E-4</v>
      </c>
      <c r="D1309">
        <v>2.4642400000000002E-4</v>
      </c>
      <c r="E1309">
        <v>1.95995E-4</v>
      </c>
      <c r="F1309">
        <v>3.4148099999999998E-4</v>
      </c>
      <c r="G1309">
        <v>2.0778499999999999E-4</v>
      </c>
      <c r="H1309">
        <v>3.6640799999999998E-4</v>
      </c>
      <c r="I1309">
        <v>2.4433000000000001E-4</v>
      </c>
      <c r="J1309">
        <v>2.63775E-4</v>
      </c>
      <c r="K1309">
        <v>2.4766000000000002E-4</v>
      </c>
      <c r="L1309">
        <v>2.43358E-4</v>
      </c>
      <c r="M1309">
        <v>2.8690399999999999E-4</v>
      </c>
      <c r="N1309">
        <v>2.5004999999999998E-4</v>
      </c>
      <c r="O1309">
        <v>3.2423E-4</v>
      </c>
      <c r="P1309">
        <v>2.1180600000000001E-4</v>
      </c>
      <c r="Q1309">
        <v>1.7451000000000001E-4</v>
      </c>
      <c r="R1309">
        <v>2.2259800000000001E-4</v>
      </c>
      <c r="S1309">
        <v>2.0311600000000001E-4</v>
      </c>
      <c r="T1309">
        <v>1.9553800000000001E-4</v>
      </c>
    </row>
    <row r="1310" spans="1:20" hidden="1" x14ac:dyDescent="0.25">
      <c r="A1310" t="s">
        <v>1328</v>
      </c>
      <c r="B1310">
        <v>2.4092300000000001E-4</v>
      </c>
      <c r="C1310">
        <v>1.27315E-4</v>
      </c>
      <c r="D1310">
        <v>2.05565E-4</v>
      </c>
      <c r="E1310">
        <v>1.8372399999999999E-4</v>
      </c>
      <c r="F1310">
        <v>2.33527E-4</v>
      </c>
      <c r="G1310">
        <v>1.5606800000000001E-4</v>
      </c>
      <c r="H1310">
        <v>2.8853100000000002E-4</v>
      </c>
      <c r="I1310">
        <v>2.0890399999999999E-4</v>
      </c>
      <c r="J1310">
        <v>2.7319099999999999E-4</v>
      </c>
      <c r="K1310">
        <v>1.9536099999999999E-4</v>
      </c>
      <c r="L1310">
        <v>2.2299900000000001E-4</v>
      </c>
      <c r="M1310">
        <v>2.2341599999999999E-4</v>
      </c>
      <c r="N1310">
        <v>2.9269700000000002E-4</v>
      </c>
      <c r="O1310">
        <v>2.4261399999999999E-4</v>
      </c>
      <c r="P1310">
        <v>1.7649199999999999E-4</v>
      </c>
      <c r="Q1310">
        <v>1.5194199999999999E-4</v>
      </c>
      <c r="R1310">
        <v>2.1875400000000001E-4</v>
      </c>
      <c r="S1310">
        <v>1.68023E-4</v>
      </c>
      <c r="T1310">
        <v>1.6211E-4</v>
      </c>
    </row>
    <row r="1311" spans="1:20" hidden="1" x14ac:dyDescent="0.25">
      <c r="A1311" t="s">
        <v>1329</v>
      </c>
      <c r="B1311">
        <v>2.8223499999999998E-4</v>
      </c>
      <c r="C1311">
        <v>1.7575300000000001E-4</v>
      </c>
      <c r="D1311">
        <v>2.36801E-4</v>
      </c>
      <c r="E1311">
        <v>2.65999E-4</v>
      </c>
      <c r="F1311">
        <v>3.1523E-4</v>
      </c>
      <c r="G1311">
        <v>1.4804400000000001E-4</v>
      </c>
      <c r="H1311">
        <v>3.69453E-4</v>
      </c>
      <c r="I1311">
        <v>2.38805E-4</v>
      </c>
      <c r="J1311">
        <v>2.8131599999999999E-4</v>
      </c>
      <c r="K1311">
        <v>2.79213E-4</v>
      </c>
      <c r="L1311">
        <v>2.5692E-4</v>
      </c>
      <c r="M1311">
        <v>2.9009499999999998E-4</v>
      </c>
      <c r="N1311">
        <v>2.6302299999999998E-4</v>
      </c>
      <c r="O1311">
        <v>3.2940299999999998E-4</v>
      </c>
      <c r="P1311">
        <v>2.5628899999999999E-4</v>
      </c>
      <c r="Q1311">
        <v>1.8524500000000001E-4</v>
      </c>
      <c r="R1311">
        <v>3.0837600000000002E-4</v>
      </c>
      <c r="S1311">
        <v>1.42853E-4</v>
      </c>
      <c r="T1311">
        <v>1.66754E-4</v>
      </c>
    </row>
    <row r="1312" spans="1:20" hidden="1" x14ac:dyDescent="0.25">
      <c r="A1312" t="s">
        <v>1330</v>
      </c>
      <c r="B1312">
        <v>2.5504199999999997E-4</v>
      </c>
      <c r="C1312">
        <v>1.6847699999999999E-4</v>
      </c>
      <c r="D1312">
        <v>2.37397E-4</v>
      </c>
      <c r="E1312">
        <v>2.1586500000000001E-4</v>
      </c>
      <c r="F1312">
        <v>3.6176600000000002E-4</v>
      </c>
      <c r="G1312">
        <v>2.04527E-4</v>
      </c>
      <c r="H1312">
        <v>4.3884399999999997E-4</v>
      </c>
      <c r="I1312">
        <v>3.1470100000000002E-4</v>
      </c>
      <c r="J1312">
        <v>3.3272299999999999E-4</v>
      </c>
      <c r="K1312">
        <v>2.9226399999999998E-4</v>
      </c>
      <c r="L1312">
        <v>2.4714099999999998E-4</v>
      </c>
      <c r="M1312">
        <v>2.6665499999999997E-4</v>
      </c>
      <c r="N1312">
        <v>2.20065E-4</v>
      </c>
      <c r="O1312">
        <v>3.34039E-4</v>
      </c>
      <c r="P1312">
        <v>2.9085100000000001E-4</v>
      </c>
      <c r="Q1312">
        <v>2.2061300000000001E-4</v>
      </c>
      <c r="R1312">
        <v>2.9806599999999999E-4</v>
      </c>
      <c r="S1312">
        <v>2.0007E-4</v>
      </c>
      <c r="T1312">
        <v>2.1140800000000001E-4</v>
      </c>
    </row>
    <row r="1313" spans="1:20" hidden="1" x14ac:dyDescent="0.25">
      <c r="A1313" t="s">
        <v>1331</v>
      </c>
      <c r="B1313">
        <v>1.7410700000000001E-4</v>
      </c>
      <c r="C1313" s="1">
        <v>8.0500000000000005E-5</v>
      </c>
      <c r="D1313" s="1">
        <v>8.8499999999999996E-5</v>
      </c>
      <c r="E1313" s="1">
        <v>6.7999999999999999E-5</v>
      </c>
      <c r="F1313">
        <v>1.4672400000000001E-4</v>
      </c>
      <c r="G1313" s="1">
        <v>8.9400000000000005E-5</v>
      </c>
      <c r="H1313">
        <v>1.46427E-4</v>
      </c>
      <c r="I1313">
        <v>1.03968E-4</v>
      </c>
      <c r="J1313">
        <v>1.9229300000000001E-4</v>
      </c>
      <c r="K1313" s="1">
        <v>3.3699999999999999E-5</v>
      </c>
      <c r="L1313">
        <v>0</v>
      </c>
      <c r="M1313" s="1">
        <v>6.2500000000000001E-5</v>
      </c>
      <c r="N1313" s="1">
        <v>8.4099999999999998E-5</v>
      </c>
      <c r="O1313">
        <v>1.13124E-4</v>
      </c>
      <c r="P1313">
        <v>1.4019E-4</v>
      </c>
      <c r="Q1313">
        <v>1.0413500000000001E-4</v>
      </c>
      <c r="R1313">
        <v>1.15086E-4</v>
      </c>
      <c r="S1313">
        <v>0</v>
      </c>
      <c r="T1313" s="1">
        <v>4.5599999999999997E-5</v>
      </c>
    </row>
    <row r="1314" spans="1:20" hidden="1" x14ac:dyDescent="0.25">
      <c r="A1314" t="s">
        <v>1332</v>
      </c>
      <c r="B1314">
        <v>1.5611100000000001E-4</v>
      </c>
      <c r="C1314">
        <v>0</v>
      </c>
      <c r="D1314">
        <v>1.4066799999999999E-4</v>
      </c>
      <c r="E1314">
        <v>1.21928E-4</v>
      </c>
      <c r="F1314">
        <v>1.7076299999999999E-4</v>
      </c>
      <c r="G1314" s="1">
        <v>7.3100000000000001E-5</v>
      </c>
      <c r="H1314">
        <v>1.3233E-4</v>
      </c>
      <c r="I1314" s="1">
        <v>8.2200000000000006E-5</v>
      </c>
      <c r="J1314">
        <v>1.5986900000000001E-4</v>
      </c>
      <c r="K1314">
        <v>1.06356E-4</v>
      </c>
      <c r="L1314" s="1">
        <v>7.2899999999999997E-5</v>
      </c>
      <c r="M1314" s="1">
        <v>8.9300000000000002E-5</v>
      </c>
      <c r="N1314" s="1">
        <v>9.2200000000000005E-5</v>
      </c>
      <c r="O1314">
        <v>1.5350499999999999E-4</v>
      </c>
      <c r="P1314">
        <v>1.0796799999999999E-4</v>
      </c>
      <c r="Q1314">
        <v>1.0019899999999999E-4</v>
      </c>
      <c r="R1314">
        <v>1.2985699999999999E-4</v>
      </c>
      <c r="S1314">
        <v>1.0494599999999999E-4</v>
      </c>
      <c r="T1314">
        <v>1.1434600000000001E-4</v>
      </c>
    </row>
    <row r="1315" spans="1:20" hidden="1" x14ac:dyDescent="0.25">
      <c r="A1315" t="s">
        <v>1333</v>
      </c>
      <c r="B1315">
        <v>1.42273E-4</v>
      </c>
      <c r="C1315" s="1">
        <v>4.5899999999999998E-5</v>
      </c>
      <c r="D1315" s="1">
        <v>8.2899999999999996E-5</v>
      </c>
      <c r="E1315">
        <v>1.0830100000000001E-4</v>
      </c>
      <c r="F1315" s="1">
        <v>7.0099999999999996E-5</v>
      </c>
      <c r="G1315" s="1">
        <v>6.7600000000000003E-5</v>
      </c>
      <c r="H1315">
        <v>1.4772200000000001E-4</v>
      </c>
      <c r="I1315" s="1">
        <v>7.4800000000000002E-5</v>
      </c>
      <c r="J1315" s="1">
        <v>9.5299999999999999E-5</v>
      </c>
      <c r="K1315" s="1">
        <v>9.5400000000000001E-5</v>
      </c>
      <c r="L1315" s="1">
        <v>7.5599999999999994E-5</v>
      </c>
      <c r="M1315">
        <v>1.1041599999999999E-4</v>
      </c>
      <c r="N1315" s="1">
        <v>7.5900000000000002E-5</v>
      </c>
      <c r="O1315">
        <v>1.2278199999999999E-4</v>
      </c>
      <c r="P1315" s="1">
        <v>6.1500000000000004E-5</v>
      </c>
      <c r="Q1315" s="1">
        <v>3.0300000000000001E-5</v>
      </c>
      <c r="R1315" s="1">
        <v>6.6699999999999995E-5</v>
      </c>
      <c r="S1315">
        <v>0</v>
      </c>
      <c r="T1315">
        <v>0</v>
      </c>
    </row>
    <row r="1316" spans="1:20" hidden="1" x14ac:dyDescent="0.25">
      <c r="A1316" t="s">
        <v>1334</v>
      </c>
      <c r="B1316">
        <v>1.44411E-4</v>
      </c>
      <c r="C1316">
        <v>1.08002E-4</v>
      </c>
      <c r="D1316">
        <v>1.4118E-4</v>
      </c>
      <c r="E1316">
        <v>1.09096E-4</v>
      </c>
      <c r="F1316">
        <v>1.7737800000000001E-4</v>
      </c>
      <c r="G1316" s="1">
        <v>9.3399999999999993E-5</v>
      </c>
      <c r="H1316">
        <v>1.7683999999999999E-4</v>
      </c>
      <c r="I1316">
        <v>0</v>
      </c>
      <c r="J1316">
        <v>1.42366E-4</v>
      </c>
      <c r="K1316">
        <v>0</v>
      </c>
      <c r="L1316">
        <v>0</v>
      </c>
      <c r="M1316">
        <v>1.67047E-4</v>
      </c>
      <c r="N1316">
        <v>1.66785E-4</v>
      </c>
      <c r="O1316">
        <v>1.8507899999999999E-4</v>
      </c>
      <c r="P1316">
        <v>1.14008E-4</v>
      </c>
      <c r="Q1316">
        <v>0</v>
      </c>
      <c r="R1316">
        <v>1.1424100000000001E-4</v>
      </c>
      <c r="S1316" s="1">
        <v>9.4599999999999996E-5</v>
      </c>
      <c r="T1316">
        <v>0</v>
      </c>
    </row>
    <row r="1317" spans="1:20" hidden="1" x14ac:dyDescent="0.25">
      <c r="A1317" t="s">
        <v>1335</v>
      </c>
      <c r="B1317">
        <v>1.13813E-4</v>
      </c>
      <c r="C1317">
        <v>0</v>
      </c>
      <c r="D1317" s="1">
        <v>7.6600000000000005E-5</v>
      </c>
      <c r="E1317" s="1">
        <v>7.8999999999999996E-5</v>
      </c>
      <c r="F1317">
        <v>1.2093499999999999E-4</v>
      </c>
      <c r="G1317" s="1">
        <v>8.6100000000000006E-5</v>
      </c>
      <c r="H1317">
        <v>1.84272E-4</v>
      </c>
      <c r="I1317">
        <v>1.10235E-4</v>
      </c>
      <c r="J1317">
        <v>1.10723E-4</v>
      </c>
      <c r="K1317" s="1">
        <v>9.0099999999999995E-5</v>
      </c>
      <c r="L1317" s="1">
        <v>5.77E-5</v>
      </c>
      <c r="M1317">
        <v>1.00036E-4</v>
      </c>
      <c r="N1317" s="1">
        <v>9.3499999999999996E-5</v>
      </c>
      <c r="O1317">
        <v>1.10828E-4</v>
      </c>
      <c r="P1317">
        <v>1.03905E-4</v>
      </c>
      <c r="Q1317">
        <v>0</v>
      </c>
      <c r="R1317">
        <v>1.18137E-4</v>
      </c>
      <c r="S1317" s="1">
        <v>4.5599999999999997E-5</v>
      </c>
      <c r="T1317" s="1">
        <v>6.0000000000000002E-5</v>
      </c>
    </row>
    <row r="1318" spans="1:20" hidden="1" x14ac:dyDescent="0.25">
      <c r="A1318" t="s">
        <v>1336</v>
      </c>
      <c r="B1318" s="1">
        <v>1.0900000000000001E-5</v>
      </c>
      <c r="C1318" s="1">
        <v>3.01E-5</v>
      </c>
      <c r="D1318" s="1">
        <v>4.1E-5</v>
      </c>
      <c r="E1318" s="1">
        <v>3.93E-5</v>
      </c>
      <c r="F1318" s="1">
        <v>3.0599999999999998E-5</v>
      </c>
      <c r="G1318" s="1">
        <v>3.0700000000000001E-5</v>
      </c>
      <c r="H1318" s="1">
        <v>2.4000000000000001E-5</v>
      </c>
      <c r="I1318" s="1">
        <v>2.27E-5</v>
      </c>
      <c r="J1318" s="1">
        <v>1.8899999999999999E-5</v>
      </c>
      <c r="K1318" s="1">
        <v>1.6799999999999998E-5</v>
      </c>
      <c r="L1318" s="1">
        <v>2.55E-5</v>
      </c>
      <c r="M1318">
        <v>0</v>
      </c>
      <c r="N1318">
        <v>0</v>
      </c>
      <c r="O1318" s="1">
        <v>1.17E-5</v>
      </c>
      <c r="P1318" s="1">
        <v>1.2999999999999999E-5</v>
      </c>
      <c r="Q1318" s="1">
        <v>3.0199999999999999E-5</v>
      </c>
      <c r="R1318" s="1">
        <v>1.33E-5</v>
      </c>
      <c r="S1318">
        <v>0</v>
      </c>
      <c r="T1318">
        <v>0</v>
      </c>
    </row>
    <row r="1319" spans="1:20" hidden="1" x14ac:dyDescent="0.25">
      <c r="A1319" t="s">
        <v>1337</v>
      </c>
      <c r="B1319" s="1">
        <v>2.2900000000000001E-5</v>
      </c>
      <c r="C1319" s="1">
        <v>2.9099999999999999E-5</v>
      </c>
      <c r="D1319" s="1">
        <v>3.93E-5</v>
      </c>
      <c r="E1319" s="1">
        <v>4.5899999999999998E-5</v>
      </c>
      <c r="F1319" s="1">
        <v>2.1100000000000001E-5</v>
      </c>
      <c r="G1319" s="1">
        <v>3.2400000000000001E-5</v>
      </c>
      <c r="H1319" s="1">
        <v>3.01E-5</v>
      </c>
      <c r="I1319" s="1">
        <v>2.19E-5</v>
      </c>
      <c r="J1319" s="1">
        <v>2.1999999999999999E-5</v>
      </c>
      <c r="K1319" s="1">
        <v>3.1000000000000001E-5</v>
      </c>
      <c r="L1319" s="1">
        <v>2.76E-5</v>
      </c>
      <c r="M1319" s="1">
        <v>1.49E-5</v>
      </c>
      <c r="N1319" s="1">
        <v>1.38E-5</v>
      </c>
      <c r="O1319" s="1">
        <v>2.6800000000000001E-5</v>
      </c>
      <c r="P1319" s="1">
        <v>2.37E-5</v>
      </c>
      <c r="Q1319" s="1">
        <v>2.72E-5</v>
      </c>
      <c r="R1319" s="1">
        <v>2.2500000000000001E-5</v>
      </c>
      <c r="S1319" s="1">
        <v>3.3899999999999997E-5</v>
      </c>
      <c r="T1319" s="1">
        <v>2.7500000000000001E-5</v>
      </c>
    </row>
    <row r="1320" spans="1:20" hidden="1" x14ac:dyDescent="0.25">
      <c r="A1320" t="s">
        <v>1338</v>
      </c>
      <c r="B1320" s="1">
        <v>2.65E-5</v>
      </c>
      <c r="C1320" s="1">
        <v>4.7299999999999998E-5</v>
      </c>
      <c r="D1320" s="1">
        <v>4.5800000000000002E-5</v>
      </c>
      <c r="E1320" s="1">
        <v>4.4299999999999999E-5</v>
      </c>
      <c r="F1320" s="1">
        <v>5.1999999999999997E-5</v>
      </c>
      <c r="G1320" s="1">
        <v>4.74E-5</v>
      </c>
      <c r="H1320" s="1">
        <v>3.6900000000000002E-5</v>
      </c>
      <c r="I1320" s="1">
        <v>2.94E-5</v>
      </c>
      <c r="J1320" s="1">
        <v>2.2099999999999998E-5</v>
      </c>
      <c r="K1320" s="1">
        <v>1.9199999999999999E-5</v>
      </c>
      <c r="L1320" s="1">
        <v>2.1100000000000001E-5</v>
      </c>
      <c r="M1320" s="1">
        <v>1.3699999999999999E-5</v>
      </c>
      <c r="N1320" s="1">
        <v>1.6399999999999999E-5</v>
      </c>
      <c r="O1320" s="1">
        <v>2.5199999999999999E-5</v>
      </c>
      <c r="P1320" s="1">
        <v>3.29E-5</v>
      </c>
      <c r="Q1320" s="1">
        <v>3.3300000000000003E-5</v>
      </c>
      <c r="R1320" s="1">
        <v>4.3600000000000003E-5</v>
      </c>
      <c r="S1320" s="1">
        <v>3.0800000000000003E-5</v>
      </c>
      <c r="T1320" s="1">
        <v>2.0999999999999999E-5</v>
      </c>
    </row>
    <row r="1321" spans="1:20" hidden="1" x14ac:dyDescent="0.25">
      <c r="A1321" t="s">
        <v>1339</v>
      </c>
      <c r="B1321">
        <v>0</v>
      </c>
      <c r="C1321" s="1">
        <v>2.0999999999999999E-5</v>
      </c>
      <c r="D1321" s="1">
        <v>2.6800000000000001E-5</v>
      </c>
      <c r="E1321" s="1">
        <v>2.19E-5</v>
      </c>
      <c r="F1321" s="1">
        <v>2.2900000000000001E-5</v>
      </c>
      <c r="G1321" s="1">
        <v>2.7900000000000001E-5</v>
      </c>
      <c r="H1321" s="1">
        <v>2.2099999999999998E-5</v>
      </c>
      <c r="I1321">
        <v>0</v>
      </c>
      <c r="J1321" s="1">
        <v>2.05E-5</v>
      </c>
      <c r="K1321" s="1">
        <v>1.98E-5</v>
      </c>
      <c r="L1321" s="1">
        <v>2.0299999999999999E-5</v>
      </c>
      <c r="M1321" s="1">
        <v>1.26E-5</v>
      </c>
      <c r="N1321" s="1">
        <v>1.27E-5</v>
      </c>
      <c r="O1321" s="1">
        <v>1.7099999999999999E-5</v>
      </c>
      <c r="P1321" s="1">
        <v>1.88E-5</v>
      </c>
      <c r="Q1321" s="1">
        <v>2.1299999999999999E-5</v>
      </c>
      <c r="R1321" s="1">
        <v>2.0299999999999999E-5</v>
      </c>
      <c r="S1321" s="1">
        <v>2.1500000000000001E-5</v>
      </c>
      <c r="T1321">
        <v>0</v>
      </c>
    </row>
    <row r="1322" spans="1:20" hidden="1" x14ac:dyDescent="0.25">
      <c r="A1322" t="s">
        <v>1340</v>
      </c>
      <c r="B1322" s="1">
        <v>2.4300000000000001E-5</v>
      </c>
      <c r="C1322" s="1">
        <v>3.9400000000000002E-5</v>
      </c>
      <c r="D1322" s="1">
        <v>4.3099999999999997E-5</v>
      </c>
      <c r="E1322" s="1">
        <v>4.1199999999999999E-5</v>
      </c>
      <c r="F1322" s="1">
        <v>2.87E-5</v>
      </c>
      <c r="G1322" s="1">
        <v>7.1199999999999996E-5</v>
      </c>
      <c r="H1322" s="1">
        <v>3.4999999999999997E-5</v>
      </c>
      <c r="I1322" s="1">
        <v>2.8200000000000001E-5</v>
      </c>
      <c r="J1322" s="1">
        <v>3.1399999999999998E-5</v>
      </c>
      <c r="K1322" s="1">
        <v>2.3499999999999999E-5</v>
      </c>
      <c r="L1322" s="1">
        <v>2.8200000000000001E-5</v>
      </c>
      <c r="M1322">
        <v>0</v>
      </c>
      <c r="N1322">
        <v>0</v>
      </c>
      <c r="O1322" s="1">
        <v>1.8300000000000001E-5</v>
      </c>
      <c r="P1322" s="1">
        <v>2.44E-5</v>
      </c>
      <c r="Q1322" s="1">
        <v>2.0400000000000001E-5</v>
      </c>
      <c r="R1322" s="1">
        <v>1.6399999999999999E-5</v>
      </c>
      <c r="S1322" s="1">
        <v>3.01E-5</v>
      </c>
      <c r="T1322" s="1">
        <v>2.58E-5</v>
      </c>
    </row>
    <row r="1323" spans="1:20" hidden="1" x14ac:dyDescent="0.25">
      <c r="A1323" t="s">
        <v>1341</v>
      </c>
      <c r="B1323" s="1">
        <v>1.95E-5</v>
      </c>
      <c r="C1323" s="1">
        <v>3.3500000000000001E-5</v>
      </c>
      <c r="D1323" s="1">
        <v>4.18E-5</v>
      </c>
      <c r="E1323" s="1">
        <v>3.9499999999999998E-5</v>
      </c>
      <c r="F1323" s="1">
        <v>2.97E-5</v>
      </c>
      <c r="G1323" s="1">
        <v>2.9600000000000001E-5</v>
      </c>
      <c r="H1323" s="1">
        <v>2.0299999999999999E-5</v>
      </c>
      <c r="I1323" s="1">
        <v>1.6399999999999999E-5</v>
      </c>
      <c r="J1323" s="1">
        <v>2.0000000000000002E-5</v>
      </c>
      <c r="K1323" s="1">
        <v>2.2399999999999999E-5</v>
      </c>
      <c r="L1323" s="1">
        <v>2.4600000000000002E-5</v>
      </c>
      <c r="M1323" s="1">
        <v>1.6200000000000001E-5</v>
      </c>
      <c r="N1323" s="1">
        <v>1.5099999999999999E-5</v>
      </c>
      <c r="O1323" s="1">
        <v>2.0400000000000001E-5</v>
      </c>
      <c r="P1323" s="1">
        <v>1.9899999999999999E-5</v>
      </c>
      <c r="Q1323" s="1">
        <v>2.3900000000000002E-5</v>
      </c>
      <c r="R1323" s="1">
        <v>2.23E-5</v>
      </c>
      <c r="S1323" s="1">
        <v>2.51E-5</v>
      </c>
      <c r="T1323" s="1">
        <v>2.8099999999999999E-5</v>
      </c>
    </row>
    <row r="1324" spans="1:20" hidden="1" x14ac:dyDescent="0.25">
      <c r="A1324" t="s">
        <v>1342</v>
      </c>
      <c r="B1324" s="1">
        <v>1.7799999999999999E-5</v>
      </c>
      <c r="C1324" s="1">
        <v>2.5899999999999999E-5</v>
      </c>
      <c r="D1324" s="1">
        <v>2.8200000000000001E-5</v>
      </c>
      <c r="E1324" s="1">
        <v>3.6000000000000001E-5</v>
      </c>
      <c r="F1324" s="1">
        <v>2.41E-5</v>
      </c>
      <c r="G1324" s="1">
        <v>4.0000000000000003E-5</v>
      </c>
      <c r="H1324" s="1">
        <v>3.4600000000000001E-5</v>
      </c>
      <c r="I1324" s="1">
        <v>2.1999999999999999E-5</v>
      </c>
      <c r="J1324" s="1">
        <v>2.05E-5</v>
      </c>
      <c r="K1324" s="1">
        <v>1.9899999999999999E-5</v>
      </c>
      <c r="L1324" s="1">
        <v>2.0299999999999999E-5</v>
      </c>
      <c r="M1324" s="1">
        <v>1.59E-5</v>
      </c>
      <c r="N1324" s="1">
        <v>1.2300000000000001E-5</v>
      </c>
      <c r="O1324" s="1">
        <v>1.6399999999999999E-5</v>
      </c>
      <c r="P1324" s="1">
        <v>2.0400000000000001E-5</v>
      </c>
      <c r="Q1324" s="1">
        <v>2.3099999999999999E-5</v>
      </c>
      <c r="R1324" s="1">
        <v>2.4899999999999999E-5</v>
      </c>
      <c r="S1324" s="1">
        <v>1.7200000000000001E-5</v>
      </c>
      <c r="T1324" s="1">
        <v>1.6900000000000001E-5</v>
      </c>
    </row>
    <row r="1325" spans="1:20" hidden="1" x14ac:dyDescent="0.25">
      <c r="A1325" t="s">
        <v>1343</v>
      </c>
      <c r="B1325" s="1">
        <v>6.0000000000000002E-5</v>
      </c>
      <c r="C1325">
        <v>0</v>
      </c>
      <c r="D1325" s="1">
        <v>8.6700000000000007E-5</v>
      </c>
      <c r="E1325">
        <v>1.14877E-4</v>
      </c>
      <c r="F1325">
        <v>0</v>
      </c>
      <c r="G1325">
        <v>0</v>
      </c>
      <c r="H1325">
        <v>0</v>
      </c>
      <c r="I1325" s="1">
        <v>6.1600000000000007E-5</v>
      </c>
      <c r="J1325">
        <v>0</v>
      </c>
      <c r="K1325" s="1">
        <v>6.5199999999999999E-5</v>
      </c>
      <c r="L1325" s="1">
        <v>8.25E-5</v>
      </c>
      <c r="M1325">
        <v>0</v>
      </c>
      <c r="N1325" s="1">
        <v>5.5099999999999998E-5</v>
      </c>
      <c r="O1325" s="1">
        <v>7.7700000000000005E-5</v>
      </c>
      <c r="P1325" s="1">
        <v>4.0899999999999998E-5</v>
      </c>
      <c r="Q1325" s="1">
        <v>8.6700000000000007E-5</v>
      </c>
      <c r="R1325" s="1">
        <v>9.4300000000000002E-5</v>
      </c>
      <c r="S1325">
        <v>1.2488500000000001E-4</v>
      </c>
      <c r="T1325" s="1">
        <v>8.25E-5</v>
      </c>
    </row>
    <row r="1326" spans="1:20" hidden="1" x14ac:dyDescent="0.25">
      <c r="A1326" t="s">
        <v>1344</v>
      </c>
      <c r="B1326" s="1">
        <v>2.4300000000000001E-5</v>
      </c>
      <c r="C1326" s="1">
        <v>5.5500000000000001E-5</v>
      </c>
      <c r="D1326" s="1">
        <v>7.7600000000000002E-5</v>
      </c>
      <c r="E1326" s="1">
        <v>7.7299999999999995E-5</v>
      </c>
      <c r="F1326" s="1">
        <v>6.0699999999999998E-5</v>
      </c>
      <c r="G1326" s="1">
        <v>7.4599999999999997E-5</v>
      </c>
      <c r="H1326" s="1">
        <v>4.1699999999999997E-5</v>
      </c>
      <c r="I1326" s="1">
        <v>3.8600000000000003E-5</v>
      </c>
      <c r="J1326" s="1">
        <v>4.3300000000000002E-5</v>
      </c>
      <c r="K1326" s="1">
        <v>3.4600000000000001E-5</v>
      </c>
      <c r="L1326" s="1">
        <v>4.2400000000000001E-5</v>
      </c>
      <c r="M1326" s="1">
        <v>2.9200000000000002E-5</v>
      </c>
      <c r="N1326" s="1">
        <v>2.5299999999999998E-5</v>
      </c>
      <c r="O1326" s="1">
        <v>3.26E-5</v>
      </c>
      <c r="P1326" s="1">
        <v>3.8999999999999999E-5</v>
      </c>
      <c r="Q1326" s="1">
        <v>5.0800000000000002E-5</v>
      </c>
      <c r="R1326" s="1">
        <v>3.9900000000000001E-5</v>
      </c>
      <c r="S1326" s="1">
        <v>5.0899999999999997E-5</v>
      </c>
      <c r="T1326" s="1">
        <v>3.1000000000000001E-5</v>
      </c>
    </row>
    <row r="1327" spans="1:20" hidden="1" x14ac:dyDescent="0.25">
      <c r="A1327" t="s">
        <v>1345</v>
      </c>
      <c r="B1327">
        <v>0</v>
      </c>
      <c r="C1327">
        <v>0</v>
      </c>
      <c r="D1327" s="1">
        <v>2.1699999999999999E-5</v>
      </c>
      <c r="E1327" s="1">
        <v>2.0800000000000001E-5</v>
      </c>
      <c r="F1327">
        <v>0</v>
      </c>
      <c r="G1327" s="1">
        <v>1.59E-5</v>
      </c>
      <c r="H1327" s="1">
        <v>2.2200000000000001E-5</v>
      </c>
      <c r="I1327" s="1">
        <v>1.4E-5</v>
      </c>
      <c r="J1327">
        <v>0</v>
      </c>
      <c r="K1327" s="1">
        <v>1.3900000000000001E-5</v>
      </c>
      <c r="L1327" s="1">
        <v>1.38E-5</v>
      </c>
      <c r="M1327">
        <v>0</v>
      </c>
      <c r="N1327">
        <v>0</v>
      </c>
      <c r="O1327" s="1">
        <v>1.4399999999999999E-5</v>
      </c>
      <c r="P1327" s="1">
        <v>1.0699999999999999E-5</v>
      </c>
      <c r="Q1327" s="1">
        <v>1.4399999999999999E-5</v>
      </c>
      <c r="R1327" s="1">
        <v>1.2300000000000001E-5</v>
      </c>
      <c r="S1327" s="1">
        <v>1.8099999999999999E-5</v>
      </c>
      <c r="T1327">
        <v>0</v>
      </c>
    </row>
    <row r="1328" spans="1:20" hidden="1" x14ac:dyDescent="0.25">
      <c r="A1328" t="s">
        <v>1346</v>
      </c>
      <c r="B1328" s="1">
        <v>2.8900000000000001E-5</v>
      </c>
      <c r="C1328" s="1">
        <v>4.8099999999999997E-5</v>
      </c>
      <c r="D1328" s="1">
        <v>5.3499999999999999E-5</v>
      </c>
      <c r="E1328" s="1">
        <v>4.46E-5</v>
      </c>
      <c r="F1328" s="1">
        <v>4.0800000000000002E-5</v>
      </c>
      <c r="G1328" s="1">
        <v>5.0800000000000002E-5</v>
      </c>
      <c r="H1328" s="1">
        <v>5.0500000000000001E-5</v>
      </c>
      <c r="I1328" s="1">
        <v>2.6100000000000001E-5</v>
      </c>
      <c r="J1328" s="1">
        <v>2.8799999999999999E-5</v>
      </c>
      <c r="K1328" s="1">
        <v>3.4799999999999999E-5</v>
      </c>
      <c r="L1328" s="1">
        <v>2.6299999999999999E-5</v>
      </c>
      <c r="M1328">
        <v>0</v>
      </c>
      <c r="N1328" s="1">
        <v>1.5800000000000001E-5</v>
      </c>
      <c r="O1328" s="1">
        <v>2.9600000000000001E-5</v>
      </c>
      <c r="P1328" s="1">
        <v>3.2299999999999999E-5</v>
      </c>
      <c r="Q1328" s="1">
        <v>3.9100000000000002E-5</v>
      </c>
      <c r="R1328" s="1">
        <v>3.65E-5</v>
      </c>
      <c r="S1328" s="1">
        <v>3.9700000000000003E-5</v>
      </c>
      <c r="T1328" s="1">
        <v>4.2700000000000001E-5</v>
      </c>
    </row>
    <row r="1329" spans="1:20" hidden="1" x14ac:dyDescent="0.25">
      <c r="A1329" t="s">
        <v>1347</v>
      </c>
      <c r="B1329" s="1">
        <v>3.9100000000000002E-5</v>
      </c>
      <c r="C1329" s="1">
        <v>4.9599999999999999E-5</v>
      </c>
      <c r="D1329" s="1">
        <v>6.3100000000000002E-5</v>
      </c>
      <c r="E1329" s="1">
        <v>7.0500000000000006E-5</v>
      </c>
      <c r="F1329" s="1">
        <v>3.8999999999999999E-5</v>
      </c>
      <c r="G1329" s="1">
        <v>3.8699999999999999E-5</v>
      </c>
      <c r="H1329" s="1">
        <v>4.8699999999999998E-5</v>
      </c>
      <c r="I1329" s="1">
        <v>3.3099999999999998E-5</v>
      </c>
      <c r="J1329" s="1">
        <v>3.9799999999999998E-5</v>
      </c>
      <c r="K1329" s="1">
        <v>4.4700000000000002E-5</v>
      </c>
      <c r="L1329" s="1">
        <v>4.9200000000000003E-5</v>
      </c>
      <c r="M1329" s="1">
        <v>2.6100000000000001E-5</v>
      </c>
      <c r="N1329" s="1">
        <v>2.9600000000000001E-5</v>
      </c>
      <c r="O1329" s="1">
        <v>5.3100000000000003E-5</v>
      </c>
      <c r="P1329" s="1">
        <v>4.4400000000000002E-5</v>
      </c>
      <c r="Q1329" s="1">
        <v>3.8500000000000001E-5</v>
      </c>
      <c r="R1329" s="1">
        <v>4.85E-5</v>
      </c>
      <c r="S1329" s="1">
        <v>4.9400000000000001E-5</v>
      </c>
      <c r="T1329" s="1">
        <v>4.2299999999999998E-5</v>
      </c>
    </row>
    <row r="1330" spans="1:20" hidden="1" x14ac:dyDescent="0.25">
      <c r="A1330" t="s">
        <v>1348</v>
      </c>
      <c r="B1330" s="1">
        <v>1.9599999999999999E-5</v>
      </c>
      <c r="C1330" s="1">
        <v>4.3999999999999999E-5</v>
      </c>
      <c r="D1330" s="1">
        <v>4.74E-5</v>
      </c>
      <c r="E1330" s="1">
        <v>3.9499999999999998E-5</v>
      </c>
      <c r="F1330" s="1">
        <v>3.1999999999999999E-5</v>
      </c>
      <c r="G1330" s="1">
        <v>3.65E-5</v>
      </c>
      <c r="H1330" s="1">
        <v>4.9599999999999999E-5</v>
      </c>
      <c r="I1330" s="1">
        <v>2.5000000000000001E-5</v>
      </c>
      <c r="J1330" s="1">
        <v>2.1500000000000001E-5</v>
      </c>
      <c r="K1330" s="1">
        <v>2.97E-5</v>
      </c>
      <c r="L1330" s="1">
        <v>3.5299999999999997E-5</v>
      </c>
      <c r="M1330" s="1">
        <v>1.8099999999999999E-5</v>
      </c>
      <c r="N1330" s="1">
        <v>2.3099999999999999E-5</v>
      </c>
      <c r="O1330" s="1">
        <v>4.1300000000000001E-5</v>
      </c>
      <c r="P1330" s="1">
        <v>2.0299999999999999E-5</v>
      </c>
      <c r="Q1330" s="1">
        <v>2.97E-5</v>
      </c>
      <c r="R1330" s="1">
        <v>2.2900000000000001E-5</v>
      </c>
      <c r="S1330" s="1">
        <v>3.1099999999999997E-5</v>
      </c>
      <c r="T1330" s="1">
        <v>4.9100000000000001E-5</v>
      </c>
    </row>
    <row r="1331" spans="1:20" hidden="1" x14ac:dyDescent="0.25">
      <c r="A1331" t="s">
        <v>1349</v>
      </c>
      <c r="B1331">
        <v>0</v>
      </c>
      <c r="C1331">
        <v>0</v>
      </c>
      <c r="D1331">
        <v>0</v>
      </c>
      <c r="E1331" s="1">
        <v>1.56E-5</v>
      </c>
      <c r="F1331">
        <v>0</v>
      </c>
      <c r="G1331">
        <v>0</v>
      </c>
      <c r="H1331">
        <v>0</v>
      </c>
      <c r="I1331" s="1">
        <v>9.9299999999999998E-6</v>
      </c>
      <c r="J1331">
        <v>0</v>
      </c>
      <c r="K1331" s="1">
        <v>1.42E-5</v>
      </c>
      <c r="L1331" s="1">
        <v>1.9300000000000002E-5</v>
      </c>
      <c r="M1331" s="1">
        <v>8.6400000000000003E-6</v>
      </c>
      <c r="N1331" s="1">
        <v>6.72E-6</v>
      </c>
      <c r="O1331">
        <v>0</v>
      </c>
      <c r="P1331">
        <v>0</v>
      </c>
      <c r="Q1331" s="1">
        <v>1.3499999999999999E-5</v>
      </c>
      <c r="R1331" s="1">
        <v>1.5699999999999999E-5</v>
      </c>
      <c r="S1331" s="1">
        <v>2.1399999999999998E-5</v>
      </c>
      <c r="T1331" s="1">
        <v>2.44E-5</v>
      </c>
    </row>
    <row r="1332" spans="1:20" hidden="1" x14ac:dyDescent="0.25">
      <c r="A1332" t="s">
        <v>1350</v>
      </c>
      <c r="B1332" s="1">
        <v>2.7100000000000001E-5</v>
      </c>
      <c r="C1332" s="1">
        <v>4.4700000000000002E-5</v>
      </c>
      <c r="D1332" s="1">
        <v>4.1600000000000002E-5</v>
      </c>
      <c r="E1332" s="1">
        <v>4.7299999999999998E-5</v>
      </c>
      <c r="F1332" s="1">
        <v>3.4700000000000003E-5</v>
      </c>
      <c r="G1332" s="1">
        <v>3.6999999999999998E-5</v>
      </c>
      <c r="H1332" s="1">
        <v>4.2400000000000001E-5</v>
      </c>
      <c r="I1332" s="1">
        <v>3.1000000000000001E-5</v>
      </c>
      <c r="J1332" s="1">
        <v>2.9600000000000001E-5</v>
      </c>
      <c r="K1332" s="1">
        <v>3.04E-5</v>
      </c>
      <c r="L1332" s="1">
        <v>3.68E-5</v>
      </c>
      <c r="M1332">
        <v>0</v>
      </c>
      <c r="N1332" s="1">
        <v>2.12E-5</v>
      </c>
      <c r="O1332" s="1">
        <v>2.6400000000000001E-5</v>
      </c>
      <c r="P1332" s="1">
        <v>2.6800000000000001E-5</v>
      </c>
      <c r="Q1332" s="1">
        <v>3.1900000000000003E-5</v>
      </c>
      <c r="R1332" s="1">
        <v>3.01E-5</v>
      </c>
      <c r="S1332" s="1">
        <v>3.4199999999999998E-5</v>
      </c>
      <c r="T1332" s="1">
        <v>3.6999999999999998E-5</v>
      </c>
    </row>
    <row r="1333" spans="1:20" hidden="1" x14ac:dyDescent="0.25">
      <c r="A1333" t="s">
        <v>1351</v>
      </c>
      <c r="B1333" s="1">
        <v>5.3000000000000001E-5</v>
      </c>
      <c r="C1333" s="1">
        <v>8.3900000000000006E-5</v>
      </c>
      <c r="D1333">
        <v>1.1065600000000001E-4</v>
      </c>
      <c r="E1333" s="1">
        <v>8.4499999999999994E-5</v>
      </c>
      <c r="F1333" s="1">
        <v>8.7499999999999999E-5</v>
      </c>
      <c r="G1333">
        <v>1.03384E-4</v>
      </c>
      <c r="H1333" s="1">
        <v>9.87E-5</v>
      </c>
      <c r="I1333" s="1">
        <v>6.2500000000000001E-5</v>
      </c>
      <c r="J1333" s="1">
        <v>6.0800000000000001E-5</v>
      </c>
      <c r="K1333" s="1">
        <v>6.1500000000000004E-5</v>
      </c>
      <c r="L1333" s="1">
        <v>7.1799999999999997E-5</v>
      </c>
      <c r="M1333" s="1">
        <v>4.8399999999999997E-5</v>
      </c>
      <c r="N1333" s="1">
        <v>3.79E-5</v>
      </c>
      <c r="O1333" s="1">
        <v>5.3600000000000002E-5</v>
      </c>
      <c r="P1333" s="1">
        <v>5.5300000000000002E-5</v>
      </c>
      <c r="Q1333" s="1">
        <v>7.47E-5</v>
      </c>
      <c r="R1333" s="1">
        <v>5.4799999999999997E-5</v>
      </c>
      <c r="S1333" s="1">
        <v>8.2000000000000001E-5</v>
      </c>
      <c r="T1333" s="1">
        <v>7.9099999999999998E-5</v>
      </c>
    </row>
    <row r="1334" spans="1:20" hidden="1" x14ac:dyDescent="0.25">
      <c r="A1334" t="s">
        <v>1352</v>
      </c>
      <c r="B1334">
        <v>0</v>
      </c>
      <c r="C1334" s="1">
        <v>2.8600000000000001E-5</v>
      </c>
      <c r="D1334" s="1">
        <v>2.6400000000000001E-5</v>
      </c>
      <c r="E1334" s="1">
        <v>3.8399999999999998E-5</v>
      </c>
      <c r="F1334">
        <v>0</v>
      </c>
      <c r="G1334">
        <v>0</v>
      </c>
      <c r="H1334" s="1">
        <v>3.1000000000000001E-5</v>
      </c>
      <c r="I1334" s="1">
        <v>3.29E-5</v>
      </c>
      <c r="J1334" s="1">
        <v>2.0599999999999999E-5</v>
      </c>
      <c r="K1334" s="1">
        <v>2.3900000000000002E-5</v>
      </c>
      <c r="L1334" s="1">
        <v>3.15E-5</v>
      </c>
      <c r="M1334" s="1">
        <v>2.0699999999999998E-5</v>
      </c>
      <c r="N1334" s="1">
        <v>4.5399999999999999E-5</v>
      </c>
      <c r="O1334">
        <v>0</v>
      </c>
      <c r="P1334" s="1">
        <v>3.7599999999999999E-5</v>
      </c>
      <c r="Q1334" s="1">
        <v>4.6699999999999997E-5</v>
      </c>
      <c r="R1334" s="1">
        <v>4.3900000000000003E-5</v>
      </c>
      <c r="S1334" s="1">
        <v>4.99E-5</v>
      </c>
      <c r="T1334" s="1">
        <v>3.9700000000000003E-5</v>
      </c>
    </row>
    <row r="1335" spans="1:20" hidden="1" x14ac:dyDescent="0.25">
      <c r="A1335" t="s">
        <v>1353</v>
      </c>
      <c r="B1335">
        <v>2.05956E-4</v>
      </c>
      <c r="C1335">
        <v>1.8291299999999999E-4</v>
      </c>
      <c r="D1335">
        <v>1.11387E-4</v>
      </c>
      <c r="E1335">
        <v>1.5920100000000001E-4</v>
      </c>
      <c r="F1335">
        <v>2.7265600000000003E-4</v>
      </c>
      <c r="G1335">
        <v>2.9494299999999998E-4</v>
      </c>
      <c r="H1335">
        <v>3.3842900000000001E-4</v>
      </c>
      <c r="I1335">
        <v>3.1970700000000002E-4</v>
      </c>
      <c r="J1335">
        <v>3.8892000000000001E-4</v>
      </c>
      <c r="K1335">
        <v>2.7555899999999998E-4</v>
      </c>
      <c r="L1335">
        <v>2.3367099999999999E-4</v>
      </c>
      <c r="M1335">
        <v>3.1832699999999998E-4</v>
      </c>
      <c r="N1335">
        <v>3.2316300000000001E-4</v>
      </c>
      <c r="O1335">
        <v>3.9686700000000002E-4</v>
      </c>
      <c r="P1335">
        <v>3.1771099999999998E-4</v>
      </c>
      <c r="Q1335">
        <v>3.3494299999999998E-4</v>
      </c>
      <c r="R1335">
        <v>4.2248600000000002E-4</v>
      </c>
      <c r="S1335">
        <v>2.9869800000000002E-4</v>
      </c>
      <c r="T1335">
        <v>2.4827900000000001E-4</v>
      </c>
    </row>
    <row r="1336" spans="1:20" hidden="1" x14ac:dyDescent="0.25">
      <c r="A1336" t="s">
        <v>1354</v>
      </c>
      <c r="B1336" s="1">
        <v>3.1999999999999999E-5</v>
      </c>
      <c r="C1336" s="1">
        <v>4.7700000000000001E-5</v>
      </c>
      <c r="D1336" s="1">
        <v>5.5500000000000001E-5</v>
      </c>
      <c r="E1336" s="1">
        <v>4.8900000000000003E-5</v>
      </c>
      <c r="F1336" s="1">
        <v>7.3899999999999994E-5</v>
      </c>
      <c r="G1336" s="1">
        <v>5.8499999999999999E-5</v>
      </c>
      <c r="H1336" s="1">
        <v>2.34E-5</v>
      </c>
      <c r="I1336" s="1">
        <v>7.3899999999999994E-5</v>
      </c>
      <c r="J1336" s="1">
        <v>7.6699999999999994E-5</v>
      </c>
      <c r="K1336" s="1">
        <v>8.8900000000000006E-5</v>
      </c>
      <c r="L1336" s="1">
        <v>7.6699999999999994E-5</v>
      </c>
      <c r="M1336" s="1">
        <v>6.3700000000000003E-5</v>
      </c>
      <c r="N1336" s="1">
        <v>7.2299999999999996E-5</v>
      </c>
      <c r="O1336">
        <v>1.00552E-4</v>
      </c>
      <c r="P1336" s="1">
        <v>9.7299999999999993E-5</v>
      </c>
      <c r="Q1336">
        <v>1.0822E-4</v>
      </c>
      <c r="R1336" s="1">
        <v>8.8800000000000004E-5</v>
      </c>
      <c r="S1336">
        <v>1.44177E-4</v>
      </c>
      <c r="T1336" s="1">
        <v>9.5699999999999995E-5</v>
      </c>
    </row>
    <row r="1337" spans="1:20" hidden="1" x14ac:dyDescent="0.25">
      <c r="A1337" t="s">
        <v>1355</v>
      </c>
      <c r="B1337">
        <v>4.1374400000000001E-4</v>
      </c>
      <c r="C1337">
        <v>3.5454900000000001E-4</v>
      </c>
      <c r="D1337">
        <v>2.7604300000000001E-4</v>
      </c>
      <c r="E1337">
        <v>0</v>
      </c>
      <c r="F1337">
        <v>6.1431099999999998E-4</v>
      </c>
      <c r="G1337">
        <v>1.0611570000000001E-3</v>
      </c>
      <c r="H1337">
        <v>0</v>
      </c>
      <c r="I1337">
        <v>7.7144300000000002E-4</v>
      </c>
      <c r="J1337">
        <v>1.0073250000000001E-3</v>
      </c>
      <c r="K1337">
        <v>5.4253500000000002E-4</v>
      </c>
      <c r="L1337">
        <v>5.7613200000000003E-4</v>
      </c>
      <c r="M1337">
        <v>1.311275E-3</v>
      </c>
      <c r="N1337">
        <v>1.6789179999999999E-3</v>
      </c>
      <c r="O1337">
        <v>1.0461789999999999E-3</v>
      </c>
      <c r="P1337">
        <v>1.319357E-3</v>
      </c>
      <c r="Q1337">
        <v>1.3670010000000001E-3</v>
      </c>
      <c r="R1337">
        <v>1.0955540000000001E-3</v>
      </c>
      <c r="S1337">
        <v>8.1857999999999996E-4</v>
      </c>
      <c r="T1337">
        <v>1.008969E-3</v>
      </c>
    </row>
    <row r="1338" spans="1:20" hidden="1" x14ac:dyDescent="0.25">
      <c r="A1338" t="s">
        <v>1356</v>
      </c>
      <c r="B1338">
        <v>0</v>
      </c>
      <c r="C1338">
        <v>0</v>
      </c>
      <c r="D1338">
        <v>0</v>
      </c>
      <c r="E1338">
        <v>0</v>
      </c>
      <c r="F1338">
        <v>0</v>
      </c>
      <c r="G1338" s="1">
        <v>1.3499999999999999E-5</v>
      </c>
      <c r="H1338" s="1">
        <v>2.0299999999999999E-5</v>
      </c>
      <c r="I1338" s="1">
        <v>1.15E-5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s="1">
        <v>1.91E-5</v>
      </c>
      <c r="Q1338" s="1">
        <v>4.71E-5</v>
      </c>
      <c r="R1338" s="1">
        <v>2.1699999999999999E-5</v>
      </c>
      <c r="S1338" s="1">
        <v>1.5800000000000001E-5</v>
      </c>
      <c r="T1338" s="1">
        <v>7.4200000000000001E-5</v>
      </c>
    </row>
    <row r="1339" spans="1:20" hidden="1" x14ac:dyDescent="0.25">
      <c r="A1339" t="s">
        <v>1357</v>
      </c>
      <c r="B1339">
        <v>1.29395E-4</v>
      </c>
      <c r="C1339">
        <v>1.4303100000000001E-4</v>
      </c>
      <c r="D1339" s="1">
        <v>8.7600000000000002E-5</v>
      </c>
      <c r="E1339">
        <v>1.6518899999999999E-4</v>
      </c>
      <c r="F1339" s="1">
        <v>9.9599999999999995E-5</v>
      </c>
      <c r="G1339" s="1">
        <v>6.2299999999999996E-5</v>
      </c>
      <c r="H1339">
        <v>1.8727699999999999E-4</v>
      </c>
      <c r="I1339" s="1">
        <v>9.1799999999999995E-5</v>
      </c>
      <c r="J1339" s="1">
        <v>6.7299999999999996E-5</v>
      </c>
      <c r="K1339">
        <v>1.40066E-4</v>
      </c>
      <c r="L1339">
        <v>1.19543E-4</v>
      </c>
      <c r="M1339" s="1">
        <v>9.2299999999999994E-5</v>
      </c>
      <c r="N1339" s="1">
        <v>9.1899999999999998E-5</v>
      </c>
      <c r="O1339" s="1">
        <v>6.6799999999999997E-5</v>
      </c>
      <c r="P1339" s="1">
        <v>9.4400000000000004E-5</v>
      </c>
      <c r="Q1339">
        <v>1.01246E-4</v>
      </c>
      <c r="R1339" s="1">
        <v>9.9300000000000001E-5</v>
      </c>
      <c r="S1339">
        <v>1.1158999999999999E-4</v>
      </c>
      <c r="T1339" s="1">
        <v>9.3200000000000002E-5</v>
      </c>
    </row>
    <row r="1340" spans="1:20" hidden="1" x14ac:dyDescent="0.25">
      <c r="A1340" t="s">
        <v>1358</v>
      </c>
      <c r="B1340" s="1">
        <v>7.4300000000000004E-5</v>
      </c>
      <c r="C1340" s="1">
        <v>5.8999999999999998E-5</v>
      </c>
      <c r="D1340" s="1">
        <v>4.6999999999999997E-5</v>
      </c>
      <c r="E1340" s="1">
        <v>4.9100000000000001E-5</v>
      </c>
      <c r="F1340" s="1">
        <v>6.3600000000000001E-5</v>
      </c>
      <c r="G1340" s="1">
        <v>7.1600000000000006E-5</v>
      </c>
      <c r="H1340" s="1">
        <v>5.5600000000000003E-5</v>
      </c>
      <c r="I1340" s="1">
        <v>7.2299999999999996E-5</v>
      </c>
      <c r="J1340" s="1">
        <v>9.87E-5</v>
      </c>
      <c r="K1340" s="1">
        <v>5.9200000000000002E-5</v>
      </c>
      <c r="L1340" s="1">
        <v>5.5699999999999999E-5</v>
      </c>
      <c r="M1340" s="1">
        <v>6.6699999999999995E-5</v>
      </c>
      <c r="N1340" s="1">
        <v>4.3099999999999997E-5</v>
      </c>
      <c r="O1340" s="1">
        <v>6.3600000000000001E-5</v>
      </c>
      <c r="P1340" s="1">
        <v>5.4299999999999998E-5</v>
      </c>
      <c r="Q1340" s="1">
        <v>7.4800000000000002E-5</v>
      </c>
      <c r="R1340" s="1">
        <v>7.5699999999999997E-5</v>
      </c>
      <c r="S1340" s="1">
        <v>6.4399999999999993E-5</v>
      </c>
      <c r="T1340" s="1">
        <v>6.5699999999999998E-5</v>
      </c>
    </row>
    <row r="1341" spans="1:20" hidden="1" x14ac:dyDescent="0.25">
      <c r="A1341" t="s">
        <v>1359</v>
      </c>
      <c r="B1341" s="1">
        <v>4.8900000000000003E-5</v>
      </c>
      <c r="C1341" s="1">
        <v>5.6499999999999998E-5</v>
      </c>
      <c r="D1341" s="1">
        <v>4.1300000000000001E-5</v>
      </c>
      <c r="E1341" s="1">
        <v>7.1500000000000003E-5</v>
      </c>
      <c r="F1341" s="1">
        <v>9.0799999999999998E-5</v>
      </c>
      <c r="G1341" s="1">
        <v>8.1199999999999995E-5</v>
      </c>
      <c r="H1341" s="1">
        <v>5.27E-5</v>
      </c>
      <c r="I1341" s="1">
        <v>9.31E-5</v>
      </c>
      <c r="J1341" s="1">
        <v>9.9599999999999995E-5</v>
      </c>
      <c r="K1341" s="1">
        <v>6.5199999999999999E-5</v>
      </c>
      <c r="L1341" s="1">
        <v>6.9800000000000003E-5</v>
      </c>
      <c r="M1341" s="1">
        <v>6.0800000000000001E-5</v>
      </c>
      <c r="N1341">
        <v>1.2348099999999999E-4</v>
      </c>
      <c r="O1341" s="1">
        <v>7.1299999999999998E-5</v>
      </c>
      <c r="P1341">
        <v>1.11081E-4</v>
      </c>
      <c r="Q1341">
        <v>1.61943E-4</v>
      </c>
      <c r="R1341">
        <v>1.59619E-4</v>
      </c>
      <c r="S1341">
        <v>1.6246000000000001E-4</v>
      </c>
      <c r="T1341">
        <v>1.9797799999999999E-4</v>
      </c>
    </row>
    <row r="1342" spans="1:20" hidden="1" x14ac:dyDescent="0.25">
      <c r="A1342" t="s">
        <v>1360</v>
      </c>
      <c r="B1342" s="1">
        <v>7.6299999999999998E-5</v>
      </c>
      <c r="C1342">
        <v>1.8398899999999999E-4</v>
      </c>
      <c r="D1342">
        <v>1.0652799999999999E-4</v>
      </c>
      <c r="E1342" s="1">
        <v>8.9699999999999998E-5</v>
      </c>
      <c r="F1342">
        <v>1.62585E-4</v>
      </c>
      <c r="G1342">
        <v>3.0408399999999998E-4</v>
      </c>
      <c r="H1342">
        <v>2.21132E-4</v>
      </c>
      <c r="I1342">
        <v>4.50362E-4</v>
      </c>
      <c r="J1342">
        <v>2.7096100000000001E-4</v>
      </c>
      <c r="K1342">
        <v>1.7051600000000001E-4</v>
      </c>
      <c r="L1342">
        <v>2.13871E-4</v>
      </c>
      <c r="M1342">
        <v>2.0470699999999999E-4</v>
      </c>
      <c r="N1342">
        <v>4.7740899999999998E-4</v>
      </c>
      <c r="O1342">
        <v>2.52203E-4</v>
      </c>
      <c r="P1342">
        <v>1.8878100000000001E-4</v>
      </c>
      <c r="Q1342">
        <v>2.1404099999999999E-4</v>
      </c>
      <c r="R1342">
        <v>1.8126199999999999E-4</v>
      </c>
      <c r="S1342">
        <v>1.5862499999999999E-4</v>
      </c>
      <c r="T1342">
        <v>1.3064000000000001E-4</v>
      </c>
    </row>
    <row r="1343" spans="1:20" hidden="1" x14ac:dyDescent="0.25">
      <c r="A1343" t="s">
        <v>1361</v>
      </c>
      <c r="B1343">
        <v>1.8567900000000001E-4</v>
      </c>
      <c r="C1343">
        <v>2.17426E-4</v>
      </c>
      <c r="D1343">
        <v>3.3711E-4</v>
      </c>
      <c r="E1343">
        <v>2.5089200000000001E-4</v>
      </c>
      <c r="F1343">
        <v>2.4999499999999998E-4</v>
      </c>
      <c r="G1343">
        <v>0</v>
      </c>
      <c r="H1343">
        <v>2.1683100000000001E-4</v>
      </c>
      <c r="I1343">
        <v>3.54996E-4</v>
      </c>
      <c r="J1343">
        <v>1.3308600000000001E-4</v>
      </c>
      <c r="K1343">
        <v>1.6243E-4</v>
      </c>
      <c r="L1343">
        <v>1.92938E-4</v>
      </c>
      <c r="M1343">
        <v>2.8758899999999999E-4</v>
      </c>
      <c r="N1343">
        <v>4.9123600000000004E-4</v>
      </c>
      <c r="O1343">
        <v>2.8389700000000002E-4</v>
      </c>
      <c r="P1343">
        <v>1.7988800000000001E-4</v>
      </c>
      <c r="Q1343">
        <v>1.63769E-4</v>
      </c>
      <c r="R1343">
        <v>1.18998E-4</v>
      </c>
      <c r="S1343">
        <v>2.05367E-4</v>
      </c>
      <c r="T1343">
        <v>1.4918099999999999E-4</v>
      </c>
    </row>
    <row r="1344" spans="1:20" hidden="1" x14ac:dyDescent="0.25">
      <c r="A1344" t="s">
        <v>1362</v>
      </c>
      <c r="B1344">
        <v>1.25814E-4</v>
      </c>
      <c r="C1344">
        <v>1.8533199999999999E-4</v>
      </c>
      <c r="D1344">
        <v>2.10838E-4</v>
      </c>
      <c r="E1344">
        <v>2.1223699999999999E-4</v>
      </c>
      <c r="F1344">
        <v>1.58863E-4</v>
      </c>
      <c r="G1344">
        <v>1.2982599999999999E-4</v>
      </c>
      <c r="H1344">
        <v>1.3962499999999999E-4</v>
      </c>
      <c r="I1344">
        <v>1.5495099999999999E-4</v>
      </c>
      <c r="J1344">
        <v>1.48338E-4</v>
      </c>
      <c r="K1344">
        <v>1.25501E-4</v>
      </c>
      <c r="L1344">
        <v>1.57548E-4</v>
      </c>
      <c r="M1344">
        <v>1.03554E-4</v>
      </c>
      <c r="N1344">
        <v>1.1842599999999999E-4</v>
      </c>
      <c r="O1344">
        <v>1.5180799999999999E-4</v>
      </c>
      <c r="P1344">
        <v>1.00046E-4</v>
      </c>
      <c r="Q1344">
        <v>1.0389499999999999E-4</v>
      </c>
      <c r="R1344" s="1">
        <v>7.9900000000000004E-5</v>
      </c>
      <c r="S1344" s="1">
        <v>9.4300000000000002E-5</v>
      </c>
      <c r="T1344">
        <v>1.03612E-4</v>
      </c>
    </row>
    <row r="1345" spans="1:20" hidden="1" x14ac:dyDescent="0.25">
      <c r="A1345" t="s">
        <v>1363</v>
      </c>
      <c r="B1345" s="1">
        <v>4.4499999999999997E-6</v>
      </c>
      <c r="C1345" s="1">
        <v>1.5E-5</v>
      </c>
      <c r="D1345" s="1">
        <v>7.9899999999999997E-6</v>
      </c>
      <c r="E1345" s="1">
        <v>1.43E-5</v>
      </c>
      <c r="F1345" s="1">
        <v>4.4599999999999996E-6</v>
      </c>
      <c r="G1345" s="1">
        <v>8.1799999999999996E-6</v>
      </c>
      <c r="H1345" s="1">
        <v>1.19E-5</v>
      </c>
      <c r="I1345" s="1">
        <v>6.2500000000000003E-6</v>
      </c>
      <c r="J1345">
        <v>0</v>
      </c>
      <c r="K1345" s="1">
        <v>8.0700000000000007E-6</v>
      </c>
      <c r="L1345" s="1">
        <v>8.5399999999999996E-6</v>
      </c>
      <c r="M1345" s="1">
        <v>1.3200000000000001E-5</v>
      </c>
      <c r="N1345" s="1">
        <v>7.79E-6</v>
      </c>
      <c r="O1345">
        <v>0</v>
      </c>
      <c r="P1345">
        <v>0</v>
      </c>
      <c r="Q1345" s="1">
        <v>7.4800000000000004E-6</v>
      </c>
      <c r="R1345" s="1">
        <v>9.1500000000000005E-6</v>
      </c>
      <c r="S1345">
        <v>0</v>
      </c>
      <c r="T1345" s="1">
        <v>7.0500000000000003E-6</v>
      </c>
    </row>
    <row r="1346" spans="1:20" hidden="1" x14ac:dyDescent="0.25">
      <c r="A1346" t="s">
        <v>1364</v>
      </c>
      <c r="B1346" s="1">
        <v>4.8099999999999997E-5</v>
      </c>
      <c r="C1346" s="1">
        <v>4.6300000000000001E-5</v>
      </c>
      <c r="D1346" s="1">
        <v>5.4400000000000001E-5</v>
      </c>
      <c r="E1346" s="1">
        <v>5.2899999999999998E-5</v>
      </c>
      <c r="F1346" s="1">
        <v>5.91E-5</v>
      </c>
      <c r="G1346" s="1">
        <v>7.0699999999999997E-5</v>
      </c>
      <c r="H1346" s="1">
        <v>6.6699999999999995E-5</v>
      </c>
      <c r="I1346" s="1">
        <v>4.46E-5</v>
      </c>
      <c r="J1346" s="1">
        <v>6.0800000000000001E-5</v>
      </c>
      <c r="K1346" s="1">
        <v>7.0599999999999995E-5</v>
      </c>
      <c r="L1346" s="1">
        <v>7.6799999999999997E-5</v>
      </c>
      <c r="M1346" s="1">
        <v>5.2899999999999998E-5</v>
      </c>
      <c r="N1346" s="1">
        <v>4.32E-5</v>
      </c>
      <c r="O1346" s="1">
        <v>4.9299999999999999E-5</v>
      </c>
      <c r="P1346" s="1">
        <v>5.6100000000000002E-5</v>
      </c>
      <c r="Q1346" s="1">
        <v>8.0900000000000001E-5</v>
      </c>
      <c r="R1346" s="1">
        <v>7.8800000000000004E-5</v>
      </c>
      <c r="S1346" s="1">
        <v>8.3599999999999999E-5</v>
      </c>
      <c r="T1346" s="1">
        <v>5.0399999999999999E-5</v>
      </c>
    </row>
    <row r="1347" spans="1:20" hidden="1" x14ac:dyDescent="0.25">
      <c r="A1347" t="s">
        <v>1365</v>
      </c>
      <c r="B1347" s="1">
        <v>2.1800000000000001E-5</v>
      </c>
      <c r="C1347" s="1">
        <v>3.5599999999999998E-5</v>
      </c>
      <c r="D1347" s="1">
        <v>1.3200000000000001E-5</v>
      </c>
      <c r="E1347" s="1">
        <v>1.6200000000000001E-5</v>
      </c>
      <c r="F1347" s="1">
        <v>5.1600000000000001E-5</v>
      </c>
      <c r="G1347" s="1">
        <v>5.27E-5</v>
      </c>
      <c r="H1347" s="1">
        <v>4.6799999999999999E-5</v>
      </c>
      <c r="I1347" s="1">
        <v>6.3600000000000001E-5</v>
      </c>
      <c r="J1347" s="1">
        <v>3.4400000000000003E-5</v>
      </c>
      <c r="K1347" s="1">
        <v>5.1900000000000001E-5</v>
      </c>
      <c r="L1347" s="1">
        <v>5.94E-5</v>
      </c>
      <c r="M1347" s="1">
        <v>3.5099999999999999E-5</v>
      </c>
      <c r="N1347" s="1">
        <v>2.8099999999999999E-5</v>
      </c>
      <c r="O1347" s="1">
        <v>4.8300000000000002E-5</v>
      </c>
      <c r="P1347" s="1">
        <v>7.4900000000000005E-5</v>
      </c>
      <c r="Q1347" s="1">
        <v>8.8700000000000001E-5</v>
      </c>
      <c r="R1347" s="1">
        <v>9.1199999999999994E-5</v>
      </c>
      <c r="S1347">
        <v>1.22457E-4</v>
      </c>
      <c r="T1347" s="1">
        <v>7.2200000000000007E-5</v>
      </c>
    </row>
    <row r="1348" spans="1:20" hidden="1" x14ac:dyDescent="0.25">
      <c r="A1348" t="s">
        <v>1366</v>
      </c>
      <c r="B1348" s="1">
        <v>2.8E-5</v>
      </c>
      <c r="C1348" s="1">
        <v>4.6E-5</v>
      </c>
      <c r="D1348" s="1">
        <v>4.2299999999999998E-5</v>
      </c>
      <c r="E1348" s="1">
        <v>4.49E-5</v>
      </c>
      <c r="F1348" s="1">
        <v>2.8600000000000001E-5</v>
      </c>
      <c r="G1348" s="1">
        <v>3.1300000000000002E-5</v>
      </c>
      <c r="H1348" s="1">
        <v>2.6999999999999999E-5</v>
      </c>
      <c r="I1348" s="1">
        <v>2.5299999999999998E-5</v>
      </c>
      <c r="J1348" s="1">
        <v>2.27E-5</v>
      </c>
      <c r="K1348" s="1">
        <v>3.18E-5</v>
      </c>
      <c r="L1348" s="1">
        <v>3.5899999999999998E-5</v>
      </c>
      <c r="M1348" s="1">
        <v>2.12E-5</v>
      </c>
      <c r="N1348" s="1">
        <v>1.2999999999999999E-5</v>
      </c>
      <c r="O1348" s="1">
        <v>1.59E-5</v>
      </c>
      <c r="P1348" s="1">
        <v>1.3499999999999999E-5</v>
      </c>
      <c r="Q1348" s="1">
        <v>1.2799999999999999E-5</v>
      </c>
      <c r="R1348" s="1">
        <v>1.1800000000000001E-5</v>
      </c>
      <c r="S1348" s="1">
        <v>1.9599999999999999E-5</v>
      </c>
      <c r="T1348" s="1">
        <v>1.34E-5</v>
      </c>
    </row>
    <row r="1349" spans="1:20" hidden="1" x14ac:dyDescent="0.25">
      <c r="A1349" t="s">
        <v>1367</v>
      </c>
      <c r="B1349" s="1">
        <v>5.8900000000000004E-6</v>
      </c>
      <c r="C1349" s="1">
        <v>6.8000000000000001E-6</v>
      </c>
      <c r="D1349">
        <v>0</v>
      </c>
      <c r="E1349" s="1">
        <v>6.1800000000000001E-6</v>
      </c>
      <c r="F1349" s="1">
        <v>3.8999999999999999E-6</v>
      </c>
      <c r="G1349">
        <v>0</v>
      </c>
      <c r="H1349" s="1">
        <v>4.4100000000000001E-6</v>
      </c>
      <c r="I1349">
        <v>0</v>
      </c>
      <c r="J1349">
        <v>0</v>
      </c>
      <c r="K1349" s="1">
        <v>4.5399999999999997E-6</v>
      </c>
      <c r="L1349">
        <v>0</v>
      </c>
      <c r="M1349">
        <v>0</v>
      </c>
      <c r="N1349">
        <v>0</v>
      </c>
      <c r="O1349">
        <v>0</v>
      </c>
      <c r="P1349">
        <v>0</v>
      </c>
      <c r="Q1349" s="1">
        <v>3.0299999999999998E-6</v>
      </c>
      <c r="R1349" s="1">
        <v>2.9000000000000002E-6</v>
      </c>
      <c r="S1349" s="1">
        <v>3.58E-6</v>
      </c>
      <c r="T1349" s="1">
        <v>2.6800000000000002E-6</v>
      </c>
    </row>
    <row r="1350" spans="1:20" hidden="1" x14ac:dyDescent="0.25">
      <c r="A1350" t="s">
        <v>1368</v>
      </c>
      <c r="B1350">
        <v>0</v>
      </c>
      <c r="C1350" s="1">
        <v>1.06E-5</v>
      </c>
      <c r="D1350" s="1">
        <v>8.4600000000000003E-6</v>
      </c>
      <c r="E1350" s="1">
        <v>8.1300000000000001E-6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s="1">
        <v>6.8800000000000002E-6</v>
      </c>
      <c r="T1350">
        <v>0</v>
      </c>
    </row>
    <row r="1351" spans="1:20" hidden="1" x14ac:dyDescent="0.25">
      <c r="A1351" t="s">
        <v>1369</v>
      </c>
      <c r="B1351" s="1">
        <v>1.26E-5</v>
      </c>
      <c r="C1351" s="1">
        <v>2.3499999999999999E-5</v>
      </c>
      <c r="D1351" s="1">
        <v>2.3E-5</v>
      </c>
      <c r="E1351" s="1">
        <v>2.05E-5</v>
      </c>
      <c r="F1351" s="1">
        <v>9.5100000000000004E-6</v>
      </c>
      <c r="G1351" s="1">
        <v>1.0499999999999999E-5</v>
      </c>
      <c r="H1351" s="1">
        <v>9.8500000000000006E-6</v>
      </c>
      <c r="I1351" s="1">
        <v>7.5299999999999999E-6</v>
      </c>
      <c r="J1351">
        <v>0</v>
      </c>
      <c r="K1351" s="1">
        <v>1.11E-5</v>
      </c>
      <c r="L1351" s="1">
        <v>1.24E-5</v>
      </c>
      <c r="M1351" s="1">
        <v>1.01E-5</v>
      </c>
      <c r="N1351" s="1">
        <v>4.6099999999999999E-6</v>
      </c>
      <c r="O1351" s="1">
        <v>7.17E-6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hidden="1" x14ac:dyDescent="0.25">
      <c r="A1352" t="s">
        <v>1370</v>
      </c>
      <c r="B1352" s="1">
        <v>6.86E-5</v>
      </c>
      <c r="C1352" s="1">
        <v>5.2200000000000002E-5</v>
      </c>
      <c r="D1352" s="1">
        <v>5.0399999999999999E-5</v>
      </c>
      <c r="E1352" s="1">
        <v>3.1699999999999998E-5</v>
      </c>
      <c r="F1352" s="1">
        <v>5.4200000000000003E-5</v>
      </c>
      <c r="G1352" s="1">
        <v>8.8800000000000004E-5</v>
      </c>
      <c r="H1352">
        <v>1.62807E-4</v>
      </c>
      <c r="I1352" s="1">
        <v>6.69E-5</v>
      </c>
      <c r="J1352" s="1">
        <v>7.6199999999999995E-5</v>
      </c>
      <c r="K1352" s="1">
        <v>5.4599999999999999E-5</v>
      </c>
      <c r="L1352" s="1">
        <v>6.2500000000000001E-5</v>
      </c>
      <c r="M1352" s="1">
        <v>9.6100000000000005E-5</v>
      </c>
      <c r="N1352">
        <v>1.2115E-4</v>
      </c>
      <c r="O1352" s="1">
        <v>6.4900000000000005E-5</v>
      </c>
      <c r="P1352" s="1">
        <v>6.4700000000000001E-5</v>
      </c>
      <c r="Q1352">
        <v>1.0202199999999999E-4</v>
      </c>
      <c r="R1352" s="1">
        <v>8.3499999999999997E-5</v>
      </c>
      <c r="S1352" s="1">
        <v>6.9300000000000004E-5</v>
      </c>
      <c r="T1352" s="1">
        <v>6.7700000000000006E-5</v>
      </c>
    </row>
    <row r="1353" spans="1:20" hidden="1" x14ac:dyDescent="0.25">
      <c r="A1353" t="s">
        <v>1371</v>
      </c>
      <c r="B1353">
        <v>1.54599E-4</v>
      </c>
      <c r="C1353">
        <v>2.28528E-4</v>
      </c>
      <c r="D1353">
        <v>1.21907E-4</v>
      </c>
      <c r="E1353">
        <v>1.5084500000000001E-4</v>
      </c>
      <c r="F1353">
        <v>1.9217E-4</v>
      </c>
      <c r="G1353">
        <v>0</v>
      </c>
      <c r="H1353">
        <v>1.5538699999999999E-4</v>
      </c>
      <c r="I1353">
        <v>1.9257200000000001E-4</v>
      </c>
      <c r="J1353">
        <v>1.6940999999999999E-4</v>
      </c>
      <c r="K1353">
        <v>1.9901399999999999E-4</v>
      </c>
      <c r="L1353">
        <v>1.71638E-4</v>
      </c>
      <c r="M1353">
        <v>1.5620400000000001E-4</v>
      </c>
      <c r="N1353">
        <v>1.7699799999999999E-4</v>
      </c>
      <c r="O1353">
        <v>1.1103300000000001E-4</v>
      </c>
      <c r="P1353">
        <v>1.88612E-4</v>
      </c>
      <c r="Q1353">
        <v>2.7062000000000001E-4</v>
      </c>
      <c r="R1353">
        <v>1.9034799999999999E-4</v>
      </c>
      <c r="S1353">
        <v>2.5442900000000003E-4</v>
      </c>
      <c r="T1353">
        <v>4.92005E-4</v>
      </c>
    </row>
    <row r="1354" spans="1:20" hidden="1" x14ac:dyDescent="0.25">
      <c r="A1354" t="s">
        <v>1372</v>
      </c>
      <c r="B1354">
        <v>7.6437200000000003E-4</v>
      </c>
      <c r="C1354">
        <v>3.2024000000000001E-4</v>
      </c>
      <c r="D1354">
        <v>2.7044200000000002E-4</v>
      </c>
      <c r="E1354">
        <v>1.3153000000000001E-4</v>
      </c>
      <c r="F1354">
        <v>0</v>
      </c>
      <c r="G1354">
        <v>2.02678E-4</v>
      </c>
      <c r="H1354">
        <v>0</v>
      </c>
      <c r="I1354" s="1">
        <v>9.3599999999999998E-5</v>
      </c>
      <c r="J1354">
        <v>3.6225599999999998E-4</v>
      </c>
      <c r="K1354">
        <v>1.9552799999999999E-4</v>
      </c>
      <c r="L1354">
        <v>4.4085700000000001E-4</v>
      </c>
      <c r="M1354">
        <v>2.01499E-4</v>
      </c>
      <c r="N1354">
        <v>6.5176999999999998E-4</v>
      </c>
      <c r="O1354">
        <v>1.11579E-4</v>
      </c>
      <c r="P1354">
        <v>5.3956299999999996E-4</v>
      </c>
      <c r="Q1354">
        <v>6.6573700000000001E-4</v>
      </c>
      <c r="R1354">
        <v>5.6391500000000001E-4</v>
      </c>
      <c r="S1354">
        <v>1.2232500000000001E-4</v>
      </c>
      <c r="T1354">
        <v>2.8841700000000001E-4</v>
      </c>
    </row>
    <row r="1355" spans="1:20" hidden="1" x14ac:dyDescent="0.25">
      <c r="A1355" t="s">
        <v>1373</v>
      </c>
      <c r="B1355">
        <v>1.03631E-4</v>
      </c>
      <c r="C1355">
        <v>1.33258E-4</v>
      </c>
      <c r="D1355">
        <v>1.37298E-4</v>
      </c>
      <c r="E1355">
        <v>1.25105E-4</v>
      </c>
      <c r="F1355" s="1">
        <v>9.8300000000000004E-5</v>
      </c>
      <c r="G1355" s="1">
        <v>6.9599999999999998E-5</v>
      </c>
      <c r="H1355" s="1">
        <v>9.8499999999999995E-5</v>
      </c>
      <c r="I1355" s="1">
        <v>7.3499999999999998E-5</v>
      </c>
      <c r="J1355" s="1">
        <v>5.8600000000000001E-5</v>
      </c>
      <c r="K1355" s="1">
        <v>8.5900000000000001E-5</v>
      </c>
      <c r="L1355" s="1">
        <v>7.0500000000000006E-5</v>
      </c>
      <c r="M1355" s="1">
        <v>5.1100000000000002E-5</v>
      </c>
      <c r="N1355" s="1">
        <v>5.7599999999999997E-5</v>
      </c>
      <c r="O1355" s="1">
        <v>7.0400000000000004E-5</v>
      </c>
      <c r="P1355" s="1">
        <v>2.0100000000000001E-5</v>
      </c>
      <c r="Q1355" s="1">
        <v>2.5899999999999999E-5</v>
      </c>
      <c r="R1355" s="1">
        <v>2.0400000000000001E-5</v>
      </c>
      <c r="S1355">
        <v>0</v>
      </c>
      <c r="T1355" s="1">
        <v>2.12E-5</v>
      </c>
    </row>
    <row r="1356" spans="1:20" hidden="1" x14ac:dyDescent="0.25">
      <c r="A1356" t="s">
        <v>1374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s="1">
        <v>1.04E-5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s="1">
        <v>2.3499999999999999E-5</v>
      </c>
      <c r="Q1356" s="1">
        <v>3.3599999999999997E-5</v>
      </c>
      <c r="R1356" s="1">
        <v>5.3900000000000002E-5</v>
      </c>
      <c r="S1356" s="1">
        <v>1.59E-5</v>
      </c>
      <c r="T1356" s="1">
        <v>5.3199999999999999E-5</v>
      </c>
    </row>
    <row r="1357" spans="1:20" hidden="1" x14ac:dyDescent="0.25">
      <c r="A1357" t="s">
        <v>1375</v>
      </c>
      <c r="B1357">
        <v>5.0637900000000005E-4</v>
      </c>
      <c r="C1357">
        <v>3.9726300000000002E-4</v>
      </c>
      <c r="D1357">
        <v>3.0431499999999999E-4</v>
      </c>
      <c r="E1357">
        <v>4.8778200000000003E-4</v>
      </c>
      <c r="F1357">
        <v>6.66342E-4</v>
      </c>
      <c r="G1357">
        <v>4.66334E-4</v>
      </c>
      <c r="H1357">
        <v>4.3710500000000002E-4</v>
      </c>
      <c r="I1357">
        <v>5.9160899999999999E-4</v>
      </c>
      <c r="J1357">
        <v>6.7728099999999996E-4</v>
      </c>
      <c r="K1357">
        <v>5.4800599999999997E-4</v>
      </c>
      <c r="L1357">
        <v>4.4849199999999999E-4</v>
      </c>
      <c r="M1357">
        <v>5.3784899999999997E-4</v>
      </c>
      <c r="N1357">
        <v>3.80133E-4</v>
      </c>
      <c r="O1357">
        <v>6.2982000000000001E-4</v>
      </c>
      <c r="P1357">
        <v>4.9302299999999999E-4</v>
      </c>
      <c r="Q1357">
        <v>5.5975999999999997E-4</v>
      </c>
      <c r="R1357">
        <v>3.9475600000000001E-4</v>
      </c>
      <c r="S1357">
        <v>4.5667E-4</v>
      </c>
      <c r="T1357">
        <v>6.9987800000000002E-4</v>
      </c>
    </row>
    <row r="1358" spans="1:20" hidden="1" x14ac:dyDescent="0.25">
      <c r="A1358" t="s">
        <v>1376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s="1">
        <v>5.4500000000000003E-6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s="1">
        <v>7.2799999999999998E-6</v>
      </c>
      <c r="Q1358" s="1">
        <v>7.0299999999999996E-6</v>
      </c>
      <c r="R1358" s="1">
        <v>6.3400000000000003E-6</v>
      </c>
      <c r="S1358" s="1">
        <v>1.6399999999999999E-5</v>
      </c>
      <c r="T1358" s="1">
        <v>3.5899999999999999E-6</v>
      </c>
    </row>
    <row r="1359" spans="1:20" hidden="1" x14ac:dyDescent="0.25">
      <c r="A1359" t="s">
        <v>1377</v>
      </c>
      <c r="B1359">
        <v>3.1666099999999998E-4</v>
      </c>
      <c r="C1359">
        <v>3.2153900000000003E-4</v>
      </c>
      <c r="D1359">
        <v>3.6586300000000002E-4</v>
      </c>
      <c r="E1359">
        <v>3.5735500000000001E-4</v>
      </c>
      <c r="F1359">
        <v>3.6911499999999999E-4</v>
      </c>
      <c r="G1359">
        <v>2.6226199999999998E-4</v>
      </c>
      <c r="H1359">
        <v>2.65383E-4</v>
      </c>
      <c r="I1359">
        <v>4.9053499999999995E-4</v>
      </c>
      <c r="J1359">
        <v>3.9024900000000001E-4</v>
      </c>
      <c r="K1359">
        <v>3.3722299999999999E-4</v>
      </c>
      <c r="L1359">
        <v>3.3174799999999998E-4</v>
      </c>
      <c r="M1359">
        <v>3.7157100000000001E-4</v>
      </c>
      <c r="N1359">
        <v>3.5199299999999999E-4</v>
      </c>
      <c r="O1359">
        <v>3.2271600000000002E-4</v>
      </c>
      <c r="P1359">
        <v>3.66867E-4</v>
      </c>
      <c r="Q1359">
        <v>5.2672199999999998E-4</v>
      </c>
      <c r="R1359">
        <v>2.9007399999999997E-4</v>
      </c>
      <c r="S1359">
        <v>4.0272499999999999E-4</v>
      </c>
      <c r="T1359">
        <v>8.6692200000000001E-4</v>
      </c>
    </row>
    <row r="1360" spans="1:20" hidden="1" x14ac:dyDescent="0.25">
      <c r="A1360" t="s">
        <v>1378</v>
      </c>
      <c r="B1360">
        <v>9.0664499999999998E-4</v>
      </c>
      <c r="C1360">
        <v>7.3596399999999998E-4</v>
      </c>
      <c r="D1360">
        <v>5.6879100000000002E-4</v>
      </c>
      <c r="E1360">
        <v>6.2765399999999995E-4</v>
      </c>
      <c r="F1360">
        <v>9.4997799999999998E-4</v>
      </c>
      <c r="G1360">
        <v>1.1645900000000001E-3</v>
      </c>
      <c r="H1360">
        <v>1.4976130000000001E-3</v>
      </c>
      <c r="I1360">
        <v>1.2785839999999999E-3</v>
      </c>
      <c r="J1360">
        <v>1.154747E-3</v>
      </c>
      <c r="K1360">
        <v>8.8497800000000002E-4</v>
      </c>
      <c r="L1360">
        <v>1.3278809999999999E-3</v>
      </c>
      <c r="M1360">
        <v>1.381813E-3</v>
      </c>
      <c r="N1360">
        <v>2.5102879999999998E-3</v>
      </c>
      <c r="O1360">
        <v>1.0955069999999999E-3</v>
      </c>
      <c r="P1360">
        <v>1.14748E-3</v>
      </c>
      <c r="Q1360">
        <v>5.66751E-4</v>
      </c>
      <c r="R1360">
        <v>7.7410599999999999E-4</v>
      </c>
      <c r="S1360">
        <v>4.7634899999999999E-4</v>
      </c>
      <c r="T1360">
        <v>5.0703E-4</v>
      </c>
    </row>
    <row r="1361" spans="1:20" hidden="1" x14ac:dyDescent="0.25">
      <c r="A1361" t="s">
        <v>1379</v>
      </c>
      <c r="B1361">
        <v>0</v>
      </c>
      <c r="C1361">
        <v>0</v>
      </c>
      <c r="D1361">
        <v>0</v>
      </c>
      <c r="E1361" s="1">
        <v>3.3899999999999997E-5</v>
      </c>
      <c r="F1361" s="1">
        <v>5.5300000000000002E-5</v>
      </c>
      <c r="G1361" s="1">
        <v>4.9799999999999998E-5</v>
      </c>
      <c r="H1361">
        <v>0</v>
      </c>
      <c r="I1361" s="1">
        <v>6.7199999999999994E-5</v>
      </c>
      <c r="J1361">
        <v>1.0964900000000001E-4</v>
      </c>
      <c r="K1361">
        <v>0</v>
      </c>
      <c r="L1361">
        <v>0</v>
      </c>
      <c r="M1361" s="1">
        <v>6.3600000000000001E-5</v>
      </c>
      <c r="N1361" s="1">
        <v>9.6899999999999997E-5</v>
      </c>
      <c r="O1361" s="1">
        <v>2.41E-5</v>
      </c>
      <c r="P1361" s="1">
        <v>7.3399999999999995E-5</v>
      </c>
      <c r="Q1361" s="1">
        <v>9.4599999999999996E-5</v>
      </c>
      <c r="R1361">
        <v>1.7985700000000001E-4</v>
      </c>
      <c r="S1361">
        <v>1.2240800000000001E-4</v>
      </c>
      <c r="T1361" s="1">
        <v>7.75E-5</v>
      </c>
    </row>
    <row r="1362" spans="1:20" hidden="1" x14ac:dyDescent="0.25">
      <c r="A1362" t="s">
        <v>1380</v>
      </c>
      <c r="B1362">
        <v>8.6954899999999995E-4</v>
      </c>
      <c r="C1362">
        <v>8.0142699999999996E-4</v>
      </c>
      <c r="D1362">
        <v>7.38424E-4</v>
      </c>
      <c r="E1362">
        <v>7.6418000000000005E-4</v>
      </c>
      <c r="F1362">
        <v>9.3764100000000002E-4</v>
      </c>
      <c r="G1362">
        <v>5.5778100000000003E-4</v>
      </c>
      <c r="H1362">
        <v>6.9845699999999998E-4</v>
      </c>
      <c r="I1362">
        <v>7.0293999999999999E-4</v>
      </c>
      <c r="J1362">
        <v>7.2951299999999999E-4</v>
      </c>
      <c r="K1362">
        <v>4.5009E-4</v>
      </c>
      <c r="L1362">
        <v>5.6808599999999998E-4</v>
      </c>
      <c r="M1362">
        <v>7.5107699999999995E-4</v>
      </c>
      <c r="N1362">
        <v>4.9667999999999999E-4</v>
      </c>
      <c r="O1362">
        <v>6.4208899999999998E-4</v>
      </c>
      <c r="P1362">
        <v>7.0620700000000004E-4</v>
      </c>
      <c r="Q1362">
        <v>6.6551299999999996E-4</v>
      </c>
      <c r="R1362">
        <v>6.1020699999999998E-4</v>
      </c>
      <c r="S1362">
        <v>5.2646099999999999E-4</v>
      </c>
      <c r="T1362">
        <v>6.6070099999999997E-4</v>
      </c>
    </row>
    <row r="1363" spans="1:20" hidden="1" x14ac:dyDescent="0.25">
      <c r="A1363" t="s">
        <v>1381</v>
      </c>
      <c r="B1363">
        <v>8.1782299999999997E-4</v>
      </c>
      <c r="C1363">
        <v>8.0843600000000005E-4</v>
      </c>
      <c r="D1363">
        <v>6.6467399999999997E-4</v>
      </c>
      <c r="E1363">
        <v>7.3936E-4</v>
      </c>
      <c r="F1363">
        <v>8.9336699999999995E-4</v>
      </c>
      <c r="G1363">
        <v>7.6280599999999999E-4</v>
      </c>
      <c r="H1363">
        <v>6.8021200000000003E-4</v>
      </c>
      <c r="I1363">
        <v>7.1081599999999997E-4</v>
      </c>
      <c r="J1363">
        <v>7.4920200000000003E-4</v>
      </c>
      <c r="K1363">
        <v>5.7308499999999998E-4</v>
      </c>
      <c r="L1363">
        <v>6.4724499999999996E-4</v>
      </c>
      <c r="M1363">
        <v>7.3405400000000004E-4</v>
      </c>
      <c r="N1363">
        <v>6.8755200000000002E-4</v>
      </c>
      <c r="O1363">
        <v>6.7536400000000002E-4</v>
      </c>
      <c r="P1363">
        <v>7.8016700000000001E-4</v>
      </c>
      <c r="Q1363">
        <v>7.8489599999999999E-4</v>
      </c>
      <c r="R1363">
        <v>6.9892000000000001E-4</v>
      </c>
      <c r="S1363">
        <v>7.7807799999999997E-4</v>
      </c>
      <c r="T1363">
        <v>7.76675E-4</v>
      </c>
    </row>
    <row r="1364" spans="1:20" hidden="1" x14ac:dyDescent="0.25">
      <c r="A1364" t="s">
        <v>1382</v>
      </c>
      <c r="B1364" s="1">
        <v>2.4499999999999999E-5</v>
      </c>
      <c r="C1364">
        <v>0</v>
      </c>
      <c r="D1364" s="1">
        <v>2.9899999999999998E-5</v>
      </c>
      <c r="E1364" s="1">
        <v>2.5599999999999999E-5</v>
      </c>
      <c r="F1364" s="1">
        <v>3.8300000000000003E-5</v>
      </c>
      <c r="G1364">
        <v>0</v>
      </c>
      <c r="H1364">
        <v>0</v>
      </c>
      <c r="I1364" s="1">
        <v>1.8600000000000001E-5</v>
      </c>
      <c r="J1364" s="1">
        <v>1.9599999999999999E-5</v>
      </c>
      <c r="K1364" s="1">
        <v>2.4600000000000002E-5</v>
      </c>
      <c r="L1364" s="1">
        <v>2.7100000000000001E-5</v>
      </c>
      <c r="M1364">
        <v>0</v>
      </c>
      <c r="N1364" s="1">
        <v>1.6099999999999998E-5</v>
      </c>
      <c r="O1364" s="1">
        <v>2.0699999999999998E-5</v>
      </c>
      <c r="P1364">
        <v>0</v>
      </c>
      <c r="Q1364">
        <v>0</v>
      </c>
      <c r="R1364">
        <v>0</v>
      </c>
      <c r="S1364">
        <v>0</v>
      </c>
      <c r="T1364" s="1">
        <v>1.7799999999999999E-5</v>
      </c>
    </row>
    <row r="1365" spans="1:20" hidden="1" x14ac:dyDescent="0.25">
      <c r="A1365" t="s">
        <v>1383</v>
      </c>
      <c r="B1365">
        <v>6.4081900000000005E-4</v>
      </c>
      <c r="C1365">
        <v>6.5507200000000003E-4</v>
      </c>
      <c r="D1365">
        <v>6.9302299999999997E-4</v>
      </c>
      <c r="E1365">
        <v>7.5371300000000004E-4</v>
      </c>
      <c r="F1365">
        <v>6.6147299999999999E-4</v>
      </c>
      <c r="G1365">
        <v>5.0943600000000005E-4</v>
      </c>
      <c r="H1365">
        <v>3.9543299999999999E-4</v>
      </c>
      <c r="I1365">
        <v>4.63855E-4</v>
      </c>
      <c r="J1365">
        <v>5.3225199999999999E-4</v>
      </c>
      <c r="K1365">
        <v>6.0066999999999998E-4</v>
      </c>
      <c r="L1365">
        <v>5.6783500000000004E-4</v>
      </c>
      <c r="M1365">
        <v>5.9677600000000003E-4</v>
      </c>
      <c r="N1365">
        <v>5.1500600000000004E-4</v>
      </c>
      <c r="O1365">
        <v>5.1287000000000001E-4</v>
      </c>
      <c r="P1365">
        <v>4.24888E-4</v>
      </c>
      <c r="Q1365">
        <v>3.4212499999999998E-4</v>
      </c>
      <c r="R1365">
        <v>3.5073E-4</v>
      </c>
      <c r="S1365">
        <v>2.7003200000000002E-4</v>
      </c>
      <c r="T1365">
        <v>3.21138E-4</v>
      </c>
    </row>
    <row r="1366" spans="1:20" hidden="1" x14ac:dyDescent="0.25">
      <c r="A1366" t="s">
        <v>1384</v>
      </c>
      <c r="B1366">
        <v>2.6036700000000001E-4</v>
      </c>
      <c r="C1366">
        <v>2.8949899999999997E-4</v>
      </c>
      <c r="D1366">
        <v>2.3326E-4</v>
      </c>
      <c r="E1366">
        <v>3.1894699999999998E-4</v>
      </c>
      <c r="F1366">
        <v>2.5356400000000001E-4</v>
      </c>
      <c r="G1366">
        <v>1.5382800000000001E-4</v>
      </c>
      <c r="H1366">
        <v>1.6225899999999999E-4</v>
      </c>
      <c r="I1366">
        <v>1.98192E-4</v>
      </c>
      <c r="J1366">
        <v>1.9725100000000001E-4</v>
      </c>
      <c r="K1366">
        <v>2.0333600000000001E-4</v>
      </c>
      <c r="L1366">
        <v>2.18388E-4</v>
      </c>
      <c r="M1366">
        <v>2.6088899999999999E-4</v>
      </c>
      <c r="N1366">
        <v>1.62261E-4</v>
      </c>
      <c r="O1366">
        <v>2.38867E-4</v>
      </c>
      <c r="P1366">
        <v>2.52678E-4</v>
      </c>
      <c r="Q1366">
        <v>1.9186799999999999E-4</v>
      </c>
      <c r="R1366">
        <v>2.45541E-4</v>
      </c>
      <c r="S1366">
        <v>2.07309E-4</v>
      </c>
      <c r="T1366">
        <v>1.8600600000000001E-4</v>
      </c>
    </row>
    <row r="1367" spans="1:20" hidden="1" x14ac:dyDescent="0.25">
      <c r="A1367" t="s">
        <v>1385</v>
      </c>
      <c r="B1367">
        <v>1.6759430000000001E-3</v>
      </c>
      <c r="C1367">
        <v>1.5457629999999999E-3</v>
      </c>
      <c r="D1367">
        <v>1.9707729999999999E-3</v>
      </c>
      <c r="E1367">
        <v>1.9642319999999998E-3</v>
      </c>
      <c r="F1367">
        <v>1.9262820000000001E-3</v>
      </c>
      <c r="G1367">
        <v>1.2531560000000001E-3</v>
      </c>
      <c r="H1367">
        <v>1.116761E-3</v>
      </c>
      <c r="I1367">
        <v>1.410002E-3</v>
      </c>
      <c r="J1367">
        <v>1.562461E-3</v>
      </c>
      <c r="K1367">
        <v>1.5861950000000001E-3</v>
      </c>
      <c r="L1367">
        <v>1.561757E-3</v>
      </c>
      <c r="M1367">
        <v>1.5461089999999999E-3</v>
      </c>
      <c r="N1367">
        <v>1.1283090000000001E-3</v>
      </c>
      <c r="O1367">
        <v>1.3203550000000001E-3</v>
      </c>
      <c r="P1367">
        <v>1.210479E-3</v>
      </c>
      <c r="Q1367">
        <v>8.7063500000000003E-4</v>
      </c>
      <c r="R1367">
        <v>9.1222899999999997E-4</v>
      </c>
      <c r="S1367">
        <v>1.098857E-3</v>
      </c>
      <c r="T1367">
        <v>6.60682E-4</v>
      </c>
    </row>
    <row r="1368" spans="1:20" hidden="1" x14ac:dyDescent="0.25">
      <c r="A1368" t="s">
        <v>1386</v>
      </c>
      <c r="B1368">
        <v>1.5505200000000001E-4</v>
      </c>
      <c r="C1368">
        <v>1.64437E-4</v>
      </c>
      <c r="D1368">
        <v>1.83153E-4</v>
      </c>
      <c r="E1368">
        <v>2.0949099999999999E-4</v>
      </c>
      <c r="F1368">
        <v>1.95071E-4</v>
      </c>
      <c r="G1368">
        <v>1.38825E-4</v>
      </c>
      <c r="H1368">
        <v>1.47004E-4</v>
      </c>
      <c r="I1368">
        <v>1.4743199999999999E-4</v>
      </c>
      <c r="J1368">
        <v>1.7025100000000001E-4</v>
      </c>
      <c r="K1368">
        <v>1.4557200000000001E-4</v>
      </c>
      <c r="L1368">
        <v>1.4465600000000001E-4</v>
      </c>
      <c r="M1368">
        <v>1.44812E-4</v>
      </c>
      <c r="N1368">
        <v>1.2266600000000001E-4</v>
      </c>
      <c r="O1368">
        <v>1.71924E-4</v>
      </c>
      <c r="P1368" s="1">
        <v>5.9899999999999999E-5</v>
      </c>
      <c r="Q1368" s="1">
        <v>4.1300000000000001E-5</v>
      </c>
      <c r="R1368">
        <v>1.10671E-4</v>
      </c>
      <c r="S1368" s="1">
        <v>9.3800000000000003E-5</v>
      </c>
      <c r="T1368" s="1">
        <v>6.1600000000000007E-5</v>
      </c>
    </row>
    <row r="1369" spans="1:20" hidden="1" x14ac:dyDescent="0.25">
      <c r="A1369" t="s">
        <v>1387</v>
      </c>
      <c r="B1369">
        <v>2.10099E-4</v>
      </c>
      <c r="C1369">
        <v>2.2541799999999999E-4</v>
      </c>
      <c r="D1369">
        <v>2.26312E-4</v>
      </c>
      <c r="E1369">
        <v>2.3095E-4</v>
      </c>
      <c r="F1369">
        <v>2.8478299999999999E-4</v>
      </c>
      <c r="G1369">
        <v>1.99469E-4</v>
      </c>
      <c r="H1369">
        <v>1.6822500000000001E-4</v>
      </c>
      <c r="I1369">
        <v>2.4425100000000002E-4</v>
      </c>
      <c r="J1369">
        <v>2.22976E-4</v>
      </c>
      <c r="K1369">
        <v>2.5302700000000002E-4</v>
      </c>
      <c r="L1369">
        <v>2.6182000000000001E-4</v>
      </c>
      <c r="M1369">
        <v>2.2892E-4</v>
      </c>
      <c r="N1369">
        <v>1.6765199999999999E-4</v>
      </c>
      <c r="O1369">
        <v>1.8041800000000001E-4</v>
      </c>
      <c r="P1369">
        <v>2.40418E-4</v>
      </c>
      <c r="Q1369">
        <v>1.97059E-4</v>
      </c>
      <c r="R1369">
        <v>2.0200700000000001E-4</v>
      </c>
      <c r="S1369">
        <v>2.3857800000000001E-4</v>
      </c>
      <c r="T1369">
        <v>2.1090900000000001E-4</v>
      </c>
    </row>
    <row r="1370" spans="1:20" hidden="1" x14ac:dyDescent="0.25">
      <c r="A1370" t="s">
        <v>1388</v>
      </c>
      <c r="B1370" s="1">
        <v>3.8399999999999998E-5</v>
      </c>
      <c r="C1370" s="1">
        <v>4.2799999999999997E-5</v>
      </c>
      <c r="D1370" s="1">
        <v>3.5800000000000003E-5</v>
      </c>
      <c r="E1370">
        <v>0</v>
      </c>
      <c r="F1370" s="1">
        <v>5.63E-5</v>
      </c>
      <c r="G1370" s="1">
        <v>3.2499999999999997E-5</v>
      </c>
      <c r="H1370">
        <v>0</v>
      </c>
      <c r="I1370">
        <v>0</v>
      </c>
      <c r="J1370" s="1">
        <v>2.73E-5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s="1">
        <v>2.2799999999999999E-5</v>
      </c>
      <c r="R1370">
        <v>0</v>
      </c>
      <c r="S1370">
        <v>0</v>
      </c>
      <c r="T1370">
        <v>0</v>
      </c>
    </row>
    <row r="1371" spans="1:20" hidden="1" x14ac:dyDescent="0.25">
      <c r="A1371" t="s">
        <v>1389</v>
      </c>
      <c r="B1371" s="1">
        <v>7.5799999999999999E-5</v>
      </c>
      <c r="C1371" s="1">
        <v>6.3700000000000003E-5</v>
      </c>
      <c r="D1371" s="1">
        <v>6.1799999999999998E-5</v>
      </c>
      <c r="E1371" s="1">
        <v>7.6100000000000007E-5</v>
      </c>
      <c r="F1371">
        <v>1.11086E-4</v>
      </c>
      <c r="G1371" s="1">
        <v>7.6299999999999998E-5</v>
      </c>
      <c r="H1371" s="1">
        <v>7.64E-5</v>
      </c>
      <c r="I1371" s="1">
        <v>8.7000000000000001E-5</v>
      </c>
      <c r="J1371" s="1">
        <v>6.5699999999999998E-5</v>
      </c>
      <c r="K1371" s="1">
        <v>6.0300000000000002E-5</v>
      </c>
      <c r="L1371" s="1">
        <v>6.9499999999999995E-5</v>
      </c>
      <c r="M1371" s="1">
        <v>7.8499999999999997E-5</v>
      </c>
      <c r="N1371" s="1">
        <v>4.5099999999999998E-5</v>
      </c>
      <c r="O1371" s="1">
        <v>5.66E-5</v>
      </c>
      <c r="P1371">
        <v>1.0158300000000001E-4</v>
      </c>
      <c r="Q1371">
        <v>1.20143E-4</v>
      </c>
      <c r="R1371">
        <v>1.18145E-4</v>
      </c>
      <c r="S1371">
        <v>1.21353E-4</v>
      </c>
      <c r="T1371">
        <v>1.05677E-4</v>
      </c>
    </row>
    <row r="1372" spans="1:20" hidden="1" x14ac:dyDescent="0.25">
      <c r="A1372" t="s">
        <v>1390</v>
      </c>
      <c r="B1372" s="1">
        <v>9.8200000000000002E-5</v>
      </c>
      <c r="C1372">
        <v>1.2620099999999999E-4</v>
      </c>
      <c r="D1372">
        <v>1.21418E-4</v>
      </c>
      <c r="E1372">
        <v>2.8063600000000001E-4</v>
      </c>
      <c r="F1372">
        <v>2.4744900000000001E-4</v>
      </c>
      <c r="G1372" s="1">
        <v>8.3700000000000002E-5</v>
      </c>
      <c r="H1372" s="1">
        <v>8.1000000000000004E-5</v>
      </c>
      <c r="I1372">
        <v>1.21295E-4</v>
      </c>
      <c r="J1372">
        <v>1.11325E-4</v>
      </c>
      <c r="K1372">
        <v>1.31989E-4</v>
      </c>
      <c r="L1372" s="1">
        <v>9.09E-5</v>
      </c>
      <c r="M1372">
        <v>1.02118E-4</v>
      </c>
      <c r="N1372">
        <v>0</v>
      </c>
      <c r="O1372">
        <v>1.1289399999999999E-4</v>
      </c>
      <c r="P1372">
        <v>0</v>
      </c>
      <c r="Q1372">
        <v>0</v>
      </c>
      <c r="R1372">
        <v>0</v>
      </c>
      <c r="S1372" s="1">
        <v>3.1399999999999998E-5</v>
      </c>
      <c r="T1372">
        <v>0</v>
      </c>
    </row>
    <row r="1373" spans="1:20" hidden="1" x14ac:dyDescent="0.25">
      <c r="A1373" t="s">
        <v>1391</v>
      </c>
      <c r="B1373">
        <v>8.5905599999999997E-4</v>
      </c>
      <c r="C1373">
        <v>8.5053699999999995E-4</v>
      </c>
      <c r="D1373">
        <v>9.4583700000000004E-4</v>
      </c>
      <c r="E1373">
        <v>8.6904899999999999E-4</v>
      </c>
      <c r="F1373">
        <v>1.073765E-3</v>
      </c>
      <c r="G1373">
        <v>5.3390700000000002E-4</v>
      </c>
      <c r="H1373">
        <v>4.9406000000000005E-4</v>
      </c>
      <c r="I1373">
        <v>6.9610199999999998E-4</v>
      </c>
      <c r="J1373">
        <v>7.4762899999999998E-4</v>
      </c>
      <c r="K1373">
        <v>8.5545100000000002E-4</v>
      </c>
      <c r="L1373">
        <v>9.2125900000000001E-4</v>
      </c>
      <c r="M1373">
        <v>6.5709999999999998E-4</v>
      </c>
      <c r="N1373">
        <v>5.6310699999999997E-4</v>
      </c>
      <c r="O1373">
        <v>6.5275000000000001E-4</v>
      </c>
      <c r="P1373">
        <v>4.2905200000000002E-4</v>
      </c>
      <c r="Q1373">
        <v>3.46881E-4</v>
      </c>
      <c r="R1373">
        <v>3.6157799999999999E-4</v>
      </c>
      <c r="S1373">
        <v>4.1465300000000002E-4</v>
      </c>
      <c r="T1373">
        <v>4.5790099999999998E-4</v>
      </c>
    </row>
    <row r="1374" spans="1:20" hidden="1" x14ac:dyDescent="0.25">
      <c r="A1374" t="s">
        <v>1392</v>
      </c>
      <c r="B1374">
        <v>1.4932300000000001E-4</v>
      </c>
      <c r="C1374">
        <v>1.61731E-4</v>
      </c>
      <c r="D1374">
        <v>1.2337700000000001E-4</v>
      </c>
      <c r="E1374">
        <v>1.8439300000000001E-4</v>
      </c>
      <c r="F1374" s="1">
        <v>9.1299999999999997E-5</v>
      </c>
      <c r="G1374" s="1">
        <v>9.6100000000000005E-5</v>
      </c>
      <c r="H1374">
        <v>1.2448799999999999E-4</v>
      </c>
      <c r="I1374">
        <v>1.25053E-4</v>
      </c>
      <c r="J1374" s="1">
        <v>7.47E-5</v>
      </c>
      <c r="K1374">
        <v>1.09768E-4</v>
      </c>
      <c r="L1374">
        <v>1.0791E-4</v>
      </c>
      <c r="M1374" s="1">
        <v>9.1799999999999995E-5</v>
      </c>
      <c r="N1374" s="1">
        <v>9.6899999999999997E-5</v>
      </c>
      <c r="O1374" s="1">
        <v>7.1400000000000001E-5</v>
      </c>
      <c r="P1374" s="1">
        <v>8.6399999999999999E-5</v>
      </c>
      <c r="Q1374" s="1">
        <v>6.4399999999999993E-5</v>
      </c>
      <c r="R1374" s="1">
        <v>9.0299999999999999E-5</v>
      </c>
      <c r="S1374">
        <v>1.2428999999999999E-4</v>
      </c>
      <c r="T1374" s="1">
        <v>6.7899999999999997E-5</v>
      </c>
    </row>
    <row r="1375" spans="1:20" hidden="1" x14ac:dyDescent="0.25">
      <c r="A1375" t="s">
        <v>1393</v>
      </c>
      <c r="B1375">
        <v>2.6889999999999998E-4</v>
      </c>
      <c r="C1375">
        <v>2.9150900000000002E-4</v>
      </c>
      <c r="D1375">
        <v>4.1014799999999999E-4</v>
      </c>
      <c r="E1375">
        <v>4.4256599999999998E-4</v>
      </c>
      <c r="F1375">
        <v>2.6997000000000002E-4</v>
      </c>
      <c r="G1375">
        <v>2.00686E-4</v>
      </c>
      <c r="H1375">
        <v>1.8328299999999999E-4</v>
      </c>
      <c r="I1375">
        <v>2.4481299999999998E-4</v>
      </c>
      <c r="J1375">
        <v>2.0798499999999999E-4</v>
      </c>
      <c r="K1375">
        <v>2.9349600000000002E-4</v>
      </c>
      <c r="L1375">
        <v>2.62914E-4</v>
      </c>
      <c r="M1375">
        <v>2.4251700000000001E-4</v>
      </c>
      <c r="N1375">
        <v>1.5617100000000001E-4</v>
      </c>
      <c r="O1375">
        <v>2.4604299999999999E-4</v>
      </c>
      <c r="P1375">
        <v>1.3371499999999999E-4</v>
      </c>
      <c r="Q1375">
        <v>1.2248599999999999E-4</v>
      </c>
      <c r="R1375">
        <v>1.3660899999999999E-4</v>
      </c>
      <c r="S1375">
        <v>1.60161E-4</v>
      </c>
      <c r="T1375">
        <v>1.39641E-4</v>
      </c>
    </row>
    <row r="1376" spans="1:20" hidden="1" x14ac:dyDescent="0.25">
      <c r="A1376" t="s">
        <v>1394</v>
      </c>
      <c r="B1376">
        <v>1.6654009999999999E-3</v>
      </c>
      <c r="C1376">
        <v>2.15518E-3</v>
      </c>
      <c r="D1376">
        <v>2.3857140000000002E-3</v>
      </c>
      <c r="E1376">
        <v>2.771131E-3</v>
      </c>
      <c r="F1376">
        <v>2.0601769999999998E-3</v>
      </c>
      <c r="G1376">
        <v>1.156694E-3</v>
      </c>
      <c r="H1376">
        <v>1.018578E-3</v>
      </c>
      <c r="I1376">
        <v>1.245768E-3</v>
      </c>
      <c r="J1376">
        <v>1.2496650000000001E-3</v>
      </c>
      <c r="K1376">
        <v>1.780043E-3</v>
      </c>
      <c r="L1376">
        <v>1.4994870000000001E-3</v>
      </c>
      <c r="M1376">
        <v>1.074651E-3</v>
      </c>
      <c r="N1376">
        <v>9.1428199999999999E-4</v>
      </c>
      <c r="O1376">
        <v>1.1132010000000001E-3</v>
      </c>
      <c r="P1376">
        <v>7.3976900000000004E-4</v>
      </c>
      <c r="Q1376">
        <v>3.1936600000000002E-4</v>
      </c>
      <c r="R1376">
        <v>4.02684E-4</v>
      </c>
      <c r="S1376">
        <v>3.5106900000000002E-4</v>
      </c>
      <c r="T1376">
        <v>4.0852199999999998E-4</v>
      </c>
    </row>
    <row r="1377" spans="1:20" hidden="1" x14ac:dyDescent="0.25">
      <c r="A1377" t="s">
        <v>1395</v>
      </c>
      <c r="B1377">
        <v>2.7437799999999998E-4</v>
      </c>
      <c r="C1377">
        <v>1.6169700000000001E-4</v>
      </c>
      <c r="D1377">
        <v>4.3320400000000002E-4</v>
      </c>
      <c r="E1377">
        <v>5.0358200000000003E-4</v>
      </c>
      <c r="F1377">
        <v>1.7998499999999999E-4</v>
      </c>
      <c r="G1377" s="1">
        <v>7.7399999999999998E-5</v>
      </c>
      <c r="H1377">
        <v>1.6451700000000001E-4</v>
      </c>
      <c r="I1377">
        <v>0</v>
      </c>
      <c r="J1377">
        <v>1.63194E-4</v>
      </c>
      <c r="K1377">
        <v>3.0798799999999998E-4</v>
      </c>
      <c r="L1377">
        <v>2.2470699999999999E-4</v>
      </c>
      <c r="M1377">
        <v>1.6894999999999999E-4</v>
      </c>
      <c r="N1377">
        <v>1.00379E-4</v>
      </c>
      <c r="O1377">
        <v>1.79822E-4</v>
      </c>
      <c r="P1377">
        <v>0</v>
      </c>
      <c r="Q1377">
        <v>0</v>
      </c>
      <c r="R1377">
        <v>0</v>
      </c>
      <c r="S1377" s="1">
        <v>7.2200000000000007E-5</v>
      </c>
      <c r="T1377" s="1">
        <v>6.86E-5</v>
      </c>
    </row>
    <row r="1378" spans="1:20" hidden="1" x14ac:dyDescent="0.25">
      <c r="A1378" t="s">
        <v>1396</v>
      </c>
      <c r="B1378" s="1">
        <v>6.1400000000000002E-5</v>
      </c>
      <c r="C1378" s="1">
        <v>6.5400000000000004E-5</v>
      </c>
      <c r="D1378" s="1">
        <v>5.9799999999999997E-5</v>
      </c>
      <c r="E1378" s="1">
        <v>5.4200000000000003E-5</v>
      </c>
      <c r="F1378" s="1">
        <v>6.8700000000000003E-5</v>
      </c>
      <c r="G1378" s="1">
        <v>5.8799999999999999E-5</v>
      </c>
      <c r="H1378" s="1">
        <v>4.5500000000000001E-5</v>
      </c>
      <c r="I1378" s="1">
        <v>4.2799999999999997E-5</v>
      </c>
      <c r="J1378" s="1">
        <v>5.2200000000000002E-5</v>
      </c>
      <c r="K1378" s="1">
        <v>5.3900000000000002E-5</v>
      </c>
      <c r="L1378" s="1">
        <v>5.4299999999999998E-5</v>
      </c>
      <c r="M1378" s="1">
        <v>7.3800000000000005E-5</v>
      </c>
      <c r="N1378" s="1">
        <v>4.6799999999999999E-5</v>
      </c>
      <c r="O1378" s="1">
        <v>5.1400000000000003E-5</v>
      </c>
      <c r="P1378" s="1">
        <v>4.1E-5</v>
      </c>
      <c r="Q1378" s="1">
        <v>3.0700000000000001E-5</v>
      </c>
      <c r="R1378" s="1">
        <v>3.6600000000000002E-5</v>
      </c>
      <c r="S1378" s="1">
        <v>4.4100000000000001E-5</v>
      </c>
      <c r="T1378" s="1">
        <v>2.3799999999999999E-5</v>
      </c>
    </row>
    <row r="1379" spans="1:20" hidden="1" x14ac:dyDescent="0.25">
      <c r="A1379" t="s">
        <v>1397</v>
      </c>
      <c r="B1379" s="1">
        <v>8.9300000000000002E-5</v>
      </c>
      <c r="C1379">
        <v>1.01957E-4</v>
      </c>
      <c r="D1379">
        <v>1.17213E-4</v>
      </c>
      <c r="E1379">
        <v>1.19733E-4</v>
      </c>
      <c r="F1379">
        <v>1.07092E-4</v>
      </c>
      <c r="G1379" s="1">
        <v>7.8300000000000006E-5</v>
      </c>
      <c r="H1379" s="1">
        <v>7.1699999999999995E-5</v>
      </c>
      <c r="I1379" s="1">
        <v>5.1400000000000003E-5</v>
      </c>
      <c r="J1379" s="1">
        <v>8.9300000000000002E-5</v>
      </c>
      <c r="K1379">
        <v>1.16709E-4</v>
      </c>
      <c r="L1379">
        <v>1.19265E-4</v>
      </c>
      <c r="M1379" s="1">
        <v>9.7800000000000006E-5</v>
      </c>
      <c r="N1379" s="1">
        <v>8.5500000000000005E-5</v>
      </c>
      <c r="O1379" s="1">
        <v>6.97E-5</v>
      </c>
      <c r="P1379" s="1">
        <v>6.9200000000000002E-5</v>
      </c>
      <c r="Q1379" s="1">
        <v>4.4299999999999999E-5</v>
      </c>
      <c r="R1379" s="1">
        <v>6.2399999999999999E-5</v>
      </c>
      <c r="S1379" s="1">
        <v>3.96E-5</v>
      </c>
      <c r="T1379" s="1">
        <v>3.8399999999999998E-5</v>
      </c>
    </row>
    <row r="1380" spans="1:20" hidden="1" x14ac:dyDescent="0.25">
      <c r="A1380" t="s">
        <v>1398</v>
      </c>
      <c r="B1380" s="1">
        <v>9.6399999999999999E-5</v>
      </c>
      <c r="C1380" s="1">
        <v>6.1600000000000007E-5</v>
      </c>
      <c r="D1380" s="1">
        <v>6.9200000000000002E-5</v>
      </c>
      <c r="E1380" s="1">
        <v>5.7500000000000002E-5</v>
      </c>
      <c r="F1380" s="1">
        <v>5.5399999999999998E-5</v>
      </c>
      <c r="G1380" s="1">
        <v>5.1100000000000002E-5</v>
      </c>
      <c r="H1380" s="1">
        <v>2.7900000000000001E-5</v>
      </c>
      <c r="I1380" s="1">
        <v>5.5500000000000001E-5</v>
      </c>
      <c r="J1380" s="1">
        <v>7.6899999999999999E-5</v>
      </c>
      <c r="K1380" s="1">
        <v>8.5699999999999996E-5</v>
      </c>
      <c r="L1380" s="1">
        <v>6.0000000000000002E-5</v>
      </c>
      <c r="M1380" s="1">
        <v>7.6199999999999995E-5</v>
      </c>
      <c r="N1380" s="1">
        <v>4.5599999999999997E-5</v>
      </c>
      <c r="O1380" s="1">
        <v>8.6799999999999996E-5</v>
      </c>
      <c r="P1380" s="1">
        <v>6.3E-5</v>
      </c>
      <c r="Q1380" s="1">
        <v>7.7100000000000004E-5</v>
      </c>
      <c r="R1380" s="1">
        <v>5.1799999999999999E-5</v>
      </c>
      <c r="S1380" s="1">
        <v>4.2200000000000003E-5</v>
      </c>
      <c r="T1380" s="1">
        <v>6.58E-5</v>
      </c>
    </row>
    <row r="1381" spans="1:20" hidden="1" x14ac:dyDescent="0.25">
      <c r="A1381" t="s">
        <v>1399</v>
      </c>
      <c r="B1381">
        <v>5.6391899999999997E-4</v>
      </c>
      <c r="C1381">
        <v>5.2774699999999996E-4</v>
      </c>
      <c r="D1381">
        <v>5.1875200000000004E-4</v>
      </c>
      <c r="E1381">
        <v>5.22275E-4</v>
      </c>
      <c r="F1381">
        <v>5.7218199999999996E-4</v>
      </c>
      <c r="G1381">
        <v>4.90428E-4</v>
      </c>
      <c r="H1381">
        <v>4.4798499999999997E-4</v>
      </c>
      <c r="I1381">
        <v>4.8058299999999998E-4</v>
      </c>
      <c r="J1381">
        <v>5.3435600000000005E-4</v>
      </c>
      <c r="K1381">
        <v>4.9866199999999998E-4</v>
      </c>
      <c r="L1381">
        <v>4.9879600000000003E-4</v>
      </c>
      <c r="M1381">
        <v>5.3963899999999996E-4</v>
      </c>
      <c r="N1381">
        <v>4.0208799999999999E-4</v>
      </c>
      <c r="O1381">
        <v>5.3185699999999995E-4</v>
      </c>
      <c r="P1381">
        <v>4.3017100000000003E-4</v>
      </c>
      <c r="Q1381">
        <v>3.8576099999999998E-4</v>
      </c>
      <c r="R1381">
        <v>3.1818299999999999E-4</v>
      </c>
      <c r="S1381">
        <v>3.8404800000000001E-4</v>
      </c>
      <c r="T1381">
        <v>3.6169799999999998E-4</v>
      </c>
    </row>
    <row r="1382" spans="1:20" hidden="1" x14ac:dyDescent="0.25">
      <c r="A1382" t="s">
        <v>1400</v>
      </c>
      <c r="B1382">
        <v>2.3951899999999999E-4</v>
      </c>
      <c r="C1382">
        <v>2.2676599999999999E-4</v>
      </c>
      <c r="D1382">
        <v>2.3075799999999999E-4</v>
      </c>
      <c r="E1382">
        <v>2.1573499999999999E-4</v>
      </c>
      <c r="F1382">
        <v>2.2117299999999999E-4</v>
      </c>
      <c r="G1382">
        <v>2.08397E-4</v>
      </c>
      <c r="H1382">
        <v>1.8536299999999999E-4</v>
      </c>
      <c r="I1382">
        <v>2.0224300000000001E-4</v>
      </c>
      <c r="J1382">
        <v>2.1101099999999999E-4</v>
      </c>
      <c r="K1382">
        <v>1.9864000000000001E-4</v>
      </c>
      <c r="L1382">
        <v>1.73165E-4</v>
      </c>
      <c r="M1382">
        <v>1.96353E-4</v>
      </c>
      <c r="N1382">
        <v>1.21171E-4</v>
      </c>
      <c r="O1382">
        <v>2.1091099999999999E-4</v>
      </c>
      <c r="P1382">
        <v>2.25603E-4</v>
      </c>
      <c r="Q1382">
        <v>2.1787400000000001E-4</v>
      </c>
      <c r="R1382">
        <v>1.90731E-4</v>
      </c>
      <c r="S1382">
        <v>2.44078E-4</v>
      </c>
      <c r="T1382">
        <v>2.6232499999999999E-4</v>
      </c>
    </row>
    <row r="1383" spans="1:20" hidden="1" x14ac:dyDescent="0.25">
      <c r="A1383" t="s">
        <v>1401</v>
      </c>
      <c r="B1383">
        <v>8.9275300000000004E-4</v>
      </c>
      <c r="C1383">
        <v>9.3843799999999999E-4</v>
      </c>
      <c r="D1383">
        <v>9.0339900000000004E-4</v>
      </c>
      <c r="E1383">
        <v>1.03743E-3</v>
      </c>
      <c r="F1383">
        <v>9.7684000000000009E-4</v>
      </c>
      <c r="G1383">
        <v>7.2730899999999999E-4</v>
      </c>
      <c r="H1383">
        <v>7.1366699999999997E-4</v>
      </c>
      <c r="I1383">
        <v>8.1088299999999998E-4</v>
      </c>
      <c r="J1383">
        <v>7.9649899999999999E-4</v>
      </c>
      <c r="K1383">
        <v>7.9794200000000005E-4</v>
      </c>
      <c r="L1383">
        <v>7.7570500000000001E-4</v>
      </c>
      <c r="M1383">
        <v>8.8307299999999995E-4</v>
      </c>
      <c r="N1383">
        <v>6.7349399999999996E-4</v>
      </c>
      <c r="O1383">
        <v>8.7188900000000004E-4</v>
      </c>
      <c r="P1383">
        <v>6.0388300000000005E-4</v>
      </c>
      <c r="Q1383">
        <v>5.81019E-4</v>
      </c>
      <c r="R1383">
        <v>5.1709800000000002E-4</v>
      </c>
      <c r="S1383">
        <v>5.3355399999999999E-4</v>
      </c>
      <c r="T1383">
        <v>7.1132900000000002E-4</v>
      </c>
    </row>
    <row r="1384" spans="1:20" hidden="1" x14ac:dyDescent="0.25">
      <c r="A1384" t="s">
        <v>1402</v>
      </c>
      <c r="B1384">
        <v>1.43273E-4</v>
      </c>
      <c r="C1384" s="1">
        <v>9.5500000000000004E-5</v>
      </c>
      <c r="D1384">
        <v>1.72065E-4</v>
      </c>
      <c r="E1384">
        <v>1.8697200000000001E-4</v>
      </c>
      <c r="F1384">
        <v>1.1182499999999999E-4</v>
      </c>
      <c r="G1384" s="1">
        <v>8.3399999999999994E-5</v>
      </c>
      <c r="H1384" s="1">
        <v>9.7899999999999994E-5</v>
      </c>
      <c r="I1384">
        <v>0</v>
      </c>
      <c r="J1384">
        <v>1.5450500000000001E-4</v>
      </c>
      <c r="K1384">
        <v>1.17409E-4</v>
      </c>
      <c r="L1384" s="1">
        <v>9.1100000000000005E-5</v>
      </c>
      <c r="M1384">
        <v>1.2771399999999999E-4</v>
      </c>
      <c r="N1384">
        <v>1.2383899999999999E-4</v>
      </c>
      <c r="O1384">
        <v>1.5888499999999999E-4</v>
      </c>
      <c r="P1384" s="1">
        <v>9.59E-5</v>
      </c>
      <c r="Q1384" s="1">
        <v>6.6799999999999997E-5</v>
      </c>
      <c r="R1384" s="1">
        <v>5.7800000000000002E-5</v>
      </c>
      <c r="S1384">
        <v>0</v>
      </c>
      <c r="T1384" s="1">
        <v>4.7599999999999998E-5</v>
      </c>
    </row>
    <row r="1385" spans="1:20" hidden="1" x14ac:dyDescent="0.25">
      <c r="A1385" t="s">
        <v>1403</v>
      </c>
      <c r="B1385">
        <v>9.8201800000000008E-4</v>
      </c>
      <c r="C1385">
        <v>9.9660099999999995E-4</v>
      </c>
      <c r="D1385">
        <v>9.6902800000000003E-4</v>
      </c>
      <c r="E1385">
        <v>8.2672699999999997E-4</v>
      </c>
      <c r="F1385">
        <v>1.3736989999999999E-3</v>
      </c>
      <c r="G1385">
        <v>8.8871900000000005E-4</v>
      </c>
      <c r="H1385">
        <v>7.2680499999999996E-4</v>
      </c>
      <c r="I1385">
        <v>9.8448900000000007E-4</v>
      </c>
      <c r="J1385">
        <v>1.0299969999999999E-3</v>
      </c>
      <c r="K1385">
        <v>8.8946800000000003E-4</v>
      </c>
      <c r="L1385">
        <v>8.9240299999999995E-4</v>
      </c>
      <c r="M1385">
        <v>1.0934199999999999E-3</v>
      </c>
      <c r="N1385">
        <v>9.0904199999999999E-4</v>
      </c>
      <c r="O1385">
        <v>8.1092299999999996E-4</v>
      </c>
      <c r="P1385">
        <v>1.183246E-3</v>
      </c>
      <c r="Q1385">
        <v>1.108859E-3</v>
      </c>
      <c r="R1385">
        <v>1.2482940000000001E-3</v>
      </c>
      <c r="S1385">
        <v>1.1139310000000001E-3</v>
      </c>
      <c r="T1385">
        <v>1.2158620000000001E-3</v>
      </c>
    </row>
    <row r="1386" spans="1:20" hidden="1" x14ac:dyDescent="0.25">
      <c r="A1386" t="s">
        <v>1404</v>
      </c>
      <c r="B1386" s="1">
        <v>6.4399999999999993E-5</v>
      </c>
      <c r="C1386" s="1">
        <v>4.6100000000000002E-5</v>
      </c>
      <c r="D1386" s="1">
        <v>9.8999999999999994E-5</v>
      </c>
      <c r="E1386" s="1">
        <v>8.9900000000000003E-5</v>
      </c>
      <c r="F1386" s="1">
        <v>8.9900000000000003E-5</v>
      </c>
      <c r="G1386">
        <v>0</v>
      </c>
      <c r="H1386" s="1">
        <v>6.8300000000000007E-5</v>
      </c>
      <c r="I1386" s="1">
        <v>5.6900000000000001E-5</v>
      </c>
      <c r="J1386" s="1">
        <v>8.7100000000000003E-5</v>
      </c>
      <c r="K1386">
        <v>1.00127E-4</v>
      </c>
      <c r="L1386" s="1">
        <v>6.3899999999999995E-5</v>
      </c>
      <c r="M1386" s="1">
        <v>8.6000000000000003E-5</v>
      </c>
      <c r="N1386" s="1">
        <v>5.63E-5</v>
      </c>
      <c r="O1386" s="1">
        <v>8.7899999999999995E-5</v>
      </c>
      <c r="P1386" s="1">
        <v>9.3999999999999994E-5</v>
      </c>
      <c r="Q1386" s="1">
        <v>4.5000000000000003E-5</v>
      </c>
      <c r="R1386" s="1">
        <v>9.4699999999999998E-5</v>
      </c>
      <c r="S1386" s="1">
        <v>9.3599999999999998E-5</v>
      </c>
      <c r="T1386" s="1">
        <v>8.9300000000000002E-5</v>
      </c>
    </row>
    <row r="1387" spans="1:20" hidden="1" x14ac:dyDescent="0.25">
      <c r="A1387" t="s">
        <v>1405</v>
      </c>
      <c r="B1387">
        <v>0</v>
      </c>
      <c r="C1387" s="1">
        <v>1.17E-5</v>
      </c>
      <c r="D1387" s="1">
        <v>1.2099999999999999E-5</v>
      </c>
      <c r="E1387" s="1">
        <v>1.19E-5</v>
      </c>
      <c r="F1387">
        <v>0</v>
      </c>
      <c r="G1387" s="1">
        <v>1.01E-5</v>
      </c>
      <c r="H1387">
        <v>0</v>
      </c>
      <c r="I1387">
        <v>0</v>
      </c>
      <c r="J1387">
        <v>0</v>
      </c>
      <c r="K1387" s="1">
        <v>7.9899999999999997E-6</v>
      </c>
      <c r="L1387" s="1">
        <v>7.96E-6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s="1">
        <v>3.7900000000000001E-6</v>
      </c>
      <c r="T1387">
        <v>0</v>
      </c>
    </row>
    <row r="1388" spans="1:20" hidden="1" x14ac:dyDescent="0.25">
      <c r="A1388" t="s">
        <v>1406</v>
      </c>
      <c r="B1388">
        <v>0</v>
      </c>
      <c r="C1388" s="1">
        <v>7.8699999999999992E-6</v>
      </c>
      <c r="D1388" s="1">
        <v>3.3799999999999998E-6</v>
      </c>
      <c r="E1388" s="1">
        <v>6.1099999999999999E-6</v>
      </c>
      <c r="F1388">
        <v>0</v>
      </c>
      <c r="G1388" s="1">
        <v>4.9799999999999998E-6</v>
      </c>
      <c r="H1388">
        <v>0</v>
      </c>
      <c r="I1388">
        <v>0</v>
      </c>
      <c r="J1388">
        <v>0</v>
      </c>
      <c r="K1388">
        <v>0</v>
      </c>
      <c r="L1388" s="1">
        <v>2.5299999999999999E-6</v>
      </c>
      <c r="M1388">
        <v>0</v>
      </c>
      <c r="N1388">
        <v>0</v>
      </c>
      <c r="O1388" s="1">
        <v>2.0999999999999998E-6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hidden="1" x14ac:dyDescent="0.25">
      <c r="A1389" t="s">
        <v>1407</v>
      </c>
      <c r="B1389">
        <v>0</v>
      </c>
      <c r="C1389" s="1">
        <v>7.9200000000000004E-6</v>
      </c>
      <c r="D1389" s="1">
        <v>1.4100000000000001E-5</v>
      </c>
      <c r="E1389" s="1">
        <v>1.7099999999999999E-5</v>
      </c>
      <c r="F1389">
        <v>0</v>
      </c>
      <c r="G1389">
        <v>0</v>
      </c>
      <c r="H1389">
        <v>0</v>
      </c>
      <c r="I1389" s="1">
        <v>1.1800000000000001E-5</v>
      </c>
      <c r="J1389">
        <v>0</v>
      </c>
      <c r="K1389">
        <v>0</v>
      </c>
      <c r="L1389" s="1">
        <v>1.0200000000000001E-5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hidden="1" x14ac:dyDescent="0.25">
      <c r="A1390" t="s">
        <v>1408</v>
      </c>
      <c r="B1390" s="1">
        <v>1.7200000000000001E-5</v>
      </c>
      <c r="C1390" s="1">
        <v>1.7499999999999998E-5</v>
      </c>
      <c r="D1390" s="1">
        <v>1.7E-5</v>
      </c>
      <c r="E1390" s="1">
        <v>1.8199999999999999E-5</v>
      </c>
      <c r="F1390" s="1">
        <v>1.49E-5</v>
      </c>
      <c r="G1390">
        <v>0</v>
      </c>
      <c r="H1390">
        <v>0</v>
      </c>
      <c r="I1390" s="1">
        <v>1.42E-5</v>
      </c>
      <c r="J1390">
        <v>0</v>
      </c>
      <c r="K1390" s="1">
        <v>1.6500000000000001E-5</v>
      </c>
      <c r="L1390" s="1">
        <v>1.7E-5</v>
      </c>
      <c r="M1390" s="1">
        <v>2.4899999999999999E-5</v>
      </c>
      <c r="N1390" s="1">
        <v>2.2900000000000001E-5</v>
      </c>
      <c r="O1390" s="1">
        <v>2.19E-5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hidden="1" x14ac:dyDescent="0.25">
      <c r="A1391" t="s">
        <v>1409</v>
      </c>
      <c r="B1391">
        <v>4.327254E-3</v>
      </c>
      <c r="C1391">
        <v>2.3681679999999999E-3</v>
      </c>
      <c r="D1391">
        <v>4.1399710000000001E-3</v>
      </c>
      <c r="E1391">
        <v>4.1939120000000002E-3</v>
      </c>
      <c r="F1391">
        <v>3.5690100000000001E-3</v>
      </c>
      <c r="G1391">
        <v>2.1758799999999998E-3</v>
      </c>
      <c r="H1391">
        <v>2.5819559999999998E-3</v>
      </c>
      <c r="I1391">
        <v>2.458689E-3</v>
      </c>
      <c r="J1391">
        <v>3.589152E-3</v>
      </c>
      <c r="K1391">
        <v>3.2571710000000001E-3</v>
      </c>
      <c r="L1391">
        <v>2.6781439999999999E-3</v>
      </c>
      <c r="M1391">
        <v>3.415356E-3</v>
      </c>
      <c r="N1391">
        <v>2.3542530000000002E-3</v>
      </c>
      <c r="O1391">
        <v>3.3971629999999999E-3</v>
      </c>
      <c r="P1391">
        <v>3.1076720000000001E-3</v>
      </c>
      <c r="Q1391">
        <v>3.4327440000000002E-3</v>
      </c>
      <c r="R1391">
        <v>3.3699649999999999E-3</v>
      </c>
      <c r="S1391">
        <v>2.4274510000000002E-3</v>
      </c>
      <c r="T1391">
        <v>3.6659729999999999E-3</v>
      </c>
    </row>
    <row r="1392" spans="1:20" hidden="1" x14ac:dyDescent="0.25">
      <c r="A1392" t="s">
        <v>1410</v>
      </c>
      <c r="B1392">
        <v>1.8741799999999999E-4</v>
      </c>
      <c r="C1392">
        <v>2.2237599999999999E-4</v>
      </c>
      <c r="D1392">
        <v>2.27774E-4</v>
      </c>
      <c r="E1392">
        <v>2.5165700000000002E-4</v>
      </c>
      <c r="F1392">
        <v>1.7695699999999999E-4</v>
      </c>
      <c r="G1392">
        <v>2.26018E-4</v>
      </c>
      <c r="H1392">
        <v>1.7348E-4</v>
      </c>
      <c r="I1392">
        <v>2.06517E-4</v>
      </c>
      <c r="J1392">
        <v>2.8442300000000001E-4</v>
      </c>
      <c r="K1392">
        <v>1.5073199999999999E-4</v>
      </c>
      <c r="L1392">
        <v>1.9067500000000001E-4</v>
      </c>
      <c r="M1392">
        <v>2.41971E-4</v>
      </c>
      <c r="N1392">
        <v>2.29631E-4</v>
      </c>
      <c r="O1392">
        <v>3.2268500000000002E-4</v>
      </c>
      <c r="P1392">
        <v>1.6437299999999999E-4</v>
      </c>
      <c r="Q1392" s="1">
        <v>9.8200000000000002E-5</v>
      </c>
      <c r="R1392">
        <v>1.18528E-4</v>
      </c>
      <c r="S1392">
        <v>1.37381E-4</v>
      </c>
      <c r="T1392">
        <v>1.06106E-4</v>
      </c>
    </row>
    <row r="1393" spans="1:20" hidden="1" x14ac:dyDescent="0.25">
      <c r="A1393" t="s">
        <v>1411</v>
      </c>
      <c r="B1393">
        <v>6.1983299999999997E-4</v>
      </c>
      <c r="C1393">
        <v>6.1506400000000002E-4</v>
      </c>
      <c r="D1393">
        <v>8.4158200000000001E-4</v>
      </c>
      <c r="E1393">
        <v>9.3046100000000005E-4</v>
      </c>
      <c r="F1393">
        <v>7.6339099999999998E-4</v>
      </c>
      <c r="G1393">
        <v>5.3657499999999996E-4</v>
      </c>
      <c r="H1393">
        <v>7.5652300000000005E-4</v>
      </c>
      <c r="I1393">
        <v>5.1043799999999999E-4</v>
      </c>
      <c r="J1393">
        <v>6.7386400000000004E-4</v>
      </c>
      <c r="K1393">
        <v>7.9142700000000004E-4</v>
      </c>
      <c r="L1393">
        <v>6.9786700000000002E-4</v>
      </c>
      <c r="M1393">
        <v>6.30735E-4</v>
      </c>
      <c r="N1393">
        <v>5.22392E-4</v>
      </c>
      <c r="O1393">
        <v>5.1980899999999998E-4</v>
      </c>
      <c r="P1393">
        <v>5.8704600000000003E-4</v>
      </c>
      <c r="Q1393">
        <v>8.53143E-4</v>
      </c>
      <c r="R1393">
        <v>9.8756600000000005E-4</v>
      </c>
      <c r="S1393">
        <v>6.1318400000000002E-4</v>
      </c>
      <c r="T1393">
        <v>1.0025710000000001E-3</v>
      </c>
    </row>
    <row r="1394" spans="1:20" hidden="1" x14ac:dyDescent="0.25">
      <c r="A1394" t="s">
        <v>1412</v>
      </c>
      <c r="B1394">
        <v>1.013E-4</v>
      </c>
      <c r="C1394">
        <v>1.02488E-4</v>
      </c>
      <c r="D1394">
        <v>1.0944E-4</v>
      </c>
      <c r="E1394">
        <v>1.5127000000000001E-4</v>
      </c>
      <c r="F1394" s="1">
        <v>8.03E-5</v>
      </c>
      <c r="G1394">
        <v>0</v>
      </c>
      <c r="H1394">
        <v>0</v>
      </c>
      <c r="I1394" s="1">
        <v>8.3599999999999999E-5</v>
      </c>
      <c r="J1394" s="1">
        <v>8.3599999999999999E-5</v>
      </c>
      <c r="K1394" s="1">
        <v>8.0900000000000001E-5</v>
      </c>
      <c r="L1394" s="1">
        <v>9.2299999999999994E-5</v>
      </c>
      <c r="M1394" s="1">
        <v>8.9300000000000002E-5</v>
      </c>
      <c r="N1394" s="1">
        <v>7.2600000000000003E-5</v>
      </c>
      <c r="O1394" s="1">
        <v>8.5400000000000002E-5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hidden="1" x14ac:dyDescent="0.25">
      <c r="A1395" t="s">
        <v>1413</v>
      </c>
      <c r="B1395">
        <v>5.5022399999999998E-4</v>
      </c>
      <c r="C1395">
        <v>6.2338599999999997E-4</v>
      </c>
      <c r="D1395">
        <v>6.2362300000000002E-4</v>
      </c>
      <c r="E1395">
        <v>6.0104699999999995E-4</v>
      </c>
      <c r="F1395">
        <v>6.13197E-4</v>
      </c>
      <c r="G1395">
        <v>7.7795900000000005E-4</v>
      </c>
      <c r="H1395">
        <v>8.3068699999999998E-4</v>
      </c>
      <c r="I1395">
        <v>8.8607099999999999E-4</v>
      </c>
      <c r="J1395">
        <v>6.6702999999999999E-4</v>
      </c>
      <c r="K1395">
        <v>6.1860799999999998E-4</v>
      </c>
      <c r="L1395">
        <v>6.0029199999999999E-4</v>
      </c>
      <c r="M1395">
        <v>4.7879200000000002E-4</v>
      </c>
      <c r="N1395">
        <v>3.5186499999999998E-4</v>
      </c>
      <c r="O1395">
        <v>6.0667000000000002E-4</v>
      </c>
      <c r="P1395">
        <v>4.6981200000000001E-4</v>
      </c>
      <c r="Q1395">
        <v>4.28534E-4</v>
      </c>
      <c r="R1395">
        <v>4.6945400000000001E-4</v>
      </c>
      <c r="S1395">
        <v>2.8572899999999997E-4</v>
      </c>
      <c r="T1395">
        <v>4.48159E-4</v>
      </c>
    </row>
    <row r="1396" spans="1:20" hidden="1" x14ac:dyDescent="0.25">
      <c r="A1396" t="s">
        <v>1414</v>
      </c>
      <c r="B1396">
        <v>0</v>
      </c>
      <c r="C1396">
        <v>1.7145999999999999E-4</v>
      </c>
      <c r="D1396">
        <v>1.40622E-4</v>
      </c>
      <c r="E1396">
        <v>1.19486E-4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1.1365E-4</v>
      </c>
      <c r="L1396">
        <v>1.3250999999999999E-4</v>
      </c>
      <c r="M1396" s="1">
        <v>5.9299999999999998E-5</v>
      </c>
      <c r="N1396" s="1">
        <v>6.0800000000000001E-5</v>
      </c>
      <c r="O1396">
        <v>0</v>
      </c>
      <c r="P1396">
        <v>0</v>
      </c>
      <c r="Q1396">
        <v>0</v>
      </c>
      <c r="R1396">
        <v>0</v>
      </c>
      <c r="S1396">
        <v>0</v>
      </c>
      <c r="T1396" s="1">
        <v>7.1600000000000006E-5</v>
      </c>
    </row>
    <row r="1397" spans="1:20" hidden="1" x14ac:dyDescent="0.25">
      <c r="A1397" t="s">
        <v>1415</v>
      </c>
      <c r="B1397">
        <v>1.9905399999999998E-3</v>
      </c>
      <c r="C1397">
        <v>1.606456E-3</v>
      </c>
      <c r="D1397">
        <v>1.4402429999999999E-3</v>
      </c>
      <c r="E1397">
        <v>1.466834E-3</v>
      </c>
      <c r="F1397">
        <v>2.0949200000000001E-3</v>
      </c>
      <c r="G1397">
        <v>1.7198179999999999E-3</v>
      </c>
      <c r="H1397">
        <v>2.114356E-3</v>
      </c>
      <c r="I1397">
        <v>1.824586E-3</v>
      </c>
      <c r="J1397">
        <v>2.127847E-3</v>
      </c>
      <c r="K1397">
        <v>1.9493119999999999E-3</v>
      </c>
      <c r="L1397">
        <v>1.5926409999999999E-3</v>
      </c>
      <c r="M1397">
        <v>2.16519E-3</v>
      </c>
      <c r="N1397">
        <v>1.4652230000000001E-3</v>
      </c>
      <c r="O1397">
        <v>1.659504E-3</v>
      </c>
      <c r="P1397">
        <v>2.6796200000000002E-3</v>
      </c>
      <c r="Q1397">
        <v>2.6536250000000002E-3</v>
      </c>
      <c r="R1397">
        <v>2.8807479999999998E-3</v>
      </c>
      <c r="S1397">
        <v>1.96137E-3</v>
      </c>
      <c r="T1397">
        <v>2.5264089999999999E-3</v>
      </c>
    </row>
    <row r="1398" spans="1:20" hidden="1" x14ac:dyDescent="0.25">
      <c r="A1398" t="s">
        <v>1416</v>
      </c>
      <c r="B1398">
        <v>0</v>
      </c>
      <c r="C1398" s="1">
        <v>3.0000000000000001E-5</v>
      </c>
      <c r="D1398" s="1">
        <v>2.3200000000000001E-5</v>
      </c>
      <c r="E1398" s="1">
        <v>2.3499999999999999E-5</v>
      </c>
      <c r="F1398">
        <v>0</v>
      </c>
      <c r="G1398">
        <v>0</v>
      </c>
      <c r="H1398">
        <v>0</v>
      </c>
      <c r="I1398">
        <v>0</v>
      </c>
      <c r="J1398">
        <v>0</v>
      </c>
      <c r="K1398" s="1">
        <v>9.4299999999999995E-6</v>
      </c>
      <c r="L1398" s="1">
        <v>1.47E-5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hidden="1" x14ac:dyDescent="0.25">
      <c r="A1399" t="s">
        <v>1417</v>
      </c>
      <c r="B1399">
        <v>0</v>
      </c>
      <c r="C1399" s="1">
        <v>1.38E-5</v>
      </c>
      <c r="D1399" s="1">
        <v>1.26E-5</v>
      </c>
      <c r="E1399" s="1">
        <v>1.1399999999999999E-5</v>
      </c>
      <c r="F1399">
        <v>0</v>
      </c>
      <c r="G1399" s="1">
        <v>7.4599999999999997E-6</v>
      </c>
      <c r="H1399">
        <v>0</v>
      </c>
      <c r="I1399">
        <v>0</v>
      </c>
      <c r="J1399">
        <v>0</v>
      </c>
      <c r="K1399" s="1">
        <v>7.7200000000000006E-6</v>
      </c>
      <c r="L1399" s="1">
        <v>7.9200000000000004E-6</v>
      </c>
      <c r="M1399">
        <v>0</v>
      </c>
      <c r="N1399">
        <v>0</v>
      </c>
      <c r="O1399" s="1">
        <v>5.0000000000000004E-6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hidden="1" x14ac:dyDescent="0.25">
      <c r="A1400" t="s">
        <v>1418</v>
      </c>
      <c r="B1400" s="1">
        <v>4.46E-5</v>
      </c>
      <c r="C1400">
        <v>2.3299099999999999E-4</v>
      </c>
      <c r="D1400">
        <v>2.3614600000000001E-4</v>
      </c>
      <c r="E1400">
        <v>2.17851E-4</v>
      </c>
      <c r="F1400">
        <v>1.2598199999999999E-4</v>
      </c>
      <c r="G1400">
        <v>1.8337799999999999E-4</v>
      </c>
      <c r="H1400" s="1">
        <v>7.0599999999999995E-5</v>
      </c>
      <c r="I1400">
        <v>1.11777E-4</v>
      </c>
      <c r="J1400" s="1">
        <v>7.8499999999999997E-5</v>
      </c>
      <c r="K1400">
        <v>1.81755E-4</v>
      </c>
      <c r="L1400">
        <v>1.91953E-4</v>
      </c>
      <c r="M1400" s="1">
        <v>4.2299999999999998E-5</v>
      </c>
      <c r="N1400" s="1">
        <v>2.87E-5</v>
      </c>
      <c r="O1400">
        <v>1.0211E-4</v>
      </c>
      <c r="P1400" s="1">
        <v>5.7399999999999999E-5</v>
      </c>
      <c r="Q1400" s="1">
        <v>7.3399999999999995E-5</v>
      </c>
      <c r="R1400" s="1">
        <v>5.63E-5</v>
      </c>
      <c r="S1400" s="1">
        <v>5.0000000000000002E-5</v>
      </c>
      <c r="T1400" s="1">
        <v>8.0400000000000003E-5</v>
      </c>
    </row>
    <row r="1401" spans="1:20" hidden="1" x14ac:dyDescent="0.25">
      <c r="A1401" t="s">
        <v>1419</v>
      </c>
      <c r="B1401">
        <v>1.0754219999999999E-3</v>
      </c>
      <c r="C1401">
        <v>1.138624E-3</v>
      </c>
      <c r="D1401">
        <v>7.1213400000000001E-4</v>
      </c>
      <c r="E1401">
        <v>6.6827399999999995E-4</v>
      </c>
      <c r="F1401">
        <v>1.2340680000000001E-3</v>
      </c>
      <c r="G1401">
        <v>1.0248760000000001E-3</v>
      </c>
      <c r="H1401">
        <v>1.1634659999999999E-3</v>
      </c>
      <c r="I1401">
        <v>9.9386099999999996E-4</v>
      </c>
      <c r="J1401">
        <v>1.0156779999999999E-3</v>
      </c>
      <c r="K1401">
        <v>6.8764399999999995E-4</v>
      </c>
      <c r="L1401">
        <v>6.0722100000000002E-4</v>
      </c>
      <c r="M1401">
        <v>1.0424379999999999E-3</v>
      </c>
      <c r="N1401">
        <v>4.6184399999999999E-4</v>
      </c>
      <c r="O1401">
        <v>7.44153E-4</v>
      </c>
      <c r="P1401">
        <v>6.5563800000000005E-4</v>
      </c>
      <c r="Q1401">
        <v>2.8098400000000002E-4</v>
      </c>
      <c r="R1401">
        <v>4.3345699999999999E-4</v>
      </c>
      <c r="S1401">
        <v>3.57905E-4</v>
      </c>
      <c r="T1401">
        <v>3.71708E-4</v>
      </c>
    </row>
    <row r="1402" spans="1:20" hidden="1" x14ac:dyDescent="0.25">
      <c r="A1402" t="s">
        <v>1420</v>
      </c>
      <c r="B1402">
        <v>1.8171300000000001E-4</v>
      </c>
      <c r="C1402">
        <v>1.73368E-4</v>
      </c>
      <c r="D1402">
        <v>2.4780899999999999E-4</v>
      </c>
      <c r="E1402">
        <v>2.8629799999999999E-4</v>
      </c>
      <c r="F1402">
        <v>3.2713399999999998E-4</v>
      </c>
      <c r="G1402">
        <v>1.8368400000000001E-4</v>
      </c>
      <c r="H1402">
        <v>2.0866400000000001E-4</v>
      </c>
      <c r="I1402">
        <v>2.08144E-4</v>
      </c>
      <c r="J1402">
        <v>2.4123800000000001E-4</v>
      </c>
      <c r="K1402">
        <v>2.00087E-4</v>
      </c>
      <c r="L1402">
        <v>1.53523E-4</v>
      </c>
      <c r="M1402">
        <v>1.7838199999999999E-4</v>
      </c>
      <c r="N1402">
        <v>1.3664100000000001E-4</v>
      </c>
      <c r="O1402">
        <v>2.6131400000000001E-4</v>
      </c>
      <c r="P1402">
        <v>1.9644899999999999E-4</v>
      </c>
      <c r="Q1402">
        <v>1.6733399999999999E-4</v>
      </c>
      <c r="R1402">
        <v>2.0120700000000001E-4</v>
      </c>
      <c r="S1402">
        <v>2.1966600000000001E-4</v>
      </c>
      <c r="T1402">
        <v>1.8700100000000001E-4</v>
      </c>
    </row>
    <row r="1403" spans="1:20" hidden="1" x14ac:dyDescent="0.25">
      <c r="A1403" t="s">
        <v>1421</v>
      </c>
      <c r="B1403" s="1">
        <v>7.3300000000000001E-6</v>
      </c>
      <c r="C1403" s="1">
        <v>1.33E-5</v>
      </c>
      <c r="D1403" s="1">
        <v>1.1600000000000001E-5</v>
      </c>
      <c r="E1403" s="1">
        <v>1.6099999999999998E-5</v>
      </c>
      <c r="F1403">
        <v>0</v>
      </c>
      <c r="G1403" s="1">
        <v>1.3499999999999999E-5</v>
      </c>
      <c r="H1403" s="1">
        <v>1.06E-5</v>
      </c>
      <c r="I1403" s="1">
        <v>9.73E-6</v>
      </c>
      <c r="J1403">
        <v>0</v>
      </c>
      <c r="K1403" s="1">
        <v>1.2300000000000001E-5</v>
      </c>
      <c r="L1403" s="1">
        <v>9.4199999999999996E-6</v>
      </c>
      <c r="M1403">
        <v>0</v>
      </c>
      <c r="N1403">
        <v>0</v>
      </c>
      <c r="O1403" s="1">
        <v>8.9299999999999992E-6</v>
      </c>
      <c r="P1403" s="1">
        <v>7.0700000000000001E-6</v>
      </c>
      <c r="Q1403" s="1">
        <v>1.01E-5</v>
      </c>
      <c r="R1403" s="1">
        <v>8.9400000000000008E-6</v>
      </c>
      <c r="S1403" s="1">
        <v>1.1399999999999999E-5</v>
      </c>
      <c r="T1403" s="1">
        <v>1.0499999999999999E-5</v>
      </c>
    </row>
    <row r="1404" spans="1:20" hidden="1" x14ac:dyDescent="0.25">
      <c r="A1404" t="s">
        <v>1422</v>
      </c>
      <c r="B1404" s="1">
        <v>1.13E-5</v>
      </c>
      <c r="C1404">
        <v>0</v>
      </c>
      <c r="D1404" s="1">
        <v>2.4300000000000001E-5</v>
      </c>
      <c r="E1404" s="1">
        <v>2.69E-5</v>
      </c>
      <c r="F1404" s="1">
        <v>2.1299999999999999E-5</v>
      </c>
      <c r="G1404" s="1">
        <v>2.2200000000000001E-5</v>
      </c>
      <c r="H1404" s="1">
        <v>1.4399999999999999E-5</v>
      </c>
      <c r="I1404" s="1">
        <v>1.7499999999999998E-5</v>
      </c>
      <c r="J1404">
        <v>0</v>
      </c>
      <c r="K1404" s="1">
        <v>1.6699999999999999E-5</v>
      </c>
      <c r="L1404" s="1">
        <v>1.52E-5</v>
      </c>
      <c r="M1404">
        <v>0</v>
      </c>
      <c r="N1404">
        <v>0</v>
      </c>
      <c r="O1404" s="1">
        <v>2.27E-5</v>
      </c>
      <c r="P1404">
        <v>0</v>
      </c>
      <c r="Q1404">
        <v>0</v>
      </c>
      <c r="R1404">
        <v>0</v>
      </c>
      <c r="S1404">
        <v>0</v>
      </c>
      <c r="T1404" s="1">
        <v>1.06E-5</v>
      </c>
    </row>
    <row r="1405" spans="1:20" hidden="1" x14ac:dyDescent="0.25">
      <c r="A1405" t="s">
        <v>1423</v>
      </c>
      <c r="B1405">
        <v>0</v>
      </c>
      <c r="C1405">
        <v>0</v>
      </c>
      <c r="D1405">
        <v>0</v>
      </c>
      <c r="E1405">
        <v>0</v>
      </c>
      <c r="F1405">
        <v>0</v>
      </c>
      <c r="G1405" s="1">
        <v>4.7500000000000003E-5</v>
      </c>
      <c r="H1405">
        <v>0</v>
      </c>
      <c r="I1405" s="1">
        <v>5.6100000000000002E-5</v>
      </c>
      <c r="J1405">
        <v>0</v>
      </c>
      <c r="K1405" s="1">
        <v>3.9400000000000002E-5</v>
      </c>
      <c r="L1405" s="1">
        <v>7.3100000000000001E-5</v>
      </c>
      <c r="M1405">
        <v>0</v>
      </c>
      <c r="N1405" s="1">
        <v>5.1900000000000001E-5</v>
      </c>
      <c r="O1405" s="1">
        <v>3.5500000000000002E-5</v>
      </c>
      <c r="P1405" s="1">
        <v>6.5199999999999999E-5</v>
      </c>
      <c r="Q1405">
        <v>0</v>
      </c>
      <c r="R1405" s="1">
        <v>8.2999999999999998E-5</v>
      </c>
      <c r="S1405" s="1">
        <v>7.86E-5</v>
      </c>
      <c r="T1405" s="1">
        <v>5.1700000000000003E-5</v>
      </c>
    </row>
    <row r="1406" spans="1:20" hidden="1" x14ac:dyDescent="0.25">
      <c r="A1406" t="s">
        <v>1424</v>
      </c>
      <c r="B1406" s="1">
        <v>7.5799999999999999E-5</v>
      </c>
      <c r="C1406">
        <v>2.01783E-4</v>
      </c>
      <c r="D1406">
        <v>1.8048900000000001E-4</v>
      </c>
      <c r="E1406" s="1">
        <v>8.1799999999999996E-5</v>
      </c>
      <c r="F1406" s="1">
        <v>8.1000000000000004E-5</v>
      </c>
      <c r="G1406">
        <v>1.7070799999999999E-4</v>
      </c>
      <c r="H1406">
        <v>1.4222599999999999E-4</v>
      </c>
      <c r="I1406">
        <v>1.2416799999999999E-4</v>
      </c>
      <c r="J1406" s="1">
        <v>9.7E-5</v>
      </c>
      <c r="K1406">
        <v>1.6437E-4</v>
      </c>
      <c r="L1406">
        <v>1.8037700000000001E-4</v>
      </c>
      <c r="M1406">
        <v>1.12651E-4</v>
      </c>
      <c r="N1406">
        <v>1.80939E-4</v>
      </c>
      <c r="O1406" s="1">
        <v>8.5400000000000002E-5</v>
      </c>
      <c r="P1406">
        <v>1.3618500000000001E-4</v>
      </c>
      <c r="Q1406">
        <v>2.08879E-4</v>
      </c>
      <c r="R1406" s="1">
        <v>8.7999999999999998E-5</v>
      </c>
      <c r="S1406">
        <v>1.95102E-4</v>
      </c>
      <c r="T1406">
        <v>1.2955E-4</v>
      </c>
    </row>
    <row r="1407" spans="1:20" hidden="1" x14ac:dyDescent="0.25">
      <c r="A1407" t="s">
        <v>1425</v>
      </c>
      <c r="B1407">
        <v>0</v>
      </c>
      <c r="C1407">
        <v>0</v>
      </c>
      <c r="D1407">
        <v>0</v>
      </c>
      <c r="E1407">
        <v>0</v>
      </c>
      <c r="F1407" s="1">
        <v>2.7900000000000001E-5</v>
      </c>
      <c r="G1407" s="1">
        <v>6.6600000000000006E-5</v>
      </c>
      <c r="H1407" s="1">
        <v>3.93E-5</v>
      </c>
      <c r="I1407" s="1">
        <v>3.2499999999999997E-5</v>
      </c>
      <c r="J1407" s="1">
        <v>4.4199999999999997E-5</v>
      </c>
      <c r="K1407" s="1">
        <v>3.1699999999999998E-5</v>
      </c>
      <c r="L1407">
        <v>0</v>
      </c>
      <c r="M1407" s="1">
        <v>4.2799999999999997E-5</v>
      </c>
      <c r="N1407">
        <v>0</v>
      </c>
      <c r="O1407">
        <v>0</v>
      </c>
      <c r="P1407" s="1">
        <v>8.4599999999999996E-5</v>
      </c>
      <c r="Q1407">
        <v>1.71037E-4</v>
      </c>
      <c r="R1407">
        <v>2.6540599999999999E-4</v>
      </c>
      <c r="S1407">
        <v>4.7357399999999999E-4</v>
      </c>
      <c r="T1407">
        <v>2.10621E-4</v>
      </c>
    </row>
    <row r="1408" spans="1:20" hidden="1" x14ac:dyDescent="0.25">
      <c r="A1408" t="s">
        <v>1426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1.0214599999999999E-4</v>
      </c>
      <c r="H1408" s="1">
        <v>4.4499999999999997E-5</v>
      </c>
      <c r="I1408" s="1">
        <v>4.4499999999999997E-5</v>
      </c>
      <c r="J1408" s="1">
        <v>3.5299999999999997E-5</v>
      </c>
      <c r="K1408" s="1">
        <v>2.7800000000000001E-5</v>
      </c>
      <c r="L1408">
        <v>0</v>
      </c>
      <c r="M1408" s="1">
        <v>3.7299999999999999E-5</v>
      </c>
      <c r="N1408">
        <v>0</v>
      </c>
      <c r="O1408">
        <v>0</v>
      </c>
      <c r="P1408" s="1">
        <v>4.3000000000000002E-5</v>
      </c>
      <c r="Q1408" s="1">
        <v>8.2700000000000004E-5</v>
      </c>
      <c r="R1408">
        <v>1.2396900000000001E-4</v>
      </c>
      <c r="S1408">
        <v>1.59526E-4</v>
      </c>
      <c r="T1408">
        <v>1.6064399999999999E-4</v>
      </c>
    </row>
    <row r="1409" spans="1:20" hidden="1" x14ac:dyDescent="0.25">
      <c r="A1409" t="s">
        <v>1427</v>
      </c>
      <c r="B1409">
        <v>1.39061E-4</v>
      </c>
      <c r="C1409" s="1">
        <v>9.0199999999999997E-5</v>
      </c>
      <c r="D1409" s="1">
        <v>6.3499999999999999E-5</v>
      </c>
      <c r="E1409" s="1">
        <v>3.5099999999999999E-5</v>
      </c>
      <c r="F1409">
        <v>1.6233299999999999E-4</v>
      </c>
      <c r="G1409">
        <v>1.9857300000000001E-4</v>
      </c>
      <c r="H1409">
        <v>1.52137E-4</v>
      </c>
      <c r="I1409">
        <v>1.3092900000000001E-4</v>
      </c>
      <c r="J1409">
        <v>1.7678600000000001E-4</v>
      </c>
      <c r="K1409" s="1">
        <v>8.9900000000000003E-5</v>
      </c>
      <c r="L1409">
        <v>1.2032999999999999E-4</v>
      </c>
      <c r="M1409">
        <v>2.1232900000000001E-4</v>
      </c>
      <c r="N1409">
        <v>1.8905199999999999E-4</v>
      </c>
      <c r="O1409">
        <v>1.6551200000000001E-4</v>
      </c>
      <c r="P1409">
        <v>2.4368299999999999E-4</v>
      </c>
      <c r="Q1409">
        <v>3.7059799999999998E-4</v>
      </c>
      <c r="R1409">
        <v>3.7315100000000001E-4</v>
      </c>
      <c r="S1409">
        <v>4.0921799999999998E-4</v>
      </c>
      <c r="T1409">
        <v>4.50042E-4</v>
      </c>
    </row>
    <row r="1410" spans="1:20" hidden="1" x14ac:dyDescent="0.25">
      <c r="A1410" t="s">
        <v>1428</v>
      </c>
      <c r="B1410">
        <v>4.4986899999999999E-4</v>
      </c>
      <c r="C1410">
        <v>7.9076799999999996E-4</v>
      </c>
      <c r="D1410">
        <v>9.2687900000000003E-4</v>
      </c>
      <c r="E1410">
        <v>8.7696300000000003E-4</v>
      </c>
      <c r="F1410">
        <v>7.1106999999999995E-4</v>
      </c>
      <c r="G1410">
        <v>7.2560099999999998E-4</v>
      </c>
      <c r="H1410">
        <v>6.7262500000000005E-4</v>
      </c>
      <c r="I1410">
        <v>4.71822E-4</v>
      </c>
      <c r="J1410">
        <v>6.16371E-4</v>
      </c>
      <c r="K1410">
        <v>1.009184E-3</v>
      </c>
      <c r="L1410">
        <v>9.2410799999999998E-4</v>
      </c>
      <c r="M1410">
        <v>5.7119799999999997E-4</v>
      </c>
      <c r="N1410">
        <v>4.2698200000000001E-4</v>
      </c>
      <c r="O1410">
        <v>3.7983500000000003E-4</v>
      </c>
      <c r="P1410">
        <v>4.2730099999999999E-4</v>
      </c>
      <c r="Q1410">
        <v>4.5129399999999998E-4</v>
      </c>
      <c r="R1410">
        <v>0</v>
      </c>
      <c r="S1410">
        <v>6.7113299999999997E-4</v>
      </c>
      <c r="T1410">
        <v>4.5384700000000001E-4</v>
      </c>
    </row>
    <row r="1411" spans="1:20" hidden="1" x14ac:dyDescent="0.25">
      <c r="A1411" t="s">
        <v>1429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s="1">
        <v>8.2199999999999992E-6</v>
      </c>
      <c r="R1411" s="1">
        <v>1.42E-5</v>
      </c>
      <c r="S1411" s="1">
        <v>2.2500000000000001E-5</v>
      </c>
      <c r="T1411" s="1">
        <v>1.33E-5</v>
      </c>
    </row>
    <row r="1412" spans="1:20" hidden="1" x14ac:dyDescent="0.25">
      <c r="A1412" t="s">
        <v>1430</v>
      </c>
      <c r="B1412">
        <v>0</v>
      </c>
      <c r="C1412" s="1">
        <v>2.3900000000000002E-5</v>
      </c>
      <c r="D1412" s="1">
        <v>4.6E-5</v>
      </c>
      <c r="E1412" s="1">
        <v>3.3099999999999998E-5</v>
      </c>
      <c r="F1412" s="1">
        <v>8.4999999999999999E-6</v>
      </c>
      <c r="G1412" s="1">
        <v>2.7699999999999999E-5</v>
      </c>
      <c r="H1412">
        <v>0</v>
      </c>
      <c r="I1412">
        <v>0</v>
      </c>
      <c r="J1412">
        <v>0</v>
      </c>
      <c r="K1412" s="1">
        <v>1.47E-5</v>
      </c>
      <c r="L1412" s="1">
        <v>2.0000000000000002E-5</v>
      </c>
      <c r="M1412">
        <v>0</v>
      </c>
      <c r="N1412">
        <v>0</v>
      </c>
      <c r="O1412">
        <v>0</v>
      </c>
      <c r="P1412" s="1">
        <v>2.02E-5</v>
      </c>
      <c r="Q1412" s="1">
        <v>2.7699999999999999E-5</v>
      </c>
      <c r="R1412" s="1">
        <v>4.6199999999999998E-5</v>
      </c>
      <c r="S1412" s="1">
        <v>6.8700000000000003E-5</v>
      </c>
      <c r="T1412" s="1">
        <v>2.4700000000000001E-5</v>
      </c>
    </row>
    <row r="1413" spans="1:20" hidden="1" x14ac:dyDescent="0.25">
      <c r="A1413" t="s">
        <v>1431</v>
      </c>
      <c r="B1413">
        <v>1.2286299999999999E-4</v>
      </c>
      <c r="C1413">
        <v>1.06946E-4</v>
      </c>
      <c r="D1413" s="1">
        <v>6.86E-5</v>
      </c>
      <c r="E1413" s="1">
        <v>8.8800000000000004E-5</v>
      </c>
      <c r="F1413">
        <v>1.4492500000000001E-4</v>
      </c>
      <c r="G1413" s="1">
        <v>7.8100000000000001E-5</v>
      </c>
      <c r="H1413">
        <v>2.1394799999999999E-4</v>
      </c>
      <c r="I1413">
        <v>1.2373700000000001E-4</v>
      </c>
      <c r="J1413" s="1">
        <v>7.6799999999999997E-5</v>
      </c>
      <c r="K1413" s="1">
        <v>9.7700000000000003E-5</v>
      </c>
      <c r="L1413">
        <v>1.01863E-4</v>
      </c>
      <c r="M1413">
        <v>1.4489900000000001E-4</v>
      </c>
      <c r="N1413">
        <v>1.33053E-4</v>
      </c>
      <c r="O1413" s="1">
        <v>8.2399999999999997E-5</v>
      </c>
      <c r="P1413">
        <v>1.5186400000000001E-4</v>
      </c>
      <c r="Q1413">
        <v>1.59817E-4</v>
      </c>
      <c r="R1413">
        <v>1.4612300000000001E-4</v>
      </c>
      <c r="S1413">
        <v>2.3022299999999999E-4</v>
      </c>
      <c r="T1413">
        <v>1.68808E-4</v>
      </c>
    </row>
    <row r="1414" spans="1:20" hidden="1" x14ac:dyDescent="0.25">
      <c r="A1414" t="s">
        <v>1432</v>
      </c>
      <c r="B1414">
        <v>0</v>
      </c>
      <c r="C1414" s="1">
        <v>1.9899999999999999E-5</v>
      </c>
      <c r="D1414">
        <v>0</v>
      </c>
      <c r="E1414" s="1">
        <v>2.9200000000000002E-5</v>
      </c>
      <c r="F1414">
        <v>0</v>
      </c>
      <c r="G1414">
        <v>0</v>
      </c>
      <c r="H1414">
        <v>0</v>
      </c>
      <c r="I1414" s="1">
        <v>2.5299999999999998E-5</v>
      </c>
      <c r="J1414" s="1">
        <v>5.9700000000000001E-5</v>
      </c>
      <c r="K1414">
        <v>0</v>
      </c>
      <c r="L1414" s="1">
        <v>2.7500000000000001E-5</v>
      </c>
      <c r="M1414" s="1">
        <v>3.2400000000000001E-5</v>
      </c>
      <c r="N1414" s="1">
        <v>6.9300000000000004E-5</v>
      </c>
      <c r="O1414">
        <v>0</v>
      </c>
      <c r="P1414" s="1">
        <v>3.3200000000000001E-5</v>
      </c>
      <c r="Q1414" s="1">
        <v>8.4300000000000003E-5</v>
      </c>
      <c r="R1414" s="1">
        <v>4.4700000000000002E-5</v>
      </c>
      <c r="S1414" s="1">
        <v>6.3600000000000001E-5</v>
      </c>
      <c r="T1414">
        <v>1.41757E-4</v>
      </c>
    </row>
    <row r="1415" spans="1:20" hidden="1" x14ac:dyDescent="0.25">
      <c r="A1415" t="s">
        <v>1433</v>
      </c>
      <c r="B1415">
        <v>1.10542E-4</v>
      </c>
      <c r="C1415">
        <v>1.02546E-4</v>
      </c>
      <c r="D1415" s="1">
        <v>7.7399999999999998E-5</v>
      </c>
      <c r="E1415">
        <v>1.3362899999999999E-4</v>
      </c>
      <c r="F1415">
        <v>1.6986400000000001E-4</v>
      </c>
      <c r="G1415">
        <v>0</v>
      </c>
      <c r="H1415">
        <v>0</v>
      </c>
      <c r="I1415">
        <v>0</v>
      </c>
      <c r="J1415" s="1">
        <v>9.5099999999999994E-5</v>
      </c>
      <c r="K1415">
        <v>0</v>
      </c>
      <c r="L1415">
        <v>1.0217099999999999E-4</v>
      </c>
      <c r="M1415" s="1">
        <v>7.1299999999999998E-5</v>
      </c>
      <c r="N1415">
        <v>0</v>
      </c>
      <c r="O1415">
        <v>0</v>
      </c>
      <c r="P1415" s="1">
        <v>6.0800000000000001E-5</v>
      </c>
      <c r="Q1415">
        <v>0</v>
      </c>
      <c r="R1415">
        <v>0</v>
      </c>
      <c r="S1415">
        <v>0</v>
      </c>
      <c r="T1415">
        <v>0</v>
      </c>
    </row>
    <row r="1416" spans="1:20" hidden="1" x14ac:dyDescent="0.25">
      <c r="A1416" t="s">
        <v>1434</v>
      </c>
      <c r="B1416">
        <v>0</v>
      </c>
      <c r="C1416">
        <v>0</v>
      </c>
      <c r="D1416" s="1">
        <v>4.2200000000000003E-5</v>
      </c>
      <c r="E1416" s="1">
        <v>5.41E-5</v>
      </c>
      <c r="F1416" s="1">
        <v>6.7600000000000003E-5</v>
      </c>
      <c r="G1416">
        <v>0</v>
      </c>
      <c r="H1416">
        <v>0</v>
      </c>
      <c r="I1416">
        <v>0</v>
      </c>
      <c r="J1416">
        <v>0</v>
      </c>
      <c r="K1416">
        <v>0</v>
      </c>
      <c r="L1416" s="1">
        <v>3.9499999999999998E-5</v>
      </c>
      <c r="M1416" s="1">
        <v>3.4400000000000003E-5</v>
      </c>
      <c r="N1416">
        <v>0</v>
      </c>
      <c r="O1416" s="1">
        <v>3.82E-5</v>
      </c>
      <c r="P1416" s="1">
        <v>2.9E-5</v>
      </c>
      <c r="Q1416" s="1">
        <v>2.6800000000000001E-5</v>
      </c>
      <c r="R1416" s="1">
        <v>2.72E-5</v>
      </c>
      <c r="S1416" s="1">
        <v>3.8699999999999999E-5</v>
      </c>
      <c r="T1416">
        <v>0</v>
      </c>
    </row>
    <row r="1417" spans="1:20" hidden="1" x14ac:dyDescent="0.25">
      <c r="A1417" t="s">
        <v>1435</v>
      </c>
      <c r="B1417" s="1">
        <v>3.5299999999999997E-5</v>
      </c>
      <c r="C1417" s="1">
        <v>4.0500000000000002E-5</v>
      </c>
      <c r="D1417" s="1">
        <v>5.5999999999999999E-5</v>
      </c>
      <c r="E1417" s="1">
        <v>5.1E-5</v>
      </c>
      <c r="F1417" s="1">
        <v>3.8300000000000003E-5</v>
      </c>
      <c r="G1417" s="1">
        <v>2.9899999999999998E-5</v>
      </c>
      <c r="H1417">
        <v>0</v>
      </c>
      <c r="I1417" s="1">
        <v>2.8399999999999999E-5</v>
      </c>
      <c r="J1417" s="1">
        <v>6.1400000000000002E-5</v>
      </c>
      <c r="K1417" s="1">
        <v>5.1199999999999998E-5</v>
      </c>
      <c r="L1417" s="1">
        <v>6.6699999999999995E-5</v>
      </c>
      <c r="M1417" s="1">
        <v>5.0599999999999997E-5</v>
      </c>
      <c r="N1417" s="1">
        <v>2.65E-5</v>
      </c>
      <c r="O1417" s="1">
        <v>6.2000000000000003E-5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hidden="1" x14ac:dyDescent="0.25">
      <c r="A1418" t="s">
        <v>1436</v>
      </c>
      <c r="B1418">
        <v>1.4107099999999999E-4</v>
      </c>
      <c r="C1418">
        <v>1.7970099999999999E-4</v>
      </c>
      <c r="D1418">
        <v>2.7633200000000001E-4</v>
      </c>
      <c r="E1418">
        <v>2.0745200000000001E-4</v>
      </c>
      <c r="F1418">
        <v>1.4424800000000001E-4</v>
      </c>
      <c r="G1418">
        <v>1.19554E-4</v>
      </c>
      <c r="H1418" s="1">
        <v>4.3600000000000003E-5</v>
      </c>
      <c r="I1418" s="1">
        <v>5.8999999999999998E-5</v>
      </c>
      <c r="J1418">
        <v>1.15149E-4</v>
      </c>
      <c r="K1418" s="1">
        <v>8.3900000000000006E-5</v>
      </c>
      <c r="L1418">
        <v>1.2654499999999999E-4</v>
      </c>
      <c r="M1418" s="1">
        <v>7.2200000000000007E-5</v>
      </c>
      <c r="N1418" s="1">
        <v>2.6400000000000001E-5</v>
      </c>
      <c r="O1418" s="1">
        <v>7.8700000000000002E-5</v>
      </c>
      <c r="P1418" s="1">
        <v>4.6600000000000001E-5</v>
      </c>
      <c r="Q1418" s="1">
        <v>4.2299999999999998E-5</v>
      </c>
      <c r="R1418" s="1">
        <v>4.0099999999999999E-5</v>
      </c>
      <c r="S1418" s="1">
        <v>2.0999999999999999E-5</v>
      </c>
      <c r="T1418" s="1">
        <v>3.8600000000000003E-5</v>
      </c>
    </row>
    <row r="1419" spans="1:20" hidden="1" x14ac:dyDescent="0.25">
      <c r="A1419" t="s">
        <v>1437</v>
      </c>
      <c r="B1419" s="1">
        <v>3.7100000000000001E-5</v>
      </c>
      <c r="C1419">
        <v>0</v>
      </c>
      <c r="D1419" s="1">
        <v>5.1199999999999998E-5</v>
      </c>
      <c r="E1419" s="1">
        <v>4.9599999999999999E-5</v>
      </c>
      <c r="F1419">
        <v>0</v>
      </c>
      <c r="G1419">
        <v>0</v>
      </c>
      <c r="H1419">
        <v>0</v>
      </c>
      <c r="I1419">
        <v>0</v>
      </c>
      <c r="J1419" s="1">
        <v>3.1000000000000001E-5</v>
      </c>
      <c r="K1419" s="1">
        <v>1.6799999999999998E-5</v>
      </c>
      <c r="L1419">
        <v>0</v>
      </c>
      <c r="M1419">
        <v>0</v>
      </c>
      <c r="N1419">
        <v>0</v>
      </c>
      <c r="O1419" s="1">
        <v>2.7100000000000001E-5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hidden="1" x14ac:dyDescent="0.25">
      <c r="A1420" t="s">
        <v>1438</v>
      </c>
      <c r="B1420">
        <v>3.8081149999999999E-3</v>
      </c>
      <c r="C1420">
        <v>2.8655429999999999E-3</v>
      </c>
      <c r="D1420">
        <v>3.0200560000000001E-3</v>
      </c>
      <c r="E1420">
        <v>3.4203720000000001E-3</v>
      </c>
      <c r="F1420">
        <v>3.5201970000000001E-3</v>
      </c>
      <c r="G1420">
        <v>2.480632E-3</v>
      </c>
      <c r="H1420">
        <v>2.8734329999999999E-3</v>
      </c>
      <c r="I1420">
        <v>3.0164440000000001E-3</v>
      </c>
      <c r="J1420">
        <v>3.1865359999999998E-3</v>
      </c>
      <c r="K1420">
        <v>3.512767E-3</v>
      </c>
      <c r="L1420">
        <v>3.3136049999999998E-3</v>
      </c>
      <c r="M1420">
        <v>3.3983759999999998E-3</v>
      </c>
      <c r="N1420">
        <v>2.4701100000000002E-3</v>
      </c>
      <c r="O1420">
        <v>3.3299829999999999E-3</v>
      </c>
      <c r="P1420">
        <v>3.7183920000000001E-3</v>
      </c>
      <c r="Q1420">
        <v>4.0877550000000002E-3</v>
      </c>
      <c r="R1420">
        <v>4.591581E-3</v>
      </c>
      <c r="S1420">
        <v>2.8665589999999999E-3</v>
      </c>
      <c r="T1420">
        <v>3.6252400000000001E-3</v>
      </c>
    </row>
    <row r="1421" spans="1:20" hidden="1" x14ac:dyDescent="0.25">
      <c r="A1421" t="s">
        <v>1439</v>
      </c>
      <c r="B1421">
        <v>1.4841609999999999E-3</v>
      </c>
      <c r="C1421">
        <v>1.261666E-3</v>
      </c>
      <c r="D1421">
        <v>1.6830289999999999E-3</v>
      </c>
      <c r="E1421">
        <v>1.655751E-3</v>
      </c>
      <c r="F1421">
        <v>1.0160799999999999E-3</v>
      </c>
      <c r="G1421">
        <v>9.3090399999999998E-4</v>
      </c>
      <c r="H1421">
        <v>6.74254E-4</v>
      </c>
      <c r="I1421">
        <v>1.1494859999999999E-3</v>
      </c>
      <c r="J1421">
        <v>8.317E-4</v>
      </c>
      <c r="K1421">
        <v>1.135708E-3</v>
      </c>
      <c r="L1421">
        <v>1.3038570000000001E-3</v>
      </c>
      <c r="M1421">
        <v>1.25117E-3</v>
      </c>
      <c r="N1421">
        <v>9.6601200000000003E-4</v>
      </c>
      <c r="O1421">
        <v>1.127709E-3</v>
      </c>
      <c r="P1421">
        <v>9.2300200000000002E-4</v>
      </c>
      <c r="Q1421">
        <v>7.8751400000000001E-4</v>
      </c>
      <c r="R1421">
        <v>8.5041900000000004E-4</v>
      </c>
      <c r="S1421">
        <v>7.0125099999999996E-4</v>
      </c>
      <c r="T1421">
        <v>7.6512800000000001E-4</v>
      </c>
    </row>
    <row r="1422" spans="1:20" hidden="1" x14ac:dyDescent="0.25">
      <c r="A1422" t="s">
        <v>1440</v>
      </c>
      <c r="B1422">
        <v>5.9298399999999996E-4</v>
      </c>
      <c r="C1422">
        <v>5.6025900000000002E-4</v>
      </c>
      <c r="D1422">
        <v>7.6302E-4</v>
      </c>
      <c r="E1422">
        <v>8.1265700000000005E-4</v>
      </c>
      <c r="F1422">
        <v>6.50167E-4</v>
      </c>
      <c r="G1422">
        <v>6.0796199999999998E-4</v>
      </c>
      <c r="H1422">
        <v>5.0756800000000002E-4</v>
      </c>
      <c r="I1422">
        <v>4.9297700000000002E-4</v>
      </c>
      <c r="J1422">
        <v>5.5486399999999996E-4</v>
      </c>
      <c r="K1422">
        <v>5.8306700000000005E-4</v>
      </c>
      <c r="L1422">
        <v>6.0633200000000001E-4</v>
      </c>
      <c r="M1422">
        <v>6.8215500000000004E-4</v>
      </c>
      <c r="N1422">
        <v>4.39173E-4</v>
      </c>
      <c r="O1422">
        <v>6.2221900000000003E-4</v>
      </c>
      <c r="P1422">
        <v>5.5045599999999995E-4</v>
      </c>
      <c r="Q1422">
        <v>5.7699699999999999E-4</v>
      </c>
      <c r="R1422">
        <v>6.2369599999999997E-4</v>
      </c>
      <c r="S1422">
        <v>5.8832800000000005E-4</v>
      </c>
      <c r="T1422">
        <v>4.6852599999999998E-4</v>
      </c>
    </row>
    <row r="1423" spans="1:20" hidden="1" x14ac:dyDescent="0.25">
      <c r="A1423" t="s">
        <v>1441</v>
      </c>
      <c r="B1423" s="1">
        <v>1.36E-5</v>
      </c>
      <c r="C1423" s="1">
        <v>1.9199999999999999E-5</v>
      </c>
      <c r="D1423" s="1">
        <v>1.63E-5</v>
      </c>
      <c r="E1423" s="1">
        <v>1.8700000000000001E-5</v>
      </c>
      <c r="F1423">
        <v>0</v>
      </c>
      <c r="G1423">
        <v>0</v>
      </c>
      <c r="H1423">
        <v>0</v>
      </c>
      <c r="I1423" s="1">
        <v>1.63E-5</v>
      </c>
      <c r="J1423">
        <v>0</v>
      </c>
      <c r="K1423">
        <v>0</v>
      </c>
      <c r="L1423" s="1">
        <v>1.98E-5</v>
      </c>
      <c r="M1423">
        <v>0</v>
      </c>
      <c r="N1423" s="1">
        <v>2.5299999999999998E-5</v>
      </c>
      <c r="O1423">
        <v>0</v>
      </c>
      <c r="P1423">
        <v>0</v>
      </c>
      <c r="Q1423" s="1">
        <v>1.0699999999999999E-5</v>
      </c>
      <c r="R1423">
        <v>0</v>
      </c>
      <c r="S1423">
        <v>0</v>
      </c>
      <c r="T1423" s="1">
        <v>1.8499999999999999E-5</v>
      </c>
    </row>
    <row r="1424" spans="1:20" hidden="1" x14ac:dyDescent="0.25">
      <c r="A1424" t="s">
        <v>1442</v>
      </c>
      <c r="B1424">
        <v>1.04306E-4</v>
      </c>
      <c r="C1424">
        <v>1.9327E-4</v>
      </c>
      <c r="D1424">
        <v>2.39072E-4</v>
      </c>
      <c r="E1424">
        <v>1.8700300000000001E-4</v>
      </c>
      <c r="F1424">
        <v>1.7530599999999999E-4</v>
      </c>
      <c r="G1424">
        <v>2.5667799999999998E-4</v>
      </c>
      <c r="H1424">
        <v>1.51982E-4</v>
      </c>
      <c r="I1424">
        <v>2.2676200000000001E-4</v>
      </c>
      <c r="J1424">
        <v>1.6292800000000001E-4</v>
      </c>
      <c r="K1424">
        <v>1.93394E-4</v>
      </c>
      <c r="L1424">
        <v>2.6314200000000001E-4</v>
      </c>
      <c r="M1424">
        <v>1.4434499999999999E-4</v>
      </c>
      <c r="N1424">
        <v>1.9096900000000001E-4</v>
      </c>
      <c r="O1424">
        <v>1.8862100000000001E-4</v>
      </c>
      <c r="P1424">
        <v>2.1083399999999999E-4</v>
      </c>
      <c r="Q1424">
        <v>1.72435E-4</v>
      </c>
      <c r="R1424">
        <v>1.56009E-4</v>
      </c>
      <c r="S1424">
        <v>2.2090099999999999E-4</v>
      </c>
      <c r="T1424">
        <v>1.5532499999999999E-4</v>
      </c>
    </row>
    <row r="1425" spans="1:20" hidden="1" x14ac:dyDescent="0.25">
      <c r="A1425" t="s">
        <v>1443</v>
      </c>
      <c r="B1425" s="1">
        <v>1.66E-5</v>
      </c>
      <c r="C1425" s="1">
        <v>1.4399999999999999E-5</v>
      </c>
      <c r="D1425" s="1">
        <v>1.4100000000000001E-5</v>
      </c>
      <c r="E1425" s="1">
        <v>1.26E-5</v>
      </c>
      <c r="F1425" s="1">
        <v>2.5700000000000001E-5</v>
      </c>
      <c r="G1425" s="1">
        <v>1.56E-5</v>
      </c>
      <c r="H1425" s="1">
        <v>1.63E-5</v>
      </c>
      <c r="I1425" s="1">
        <v>1.5699999999999999E-5</v>
      </c>
      <c r="J1425" s="1">
        <v>1.43E-5</v>
      </c>
      <c r="K1425" s="1">
        <v>1.5E-5</v>
      </c>
      <c r="L1425" s="1">
        <v>2.65E-5</v>
      </c>
      <c r="M1425" s="1">
        <v>1.5E-5</v>
      </c>
      <c r="N1425" s="1">
        <v>1.13E-5</v>
      </c>
      <c r="O1425" s="1">
        <v>1.7900000000000001E-5</v>
      </c>
      <c r="P1425" s="1">
        <v>1.29E-5</v>
      </c>
      <c r="Q1425" s="1">
        <v>3.8999999999999999E-5</v>
      </c>
      <c r="R1425" s="1">
        <v>4.1699999999999997E-5</v>
      </c>
      <c r="S1425" s="1">
        <v>3.8600000000000003E-5</v>
      </c>
      <c r="T1425" s="1">
        <v>3.1900000000000003E-5</v>
      </c>
    </row>
    <row r="1426" spans="1:20" hidden="1" x14ac:dyDescent="0.25">
      <c r="A1426" t="s">
        <v>1444</v>
      </c>
      <c r="B1426" s="1">
        <v>1.7600000000000001E-5</v>
      </c>
      <c r="C1426" s="1">
        <v>4.6799999999999999E-5</v>
      </c>
      <c r="D1426" s="1">
        <v>5.8400000000000003E-5</v>
      </c>
      <c r="E1426" s="1">
        <v>5.6400000000000002E-5</v>
      </c>
      <c r="F1426" s="1">
        <v>1.7200000000000001E-5</v>
      </c>
      <c r="G1426" s="1">
        <v>2.7500000000000001E-5</v>
      </c>
      <c r="H1426" s="1">
        <v>1.5400000000000002E-5</v>
      </c>
      <c r="I1426" s="1">
        <v>3.0800000000000003E-5</v>
      </c>
      <c r="J1426" s="1">
        <v>1.6500000000000001E-5</v>
      </c>
      <c r="K1426" s="1">
        <v>4.3699999999999998E-5</v>
      </c>
      <c r="L1426" s="1">
        <v>3.8399999999999998E-5</v>
      </c>
      <c r="M1426" s="1">
        <v>7.0999999999999998E-6</v>
      </c>
      <c r="N1426" s="1">
        <v>4.16E-6</v>
      </c>
      <c r="O1426" s="1">
        <v>2.8399999999999999E-5</v>
      </c>
      <c r="P1426">
        <v>0</v>
      </c>
      <c r="Q1426">
        <v>0</v>
      </c>
      <c r="R1426">
        <v>0</v>
      </c>
      <c r="S1426" s="1">
        <v>5.6500000000000001E-6</v>
      </c>
      <c r="T1426" s="1">
        <v>3.3000000000000002E-6</v>
      </c>
    </row>
    <row r="1427" spans="1:20" hidden="1" x14ac:dyDescent="0.25">
      <c r="A1427" t="s">
        <v>1445</v>
      </c>
      <c r="B1427" s="1">
        <v>5.0699999999999999E-5</v>
      </c>
      <c r="C1427">
        <v>0</v>
      </c>
      <c r="D1427">
        <v>0</v>
      </c>
      <c r="E1427">
        <v>0</v>
      </c>
      <c r="F1427" s="1">
        <v>7.6299999999999998E-5</v>
      </c>
      <c r="G1427">
        <v>0</v>
      </c>
      <c r="H1427">
        <v>0</v>
      </c>
      <c r="I1427" s="1">
        <v>5.0800000000000002E-5</v>
      </c>
      <c r="J1427">
        <v>0</v>
      </c>
      <c r="K1427" s="1">
        <v>4.1300000000000001E-5</v>
      </c>
      <c r="L1427" s="1">
        <v>5.4200000000000003E-5</v>
      </c>
      <c r="M1427">
        <v>0</v>
      </c>
      <c r="N1427">
        <v>0</v>
      </c>
      <c r="O1427" s="1">
        <v>3.9199999999999997E-5</v>
      </c>
      <c r="P1427" s="1">
        <v>8.03E-5</v>
      </c>
      <c r="Q1427" s="1">
        <v>7.1699999999999995E-5</v>
      </c>
      <c r="R1427">
        <v>0</v>
      </c>
      <c r="S1427" s="1">
        <v>6.2399999999999999E-5</v>
      </c>
      <c r="T1427" s="1">
        <v>8.0599999999999994E-5</v>
      </c>
    </row>
    <row r="1428" spans="1:20" hidden="1" x14ac:dyDescent="0.25">
      <c r="A1428" t="s">
        <v>1446</v>
      </c>
      <c r="B1428" s="1">
        <v>7.36E-5</v>
      </c>
      <c r="C1428">
        <v>1.81628E-4</v>
      </c>
      <c r="D1428">
        <v>2.3980299999999999E-4</v>
      </c>
      <c r="E1428">
        <v>1.52237E-4</v>
      </c>
      <c r="F1428" s="1">
        <v>2.4899999999999999E-5</v>
      </c>
      <c r="G1428" s="1">
        <v>5.5500000000000001E-5</v>
      </c>
      <c r="H1428" s="1">
        <v>2.87E-5</v>
      </c>
      <c r="I1428" s="1">
        <v>2.4700000000000001E-5</v>
      </c>
      <c r="J1428" s="1">
        <v>4.5099999999999998E-5</v>
      </c>
      <c r="K1428" s="1">
        <v>9.0600000000000007E-5</v>
      </c>
      <c r="L1428" s="1">
        <v>9.8999999999999994E-5</v>
      </c>
      <c r="M1428" s="1">
        <v>5.5600000000000003E-5</v>
      </c>
      <c r="N1428" s="1">
        <v>5.4299999999999998E-5</v>
      </c>
      <c r="O1428" s="1">
        <v>3.2199999999999997E-5</v>
      </c>
      <c r="P1428" s="1">
        <v>1.5999999999999999E-5</v>
      </c>
      <c r="Q1428" s="1">
        <v>1.5E-5</v>
      </c>
      <c r="R1428" s="1">
        <v>1.4100000000000001E-5</v>
      </c>
      <c r="S1428">
        <v>0</v>
      </c>
      <c r="T1428" s="1">
        <v>1.6699999999999999E-5</v>
      </c>
    </row>
    <row r="1429" spans="1:20" hidden="1" x14ac:dyDescent="0.25">
      <c r="A1429" t="s">
        <v>1447</v>
      </c>
      <c r="B1429">
        <v>0</v>
      </c>
      <c r="C1429">
        <v>0</v>
      </c>
      <c r="D1429">
        <v>0</v>
      </c>
      <c r="E1429">
        <v>0</v>
      </c>
      <c r="F1429">
        <v>0</v>
      </c>
      <c r="G1429" s="1">
        <v>8.14E-5</v>
      </c>
      <c r="H1429" s="1">
        <v>5.8900000000000002E-5</v>
      </c>
      <c r="I1429" s="1">
        <v>5.5000000000000002E-5</v>
      </c>
      <c r="J1429">
        <v>0</v>
      </c>
      <c r="K1429">
        <v>0</v>
      </c>
      <c r="L1429" s="1">
        <v>6.5599999999999995E-5</v>
      </c>
      <c r="M1429">
        <v>0</v>
      </c>
      <c r="N1429">
        <v>0</v>
      </c>
      <c r="O1429">
        <v>0</v>
      </c>
      <c r="P1429" s="1">
        <v>6.7799999999999995E-5</v>
      </c>
      <c r="Q1429">
        <v>1.8085900000000001E-4</v>
      </c>
      <c r="R1429">
        <v>1.57737E-4</v>
      </c>
      <c r="S1429">
        <v>1.4897399999999999E-4</v>
      </c>
      <c r="T1429">
        <v>2.1592399999999999E-4</v>
      </c>
    </row>
    <row r="1430" spans="1:20" hidden="1" x14ac:dyDescent="0.25">
      <c r="A1430" t="s">
        <v>1448</v>
      </c>
      <c r="B1430">
        <v>1.6716600000000001E-4</v>
      </c>
      <c r="C1430">
        <v>2.7786199999999998E-4</v>
      </c>
      <c r="D1430">
        <v>1.92289E-4</v>
      </c>
      <c r="E1430">
        <v>1.30858E-4</v>
      </c>
      <c r="F1430">
        <v>1.4454100000000001E-4</v>
      </c>
      <c r="G1430">
        <v>4.5213499999999999E-4</v>
      </c>
      <c r="H1430">
        <v>4.6182599999999998E-4</v>
      </c>
      <c r="I1430">
        <v>2.0653800000000001E-4</v>
      </c>
      <c r="J1430" s="1">
        <v>7.9499999999999994E-5</v>
      </c>
      <c r="K1430">
        <v>2.5027099999999999E-4</v>
      </c>
      <c r="L1430">
        <v>3.69949E-4</v>
      </c>
      <c r="M1430">
        <v>1.00468E-4</v>
      </c>
      <c r="N1430">
        <v>1.8525900000000001E-4</v>
      </c>
      <c r="O1430" s="1">
        <v>8.92E-5</v>
      </c>
      <c r="P1430">
        <v>1.52931E-4</v>
      </c>
      <c r="Q1430">
        <v>3.7174799999999998E-4</v>
      </c>
      <c r="R1430">
        <v>5.6947599999999997E-4</v>
      </c>
      <c r="S1430">
        <v>6.9779100000000001E-4</v>
      </c>
      <c r="T1430">
        <v>5.5663999999999996E-4</v>
      </c>
    </row>
    <row r="1431" spans="1:20" hidden="1" x14ac:dyDescent="0.25">
      <c r="A1431" t="s">
        <v>1449</v>
      </c>
      <c r="B1431" s="1">
        <v>5.5300000000000002E-5</v>
      </c>
      <c r="C1431" s="1">
        <v>8.6199999999999995E-5</v>
      </c>
      <c r="D1431" s="1">
        <v>6.4499999999999996E-5</v>
      </c>
      <c r="E1431" s="1">
        <v>5.8600000000000001E-5</v>
      </c>
      <c r="F1431" s="1">
        <v>5.6799999999999998E-5</v>
      </c>
      <c r="G1431">
        <v>1.70075E-4</v>
      </c>
      <c r="H1431">
        <v>2.15873E-4</v>
      </c>
      <c r="I1431" s="1">
        <v>9.1199999999999994E-5</v>
      </c>
      <c r="J1431" s="1">
        <v>3.4E-5</v>
      </c>
      <c r="K1431" s="1">
        <v>9.48E-5</v>
      </c>
      <c r="L1431">
        <v>1.43621E-4</v>
      </c>
      <c r="M1431">
        <v>0</v>
      </c>
      <c r="N1431">
        <v>1.6168399999999999E-4</v>
      </c>
      <c r="O1431" s="1">
        <v>4.6600000000000001E-5</v>
      </c>
      <c r="P1431" s="1">
        <v>8.1100000000000006E-5</v>
      </c>
      <c r="Q1431">
        <v>1.3167300000000001E-4</v>
      </c>
      <c r="R1431">
        <v>4.1677400000000002E-4</v>
      </c>
      <c r="S1431">
        <v>3.9643300000000002E-4</v>
      </c>
      <c r="T1431">
        <v>3.9090300000000001E-4</v>
      </c>
    </row>
    <row r="1432" spans="1:20" hidden="1" x14ac:dyDescent="0.25">
      <c r="A1432" t="s">
        <v>1450</v>
      </c>
      <c r="B1432" s="1">
        <v>6.1799999999999998E-5</v>
      </c>
      <c r="C1432">
        <v>0</v>
      </c>
      <c r="D1432">
        <v>0</v>
      </c>
      <c r="E1432">
        <v>0</v>
      </c>
      <c r="F1432">
        <v>0</v>
      </c>
      <c r="G1432">
        <v>1.07524E-4</v>
      </c>
      <c r="H1432">
        <v>1.31087E-4</v>
      </c>
      <c r="I1432">
        <v>0</v>
      </c>
      <c r="J1432">
        <v>0</v>
      </c>
      <c r="K1432">
        <v>0</v>
      </c>
      <c r="L1432">
        <v>0</v>
      </c>
      <c r="M1432">
        <v>0</v>
      </c>
      <c r="N1432" s="1">
        <v>6.0800000000000001E-5</v>
      </c>
      <c r="O1432">
        <v>0</v>
      </c>
      <c r="P1432" s="1">
        <v>8.1799999999999996E-5</v>
      </c>
      <c r="Q1432">
        <v>1.8055600000000001E-4</v>
      </c>
      <c r="R1432">
        <v>1.35914E-4</v>
      </c>
      <c r="S1432">
        <v>2.7573300000000001E-4</v>
      </c>
      <c r="T1432">
        <v>2.96717E-4</v>
      </c>
    </row>
    <row r="1433" spans="1:20" hidden="1" x14ac:dyDescent="0.25">
      <c r="A1433" t="s">
        <v>1451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1.3436700000000001E-4</v>
      </c>
      <c r="R1433">
        <v>1.61581E-4</v>
      </c>
      <c r="S1433">
        <v>1.8849700000000001E-4</v>
      </c>
      <c r="T1433">
        <v>1.5641099999999999E-4</v>
      </c>
    </row>
    <row r="1434" spans="1:20" hidden="1" x14ac:dyDescent="0.25">
      <c r="A1434" t="s">
        <v>1452</v>
      </c>
      <c r="B1434">
        <v>1.2500599999999999E-4</v>
      </c>
      <c r="C1434">
        <v>1.4274900000000001E-4</v>
      </c>
      <c r="D1434">
        <v>1.2880699999999999E-4</v>
      </c>
      <c r="E1434">
        <v>1.4640000000000001E-4</v>
      </c>
      <c r="F1434">
        <v>1.3995699999999999E-4</v>
      </c>
      <c r="G1434">
        <v>2.8524000000000003E-4</v>
      </c>
      <c r="H1434">
        <v>2.5932100000000002E-4</v>
      </c>
      <c r="I1434">
        <v>1.71158E-4</v>
      </c>
      <c r="J1434">
        <v>1.0508799999999999E-4</v>
      </c>
      <c r="K1434">
        <v>2.0172199999999999E-4</v>
      </c>
      <c r="L1434">
        <v>2.6090800000000002E-4</v>
      </c>
      <c r="M1434" s="1">
        <v>9.2499999999999999E-5</v>
      </c>
      <c r="N1434">
        <v>1.1419800000000001E-4</v>
      </c>
      <c r="O1434" s="1">
        <v>7.1400000000000001E-5</v>
      </c>
      <c r="P1434">
        <v>0</v>
      </c>
      <c r="Q1434">
        <v>2.0292300000000001E-4</v>
      </c>
      <c r="R1434">
        <v>2.3933299999999999E-4</v>
      </c>
      <c r="S1434">
        <v>3.2681399999999998E-4</v>
      </c>
      <c r="T1434">
        <v>2.1427100000000001E-4</v>
      </c>
    </row>
    <row r="1435" spans="1:20" hidden="1" x14ac:dyDescent="0.25">
      <c r="A1435" t="s">
        <v>1453</v>
      </c>
      <c r="B1435" s="1">
        <v>9.1500000000000001E-5</v>
      </c>
      <c r="C1435">
        <v>1.2422999999999999E-4</v>
      </c>
      <c r="D1435">
        <v>0</v>
      </c>
      <c r="E1435">
        <v>0</v>
      </c>
      <c r="F1435">
        <v>1.3255499999999999E-4</v>
      </c>
      <c r="G1435">
        <v>2.5581699999999998E-4</v>
      </c>
      <c r="H1435">
        <v>3.2592100000000001E-4</v>
      </c>
      <c r="I1435">
        <v>1.78044E-4</v>
      </c>
      <c r="J1435">
        <v>0</v>
      </c>
      <c r="K1435">
        <v>1.7684100000000001E-4</v>
      </c>
      <c r="L1435">
        <v>0</v>
      </c>
      <c r="M1435">
        <v>0</v>
      </c>
      <c r="N1435">
        <v>0</v>
      </c>
      <c r="O1435">
        <v>0</v>
      </c>
      <c r="P1435">
        <v>1.24342E-4</v>
      </c>
      <c r="Q1435">
        <v>2.5479000000000002E-4</v>
      </c>
      <c r="R1435">
        <v>2.7556299999999999E-4</v>
      </c>
      <c r="S1435">
        <v>3.4949599999999998E-4</v>
      </c>
      <c r="T1435">
        <v>0</v>
      </c>
    </row>
    <row r="1436" spans="1:20" hidden="1" x14ac:dyDescent="0.25">
      <c r="A1436" t="s">
        <v>1454</v>
      </c>
      <c r="B1436" s="1">
        <v>6.9200000000000002E-5</v>
      </c>
      <c r="C1436">
        <v>1.0428400000000001E-4</v>
      </c>
      <c r="D1436" s="1">
        <v>5.8600000000000001E-5</v>
      </c>
      <c r="E1436">
        <v>0</v>
      </c>
      <c r="F1436">
        <v>0</v>
      </c>
      <c r="G1436">
        <v>1.24213E-4</v>
      </c>
      <c r="H1436">
        <v>1.07491E-4</v>
      </c>
      <c r="I1436">
        <v>1.20642E-4</v>
      </c>
      <c r="J1436">
        <v>0</v>
      </c>
      <c r="K1436" s="1">
        <v>7.9699999999999999E-5</v>
      </c>
      <c r="L1436">
        <v>1.5388500000000001E-4</v>
      </c>
      <c r="M1436">
        <v>0</v>
      </c>
      <c r="N1436">
        <v>0</v>
      </c>
      <c r="O1436">
        <v>0</v>
      </c>
      <c r="P1436">
        <v>0</v>
      </c>
      <c r="Q1436">
        <v>2.47008E-4</v>
      </c>
      <c r="R1436">
        <v>1.9380100000000001E-4</v>
      </c>
      <c r="S1436">
        <v>2.1911899999999999E-4</v>
      </c>
      <c r="T1436">
        <v>1.7636299999999999E-4</v>
      </c>
    </row>
    <row r="1437" spans="1:20" hidden="1" x14ac:dyDescent="0.25">
      <c r="A1437" t="s">
        <v>1455</v>
      </c>
      <c r="B1437">
        <v>1.2372500000000001E-4</v>
      </c>
      <c r="C1437">
        <v>0</v>
      </c>
      <c r="D1437">
        <v>0</v>
      </c>
      <c r="E1437">
        <v>0</v>
      </c>
      <c r="F1437">
        <v>1.3580999999999999E-4</v>
      </c>
      <c r="G1437">
        <v>3.27886E-4</v>
      </c>
      <c r="H1437">
        <v>2.7208799999999997E-4</v>
      </c>
      <c r="I1437">
        <v>0</v>
      </c>
      <c r="J1437">
        <v>0</v>
      </c>
      <c r="K1437">
        <v>0</v>
      </c>
      <c r="L1437">
        <v>1.6897200000000001E-4</v>
      </c>
      <c r="M1437">
        <v>0</v>
      </c>
      <c r="N1437">
        <v>0</v>
      </c>
      <c r="O1437">
        <v>0</v>
      </c>
      <c r="P1437">
        <v>1.14076E-4</v>
      </c>
      <c r="Q1437">
        <v>2.1521800000000001E-4</v>
      </c>
      <c r="R1437">
        <v>1.9950799999999999E-4</v>
      </c>
      <c r="S1437">
        <v>2.4156899999999999E-4</v>
      </c>
      <c r="T1437">
        <v>1.5784100000000001E-4</v>
      </c>
    </row>
    <row r="1438" spans="1:20" hidden="1" x14ac:dyDescent="0.25">
      <c r="A1438" t="s">
        <v>1456</v>
      </c>
      <c r="B1438">
        <v>1.0540900000000001E-4</v>
      </c>
      <c r="C1438">
        <v>0</v>
      </c>
      <c r="D1438">
        <v>0</v>
      </c>
      <c r="E1438">
        <v>0</v>
      </c>
      <c r="F1438">
        <v>0</v>
      </c>
      <c r="G1438">
        <v>2.32072E-4</v>
      </c>
      <c r="H1438">
        <v>2.6039800000000001E-4</v>
      </c>
      <c r="I1438">
        <v>1.58059E-4</v>
      </c>
      <c r="J1438">
        <v>0</v>
      </c>
      <c r="K1438">
        <v>0</v>
      </c>
      <c r="L1438">
        <v>2.0558100000000001E-4</v>
      </c>
      <c r="M1438">
        <v>0</v>
      </c>
      <c r="N1438">
        <v>2.2496199999999999E-4</v>
      </c>
      <c r="O1438">
        <v>0</v>
      </c>
      <c r="P1438">
        <v>0</v>
      </c>
      <c r="Q1438">
        <v>1.82771E-4</v>
      </c>
      <c r="R1438">
        <v>2.3246900000000001E-4</v>
      </c>
      <c r="S1438">
        <v>4.1185000000000001E-4</v>
      </c>
      <c r="T1438">
        <v>3.94342E-4</v>
      </c>
    </row>
    <row r="1439" spans="1:20" hidden="1" x14ac:dyDescent="0.25">
      <c r="A1439" t="s">
        <v>1457</v>
      </c>
      <c r="B1439" s="1">
        <v>8.1799999999999996E-5</v>
      </c>
      <c r="C1439" s="1">
        <v>8.7700000000000004E-5</v>
      </c>
      <c r="D1439" s="1">
        <v>5.7899999999999998E-5</v>
      </c>
      <c r="E1439" s="1">
        <v>5.2200000000000002E-5</v>
      </c>
      <c r="F1439" s="1">
        <v>6.4399999999999993E-5</v>
      </c>
      <c r="G1439">
        <v>2.1682E-4</v>
      </c>
      <c r="H1439">
        <v>2.4139800000000001E-4</v>
      </c>
      <c r="I1439">
        <v>1.7016199999999999E-4</v>
      </c>
      <c r="J1439" s="1">
        <v>6.8399999999999996E-5</v>
      </c>
      <c r="K1439" s="1">
        <v>8.7800000000000006E-5</v>
      </c>
      <c r="L1439">
        <v>1.3676300000000001E-4</v>
      </c>
      <c r="M1439" s="1">
        <v>6.3299999999999994E-5</v>
      </c>
      <c r="N1439" s="1">
        <v>8.8800000000000004E-5</v>
      </c>
      <c r="O1439" s="1">
        <v>6.1500000000000004E-5</v>
      </c>
      <c r="P1439" s="1">
        <v>7.6899999999999999E-5</v>
      </c>
      <c r="Q1439">
        <v>1.5140299999999999E-4</v>
      </c>
      <c r="R1439">
        <v>1.66195E-4</v>
      </c>
      <c r="S1439">
        <v>3.0009900000000001E-4</v>
      </c>
      <c r="T1439">
        <v>2.00072E-4</v>
      </c>
    </row>
    <row r="1440" spans="1:20" hidden="1" x14ac:dyDescent="0.25">
      <c r="A1440" t="s">
        <v>1458</v>
      </c>
      <c r="B1440" s="1">
        <v>7.7399999999999998E-5</v>
      </c>
      <c r="C1440" s="1">
        <v>9.0099999999999995E-5</v>
      </c>
      <c r="D1440" s="1">
        <v>8.4099999999999998E-5</v>
      </c>
      <c r="E1440" s="1">
        <v>7.3300000000000006E-5</v>
      </c>
      <c r="F1440" s="1">
        <v>7.6799999999999997E-5</v>
      </c>
      <c r="G1440">
        <v>1.71719E-4</v>
      </c>
      <c r="H1440">
        <v>1.7338400000000001E-4</v>
      </c>
      <c r="I1440">
        <v>1.22669E-4</v>
      </c>
      <c r="J1440" s="1">
        <v>5.8600000000000001E-5</v>
      </c>
      <c r="K1440">
        <v>1.16045E-4</v>
      </c>
      <c r="L1440">
        <v>1.7346199999999999E-4</v>
      </c>
      <c r="M1440" s="1">
        <v>5.5399999999999998E-5</v>
      </c>
      <c r="N1440">
        <v>1.17046E-4</v>
      </c>
      <c r="O1440" s="1">
        <v>6.0300000000000002E-5</v>
      </c>
      <c r="P1440">
        <v>1.2952300000000001E-4</v>
      </c>
      <c r="Q1440">
        <v>2.1494099999999999E-4</v>
      </c>
      <c r="R1440">
        <v>1.7350300000000001E-4</v>
      </c>
      <c r="S1440">
        <v>3.0258800000000001E-4</v>
      </c>
      <c r="T1440">
        <v>3.3462599999999998E-4</v>
      </c>
    </row>
    <row r="1441" spans="1:20" hidden="1" x14ac:dyDescent="0.25">
      <c r="A1441" t="s">
        <v>1459</v>
      </c>
      <c r="B1441" s="1">
        <v>6.0000000000000002E-5</v>
      </c>
      <c r="C1441">
        <v>1.18214E-4</v>
      </c>
      <c r="D1441" s="1">
        <v>6.3999999999999997E-5</v>
      </c>
      <c r="E1441">
        <v>0</v>
      </c>
      <c r="F1441" s="1">
        <v>6.3399999999999996E-5</v>
      </c>
      <c r="G1441">
        <v>0</v>
      </c>
      <c r="H1441">
        <v>0</v>
      </c>
      <c r="I1441" s="1">
        <v>8.0699999999999996E-5</v>
      </c>
      <c r="J1441">
        <v>0</v>
      </c>
      <c r="K1441" s="1">
        <v>6.0999999999999999E-5</v>
      </c>
      <c r="L1441">
        <v>1.02902E-4</v>
      </c>
      <c r="M1441">
        <v>0</v>
      </c>
      <c r="N1441" s="1">
        <v>8.0599999999999994E-5</v>
      </c>
      <c r="O1441">
        <v>0</v>
      </c>
      <c r="P1441">
        <v>0</v>
      </c>
      <c r="Q1441" s="1">
        <v>9.2399999999999996E-5</v>
      </c>
      <c r="R1441">
        <v>3.4322600000000002E-4</v>
      </c>
      <c r="S1441">
        <v>1.05999E-4</v>
      </c>
      <c r="T1441">
        <v>1.43034E-4</v>
      </c>
    </row>
    <row r="1442" spans="1:20" hidden="1" x14ac:dyDescent="0.25">
      <c r="A1442" t="s">
        <v>1460</v>
      </c>
      <c r="B1442">
        <v>1.88994E-4</v>
      </c>
      <c r="C1442">
        <v>2.1226200000000001E-4</v>
      </c>
      <c r="D1442">
        <v>1.2518300000000001E-4</v>
      </c>
      <c r="E1442">
        <v>1.6178500000000001E-4</v>
      </c>
      <c r="F1442">
        <v>2.02065E-4</v>
      </c>
      <c r="G1442">
        <v>4.2614900000000002E-4</v>
      </c>
      <c r="H1442">
        <v>4.7588900000000001E-4</v>
      </c>
      <c r="I1442">
        <v>1.9465699999999999E-4</v>
      </c>
      <c r="J1442">
        <v>1.5424500000000001E-4</v>
      </c>
      <c r="K1442">
        <v>1.8569100000000001E-4</v>
      </c>
      <c r="L1442">
        <v>2.7579200000000002E-4</v>
      </c>
      <c r="M1442">
        <v>1.10202E-4</v>
      </c>
      <c r="N1442">
        <v>1.37083E-4</v>
      </c>
      <c r="O1442" s="1">
        <v>9.1100000000000005E-5</v>
      </c>
      <c r="P1442">
        <v>1.89335E-4</v>
      </c>
      <c r="Q1442">
        <v>3.7816400000000001E-4</v>
      </c>
      <c r="R1442">
        <v>3.7552100000000003E-4</v>
      </c>
      <c r="S1442">
        <v>4.20116E-4</v>
      </c>
      <c r="T1442">
        <v>4.4245299999999999E-4</v>
      </c>
    </row>
    <row r="1443" spans="1:20" hidden="1" x14ac:dyDescent="0.25">
      <c r="A1443" t="s">
        <v>1461</v>
      </c>
      <c r="B1443">
        <v>1.6233299999999999E-4</v>
      </c>
      <c r="C1443">
        <v>1.8601800000000001E-4</v>
      </c>
      <c r="D1443">
        <v>1.3045E-4</v>
      </c>
      <c r="E1443">
        <v>1.5746799999999999E-4</v>
      </c>
      <c r="F1443">
        <v>2.4173E-4</v>
      </c>
      <c r="G1443">
        <v>4.6361699999999999E-4</v>
      </c>
      <c r="H1443">
        <v>5.2792300000000002E-4</v>
      </c>
      <c r="I1443">
        <v>3.57988E-4</v>
      </c>
      <c r="J1443">
        <v>1.5563299999999999E-4</v>
      </c>
      <c r="K1443">
        <v>3.0109700000000001E-4</v>
      </c>
      <c r="L1443">
        <v>3.67487E-4</v>
      </c>
      <c r="M1443">
        <v>1.43633E-4</v>
      </c>
      <c r="N1443">
        <v>1.58849E-4</v>
      </c>
      <c r="O1443">
        <v>1.2468399999999999E-4</v>
      </c>
      <c r="P1443">
        <v>2.0832500000000001E-4</v>
      </c>
      <c r="Q1443">
        <v>3.4882899999999999E-4</v>
      </c>
      <c r="R1443">
        <v>4.1824000000000001E-4</v>
      </c>
      <c r="S1443">
        <v>4.8338500000000002E-4</v>
      </c>
      <c r="T1443">
        <v>4.7185E-4</v>
      </c>
    </row>
    <row r="1444" spans="1:20" hidden="1" x14ac:dyDescent="0.25">
      <c r="A1444" t="s">
        <v>1462</v>
      </c>
      <c r="B1444" s="1">
        <v>4.4700000000000002E-5</v>
      </c>
      <c r="C1444" s="1">
        <v>6.9300000000000004E-5</v>
      </c>
      <c r="D1444">
        <v>0</v>
      </c>
      <c r="E1444">
        <v>0</v>
      </c>
      <c r="F1444" s="1">
        <v>4.5500000000000001E-5</v>
      </c>
      <c r="G1444">
        <v>1.4245999999999999E-4</v>
      </c>
      <c r="H1444">
        <v>1.42674E-4</v>
      </c>
      <c r="I1444" s="1">
        <v>7.2399999999999998E-5</v>
      </c>
      <c r="J1444">
        <v>0</v>
      </c>
      <c r="K1444" s="1">
        <v>5.1100000000000002E-5</v>
      </c>
      <c r="L1444" s="1">
        <v>8.5699999999999996E-5</v>
      </c>
      <c r="M1444">
        <v>0</v>
      </c>
      <c r="N1444" s="1">
        <v>5.52E-5</v>
      </c>
      <c r="O1444">
        <v>0</v>
      </c>
      <c r="P1444" s="1">
        <v>5.77E-5</v>
      </c>
      <c r="Q1444">
        <v>1.18595E-4</v>
      </c>
      <c r="R1444">
        <v>1.3431700000000001E-4</v>
      </c>
      <c r="S1444">
        <v>1.6673299999999999E-4</v>
      </c>
      <c r="T1444">
        <v>2.2439700000000001E-4</v>
      </c>
    </row>
    <row r="1445" spans="1:20" hidden="1" x14ac:dyDescent="0.25">
      <c r="A1445" t="s">
        <v>1463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1.39593E-4</v>
      </c>
      <c r="H1445">
        <v>1.70793E-4</v>
      </c>
      <c r="I1445" s="1">
        <v>6.7700000000000006E-5</v>
      </c>
      <c r="J1445">
        <v>0</v>
      </c>
      <c r="K1445">
        <v>0</v>
      </c>
      <c r="L1445">
        <v>0</v>
      </c>
      <c r="M1445">
        <v>0</v>
      </c>
      <c r="N1445" s="1">
        <v>4.2400000000000001E-5</v>
      </c>
      <c r="O1445">
        <v>0</v>
      </c>
      <c r="P1445">
        <v>0</v>
      </c>
      <c r="Q1445">
        <v>1.0967300000000001E-4</v>
      </c>
      <c r="R1445">
        <v>1.31672E-4</v>
      </c>
      <c r="S1445">
        <v>2.1477700000000001E-4</v>
      </c>
      <c r="T1445">
        <v>2.00418E-4</v>
      </c>
    </row>
    <row r="1446" spans="1:20" hidden="1" x14ac:dyDescent="0.25">
      <c r="A1446" t="s">
        <v>1464</v>
      </c>
      <c r="B1446" s="1">
        <v>7.7999999999999999E-5</v>
      </c>
      <c r="C1446" s="1">
        <v>8.4599999999999996E-5</v>
      </c>
      <c r="D1446" s="1">
        <v>5.3900000000000002E-5</v>
      </c>
      <c r="E1446">
        <v>0</v>
      </c>
      <c r="F1446" s="1">
        <v>8.7899999999999995E-5</v>
      </c>
      <c r="G1446">
        <v>2.2541999999999999E-4</v>
      </c>
      <c r="H1446">
        <v>2.9333099999999997E-4</v>
      </c>
      <c r="I1446">
        <v>1.19152E-4</v>
      </c>
      <c r="J1446" s="1">
        <v>2.58E-5</v>
      </c>
      <c r="K1446" s="1">
        <v>9.9900000000000002E-5</v>
      </c>
      <c r="L1446">
        <v>1.48572E-4</v>
      </c>
      <c r="M1446" s="1">
        <v>5.24E-5</v>
      </c>
      <c r="N1446">
        <v>1.0529100000000001E-4</v>
      </c>
      <c r="O1446" s="1">
        <v>5.3699999999999997E-5</v>
      </c>
      <c r="P1446" s="1">
        <v>9.4099999999999997E-5</v>
      </c>
      <c r="Q1446">
        <v>1.90359E-4</v>
      </c>
      <c r="R1446">
        <v>1.35215E-4</v>
      </c>
      <c r="S1446">
        <v>2.76762E-4</v>
      </c>
      <c r="T1446">
        <v>2.3423399999999999E-4</v>
      </c>
    </row>
    <row r="1447" spans="1:20" hidden="1" x14ac:dyDescent="0.25">
      <c r="A1447" t="s">
        <v>1465</v>
      </c>
      <c r="B1447">
        <v>0</v>
      </c>
      <c r="C1447">
        <v>5.0000399999999996E-4</v>
      </c>
      <c r="D1447">
        <v>2.6257100000000002E-4</v>
      </c>
      <c r="E1447">
        <v>2.0525099999999999E-4</v>
      </c>
      <c r="F1447">
        <v>0</v>
      </c>
      <c r="G1447">
        <v>9.1660500000000002E-4</v>
      </c>
      <c r="H1447">
        <v>1.080789E-3</v>
      </c>
      <c r="I1447">
        <v>4.8736E-4</v>
      </c>
      <c r="J1447">
        <v>0</v>
      </c>
      <c r="K1447">
        <v>2.8117600000000001E-4</v>
      </c>
      <c r="L1447">
        <v>3.3895099999999999E-4</v>
      </c>
      <c r="M1447">
        <v>2.34498E-4</v>
      </c>
      <c r="N1447">
        <v>5.5178400000000004E-4</v>
      </c>
      <c r="O1447">
        <v>0</v>
      </c>
      <c r="P1447">
        <v>3.7871500000000001E-4</v>
      </c>
      <c r="Q1447">
        <v>7.1042499999999999E-4</v>
      </c>
      <c r="R1447">
        <v>0</v>
      </c>
      <c r="S1447">
        <v>1.493402E-3</v>
      </c>
      <c r="T1447">
        <v>0</v>
      </c>
    </row>
    <row r="1448" spans="1:20" hidden="1" x14ac:dyDescent="0.25">
      <c r="A1448" t="s">
        <v>1466</v>
      </c>
      <c r="B1448">
        <v>0</v>
      </c>
      <c r="C1448">
        <v>0</v>
      </c>
      <c r="D1448">
        <v>0</v>
      </c>
      <c r="E1448">
        <v>0</v>
      </c>
      <c r="F1448" s="1">
        <v>1.98E-5</v>
      </c>
      <c r="G1448" s="1">
        <v>6.9300000000000004E-5</v>
      </c>
      <c r="H1448" s="1">
        <v>2.65E-5</v>
      </c>
      <c r="I1448" s="1">
        <v>3.0300000000000001E-5</v>
      </c>
      <c r="J1448" s="1">
        <v>2.0000000000000002E-5</v>
      </c>
      <c r="K1448" s="1">
        <v>3.9499999999999998E-5</v>
      </c>
      <c r="L1448" s="1">
        <v>2.3900000000000002E-5</v>
      </c>
      <c r="M1448" s="1">
        <v>2.3099999999999999E-5</v>
      </c>
      <c r="N1448" s="1">
        <v>1.45E-5</v>
      </c>
      <c r="O1448">
        <v>0</v>
      </c>
      <c r="P1448" s="1">
        <v>5.0300000000000003E-5</v>
      </c>
      <c r="Q1448" s="1">
        <v>9.6799999999999995E-5</v>
      </c>
      <c r="R1448" s="1">
        <v>5.6199999999999997E-5</v>
      </c>
      <c r="S1448">
        <v>1.5116500000000001E-4</v>
      </c>
      <c r="T1448">
        <v>1.2569E-4</v>
      </c>
    </row>
    <row r="1449" spans="1:20" hidden="1" x14ac:dyDescent="0.25">
      <c r="A1449" t="s">
        <v>1467</v>
      </c>
      <c r="B1449">
        <v>0</v>
      </c>
      <c r="C1449">
        <v>0</v>
      </c>
      <c r="D1449">
        <v>0</v>
      </c>
      <c r="E1449">
        <v>0</v>
      </c>
      <c r="F1449">
        <v>0</v>
      </c>
      <c r="G1449" s="1">
        <v>4.3900000000000003E-5</v>
      </c>
      <c r="H1449">
        <v>0</v>
      </c>
      <c r="I1449">
        <v>0</v>
      </c>
      <c r="J1449">
        <v>0</v>
      </c>
      <c r="K1449" s="1">
        <v>1.2099999999999999E-5</v>
      </c>
      <c r="L1449">
        <v>0</v>
      </c>
      <c r="M1449">
        <v>0</v>
      </c>
      <c r="N1449">
        <v>0</v>
      </c>
      <c r="O1449">
        <v>0</v>
      </c>
      <c r="P1449" s="1">
        <v>2.4700000000000001E-5</v>
      </c>
      <c r="Q1449" s="1">
        <v>6.6600000000000006E-5</v>
      </c>
      <c r="R1449" s="1">
        <v>3.7400000000000001E-5</v>
      </c>
      <c r="S1449">
        <v>1.03181E-4</v>
      </c>
      <c r="T1449" s="1">
        <v>7.75E-5</v>
      </c>
    </row>
    <row r="1450" spans="1:20" hidden="1" x14ac:dyDescent="0.25">
      <c r="A1450" t="s">
        <v>1468</v>
      </c>
      <c r="B1450" s="1">
        <v>4.2500000000000003E-5</v>
      </c>
      <c r="C1450" s="1">
        <v>6.4800000000000003E-5</v>
      </c>
      <c r="D1450" s="1">
        <v>3.2100000000000001E-5</v>
      </c>
      <c r="E1450" s="1">
        <v>4.5500000000000001E-5</v>
      </c>
      <c r="F1450">
        <v>0</v>
      </c>
      <c r="G1450" s="1">
        <v>4.5300000000000003E-5</v>
      </c>
      <c r="H1450" s="1">
        <v>4.7500000000000003E-5</v>
      </c>
      <c r="I1450">
        <v>1.17241E-4</v>
      </c>
      <c r="J1450">
        <v>1.03558E-4</v>
      </c>
      <c r="K1450" s="1">
        <v>2.9799999999999999E-5</v>
      </c>
      <c r="L1450" s="1">
        <v>4.5599999999999997E-5</v>
      </c>
      <c r="M1450" s="1">
        <v>4.71E-5</v>
      </c>
      <c r="N1450" s="1">
        <v>5.91E-5</v>
      </c>
      <c r="O1450" s="1">
        <v>7.3899999999999994E-5</v>
      </c>
      <c r="P1450" s="1">
        <v>7.4400000000000006E-5</v>
      </c>
      <c r="Q1450" s="1">
        <v>6.1400000000000002E-5</v>
      </c>
      <c r="R1450" s="1">
        <v>6.1500000000000004E-5</v>
      </c>
      <c r="S1450" s="1">
        <v>4.6499999999999999E-5</v>
      </c>
      <c r="T1450" s="1">
        <v>5.5899999999999997E-5</v>
      </c>
    </row>
    <row r="1451" spans="1:20" hidden="1" x14ac:dyDescent="0.25">
      <c r="A1451" t="s">
        <v>1469</v>
      </c>
      <c r="B1451" s="1">
        <v>9.5799999999999998E-5</v>
      </c>
      <c r="C1451">
        <v>1.16861E-4</v>
      </c>
      <c r="D1451" s="1">
        <v>4.2799999999999997E-5</v>
      </c>
      <c r="E1451">
        <v>0</v>
      </c>
      <c r="F1451" s="1">
        <v>5.3499999999999999E-5</v>
      </c>
      <c r="G1451">
        <v>1.0677E-4</v>
      </c>
      <c r="H1451" s="1">
        <v>9.98E-5</v>
      </c>
      <c r="I1451" s="1">
        <v>7.8300000000000006E-5</v>
      </c>
      <c r="J1451">
        <v>0</v>
      </c>
      <c r="K1451" s="1">
        <v>8.7499999999999999E-5</v>
      </c>
      <c r="L1451" s="1">
        <v>9.1100000000000005E-5</v>
      </c>
      <c r="M1451">
        <v>0</v>
      </c>
      <c r="N1451">
        <v>0</v>
      </c>
      <c r="O1451" s="1">
        <v>5.8799999999999999E-5</v>
      </c>
      <c r="P1451" s="1">
        <v>8.1899999999999999E-5</v>
      </c>
      <c r="Q1451">
        <v>1.1839400000000001E-4</v>
      </c>
      <c r="R1451">
        <v>1.90025E-4</v>
      </c>
      <c r="S1451">
        <v>1.46549E-4</v>
      </c>
      <c r="T1451">
        <v>1.4567599999999999E-4</v>
      </c>
    </row>
    <row r="1452" spans="1:20" hidden="1" x14ac:dyDescent="0.25">
      <c r="A1452" t="s">
        <v>1470</v>
      </c>
      <c r="B1452">
        <v>2.5629800000000002E-4</v>
      </c>
      <c r="C1452">
        <v>2.9959799999999999E-4</v>
      </c>
      <c r="D1452">
        <v>1.6320500000000001E-4</v>
      </c>
      <c r="E1452">
        <v>1.2844700000000001E-4</v>
      </c>
      <c r="F1452">
        <v>1.6950099999999999E-4</v>
      </c>
      <c r="G1452">
        <v>2.83283E-4</v>
      </c>
      <c r="H1452">
        <v>2.6853599999999999E-4</v>
      </c>
      <c r="I1452">
        <v>0</v>
      </c>
      <c r="J1452">
        <v>0</v>
      </c>
      <c r="K1452">
        <v>1.21706E-4</v>
      </c>
      <c r="L1452">
        <v>1.4021199999999999E-4</v>
      </c>
      <c r="M1452">
        <v>0</v>
      </c>
      <c r="N1452" s="1">
        <v>7.3399999999999995E-5</v>
      </c>
      <c r="O1452" s="1">
        <v>7.2999999999999999E-5</v>
      </c>
      <c r="P1452">
        <v>2.03234E-4</v>
      </c>
      <c r="Q1452">
        <v>3.0065700000000002E-4</v>
      </c>
      <c r="R1452">
        <v>3.0414899999999998E-4</v>
      </c>
      <c r="S1452">
        <v>1.9998699999999999E-4</v>
      </c>
      <c r="T1452">
        <v>2.04222E-4</v>
      </c>
    </row>
    <row r="1453" spans="1:20" hidden="1" x14ac:dyDescent="0.25">
      <c r="A1453" t="s">
        <v>1471</v>
      </c>
      <c r="B1453">
        <v>1.3544499999999999E-4</v>
      </c>
      <c r="C1453">
        <v>3.0825200000000002E-4</v>
      </c>
      <c r="D1453">
        <v>1.8039099999999999E-4</v>
      </c>
      <c r="E1453">
        <v>0</v>
      </c>
      <c r="F1453">
        <v>0</v>
      </c>
      <c r="G1453">
        <v>4.3959400000000002E-4</v>
      </c>
      <c r="H1453">
        <v>2.5901299999999999E-4</v>
      </c>
      <c r="I1453">
        <v>0</v>
      </c>
      <c r="J1453">
        <v>1.37539E-4</v>
      </c>
      <c r="K1453">
        <v>3.20601E-4</v>
      </c>
      <c r="L1453">
        <v>2.78459E-4</v>
      </c>
      <c r="M1453">
        <v>0</v>
      </c>
      <c r="N1453">
        <v>0</v>
      </c>
      <c r="O1453">
        <v>0</v>
      </c>
      <c r="P1453">
        <v>1.9556200000000001E-4</v>
      </c>
      <c r="Q1453">
        <v>2.47359E-4</v>
      </c>
      <c r="R1453">
        <v>3.5138699999999999E-4</v>
      </c>
      <c r="S1453">
        <v>0</v>
      </c>
      <c r="T1453">
        <v>3.0811100000000002E-4</v>
      </c>
    </row>
    <row r="1454" spans="1:20" hidden="1" x14ac:dyDescent="0.25">
      <c r="A1454" t="s">
        <v>1472</v>
      </c>
      <c r="B1454">
        <v>0</v>
      </c>
      <c r="C1454" s="1">
        <v>7.6899999999999999E-5</v>
      </c>
      <c r="D1454">
        <v>0</v>
      </c>
      <c r="E1454">
        <v>0</v>
      </c>
      <c r="F1454" s="1">
        <v>4.8900000000000003E-5</v>
      </c>
      <c r="G1454">
        <v>0</v>
      </c>
      <c r="H1454">
        <v>1.14448E-4</v>
      </c>
      <c r="I1454" s="1">
        <v>7.47E-5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1">
        <v>7.9400000000000006E-5</v>
      </c>
      <c r="Q1454">
        <v>1.32065E-4</v>
      </c>
      <c r="R1454">
        <v>1.74897E-4</v>
      </c>
      <c r="S1454">
        <v>1.0817E-4</v>
      </c>
      <c r="T1454">
        <v>1.8002299999999999E-4</v>
      </c>
    </row>
    <row r="1455" spans="1:20" hidden="1" x14ac:dyDescent="0.25">
      <c r="A1455" t="s">
        <v>1473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1.96353E-4</v>
      </c>
      <c r="R1455">
        <v>1.43094E-4</v>
      </c>
      <c r="S1455">
        <v>1.5738300000000001E-4</v>
      </c>
      <c r="T1455">
        <v>3.0403800000000002E-4</v>
      </c>
    </row>
    <row r="1456" spans="1:20" hidden="1" x14ac:dyDescent="0.25">
      <c r="A1456" t="s">
        <v>1474</v>
      </c>
      <c r="B1456" s="1">
        <v>9.9599999999999995E-5</v>
      </c>
      <c r="C1456">
        <v>1.29467E-4</v>
      </c>
      <c r="D1456" s="1">
        <v>7.4200000000000001E-5</v>
      </c>
      <c r="E1456" s="1">
        <v>7.7100000000000004E-5</v>
      </c>
      <c r="F1456">
        <v>1.2335699999999999E-4</v>
      </c>
      <c r="G1456">
        <v>1.50249E-4</v>
      </c>
      <c r="H1456">
        <v>2.35894E-4</v>
      </c>
      <c r="I1456">
        <v>1.6968899999999999E-4</v>
      </c>
      <c r="J1456" s="1">
        <v>8.6500000000000002E-5</v>
      </c>
      <c r="K1456">
        <v>1.84048E-4</v>
      </c>
      <c r="L1456">
        <v>1.1561399999999999E-4</v>
      </c>
      <c r="M1456" s="1">
        <v>6.4800000000000003E-5</v>
      </c>
      <c r="N1456" s="1">
        <v>4.8000000000000001E-5</v>
      </c>
      <c r="O1456" s="1">
        <v>7.6899999999999999E-5</v>
      </c>
      <c r="P1456">
        <v>2.2018499999999999E-4</v>
      </c>
      <c r="Q1456">
        <v>4.67126E-4</v>
      </c>
      <c r="R1456">
        <v>3.8164200000000002E-4</v>
      </c>
      <c r="S1456">
        <v>2.7609899999999997E-4</v>
      </c>
      <c r="T1456">
        <v>5.67419E-4</v>
      </c>
    </row>
    <row r="1457" spans="1:20" hidden="1" x14ac:dyDescent="0.25">
      <c r="A1457" t="s">
        <v>1475</v>
      </c>
      <c r="B1457" s="1">
        <v>3.8600000000000003E-5</v>
      </c>
      <c r="C1457" s="1">
        <v>5.3999999999999998E-5</v>
      </c>
      <c r="D1457">
        <v>0</v>
      </c>
      <c r="E1457">
        <v>0</v>
      </c>
      <c r="F1457">
        <v>0</v>
      </c>
      <c r="G1457">
        <v>0</v>
      </c>
      <c r="H1457">
        <v>0</v>
      </c>
      <c r="I1457" s="1">
        <v>5.2299999999999997E-5</v>
      </c>
      <c r="J1457">
        <v>0</v>
      </c>
      <c r="K1457">
        <v>0</v>
      </c>
      <c r="L1457">
        <v>0</v>
      </c>
      <c r="M1457">
        <v>0</v>
      </c>
      <c r="N1457" s="1">
        <v>3.82E-5</v>
      </c>
      <c r="O1457">
        <v>0</v>
      </c>
      <c r="P1457">
        <v>0</v>
      </c>
      <c r="Q1457">
        <v>1.2298100000000001E-4</v>
      </c>
      <c r="R1457">
        <v>1.4112900000000001E-4</v>
      </c>
      <c r="S1457" s="1">
        <v>7.7000000000000001E-5</v>
      </c>
      <c r="T1457">
        <v>1.09478E-4</v>
      </c>
    </row>
    <row r="1458" spans="1:20" hidden="1" x14ac:dyDescent="0.25">
      <c r="A1458" t="s">
        <v>1476</v>
      </c>
      <c r="B1458">
        <v>1.07163E-4</v>
      </c>
      <c r="C1458" s="1">
        <v>9.7100000000000002E-5</v>
      </c>
      <c r="D1458" s="1">
        <v>5.5699999999999999E-5</v>
      </c>
      <c r="E1458" s="1">
        <v>5.3199999999999999E-5</v>
      </c>
      <c r="F1458" s="1">
        <v>7.7700000000000005E-5</v>
      </c>
      <c r="G1458">
        <v>1.60173E-4</v>
      </c>
      <c r="H1458">
        <v>1.8972699999999999E-4</v>
      </c>
      <c r="I1458">
        <v>1.1098E-4</v>
      </c>
      <c r="J1458" s="1">
        <v>6.2399999999999999E-5</v>
      </c>
      <c r="K1458">
        <v>1.08649E-4</v>
      </c>
      <c r="L1458" s="1">
        <v>7.8499999999999997E-5</v>
      </c>
      <c r="M1458" s="1">
        <v>4.8000000000000001E-5</v>
      </c>
      <c r="N1458" s="1">
        <v>3.7700000000000002E-5</v>
      </c>
      <c r="O1458" s="1">
        <v>5.4299999999999998E-5</v>
      </c>
      <c r="P1458">
        <v>1.16533E-4</v>
      </c>
      <c r="Q1458">
        <v>2.5362200000000001E-4</v>
      </c>
      <c r="R1458">
        <v>2.12926E-4</v>
      </c>
      <c r="S1458">
        <v>2.19743E-4</v>
      </c>
      <c r="T1458">
        <v>2.5312099999999998E-4</v>
      </c>
    </row>
    <row r="1459" spans="1:20" hidden="1" x14ac:dyDescent="0.25">
      <c r="A1459" t="s">
        <v>1477</v>
      </c>
      <c r="B1459">
        <v>2.5988449999999998E-3</v>
      </c>
      <c r="C1459">
        <v>1.8755620000000001E-3</v>
      </c>
      <c r="D1459">
        <v>1.3212650000000001E-3</v>
      </c>
      <c r="E1459">
        <v>2.9353130000000002E-3</v>
      </c>
      <c r="F1459">
        <v>2.4097089999999999E-3</v>
      </c>
      <c r="G1459">
        <v>3.0035629999999999E-3</v>
      </c>
      <c r="H1459">
        <v>3.9698759999999998E-3</v>
      </c>
      <c r="I1459">
        <v>4.7521050000000004E-3</v>
      </c>
      <c r="J1459">
        <v>4.3962810000000001E-3</v>
      </c>
      <c r="K1459">
        <v>1.260415E-3</v>
      </c>
      <c r="L1459">
        <v>1.3312770000000001E-3</v>
      </c>
      <c r="M1459">
        <v>2.5346840000000002E-3</v>
      </c>
      <c r="N1459">
        <v>2.932081E-3</v>
      </c>
      <c r="O1459">
        <v>3.3009670000000001E-3</v>
      </c>
      <c r="P1459">
        <v>1.7837389999999999E-3</v>
      </c>
      <c r="Q1459">
        <v>1.2568429999999999E-3</v>
      </c>
      <c r="R1459">
        <v>1.332799E-3</v>
      </c>
      <c r="S1459">
        <v>1.490828E-3</v>
      </c>
      <c r="T1459">
        <v>1.5717960000000001E-3</v>
      </c>
    </row>
    <row r="1460" spans="1:20" hidden="1" x14ac:dyDescent="0.25">
      <c r="A1460" t="s">
        <v>1478</v>
      </c>
      <c r="B1460" s="1">
        <v>5.9200000000000002E-5</v>
      </c>
      <c r="C1460" s="1">
        <v>5.4400000000000001E-5</v>
      </c>
      <c r="D1460">
        <v>0</v>
      </c>
      <c r="E1460">
        <v>0</v>
      </c>
      <c r="F1460" s="1">
        <v>3.6300000000000001E-5</v>
      </c>
      <c r="G1460" s="1">
        <v>6.5199999999999999E-5</v>
      </c>
      <c r="H1460" s="1">
        <v>7.1500000000000003E-5</v>
      </c>
      <c r="I1460" s="1">
        <v>5.1499999999999998E-5</v>
      </c>
      <c r="J1460" s="1">
        <v>3.4600000000000001E-5</v>
      </c>
      <c r="K1460" s="1">
        <v>4.6900000000000002E-5</v>
      </c>
      <c r="L1460" s="1">
        <v>4.1399999999999997E-5</v>
      </c>
      <c r="M1460">
        <v>0</v>
      </c>
      <c r="N1460" s="1">
        <v>2.5199999999999999E-5</v>
      </c>
      <c r="O1460" s="1">
        <v>3.2700000000000002E-5</v>
      </c>
      <c r="P1460" s="1">
        <v>4.8699999999999998E-5</v>
      </c>
      <c r="Q1460">
        <v>1.12188E-4</v>
      </c>
      <c r="R1460">
        <v>1.08398E-4</v>
      </c>
      <c r="S1460" s="1">
        <v>5.5000000000000002E-5</v>
      </c>
      <c r="T1460" s="1">
        <v>8.4900000000000004E-5</v>
      </c>
    </row>
    <row r="1461" spans="1:20" hidden="1" x14ac:dyDescent="0.25">
      <c r="A1461" t="s">
        <v>1479</v>
      </c>
      <c r="B1461" s="1">
        <v>9.59E-5</v>
      </c>
      <c r="C1461">
        <v>1.49665E-4</v>
      </c>
      <c r="D1461">
        <v>1.0341E-4</v>
      </c>
      <c r="E1461" s="1">
        <v>9.0699999999999996E-5</v>
      </c>
      <c r="F1461" s="1">
        <v>9.9199999999999999E-5</v>
      </c>
      <c r="G1461">
        <v>1.2901500000000001E-4</v>
      </c>
      <c r="H1461">
        <v>1.4795499999999999E-4</v>
      </c>
      <c r="I1461">
        <v>1.0360499999999999E-4</v>
      </c>
      <c r="J1461">
        <v>0</v>
      </c>
      <c r="K1461">
        <v>1.3987400000000001E-4</v>
      </c>
      <c r="L1461">
        <v>1.53969E-4</v>
      </c>
      <c r="M1461" s="1">
        <v>6.4800000000000003E-5</v>
      </c>
      <c r="N1461" s="1">
        <v>8.0799999999999999E-5</v>
      </c>
      <c r="O1461">
        <v>0</v>
      </c>
      <c r="P1461">
        <v>1.2277100000000001E-4</v>
      </c>
      <c r="Q1461">
        <v>2.5724500000000002E-4</v>
      </c>
      <c r="R1461">
        <v>2.2511499999999999E-4</v>
      </c>
      <c r="S1461">
        <v>3.0193E-4</v>
      </c>
      <c r="T1461">
        <v>3.6375399999999999E-4</v>
      </c>
    </row>
    <row r="1462" spans="1:20" hidden="1" x14ac:dyDescent="0.25">
      <c r="A1462" t="s">
        <v>1480</v>
      </c>
      <c r="B1462">
        <v>1.99364E-4</v>
      </c>
      <c r="C1462">
        <v>2.04611E-4</v>
      </c>
      <c r="D1462" s="1">
        <v>9.4599999999999996E-5</v>
      </c>
      <c r="E1462">
        <v>1.11754E-4</v>
      </c>
      <c r="F1462">
        <v>1.5087499999999999E-4</v>
      </c>
      <c r="G1462">
        <v>1.6952800000000001E-4</v>
      </c>
      <c r="H1462">
        <v>3.0962200000000001E-4</v>
      </c>
      <c r="I1462">
        <v>2.2027799999999999E-4</v>
      </c>
      <c r="J1462" s="1">
        <v>9.2E-5</v>
      </c>
      <c r="K1462">
        <v>1.93582E-4</v>
      </c>
      <c r="L1462">
        <v>2.0479299999999999E-4</v>
      </c>
      <c r="M1462" s="1">
        <v>9.6500000000000001E-5</v>
      </c>
      <c r="N1462" s="1">
        <v>6.2199999999999994E-5</v>
      </c>
      <c r="O1462">
        <v>1.18634E-4</v>
      </c>
      <c r="P1462">
        <v>2.2598200000000001E-4</v>
      </c>
      <c r="Q1462">
        <v>4.74053E-4</v>
      </c>
      <c r="R1462">
        <v>4.0245800000000001E-4</v>
      </c>
      <c r="S1462">
        <v>2.8544900000000001E-4</v>
      </c>
      <c r="T1462">
        <v>3.9822300000000001E-4</v>
      </c>
    </row>
    <row r="1463" spans="1:20" hidden="1" x14ac:dyDescent="0.25">
      <c r="A1463" t="s">
        <v>1481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s="1">
        <v>3.3200000000000001E-5</v>
      </c>
      <c r="L1463" s="1">
        <v>6.0900000000000003E-5</v>
      </c>
      <c r="M1463" s="1">
        <v>4.46E-5</v>
      </c>
      <c r="N1463">
        <v>0</v>
      </c>
      <c r="O1463" s="1">
        <v>4.32E-5</v>
      </c>
      <c r="P1463">
        <v>1.1207E-4</v>
      </c>
      <c r="Q1463">
        <v>2.1512899999999999E-4</v>
      </c>
      <c r="R1463">
        <v>2.0247700000000001E-4</v>
      </c>
      <c r="S1463">
        <v>2.2937000000000001E-4</v>
      </c>
      <c r="T1463">
        <v>2.2858500000000001E-4</v>
      </c>
    </row>
    <row r="1464" spans="1:20" hidden="1" x14ac:dyDescent="0.25">
      <c r="A1464" t="s">
        <v>1482</v>
      </c>
      <c r="B1464" s="1">
        <v>1.2799999999999999E-5</v>
      </c>
      <c r="C1464" s="1">
        <v>1.49E-5</v>
      </c>
      <c r="D1464" s="1">
        <v>7.7999999999999999E-6</v>
      </c>
      <c r="E1464" s="1">
        <v>8.85E-6</v>
      </c>
      <c r="F1464" s="1">
        <v>1.5400000000000002E-5</v>
      </c>
      <c r="G1464" s="1">
        <v>9.8500000000000006E-6</v>
      </c>
      <c r="H1464" s="1">
        <v>1.73E-5</v>
      </c>
      <c r="I1464" s="1">
        <v>1.4600000000000001E-5</v>
      </c>
      <c r="J1464" s="1">
        <v>6.8199999999999999E-6</v>
      </c>
      <c r="K1464" s="1">
        <v>9.0499999999999997E-6</v>
      </c>
      <c r="L1464" s="1">
        <v>1.0499999999999999E-5</v>
      </c>
      <c r="M1464" s="1">
        <v>7.4399999999999999E-6</v>
      </c>
      <c r="N1464" s="1">
        <v>8.1699999999999997E-6</v>
      </c>
      <c r="O1464" s="1">
        <v>7.9300000000000003E-6</v>
      </c>
      <c r="P1464" s="1">
        <v>1.0499999999999999E-5</v>
      </c>
      <c r="Q1464" s="1">
        <v>2.27E-5</v>
      </c>
      <c r="R1464" s="1">
        <v>2.6299999999999999E-5</v>
      </c>
      <c r="S1464" s="1">
        <v>1.7099999999999999E-5</v>
      </c>
      <c r="T1464" s="1">
        <v>2.72E-5</v>
      </c>
    </row>
    <row r="1465" spans="1:20" hidden="1" x14ac:dyDescent="0.25">
      <c r="A1465" t="s">
        <v>1483</v>
      </c>
      <c r="B1465" s="1">
        <v>6.6799999999999997E-5</v>
      </c>
      <c r="C1465" s="1">
        <v>6.9400000000000006E-5</v>
      </c>
      <c r="D1465" s="1">
        <v>3.7499999999999997E-5</v>
      </c>
      <c r="E1465">
        <v>0</v>
      </c>
      <c r="F1465" s="1">
        <v>3.3200000000000001E-5</v>
      </c>
      <c r="G1465">
        <v>0</v>
      </c>
      <c r="H1465" s="1">
        <v>7.3700000000000002E-5</v>
      </c>
      <c r="I1465" s="1">
        <v>6.8499999999999998E-5</v>
      </c>
      <c r="J1465">
        <v>0</v>
      </c>
      <c r="K1465">
        <v>0</v>
      </c>
      <c r="L1465" s="1">
        <v>4.4100000000000001E-5</v>
      </c>
      <c r="M1465" s="1">
        <v>2.97E-5</v>
      </c>
      <c r="N1465" s="1">
        <v>6.8499999999999998E-5</v>
      </c>
      <c r="O1465">
        <v>0</v>
      </c>
      <c r="P1465" s="1">
        <v>7.1199999999999996E-5</v>
      </c>
      <c r="Q1465">
        <v>1.3768299999999999E-4</v>
      </c>
      <c r="R1465" s="1">
        <v>8.1600000000000005E-5</v>
      </c>
      <c r="S1465">
        <v>1.0424E-4</v>
      </c>
      <c r="T1465" s="1">
        <v>9.6000000000000002E-5</v>
      </c>
    </row>
    <row r="1466" spans="1:20" hidden="1" x14ac:dyDescent="0.25">
      <c r="A1466" t="s">
        <v>1484</v>
      </c>
      <c r="B1466">
        <v>1.00857E-4</v>
      </c>
      <c r="C1466">
        <v>0</v>
      </c>
      <c r="D1466" s="1">
        <v>9.1700000000000006E-5</v>
      </c>
      <c r="E1466" s="1">
        <v>5.8199999999999998E-5</v>
      </c>
      <c r="F1466" s="1">
        <v>9.7899999999999994E-5</v>
      </c>
      <c r="G1466">
        <v>1.9895700000000001E-4</v>
      </c>
      <c r="H1466">
        <v>2.1596199999999999E-4</v>
      </c>
      <c r="I1466">
        <v>1.4407999999999999E-4</v>
      </c>
      <c r="J1466" s="1">
        <v>5.6799999999999998E-5</v>
      </c>
      <c r="K1466" s="1">
        <v>9.0799999999999998E-5</v>
      </c>
      <c r="L1466">
        <v>1.0087800000000001E-4</v>
      </c>
      <c r="M1466" s="1">
        <v>4.5500000000000001E-5</v>
      </c>
      <c r="N1466">
        <v>1.01953E-4</v>
      </c>
      <c r="O1466" s="1">
        <v>4.1100000000000003E-5</v>
      </c>
      <c r="P1466">
        <v>1.1139199999999999E-4</v>
      </c>
      <c r="Q1466">
        <v>2.1244100000000001E-4</v>
      </c>
      <c r="R1466">
        <v>3.0668200000000002E-4</v>
      </c>
      <c r="S1466">
        <v>3.2867299999999998E-4</v>
      </c>
      <c r="T1466">
        <v>2.8570800000000002E-4</v>
      </c>
    </row>
    <row r="1467" spans="1:20" hidden="1" x14ac:dyDescent="0.25">
      <c r="A1467" t="s">
        <v>1485</v>
      </c>
      <c r="B1467">
        <v>1.6456000000000001E-4</v>
      </c>
      <c r="C1467">
        <v>2.2076999999999999E-4</v>
      </c>
      <c r="D1467">
        <v>1.54623E-4</v>
      </c>
      <c r="E1467">
        <v>1.3338299999999999E-4</v>
      </c>
      <c r="F1467">
        <v>2.1356500000000001E-4</v>
      </c>
      <c r="G1467">
        <v>3.39468E-4</v>
      </c>
      <c r="H1467">
        <v>3.5880299999999999E-4</v>
      </c>
      <c r="I1467">
        <v>2.52737E-4</v>
      </c>
      <c r="J1467">
        <v>1.5434199999999999E-4</v>
      </c>
      <c r="K1467">
        <v>2.04687E-4</v>
      </c>
      <c r="L1467">
        <v>2.2690199999999999E-4</v>
      </c>
      <c r="M1467">
        <v>1.15955E-4</v>
      </c>
      <c r="N1467" s="1">
        <v>7.36E-5</v>
      </c>
      <c r="O1467">
        <v>1.24144E-4</v>
      </c>
      <c r="P1467">
        <v>1.9143099999999999E-4</v>
      </c>
      <c r="Q1467">
        <v>3.8668600000000002E-4</v>
      </c>
      <c r="R1467">
        <v>4.2030600000000001E-4</v>
      </c>
      <c r="S1467">
        <v>4.0778800000000002E-4</v>
      </c>
      <c r="T1467">
        <v>3.8096899999999999E-4</v>
      </c>
    </row>
    <row r="1468" spans="1:20" hidden="1" x14ac:dyDescent="0.25">
      <c r="A1468" t="s">
        <v>1486</v>
      </c>
      <c r="B1468" s="1">
        <v>3.82E-5</v>
      </c>
      <c r="C1468" s="1">
        <v>6.4300000000000004E-5</v>
      </c>
      <c r="D1468" s="1">
        <v>3.0499999999999999E-5</v>
      </c>
      <c r="E1468" s="1">
        <v>3.4799999999999999E-5</v>
      </c>
      <c r="F1468" s="1">
        <v>3.7599999999999999E-5</v>
      </c>
      <c r="G1468" s="1">
        <v>5.02E-5</v>
      </c>
      <c r="H1468" s="1">
        <v>3.3099999999999998E-5</v>
      </c>
      <c r="I1468" s="1">
        <v>3.3699999999999999E-5</v>
      </c>
      <c r="J1468">
        <v>0</v>
      </c>
      <c r="K1468" s="1">
        <v>6.19E-5</v>
      </c>
      <c r="L1468" s="1">
        <v>6.2799999999999995E-5</v>
      </c>
      <c r="M1468">
        <v>0</v>
      </c>
      <c r="N1468" s="1">
        <v>8.4699999999999999E-5</v>
      </c>
      <c r="O1468" s="1">
        <v>3.0700000000000001E-5</v>
      </c>
      <c r="P1468" s="1">
        <v>6.3299999999999994E-5</v>
      </c>
      <c r="Q1468" s="1">
        <v>8.9300000000000002E-5</v>
      </c>
      <c r="R1468">
        <v>1.3134099999999999E-4</v>
      </c>
      <c r="S1468" s="1">
        <v>8.53E-5</v>
      </c>
      <c r="T1468" s="1">
        <v>7.8399999999999995E-5</v>
      </c>
    </row>
    <row r="1469" spans="1:20" hidden="1" x14ac:dyDescent="0.25">
      <c r="A1469" t="s">
        <v>1487</v>
      </c>
      <c r="B1469">
        <v>2.2204500000000001E-4</v>
      </c>
      <c r="C1469">
        <v>1.23607E-4</v>
      </c>
      <c r="D1469">
        <v>1.06951E-4</v>
      </c>
      <c r="E1469">
        <v>1.67002E-4</v>
      </c>
      <c r="F1469">
        <v>2.0399599999999999E-4</v>
      </c>
      <c r="G1469">
        <v>1.48713E-4</v>
      </c>
      <c r="H1469">
        <v>1.68221E-4</v>
      </c>
      <c r="I1469">
        <v>1.4366199999999999E-4</v>
      </c>
      <c r="J1469">
        <v>1.57548E-4</v>
      </c>
      <c r="K1469">
        <v>1.84465E-4</v>
      </c>
      <c r="L1469">
        <v>1.30326E-4</v>
      </c>
      <c r="M1469">
        <v>1.72005E-4</v>
      </c>
      <c r="N1469" s="1">
        <v>9.2800000000000006E-5</v>
      </c>
      <c r="O1469">
        <v>1.14821E-4</v>
      </c>
      <c r="P1469">
        <v>2.7458400000000003E-4</v>
      </c>
      <c r="Q1469">
        <v>3.4254000000000001E-4</v>
      </c>
      <c r="R1469">
        <v>2.9189999999999999E-4</v>
      </c>
      <c r="S1469">
        <v>4.4148199999999999E-4</v>
      </c>
      <c r="T1469">
        <v>3.5931500000000002E-4</v>
      </c>
    </row>
    <row r="1470" spans="1:20" hidden="1" x14ac:dyDescent="0.25">
      <c r="A1470" t="s">
        <v>1488</v>
      </c>
      <c r="B1470">
        <v>0</v>
      </c>
      <c r="C1470">
        <v>0</v>
      </c>
      <c r="D1470" s="1">
        <v>3.6300000000000001E-5</v>
      </c>
      <c r="E1470" s="1">
        <v>4.1100000000000003E-5</v>
      </c>
      <c r="F1470">
        <v>0</v>
      </c>
      <c r="G1470">
        <v>0</v>
      </c>
      <c r="H1470">
        <v>0</v>
      </c>
      <c r="I1470">
        <v>0</v>
      </c>
      <c r="J1470">
        <v>0</v>
      </c>
      <c r="K1470" s="1">
        <v>3.0300000000000001E-5</v>
      </c>
      <c r="L1470" s="1">
        <v>1.9199999999999999E-5</v>
      </c>
      <c r="M1470" s="1">
        <v>2.4000000000000001E-5</v>
      </c>
      <c r="N1470">
        <v>0</v>
      </c>
      <c r="O1470" s="1">
        <v>1.4100000000000001E-5</v>
      </c>
      <c r="P1470" s="1">
        <v>3.0800000000000003E-5</v>
      </c>
      <c r="Q1470">
        <v>0</v>
      </c>
      <c r="R1470" s="1">
        <v>4.1699999999999997E-5</v>
      </c>
      <c r="S1470" s="1">
        <v>7.0900000000000002E-5</v>
      </c>
      <c r="T1470" s="1">
        <v>4.9499999999999997E-5</v>
      </c>
    </row>
    <row r="1471" spans="1:20" hidden="1" x14ac:dyDescent="0.25">
      <c r="A1471" t="s">
        <v>1489</v>
      </c>
      <c r="B1471" s="1">
        <v>3.0199999999999999E-5</v>
      </c>
      <c r="C1471" s="1">
        <v>3.4600000000000001E-5</v>
      </c>
      <c r="D1471" s="1">
        <v>2.1399999999999998E-5</v>
      </c>
      <c r="E1471" s="1">
        <v>1.8899999999999999E-5</v>
      </c>
      <c r="F1471">
        <v>0</v>
      </c>
      <c r="G1471" s="1">
        <v>3.3500000000000001E-5</v>
      </c>
      <c r="H1471" s="1">
        <v>4.5000000000000003E-5</v>
      </c>
      <c r="I1471" s="1">
        <v>4.32E-5</v>
      </c>
      <c r="J1471" s="1">
        <v>2.7399999999999999E-5</v>
      </c>
      <c r="K1471" s="1">
        <v>3.04E-5</v>
      </c>
      <c r="L1471" s="1">
        <v>3.8500000000000001E-5</v>
      </c>
      <c r="M1471" s="1">
        <v>7.8599999999999993E-6</v>
      </c>
      <c r="N1471" s="1">
        <v>2.34E-5</v>
      </c>
      <c r="O1471" s="1">
        <v>2.5400000000000001E-5</v>
      </c>
      <c r="P1471">
        <v>0</v>
      </c>
      <c r="Q1471" s="1">
        <v>3.3500000000000001E-5</v>
      </c>
      <c r="R1471" s="1">
        <v>3.0000000000000001E-5</v>
      </c>
      <c r="S1471" s="1">
        <v>2.2500000000000001E-5</v>
      </c>
      <c r="T1471" s="1">
        <v>3.9199999999999997E-5</v>
      </c>
    </row>
    <row r="1472" spans="1:20" hidden="1" x14ac:dyDescent="0.25">
      <c r="A1472" t="s">
        <v>1490</v>
      </c>
      <c r="B1472">
        <v>1.7833399999999999E-4</v>
      </c>
      <c r="C1472">
        <v>3.9816800000000001E-4</v>
      </c>
      <c r="D1472">
        <v>3.18153E-4</v>
      </c>
      <c r="E1472">
        <v>3.1571399999999998E-4</v>
      </c>
      <c r="F1472">
        <v>2.7933199999999997E-4</v>
      </c>
      <c r="G1472">
        <v>3.62701E-4</v>
      </c>
      <c r="H1472">
        <v>4.0794200000000001E-4</v>
      </c>
      <c r="I1472">
        <v>2.3577400000000001E-4</v>
      </c>
      <c r="J1472">
        <v>2.3191999999999999E-4</v>
      </c>
      <c r="K1472">
        <v>2.9028000000000002E-4</v>
      </c>
      <c r="L1472">
        <v>2.7896000000000003E-4</v>
      </c>
      <c r="M1472">
        <v>1.5367199999999999E-4</v>
      </c>
      <c r="N1472">
        <v>1.8325000000000001E-4</v>
      </c>
      <c r="O1472">
        <v>1.9124499999999999E-4</v>
      </c>
      <c r="P1472">
        <v>1.59548E-4</v>
      </c>
      <c r="Q1472">
        <v>1.4057800000000001E-4</v>
      </c>
      <c r="R1472">
        <v>1.67176E-4</v>
      </c>
      <c r="S1472">
        <v>1.2664999999999999E-4</v>
      </c>
      <c r="T1472" s="1">
        <v>9.5500000000000004E-5</v>
      </c>
    </row>
    <row r="1473" spans="1:20" hidden="1" x14ac:dyDescent="0.25">
      <c r="A1473" t="s">
        <v>1491</v>
      </c>
      <c r="B1473">
        <v>1.00419E-4</v>
      </c>
      <c r="C1473">
        <v>2.3189099999999999E-4</v>
      </c>
      <c r="D1473">
        <v>1.96231E-4</v>
      </c>
      <c r="E1473" s="1">
        <v>9.2200000000000005E-5</v>
      </c>
      <c r="F1473">
        <v>1.7524399999999999E-4</v>
      </c>
      <c r="G1473">
        <v>2.3915000000000001E-4</v>
      </c>
      <c r="H1473">
        <v>2.2801899999999999E-4</v>
      </c>
      <c r="I1473">
        <v>1.3675699999999999E-4</v>
      </c>
      <c r="J1473">
        <v>1.52628E-4</v>
      </c>
      <c r="K1473">
        <v>1.90504E-4</v>
      </c>
      <c r="L1473">
        <v>1.89116E-4</v>
      </c>
      <c r="M1473">
        <v>1.10202E-4</v>
      </c>
      <c r="N1473">
        <v>1.23936E-4</v>
      </c>
      <c r="O1473">
        <v>1.3862100000000001E-4</v>
      </c>
      <c r="P1473">
        <v>1.3081099999999999E-4</v>
      </c>
      <c r="Q1473">
        <v>0</v>
      </c>
      <c r="R1473">
        <v>1.32111E-4</v>
      </c>
      <c r="S1473">
        <v>2.0424899999999999E-4</v>
      </c>
      <c r="T1473">
        <v>1.2912899999999999E-4</v>
      </c>
    </row>
    <row r="1474" spans="1:20" hidden="1" x14ac:dyDescent="0.25">
      <c r="A1474" t="s">
        <v>1492</v>
      </c>
      <c r="B1474" s="1">
        <v>9.9599999999999995E-5</v>
      </c>
      <c r="C1474">
        <v>2.9506200000000002E-4</v>
      </c>
      <c r="D1474">
        <v>2.5556500000000002E-4</v>
      </c>
      <c r="E1474">
        <v>2.7192200000000002E-4</v>
      </c>
      <c r="F1474">
        <v>1.20494E-4</v>
      </c>
      <c r="G1474">
        <v>2.2566900000000001E-4</v>
      </c>
      <c r="H1474">
        <v>1.4651200000000001E-4</v>
      </c>
      <c r="I1474">
        <v>1.5548800000000001E-4</v>
      </c>
      <c r="J1474">
        <v>1.04882E-4</v>
      </c>
      <c r="K1474">
        <v>1.7656799999999999E-4</v>
      </c>
      <c r="L1474">
        <v>2.1986799999999999E-4</v>
      </c>
      <c r="M1474" s="1">
        <v>8.0099999999999995E-5</v>
      </c>
      <c r="N1474">
        <v>1.01197E-4</v>
      </c>
      <c r="O1474" s="1">
        <v>9.6500000000000001E-5</v>
      </c>
      <c r="P1474">
        <v>1.02668E-4</v>
      </c>
      <c r="Q1474" s="1">
        <v>9.6000000000000002E-5</v>
      </c>
      <c r="R1474">
        <v>1.04434E-4</v>
      </c>
      <c r="S1474">
        <v>1.8531099999999999E-4</v>
      </c>
      <c r="T1474" s="1">
        <v>4.9799999999999998E-5</v>
      </c>
    </row>
    <row r="1475" spans="1:20" hidden="1" x14ac:dyDescent="0.25">
      <c r="A1475" t="s">
        <v>1493</v>
      </c>
      <c r="B1475" s="1">
        <v>4.74E-5</v>
      </c>
      <c r="C1475">
        <v>1.11186E-4</v>
      </c>
      <c r="D1475" s="1">
        <v>9.6899999999999997E-5</v>
      </c>
      <c r="E1475">
        <v>1.8171300000000001E-4</v>
      </c>
      <c r="F1475" s="1">
        <v>5.2099999999999999E-5</v>
      </c>
      <c r="G1475" s="1">
        <v>8.9599999999999996E-5</v>
      </c>
      <c r="H1475" s="1">
        <v>3.9100000000000002E-5</v>
      </c>
      <c r="I1475" s="1">
        <v>4.88E-5</v>
      </c>
      <c r="J1475" s="1">
        <v>7.6699999999999994E-5</v>
      </c>
      <c r="K1475" s="1">
        <v>6.02E-5</v>
      </c>
      <c r="L1475" s="1">
        <v>6.5699999999999998E-5</v>
      </c>
      <c r="M1475" s="1">
        <v>4.8399999999999997E-5</v>
      </c>
      <c r="N1475" s="1">
        <v>3.1999999999999999E-5</v>
      </c>
      <c r="O1475" s="1">
        <v>4.5500000000000001E-5</v>
      </c>
      <c r="P1475" s="1">
        <v>2.5000000000000001E-5</v>
      </c>
      <c r="Q1475" s="1">
        <v>3.3000000000000003E-5</v>
      </c>
      <c r="R1475" s="1">
        <v>2.3499999999999999E-5</v>
      </c>
      <c r="S1475" s="1">
        <v>2.9499999999999999E-5</v>
      </c>
      <c r="T1475" s="1">
        <v>2.16E-5</v>
      </c>
    </row>
    <row r="1476" spans="1:20" hidden="1" x14ac:dyDescent="0.25">
      <c r="A1476" t="s">
        <v>1494</v>
      </c>
      <c r="B1476" s="1">
        <v>1.5E-5</v>
      </c>
      <c r="C1476" s="1">
        <v>2.1299999999999999E-5</v>
      </c>
      <c r="D1476" s="1">
        <v>1.1199999999999999E-5</v>
      </c>
      <c r="E1476" s="1">
        <v>1.95E-5</v>
      </c>
      <c r="F1476">
        <v>0</v>
      </c>
      <c r="G1476" s="1">
        <v>2.8099999999999999E-5</v>
      </c>
      <c r="H1476" s="1">
        <v>3.9900000000000001E-5</v>
      </c>
      <c r="I1476" s="1">
        <v>2.2500000000000001E-5</v>
      </c>
      <c r="J1476" s="1">
        <v>1.7E-5</v>
      </c>
      <c r="K1476" s="1">
        <v>1.7600000000000001E-5</v>
      </c>
      <c r="L1476" s="1">
        <v>1.5800000000000001E-5</v>
      </c>
      <c r="M1476">
        <v>0</v>
      </c>
      <c r="N1476" s="1">
        <v>1.9700000000000001E-5</v>
      </c>
      <c r="O1476" s="1">
        <v>1.43E-5</v>
      </c>
      <c r="P1476" s="1">
        <v>3.1399999999999998E-5</v>
      </c>
      <c r="Q1476" s="1">
        <v>3.7299999999999999E-5</v>
      </c>
      <c r="R1476" s="1">
        <v>3.8699999999999999E-5</v>
      </c>
      <c r="S1476">
        <v>1.27742E-4</v>
      </c>
      <c r="T1476" s="1">
        <v>4.3000000000000002E-5</v>
      </c>
    </row>
    <row r="1477" spans="1:20" hidden="1" x14ac:dyDescent="0.25">
      <c r="A1477" t="s">
        <v>1495</v>
      </c>
      <c r="B1477">
        <v>0</v>
      </c>
      <c r="C1477" s="1">
        <v>1.6200000000000001E-5</v>
      </c>
      <c r="D1477">
        <v>0</v>
      </c>
      <c r="E1477" s="1">
        <v>1.98E-5</v>
      </c>
      <c r="F1477">
        <v>0</v>
      </c>
      <c r="G1477" s="1">
        <v>1.24E-5</v>
      </c>
      <c r="H1477" s="1">
        <v>2.72E-5</v>
      </c>
      <c r="I1477" s="1">
        <v>1.3499999999999999E-5</v>
      </c>
      <c r="J1477" s="1">
        <v>1.1E-5</v>
      </c>
      <c r="K1477">
        <v>0</v>
      </c>
      <c r="L1477" s="1">
        <v>1.3499999999999999E-5</v>
      </c>
      <c r="M1477">
        <v>0</v>
      </c>
      <c r="N1477" s="1">
        <v>1.5099999999999999E-5</v>
      </c>
      <c r="O1477">
        <v>0</v>
      </c>
      <c r="P1477" s="1">
        <v>2.1299999999999999E-5</v>
      </c>
      <c r="Q1477" s="1">
        <v>3.4E-5</v>
      </c>
      <c r="R1477" s="1">
        <v>2.5599999999999999E-5</v>
      </c>
      <c r="S1477" s="1">
        <v>7.0199999999999999E-5</v>
      </c>
      <c r="T1477" s="1">
        <v>3.6900000000000002E-5</v>
      </c>
    </row>
    <row r="1478" spans="1:20" hidden="1" x14ac:dyDescent="0.25">
      <c r="A1478" t="s">
        <v>1496</v>
      </c>
      <c r="B1478">
        <v>7.3348379999999998E-3</v>
      </c>
      <c r="C1478">
        <v>6.7454029999999996E-3</v>
      </c>
      <c r="D1478">
        <v>5.1501849999999998E-3</v>
      </c>
      <c r="E1478">
        <v>6.9181820000000002E-3</v>
      </c>
      <c r="F1478">
        <v>0</v>
      </c>
      <c r="G1478">
        <v>7.4338579999999998E-3</v>
      </c>
      <c r="H1478">
        <v>9.2198690000000003E-3</v>
      </c>
      <c r="I1478">
        <v>1.2781872E-2</v>
      </c>
      <c r="J1478">
        <v>1.1271932E-2</v>
      </c>
      <c r="K1478">
        <v>5.3827479999999997E-3</v>
      </c>
      <c r="L1478">
        <v>5.9691850000000001E-3</v>
      </c>
      <c r="M1478">
        <v>8.5256229999999995E-3</v>
      </c>
      <c r="N1478">
        <v>1.49827E-2</v>
      </c>
      <c r="O1478">
        <v>1.1182789E-2</v>
      </c>
      <c r="P1478">
        <v>4.8838400000000004E-3</v>
      </c>
      <c r="Q1478">
        <v>0</v>
      </c>
      <c r="R1478">
        <v>4.3387060000000003E-3</v>
      </c>
      <c r="S1478">
        <v>8.1057079999999997E-3</v>
      </c>
      <c r="T1478">
        <v>6.6146989999999999E-3</v>
      </c>
    </row>
    <row r="1479" spans="1:20" hidden="1" x14ac:dyDescent="0.25">
      <c r="A1479" t="s">
        <v>1497</v>
      </c>
      <c r="B1479">
        <v>4.1751800000000002E-4</v>
      </c>
      <c r="C1479">
        <v>2.4742200000000002E-4</v>
      </c>
      <c r="D1479">
        <v>0</v>
      </c>
      <c r="E1479">
        <v>0</v>
      </c>
      <c r="F1479">
        <v>4.5413099999999998E-4</v>
      </c>
      <c r="G1479">
        <v>0</v>
      </c>
      <c r="H1479">
        <v>2.5216300000000002E-4</v>
      </c>
      <c r="I1479">
        <v>1.17269E-4</v>
      </c>
      <c r="J1479">
        <v>5.3588599999999996E-4</v>
      </c>
      <c r="K1479">
        <v>7.5960299999999997E-4</v>
      </c>
      <c r="L1479">
        <v>3.0177600000000002E-4</v>
      </c>
      <c r="M1479">
        <v>4.7853000000000001E-4</v>
      </c>
      <c r="N1479">
        <v>3.8685500000000002E-4</v>
      </c>
      <c r="O1479">
        <v>2.1351599999999999E-4</v>
      </c>
      <c r="P1479">
        <v>1.2649460000000001E-3</v>
      </c>
      <c r="Q1479">
        <v>1.307756E-3</v>
      </c>
      <c r="R1479">
        <v>9.1561099999999999E-4</v>
      </c>
      <c r="S1479">
        <v>1.9430929999999999E-3</v>
      </c>
      <c r="T1479">
        <v>1.3071269999999999E-3</v>
      </c>
    </row>
    <row r="1480" spans="1:20" hidden="1" x14ac:dyDescent="0.25">
      <c r="A1480" t="s">
        <v>1498</v>
      </c>
      <c r="B1480">
        <v>1.0927129999999999E-3</v>
      </c>
      <c r="C1480">
        <v>1.4488579999999999E-3</v>
      </c>
      <c r="D1480">
        <v>7.7809000000000005E-4</v>
      </c>
      <c r="E1480">
        <v>1.094247E-3</v>
      </c>
      <c r="F1480">
        <v>1.7275630000000001E-3</v>
      </c>
      <c r="G1480">
        <v>1.0487789999999999E-3</v>
      </c>
      <c r="H1480">
        <v>1.465231E-3</v>
      </c>
      <c r="I1480">
        <v>1.3549320000000001E-3</v>
      </c>
      <c r="J1480">
        <v>1.1374989999999999E-3</v>
      </c>
      <c r="K1480">
        <v>1.1592E-3</v>
      </c>
      <c r="L1480">
        <v>6.2634400000000003E-4</v>
      </c>
      <c r="M1480">
        <v>8.5033600000000004E-4</v>
      </c>
      <c r="N1480">
        <v>1.9842919999999999E-3</v>
      </c>
      <c r="O1480">
        <v>1.3734369999999999E-3</v>
      </c>
      <c r="P1480">
        <v>9.2966900000000005E-4</v>
      </c>
      <c r="Q1480">
        <v>1.7549E-3</v>
      </c>
      <c r="R1480">
        <v>2.3636500000000001E-3</v>
      </c>
      <c r="S1480">
        <v>1.49366E-3</v>
      </c>
      <c r="T1480">
        <v>1.030776E-3</v>
      </c>
    </row>
    <row r="1481" spans="1:20" hidden="1" x14ac:dyDescent="0.25">
      <c r="A1481" t="s">
        <v>1499</v>
      </c>
      <c r="B1481">
        <v>1.3243E-4</v>
      </c>
      <c r="C1481">
        <v>2.2081800000000001E-4</v>
      </c>
      <c r="D1481">
        <v>2.6385999999999998E-4</v>
      </c>
      <c r="E1481">
        <v>2.2588999999999999E-4</v>
      </c>
      <c r="F1481">
        <v>2.2911599999999999E-4</v>
      </c>
      <c r="G1481">
        <v>1.15605E-4</v>
      </c>
      <c r="H1481">
        <v>2.3105000000000001E-4</v>
      </c>
      <c r="I1481">
        <v>1.92905E-4</v>
      </c>
      <c r="J1481">
        <v>1.75582E-4</v>
      </c>
      <c r="K1481">
        <v>1.90249E-4</v>
      </c>
      <c r="L1481">
        <v>1.3560800000000001E-4</v>
      </c>
      <c r="M1481">
        <v>1.8329300000000001E-4</v>
      </c>
      <c r="N1481">
        <v>1.7684800000000001E-4</v>
      </c>
      <c r="O1481">
        <v>2.17622E-4</v>
      </c>
      <c r="P1481">
        <v>1.6128200000000001E-4</v>
      </c>
      <c r="Q1481">
        <v>2.5320399999999998E-4</v>
      </c>
      <c r="R1481">
        <v>2.1490999999999999E-4</v>
      </c>
      <c r="S1481">
        <v>2.7039799999999998E-4</v>
      </c>
      <c r="T1481">
        <v>2.5181500000000001E-4</v>
      </c>
    </row>
    <row r="1482" spans="1:20" hidden="1" x14ac:dyDescent="0.25">
      <c r="A1482" t="s">
        <v>1500</v>
      </c>
      <c r="B1482">
        <v>8.8910699999999998E-4</v>
      </c>
      <c r="C1482">
        <v>8.2420599999999996E-4</v>
      </c>
      <c r="D1482">
        <v>1.4737109999999999E-3</v>
      </c>
      <c r="E1482">
        <v>1.266683E-3</v>
      </c>
      <c r="F1482">
        <v>5.49323E-4</v>
      </c>
      <c r="G1482">
        <v>4.45704E-4</v>
      </c>
      <c r="H1482">
        <v>3.4485800000000002E-4</v>
      </c>
      <c r="I1482">
        <v>1.9192499999999999E-4</v>
      </c>
      <c r="J1482">
        <v>2.0966100000000001E-4</v>
      </c>
      <c r="K1482">
        <v>9.3918799999999998E-4</v>
      </c>
      <c r="L1482">
        <v>6.5585999999999997E-4</v>
      </c>
      <c r="M1482">
        <v>3.79694E-3</v>
      </c>
      <c r="N1482">
        <v>2.707166E-3</v>
      </c>
      <c r="O1482">
        <v>2.1244020000000001E-3</v>
      </c>
      <c r="P1482">
        <v>3.9025300000000002E-4</v>
      </c>
      <c r="Q1482">
        <v>8.0060099999999996E-4</v>
      </c>
      <c r="R1482">
        <v>3.81868E-4</v>
      </c>
      <c r="S1482">
        <v>1.974871E-3</v>
      </c>
      <c r="T1482">
        <v>9.3019299999999995E-4</v>
      </c>
    </row>
    <row r="1483" spans="1:20" hidden="1" x14ac:dyDescent="0.25">
      <c r="A1483" t="s">
        <v>1501</v>
      </c>
      <c r="B1483">
        <v>2.18607E-4</v>
      </c>
      <c r="C1483">
        <v>0</v>
      </c>
      <c r="D1483">
        <v>4.0210300000000001E-4</v>
      </c>
      <c r="E1483">
        <v>2.7482400000000001E-4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3.2233400000000002E-4</v>
      </c>
      <c r="L1483">
        <v>2.3191600000000001E-4</v>
      </c>
      <c r="M1483">
        <v>8.6845100000000001E-4</v>
      </c>
      <c r="N1483">
        <v>7.6415100000000002E-4</v>
      </c>
      <c r="O1483">
        <v>4.8303400000000002E-4</v>
      </c>
      <c r="P1483">
        <v>0</v>
      </c>
      <c r="Q1483">
        <v>0</v>
      </c>
      <c r="R1483">
        <v>0</v>
      </c>
      <c r="S1483">
        <v>4.4036699999999999E-4</v>
      </c>
      <c r="T1483">
        <v>3.7199599999999998E-4</v>
      </c>
    </row>
    <row r="1484" spans="1:20" hidden="1" x14ac:dyDescent="0.25">
      <c r="A1484" t="s">
        <v>1502</v>
      </c>
      <c r="B1484">
        <v>4.8152600000000002E-4</v>
      </c>
      <c r="C1484">
        <v>2.5050799999999998E-4</v>
      </c>
      <c r="D1484">
        <v>5.4723599999999999E-4</v>
      </c>
      <c r="E1484">
        <v>3.2376900000000001E-4</v>
      </c>
      <c r="F1484">
        <v>3.81431E-4</v>
      </c>
      <c r="G1484">
        <v>3.0847300000000003E-4</v>
      </c>
      <c r="H1484">
        <v>2.3628700000000001E-4</v>
      </c>
      <c r="I1484">
        <v>0</v>
      </c>
      <c r="J1484">
        <v>1.5208100000000001E-4</v>
      </c>
      <c r="K1484">
        <v>4.3612000000000002E-4</v>
      </c>
      <c r="L1484">
        <v>2.8105699999999998E-4</v>
      </c>
      <c r="M1484">
        <v>1.3681500000000001E-3</v>
      </c>
      <c r="N1484">
        <v>1.1188019999999999E-3</v>
      </c>
      <c r="O1484">
        <v>7.3081100000000005E-4</v>
      </c>
      <c r="P1484">
        <v>2.4769499999999998E-4</v>
      </c>
      <c r="Q1484">
        <v>2.1920199999999999E-4</v>
      </c>
      <c r="R1484">
        <v>1.6628500000000001E-4</v>
      </c>
      <c r="S1484">
        <v>6.9212699999999995E-4</v>
      </c>
      <c r="T1484">
        <v>5.7604599999999998E-4</v>
      </c>
    </row>
    <row r="1485" spans="1:20" hidden="1" x14ac:dyDescent="0.25">
      <c r="A1485" t="s">
        <v>1503</v>
      </c>
      <c r="B1485">
        <v>8.7570740000000001E-3</v>
      </c>
      <c r="C1485">
        <v>1.6225666E-2</v>
      </c>
      <c r="D1485">
        <v>8.8305659999999998E-3</v>
      </c>
      <c r="E1485">
        <v>6.9539240000000002E-3</v>
      </c>
      <c r="F1485">
        <v>2.0437548999999999E-2</v>
      </c>
      <c r="G1485">
        <v>2.6108136000000001E-2</v>
      </c>
      <c r="H1485">
        <v>1.6824697E-2</v>
      </c>
      <c r="I1485">
        <v>3.0499315999999999E-2</v>
      </c>
      <c r="J1485">
        <v>2.9140401999999999E-2</v>
      </c>
      <c r="K1485">
        <v>1.3887352E-2</v>
      </c>
      <c r="L1485">
        <v>2.4698189999999998E-2</v>
      </c>
      <c r="M1485">
        <v>2.5070533999999998E-2</v>
      </c>
      <c r="N1485">
        <v>4.2547382000000002E-2</v>
      </c>
      <c r="O1485">
        <v>1.5049582000000001E-2</v>
      </c>
      <c r="P1485">
        <v>4.3109755E-2</v>
      </c>
      <c r="Q1485">
        <v>4.5493273000000001E-2</v>
      </c>
      <c r="R1485">
        <v>2.5303295999999999E-2</v>
      </c>
      <c r="S1485">
        <v>4.7620569000000001E-2</v>
      </c>
      <c r="T1485">
        <v>2.7479429E-2</v>
      </c>
    </row>
    <row r="1486" spans="1:20" hidden="1" x14ac:dyDescent="0.25">
      <c r="A1486" t="s">
        <v>1504</v>
      </c>
      <c r="B1486">
        <v>0</v>
      </c>
      <c r="C1486" s="1">
        <v>1.31E-5</v>
      </c>
      <c r="D1486" s="1">
        <v>9.4700000000000008E-6</v>
      </c>
      <c r="E1486" s="1">
        <v>1.1199999999999999E-5</v>
      </c>
      <c r="F1486">
        <v>0</v>
      </c>
      <c r="G1486" s="1">
        <v>1.77E-5</v>
      </c>
      <c r="H1486">
        <v>0</v>
      </c>
      <c r="I1486">
        <v>0</v>
      </c>
      <c r="J1486">
        <v>0</v>
      </c>
      <c r="K1486" s="1">
        <v>1.4600000000000001E-5</v>
      </c>
      <c r="L1486" s="1">
        <v>2.0299999999999999E-5</v>
      </c>
      <c r="M1486">
        <v>0</v>
      </c>
      <c r="N1486">
        <v>0</v>
      </c>
      <c r="O1486">
        <v>0</v>
      </c>
      <c r="P1486">
        <v>0</v>
      </c>
      <c r="Q1486" s="1">
        <v>1.52E-5</v>
      </c>
      <c r="R1486">
        <v>0</v>
      </c>
      <c r="S1486" s="1">
        <v>4.0599999999999998E-5</v>
      </c>
      <c r="T1486" s="1">
        <v>1.6099999999999998E-5</v>
      </c>
    </row>
    <row r="1487" spans="1:20" hidden="1" x14ac:dyDescent="0.25">
      <c r="A1487" t="s">
        <v>1505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s="1">
        <v>2.7900000000000001E-5</v>
      </c>
      <c r="Q1487" s="1">
        <v>7.3800000000000005E-5</v>
      </c>
      <c r="R1487" s="1">
        <v>5.5500000000000001E-5</v>
      </c>
      <c r="S1487" s="1">
        <v>3.2499999999999997E-5</v>
      </c>
      <c r="T1487" s="1">
        <v>8.0000000000000007E-5</v>
      </c>
    </row>
    <row r="1488" spans="1:20" hidden="1" x14ac:dyDescent="0.25">
      <c r="A1488" t="s">
        <v>1506</v>
      </c>
      <c r="B1488">
        <v>0</v>
      </c>
      <c r="C1488">
        <v>0</v>
      </c>
      <c r="D1488">
        <v>0</v>
      </c>
      <c r="E1488" s="1">
        <v>7.6500000000000003E-5</v>
      </c>
      <c r="F1488">
        <v>0</v>
      </c>
      <c r="G1488" s="1">
        <v>7.6500000000000003E-5</v>
      </c>
      <c r="H1488" s="1">
        <v>6.8899999999999994E-5</v>
      </c>
      <c r="I1488">
        <v>0</v>
      </c>
      <c r="J1488">
        <v>0</v>
      </c>
      <c r="K1488" s="1">
        <v>7.1099999999999994E-5</v>
      </c>
      <c r="L1488" s="1">
        <v>8.0599999999999994E-5</v>
      </c>
      <c r="M1488">
        <v>0</v>
      </c>
      <c r="N1488" s="1">
        <v>4.1399999999999997E-5</v>
      </c>
      <c r="O1488">
        <v>0</v>
      </c>
      <c r="P1488" s="1">
        <v>5.9700000000000001E-5</v>
      </c>
      <c r="Q1488" s="1">
        <v>7.4200000000000001E-5</v>
      </c>
      <c r="R1488" s="1">
        <v>6.2100000000000005E-5</v>
      </c>
      <c r="S1488" s="1">
        <v>7.8999999999999996E-5</v>
      </c>
      <c r="T1488" s="1">
        <v>9.1600000000000004E-5</v>
      </c>
    </row>
    <row r="1489" spans="1:20" hidden="1" x14ac:dyDescent="0.25">
      <c r="A1489" t="s">
        <v>1507</v>
      </c>
      <c r="B1489">
        <v>1.16045E-4</v>
      </c>
      <c r="C1489">
        <v>1.7406E-4</v>
      </c>
      <c r="D1489">
        <v>1.6662900000000001E-4</v>
      </c>
      <c r="E1489">
        <v>1.1506399999999999E-4</v>
      </c>
      <c r="F1489">
        <v>1.7030100000000001E-4</v>
      </c>
      <c r="G1489">
        <v>1.3639199999999999E-4</v>
      </c>
      <c r="H1489">
        <v>1.10973E-4</v>
      </c>
      <c r="I1489">
        <v>1.73215E-4</v>
      </c>
      <c r="J1489">
        <v>1.6980000000000001E-4</v>
      </c>
      <c r="K1489">
        <v>1.3243400000000001E-4</v>
      </c>
      <c r="L1489">
        <v>1.4497800000000001E-4</v>
      </c>
      <c r="M1489" s="1">
        <v>9.8200000000000002E-5</v>
      </c>
      <c r="N1489">
        <v>1.6326599999999999E-4</v>
      </c>
      <c r="O1489">
        <v>1.33313E-4</v>
      </c>
      <c r="P1489">
        <v>1.17884E-4</v>
      </c>
      <c r="Q1489" s="1">
        <v>9.7399999999999996E-5</v>
      </c>
      <c r="R1489" s="1">
        <v>9.1600000000000004E-5</v>
      </c>
      <c r="S1489" s="1">
        <v>9.1399999999999999E-5</v>
      </c>
      <c r="T1489">
        <v>1.01957E-4</v>
      </c>
    </row>
    <row r="1490" spans="1:20" hidden="1" x14ac:dyDescent="0.25">
      <c r="A1490" t="s">
        <v>1508</v>
      </c>
      <c r="B1490" s="1">
        <v>3.0000000000000001E-5</v>
      </c>
      <c r="C1490" s="1">
        <v>3.8000000000000002E-5</v>
      </c>
      <c r="D1490" s="1">
        <v>3.0499999999999999E-5</v>
      </c>
      <c r="E1490" s="1">
        <v>3.26E-5</v>
      </c>
      <c r="F1490" s="1">
        <v>4.1199999999999999E-5</v>
      </c>
      <c r="G1490">
        <v>0</v>
      </c>
      <c r="H1490" s="1">
        <v>5.3999999999999998E-5</v>
      </c>
      <c r="I1490" s="1">
        <v>5.5300000000000002E-5</v>
      </c>
      <c r="J1490" s="1">
        <v>5.8E-5</v>
      </c>
      <c r="K1490" s="1">
        <v>4.0000000000000003E-5</v>
      </c>
      <c r="L1490" s="1">
        <v>5.8699999999999997E-5</v>
      </c>
      <c r="M1490" s="1">
        <v>3.3800000000000002E-5</v>
      </c>
      <c r="N1490" s="1">
        <v>9.3399999999999993E-5</v>
      </c>
      <c r="O1490" s="1">
        <v>4.74E-5</v>
      </c>
      <c r="P1490" s="1">
        <v>7.7600000000000002E-5</v>
      </c>
      <c r="Q1490" s="1">
        <v>7.0599999999999995E-5</v>
      </c>
      <c r="R1490" s="1">
        <v>7.5799999999999999E-5</v>
      </c>
      <c r="S1490" s="1">
        <v>9.2E-5</v>
      </c>
      <c r="T1490" s="1">
        <v>9.87E-5</v>
      </c>
    </row>
    <row r="1491" spans="1:20" hidden="1" x14ac:dyDescent="0.25">
      <c r="A1491" t="s">
        <v>1509</v>
      </c>
      <c r="B1491" s="1">
        <v>6.6499999999999999E-6</v>
      </c>
      <c r="C1491" s="1">
        <v>1.7399999999999999E-5</v>
      </c>
      <c r="D1491" s="1">
        <v>1.31E-5</v>
      </c>
      <c r="E1491" s="1">
        <v>1.42E-5</v>
      </c>
      <c r="F1491" s="1">
        <v>1.1199999999999999E-5</v>
      </c>
      <c r="G1491" s="1">
        <v>7.9300000000000003E-6</v>
      </c>
      <c r="H1491" s="1">
        <v>4.33E-6</v>
      </c>
      <c r="I1491" s="1">
        <v>8.4800000000000001E-6</v>
      </c>
      <c r="J1491" s="1">
        <v>7.0299999999999996E-6</v>
      </c>
      <c r="K1491" s="1">
        <v>9.0899999999999994E-6</v>
      </c>
      <c r="L1491" s="1">
        <v>1.19E-5</v>
      </c>
      <c r="M1491" s="1">
        <v>3.0599999999999999E-6</v>
      </c>
      <c r="N1491">
        <v>0</v>
      </c>
      <c r="O1491" s="1">
        <v>2.9100000000000001E-6</v>
      </c>
      <c r="P1491">
        <v>0</v>
      </c>
      <c r="Q1491" s="1">
        <v>4.4000000000000002E-6</v>
      </c>
      <c r="R1491">
        <v>0</v>
      </c>
      <c r="S1491">
        <v>0</v>
      </c>
      <c r="T1491">
        <v>0</v>
      </c>
    </row>
    <row r="1492" spans="1:20" hidden="1" x14ac:dyDescent="0.25">
      <c r="A1492" t="s">
        <v>1510</v>
      </c>
      <c r="B1492" s="1">
        <v>5.2099999999999999E-5</v>
      </c>
      <c r="C1492" s="1">
        <v>2.34E-5</v>
      </c>
      <c r="D1492">
        <v>1.14409E-4</v>
      </c>
      <c r="E1492">
        <v>1.28019E-4</v>
      </c>
      <c r="F1492" s="1">
        <v>4.4100000000000001E-5</v>
      </c>
      <c r="G1492" s="1">
        <v>5.7599999999999997E-5</v>
      </c>
      <c r="H1492" s="1">
        <v>3.8899999999999997E-5</v>
      </c>
      <c r="I1492" s="1">
        <v>8.14E-6</v>
      </c>
      <c r="J1492" s="1">
        <v>9.9299999999999998E-6</v>
      </c>
      <c r="K1492" s="1">
        <v>5.2899999999999998E-5</v>
      </c>
      <c r="L1492" s="1">
        <v>3.15E-5</v>
      </c>
      <c r="M1492">
        <v>4.25177E-4</v>
      </c>
      <c r="N1492">
        <v>1.5432299999999999E-4</v>
      </c>
      <c r="O1492">
        <v>2.2737699999999999E-4</v>
      </c>
      <c r="P1492" s="1">
        <v>7.9500000000000001E-6</v>
      </c>
      <c r="Q1492" s="1">
        <v>3.4199999999999998E-5</v>
      </c>
      <c r="R1492" s="1">
        <v>2.7399999999999999E-5</v>
      </c>
      <c r="S1492">
        <v>1.1034E-4</v>
      </c>
      <c r="T1492">
        <v>1.81316E-4</v>
      </c>
    </row>
    <row r="1493" spans="1:20" hidden="1" x14ac:dyDescent="0.25">
      <c r="A1493" t="s">
        <v>1511</v>
      </c>
      <c r="B1493" s="1">
        <v>1.2300000000000001E-5</v>
      </c>
      <c r="C1493" s="1">
        <v>8.0199999999999998E-5</v>
      </c>
      <c r="D1493" s="1">
        <v>5.94E-5</v>
      </c>
      <c r="E1493" s="1">
        <v>5.3399999999999997E-5</v>
      </c>
      <c r="F1493" s="1">
        <v>1.9700000000000001E-5</v>
      </c>
      <c r="G1493" s="1">
        <v>5.8900000000000002E-5</v>
      </c>
      <c r="H1493" s="1">
        <v>4.7599999999999998E-5</v>
      </c>
      <c r="I1493" s="1">
        <v>2.3900000000000002E-5</v>
      </c>
      <c r="J1493" s="1">
        <v>1.95E-5</v>
      </c>
      <c r="K1493" s="1">
        <v>3.93E-5</v>
      </c>
      <c r="L1493" s="1">
        <v>4.9299999999999999E-5</v>
      </c>
      <c r="M1493">
        <v>0</v>
      </c>
      <c r="N1493">
        <v>0</v>
      </c>
      <c r="O1493" s="1">
        <v>1.5E-5</v>
      </c>
      <c r="P1493">
        <v>0</v>
      </c>
      <c r="Q1493">
        <v>0</v>
      </c>
      <c r="R1493">
        <v>0</v>
      </c>
      <c r="S1493" s="1">
        <v>5.1499999999999998E-6</v>
      </c>
      <c r="T1493" s="1">
        <v>1.1199999999999999E-5</v>
      </c>
    </row>
    <row r="1494" spans="1:20" hidden="1" x14ac:dyDescent="0.25">
      <c r="A1494" t="s">
        <v>1512</v>
      </c>
      <c r="B1494">
        <v>0</v>
      </c>
      <c r="C1494" s="1">
        <v>5.4500000000000003E-5</v>
      </c>
      <c r="D1494" s="1">
        <v>5.3699999999999997E-5</v>
      </c>
      <c r="E1494" s="1">
        <v>6.4200000000000002E-5</v>
      </c>
      <c r="F1494">
        <v>0</v>
      </c>
      <c r="G1494">
        <v>0</v>
      </c>
      <c r="H1494">
        <v>0</v>
      </c>
      <c r="I1494">
        <v>0</v>
      </c>
      <c r="J1494">
        <v>0</v>
      </c>
      <c r="K1494" s="1">
        <v>4.7800000000000003E-5</v>
      </c>
      <c r="L1494">
        <v>0</v>
      </c>
      <c r="M1494">
        <v>0</v>
      </c>
      <c r="N1494">
        <v>0</v>
      </c>
      <c r="O1494" s="1">
        <v>3.1900000000000003E-5</v>
      </c>
      <c r="P1494">
        <v>0</v>
      </c>
      <c r="Q1494">
        <v>0</v>
      </c>
      <c r="R1494">
        <v>0</v>
      </c>
      <c r="S1494">
        <v>0</v>
      </c>
      <c r="T1494" s="1">
        <v>2.9899999999999998E-5</v>
      </c>
    </row>
    <row r="1495" spans="1:20" hidden="1" x14ac:dyDescent="0.25">
      <c r="A1495" t="s">
        <v>1513</v>
      </c>
      <c r="B1495">
        <v>1.5891899999999999E-4</v>
      </c>
      <c r="C1495" s="1">
        <v>4.7700000000000001E-5</v>
      </c>
      <c r="D1495" s="1">
        <v>6.2600000000000004E-5</v>
      </c>
      <c r="E1495" s="1">
        <v>3.6900000000000002E-5</v>
      </c>
      <c r="F1495">
        <v>1.9504599999999999E-4</v>
      </c>
      <c r="G1495">
        <v>2.13675E-4</v>
      </c>
      <c r="H1495">
        <v>2.1215399999999999E-4</v>
      </c>
      <c r="I1495">
        <v>1.6275099999999999E-4</v>
      </c>
      <c r="J1495">
        <v>1.3161600000000001E-4</v>
      </c>
      <c r="K1495">
        <v>1.51624E-4</v>
      </c>
      <c r="L1495">
        <v>1.2246800000000001E-4</v>
      </c>
      <c r="M1495">
        <v>1.7999699999999999E-4</v>
      </c>
      <c r="N1495" s="1">
        <v>6.3200000000000005E-5</v>
      </c>
      <c r="O1495">
        <v>1.09197E-4</v>
      </c>
      <c r="P1495">
        <v>2.3548500000000001E-4</v>
      </c>
      <c r="Q1495">
        <v>6.31837E-4</v>
      </c>
      <c r="R1495">
        <v>3.94342E-4</v>
      </c>
      <c r="S1495">
        <v>1.8089500000000001E-4</v>
      </c>
      <c r="T1495">
        <v>6.4848100000000001E-4</v>
      </c>
    </row>
    <row r="1496" spans="1:20" hidden="1" x14ac:dyDescent="0.25">
      <c r="A1496" t="s">
        <v>1514</v>
      </c>
      <c r="B1496" s="1">
        <v>3.4600000000000001E-5</v>
      </c>
      <c r="C1496" s="1">
        <v>3.6199999999999999E-5</v>
      </c>
      <c r="D1496" s="1">
        <v>3.0700000000000001E-5</v>
      </c>
      <c r="E1496" s="1">
        <v>3.5200000000000002E-5</v>
      </c>
      <c r="F1496" s="1">
        <v>6.58E-5</v>
      </c>
      <c r="G1496" s="1">
        <v>6.9499999999999995E-5</v>
      </c>
      <c r="H1496" s="1">
        <v>7.9300000000000003E-5</v>
      </c>
      <c r="I1496" s="1">
        <v>4.4299999999999999E-5</v>
      </c>
      <c r="J1496" s="1">
        <v>4.74E-5</v>
      </c>
      <c r="K1496" s="1">
        <v>6.6299999999999999E-5</v>
      </c>
      <c r="L1496" s="1">
        <v>5.8600000000000001E-5</v>
      </c>
      <c r="M1496" s="1">
        <v>3.7599999999999999E-5</v>
      </c>
      <c r="N1496" s="1">
        <v>3.5599999999999998E-5</v>
      </c>
      <c r="O1496">
        <v>0</v>
      </c>
      <c r="P1496" s="1">
        <v>8.3900000000000006E-5</v>
      </c>
      <c r="Q1496">
        <v>1.50113E-4</v>
      </c>
      <c r="R1496">
        <v>1.5108299999999999E-4</v>
      </c>
      <c r="S1496">
        <v>1.51051E-4</v>
      </c>
      <c r="T1496">
        <v>2.0070600000000001E-4</v>
      </c>
    </row>
    <row r="1497" spans="1:20" hidden="1" x14ac:dyDescent="0.25">
      <c r="A1497" t="s">
        <v>1515</v>
      </c>
      <c r="B1497">
        <v>0</v>
      </c>
      <c r="C1497" s="1">
        <v>1.8899999999999999E-5</v>
      </c>
      <c r="D1497" s="1">
        <v>1.03E-5</v>
      </c>
      <c r="E1497" s="1">
        <v>1.3200000000000001E-5</v>
      </c>
      <c r="F1497" s="1">
        <v>1.95E-5</v>
      </c>
      <c r="G1497">
        <v>5.0390890000000001E-3</v>
      </c>
      <c r="H1497" s="1">
        <v>2.0599999999999999E-5</v>
      </c>
      <c r="I1497" s="1">
        <v>2.44E-5</v>
      </c>
      <c r="J1497">
        <v>4.0287040000000001E-3</v>
      </c>
      <c r="K1497" s="1">
        <v>1.27E-5</v>
      </c>
      <c r="L1497" s="1">
        <v>1.17E-5</v>
      </c>
      <c r="M1497">
        <v>0</v>
      </c>
      <c r="N1497" s="1">
        <v>1.9300000000000002E-5</v>
      </c>
      <c r="O1497">
        <v>0</v>
      </c>
      <c r="P1497">
        <v>0</v>
      </c>
      <c r="Q1497">
        <v>0</v>
      </c>
      <c r="R1497">
        <v>0</v>
      </c>
      <c r="S1497">
        <v>0</v>
      </c>
      <c r="T1497" s="1">
        <v>8.6000000000000007E-6</v>
      </c>
    </row>
    <row r="1498" spans="1:20" hidden="1" x14ac:dyDescent="0.25">
      <c r="A1498" t="s">
        <v>1516</v>
      </c>
      <c r="B1498">
        <v>0</v>
      </c>
      <c r="C1498">
        <v>0</v>
      </c>
      <c r="D1498">
        <v>0</v>
      </c>
      <c r="E1498">
        <v>0</v>
      </c>
      <c r="F1498" s="1">
        <v>1.7600000000000001E-5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s="1">
        <v>9.8400000000000007E-6</v>
      </c>
      <c r="O1498" s="1">
        <v>8.9500000000000007E-6</v>
      </c>
      <c r="P1498" s="1">
        <v>8.9199999999999993E-6</v>
      </c>
      <c r="Q1498" s="1">
        <v>1.26E-5</v>
      </c>
      <c r="R1498" s="1">
        <v>2.1699999999999999E-5</v>
      </c>
      <c r="S1498" s="1">
        <v>4.3600000000000003E-5</v>
      </c>
      <c r="T1498" s="1">
        <v>1.6500000000000001E-5</v>
      </c>
    </row>
    <row r="1499" spans="1:20" hidden="1" x14ac:dyDescent="0.25">
      <c r="A1499" t="s">
        <v>1517</v>
      </c>
      <c r="B1499" s="1">
        <v>1.45E-5</v>
      </c>
      <c r="C1499" s="1">
        <v>4.6499999999999999E-5</v>
      </c>
      <c r="D1499" s="1">
        <v>3.3899999999999997E-5</v>
      </c>
      <c r="E1499" s="1">
        <v>3.3099999999999998E-5</v>
      </c>
      <c r="F1499" s="1">
        <v>1.98E-5</v>
      </c>
      <c r="G1499" s="1">
        <v>2.5000000000000001E-5</v>
      </c>
      <c r="H1499" s="1">
        <v>1.34E-5</v>
      </c>
      <c r="I1499" s="1">
        <v>1.7799999999999999E-5</v>
      </c>
      <c r="J1499" s="1">
        <v>1.9300000000000002E-5</v>
      </c>
      <c r="K1499" s="1">
        <v>2.9499999999999999E-5</v>
      </c>
      <c r="L1499" s="1">
        <v>2.8200000000000001E-5</v>
      </c>
      <c r="M1499" s="1">
        <v>1.1399999999999999E-5</v>
      </c>
      <c r="N1499" s="1">
        <v>6.4699999999999999E-6</v>
      </c>
      <c r="O1499" s="1">
        <v>1.27E-5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hidden="1" x14ac:dyDescent="0.25">
      <c r="A1500" t="s">
        <v>1518</v>
      </c>
      <c r="B1500">
        <v>3.3601600000000002E-4</v>
      </c>
      <c r="C1500">
        <v>2.1040800000000001E-4</v>
      </c>
      <c r="D1500">
        <v>3.5716399999999998E-4</v>
      </c>
      <c r="E1500">
        <v>3.2844999999999999E-4</v>
      </c>
      <c r="F1500">
        <v>2.27858E-4</v>
      </c>
      <c r="G1500">
        <v>2.1233100000000001E-4</v>
      </c>
      <c r="H1500">
        <v>1.91721E-4</v>
      </c>
      <c r="I1500">
        <v>1.9416600000000001E-4</v>
      </c>
      <c r="J1500">
        <v>2.32229E-4</v>
      </c>
      <c r="K1500">
        <v>2.6937800000000002E-4</v>
      </c>
      <c r="L1500">
        <v>2.7506299999999998E-4</v>
      </c>
      <c r="M1500">
        <v>2.6645E-4</v>
      </c>
      <c r="N1500">
        <v>1.1686199999999999E-4</v>
      </c>
      <c r="O1500">
        <v>1.41967E-4</v>
      </c>
      <c r="P1500">
        <v>1.3613399999999999E-4</v>
      </c>
      <c r="Q1500" s="1">
        <v>6.6199999999999996E-5</v>
      </c>
      <c r="R1500" s="1">
        <v>9.7600000000000001E-5</v>
      </c>
      <c r="S1500">
        <v>0</v>
      </c>
      <c r="T1500">
        <v>1.13739E-4</v>
      </c>
    </row>
    <row r="1501" spans="1:20" hidden="1" x14ac:dyDescent="0.25">
      <c r="A1501" t="s">
        <v>1519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s="1">
        <v>5.5399999999999998E-5</v>
      </c>
      <c r="R1501" s="1">
        <v>4.0099999999999999E-5</v>
      </c>
      <c r="S1501" s="1">
        <v>6.6600000000000006E-5</v>
      </c>
      <c r="T1501" s="1">
        <v>5.5699999999999999E-5</v>
      </c>
    </row>
    <row r="1502" spans="1:20" hidden="1" x14ac:dyDescent="0.25">
      <c r="A1502" t="s">
        <v>1520</v>
      </c>
      <c r="B1502">
        <v>7.6934799999999999E-4</v>
      </c>
      <c r="C1502">
        <v>1.249352E-3</v>
      </c>
      <c r="D1502">
        <v>1.2644900000000001E-3</v>
      </c>
      <c r="E1502">
        <v>1.251905E-3</v>
      </c>
      <c r="F1502">
        <v>1.4206550000000001E-3</v>
      </c>
      <c r="G1502">
        <v>1.21901E-3</v>
      </c>
      <c r="H1502">
        <v>1.060879E-3</v>
      </c>
      <c r="I1502">
        <v>1.343454E-3</v>
      </c>
      <c r="J1502">
        <v>1.3617220000000001E-3</v>
      </c>
      <c r="K1502">
        <v>1.320096E-3</v>
      </c>
      <c r="L1502">
        <v>1.3634599999999999E-3</v>
      </c>
      <c r="M1502">
        <v>8.8791800000000002E-4</v>
      </c>
      <c r="N1502">
        <v>1.0949550000000001E-3</v>
      </c>
      <c r="O1502">
        <v>1.2131830000000001E-3</v>
      </c>
      <c r="P1502">
        <v>1.1255010000000001E-3</v>
      </c>
      <c r="Q1502">
        <v>6.4160499999999995E-4</v>
      </c>
      <c r="R1502">
        <v>8.01423E-4</v>
      </c>
      <c r="S1502">
        <v>1.2013690000000001E-3</v>
      </c>
      <c r="T1502">
        <v>6.8933000000000004E-4</v>
      </c>
    </row>
    <row r="1503" spans="1:20" hidden="1" x14ac:dyDescent="0.25">
      <c r="A1503" t="s">
        <v>1521</v>
      </c>
      <c r="B1503">
        <v>3.5737200000000001E-4</v>
      </c>
      <c r="C1503">
        <v>2.9054100000000001E-4</v>
      </c>
      <c r="D1503">
        <v>2.6959599999999998E-4</v>
      </c>
      <c r="E1503">
        <v>2.23833E-4</v>
      </c>
      <c r="F1503">
        <v>2.83603E-4</v>
      </c>
      <c r="G1503">
        <v>2.9289399999999998E-4</v>
      </c>
      <c r="H1503">
        <v>3.0018900000000002E-4</v>
      </c>
      <c r="I1503">
        <v>2.5614700000000003E-4</v>
      </c>
      <c r="J1503">
        <v>2.1503599999999999E-4</v>
      </c>
      <c r="K1503">
        <v>2.6094099999999999E-4</v>
      </c>
      <c r="L1503">
        <v>2.5509600000000001E-4</v>
      </c>
      <c r="M1503">
        <v>2.3558100000000001E-4</v>
      </c>
      <c r="N1503">
        <v>1.8112900000000001E-4</v>
      </c>
      <c r="O1503">
        <v>1.7534899999999999E-4</v>
      </c>
      <c r="P1503">
        <v>2.4927700000000001E-4</v>
      </c>
      <c r="Q1503">
        <v>2.0194599999999999E-4</v>
      </c>
      <c r="R1503">
        <v>2.09304E-4</v>
      </c>
      <c r="S1503">
        <v>3.74352E-4</v>
      </c>
      <c r="T1503">
        <v>2.6559100000000003E-4</v>
      </c>
    </row>
    <row r="1504" spans="1:20" hidden="1" x14ac:dyDescent="0.25">
      <c r="A1504" t="s">
        <v>1522</v>
      </c>
      <c r="B1504" s="1">
        <v>3.7299999999999999E-5</v>
      </c>
      <c r="C1504">
        <v>0</v>
      </c>
      <c r="D1504">
        <v>0</v>
      </c>
      <c r="E1504">
        <v>0</v>
      </c>
      <c r="F1504" s="1">
        <v>3.6900000000000002E-5</v>
      </c>
      <c r="G1504" s="1">
        <v>5.7800000000000002E-5</v>
      </c>
      <c r="H1504" s="1">
        <v>4.1600000000000002E-5</v>
      </c>
      <c r="I1504" s="1">
        <v>3.3200000000000001E-5</v>
      </c>
      <c r="J1504" s="1">
        <v>4.1E-5</v>
      </c>
      <c r="K1504" s="1">
        <v>4.0299999999999997E-5</v>
      </c>
      <c r="L1504" s="1">
        <v>9.4199999999999996E-6</v>
      </c>
      <c r="M1504" s="1">
        <v>2.3499999999999999E-5</v>
      </c>
      <c r="N1504" s="1">
        <v>1.1600000000000001E-5</v>
      </c>
      <c r="O1504" s="1">
        <v>1.4800000000000001E-5</v>
      </c>
      <c r="P1504" s="1">
        <v>9.59E-5</v>
      </c>
      <c r="Q1504">
        <v>2.4883400000000002E-4</v>
      </c>
      <c r="R1504">
        <v>2.8175100000000001E-4</v>
      </c>
      <c r="S1504">
        <v>1.4746400000000001E-4</v>
      </c>
      <c r="T1504">
        <v>4.3836E-4</v>
      </c>
    </row>
    <row r="1505" spans="1:20" hidden="1" x14ac:dyDescent="0.25">
      <c r="A1505" t="s">
        <v>1523</v>
      </c>
      <c r="B1505">
        <v>0</v>
      </c>
      <c r="C1505">
        <v>0</v>
      </c>
      <c r="D1505">
        <v>0</v>
      </c>
      <c r="E1505">
        <v>0</v>
      </c>
      <c r="F1505" s="1">
        <v>4.6999999999999997E-5</v>
      </c>
      <c r="G1505" s="1">
        <v>3.5099999999999999E-5</v>
      </c>
      <c r="H1505" s="1">
        <v>3.1000000000000001E-5</v>
      </c>
      <c r="I1505">
        <v>0</v>
      </c>
      <c r="J1505" s="1">
        <v>2.1299999999999999E-5</v>
      </c>
      <c r="K1505" s="1">
        <v>2.72E-5</v>
      </c>
      <c r="L1505">
        <v>0</v>
      </c>
      <c r="M1505" s="1">
        <v>1.6799999999999998E-5</v>
      </c>
      <c r="N1505" s="1">
        <v>2.1299999999999999E-5</v>
      </c>
      <c r="O1505">
        <v>0</v>
      </c>
      <c r="P1505" s="1">
        <v>6.3399999999999996E-5</v>
      </c>
      <c r="Q1505">
        <v>2.5167199999999999E-4</v>
      </c>
      <c r="R1505">
        <v>1.7388599999999999E-4</v>
      </c>
      <c r="S1505">
        <v>1.05284E-4</v>
      </c>
      <c r="T1505">
        <v>3.9966399999999999E-4</v>
      </c>
    </row>
    <row r="1506" spans="1:20" hidden="1" x14ac:dyDescent="0.25">
      <c r="A1506" t="s">
        <v>1524</v>
      </c>
      <c r="B1506">
        <v>0</v>
      </c>
      <c r="C1506" s="1">
        <v>3.8699999999999999E-5</v>
      </c>
      <c r="D1506" s="1">
        <v>2.6699999999999998E-5</v>
      </c>
      <c r="E1506" s="1">
        <v>3.0499999999999999E-5</v>
      </c>
      <c r="F1506">
        <v>0</v>
      </c>
      <c r="G1506" s="1">
        <v>4.0200000000000001E-5</v>
      </c>
      <c r="H1506">
        <v>0</v>
      </c>
      <c r="I1506" s="1">
        <v>2.0999999999999999E-5</v>
      </c>
      <c r="J1506">
        <v>0</v>
      </c>
      <c r="K1506">
        <v>0</v>
      </c>
      <c r="L1506" s="1">
        <v>3.1000000000000001E-5</v>
      </c>
      <c r="M1506">
        <v>0</v>
      </c>
      <c r="N1506">
        <v>0</v>
      </c>
      <c r="O1506">
        <v>0</v>
      </c>
      <c r="P1506" s="1">
        <v>3.18E-5</v>
      </c>
      <c r="Q1506" s="1">
        <v>3.1199999999999999E-5</v>
      </c>
      <c r="R1506" s="1">
        <v>2.97E-5</v>
      </c>
      <c r="S1506" s="1">
        <v>3.3899999999999997E-5</v>
      </c>
      <c r="T1506" s="1">
        <v>2.9600000000000001E-5</v>
      </c>
    </row>
    <row r="1507" spans="1:20" hidden="1" x14ac:dyDescent="0.25">
      <c r="A1507" t="s">
        <v>1525</v>
      </c>
      <c r="B1507" s="1">
        <v>9.7999999999999997E-5</v>
      </c>
      <c r="C1507">
        <v>1.0730600000000001E-4</v>
      </c>
      <c r="D1507">
        <v>1.1367E-4</v>
      </c>
      <c r="E1507">
        <v>1.4634000000000001E-4</v>
      </c>
      <c r="F1507" s="1">
        <v>9.6700000000000006E-5</v>
      </c>
      <c r="G1507" s="1">
        <v>8.9599999999999996E-5</v>
      </c>
      <c r="H1507" s="1">
        <v>6.1500000000000004E-5</v>
      </c>
      <c r="I1507">
        <v>0</v>
      </c>
      <c r="J1507" s="1">
        <v>7.2700000000000005E-5</v>
      </c>
      <c r="K1507" s="1">
        <v>5.8100000000000003E-5</v>
      </c>
      <c r="L1507" s="1">
        <v>9.7200000000000004E-5</v>
      </c>
      <c r="M1507" s="1">
        <v>8.1899999999999999E-5</v>
      </c>
      <c r="N1507">
        <v>1.01544E-4</v>
      </c>
      <c r="O1507" s="1">
        <v>6.5199999999999999E-5</v>
      </c>
      <c r="P1507" s="1">
        <v>6.9900000000000005E-5</v>
      </c>
      <c r="Q1507">
        <v>1.18365E-4</v>
      </c>
      <c r="R1507">
        <v>1.06715E-4</v>
      </c>
      <c r="S1507">
        <v>1.3754699999999999E-4</v>
      </c>
      <c r="T1507">
        <v>1.2940599999999999E-4</v>
      </c>
    </row>
    <row r="1508" spans="1:20" hidden="1" x14ac:dyDescent="0.25">
      <c r="A1508" t="s">
        <v>1526</v>
      </c>
      <c r="B1508">
        <v>0</v>
      </c>
      <c r="C1508" s="1">
        <v>2.9099999999999999E-5</v>
      </c>
      <c r="D1508" s="1">
        <v>1.9400000000000001E-5</v>
      </c>
      <c r="E1508" s="1">
        <v>2.4600000000000002E-5</v>
      </c>
      <c r="F1508">
        <v>0</v>
      </c>
      <c r="G1508">
        <v>0</v>
      </c>
      <c r="H1508">
        <v>0</v>
      </c>
      <c r="I1508">
        <v>0</v>
      </c>
      <c r="J1508">
        <v>0</v>
      </c>
      <c r="K1508" s="1">
        <v>2.0800000000000001E-5</v>
      </c>
      <c r="L1508" s="1">
        <v>2.4499999999999999E-5</v>
      </c>
      <c r="M1508">
        <v>0</v>
      </c>
      <c r="N1508">
        <v>0</v>
      </c>
      <c r="O1508">
        <v>0</v>
      </c>
      <c r="P1508">
        <v>0</v>
      </c>
      <c r="Q1508" s="1">
        <v>2.16E-5</v>
      </c>
      <c r="R1508" s="1">
        <v>1.04E-5</v>
      </c>
      <c r="S1508" s="1">
        <v>2.02E-5</v>
      </c>
      <c r="T1508" s="1">
        <v>2.94E-5</v>
      </c>
    </row>
    <row r="1509" spans="1:20" hidden="1" x14ac:dyDescent="0.25">
      <c r="A1509" t="s">
        <v>1527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s="1">
        <v>2.37E-5</v>
      </c>
      <c r="R1509" s="1">
        <v>2.2399999999999999E-5</v>
      </c>
      <c r="S1509" s="1">
        <v>2.2200000000000001E-5</v>
      </c>
      <c r="T1509" s="1">
        <v>1.03E-5</v>
      </c>
    </row>
    <row r="1510" spans="1:20" hidden="1" x14ac:dyDescent="0.25">
      <c r="A1510" t="s">
        <v>1528</v>
      </c>
      <c r="B1510">
        <v>3.13818E-4</v>
      </c>
      <c r="C1510">
        <v>1.91299E-4</v>
      </c>
      <c r="D1510">
        <v>2.09433E-4</v>
      </c>
      <c r="E1510">
        <v>2.8317799999999998E-4</v>
      </c>
      <c r="F1510">
        <v>2.9564700000000001E-4</v>
      </c>
      <c r="G1510">
        <v>3.1974800000000002E-4</v>
      </c>
      <c r="H1510">
        <v>3.2850400000000002E-4</v>
      </c>
      <c r="I1510">
        <v>3.7300700000000002E-4</v>
      </c>
      <c r="J1510">
        <v>4.3217599999999999E-4</v>
      </c>
      <c r="K1510">
        <v>3.1915999999999997E-4</v>
      </c>
      <c r="L1510">
        <v>2.2723200000000001E-4</v>
      </c>
      <c r="M1510">
        <v>3.4728899999999997E-4</v>
      </c>
      <c r="N1510">
        <v>5.6714500000000002E-4</v>
      </c>
      <c r="O1510">
        <v>3.7352700000000002E-4</v>
      </c>
      <c r="P1510">
        <v>6.0071899999999999E-4</v>
      </c>
      <c r="Q1510">
        <v>7.5450799999999998E-4</v>
      </c>
      <c r="R1510">
        <v>7.2642400000000004E-4</v>
      </c>
      <c r="S1510">
        <v>6.6601300000000002E-4</v>
      </c>
      <c r="T1510">
        <v>6.3447500000000001E-4</v>
      </c>
    </row>
    <row r="1511" spans="1:20" hidden="1" x14ac:dyDescent="0.25">
      <c r="A1511" s="2">
        <v>40422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s="1">
        <v>7.1199999999999996E-6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s="1">
        <v>2.0400000000000001E-5</v>
      </c>
      <c r="R1511" s="1">
        <v>2.8900000000000001E-5</v>
      </c>
      <c r="S1511" s="1">
        <v>2.87E-5</v>
      </c>
      <c r="T1511" s="1">
        <v>2.0000000000000002E-5</v>
      </c>
    </row>
    <row r="1512" spans="1:20" hidden="1" x14ac:dyDescent="0.25">
      <c r="A1512" s="2">
        <v>40787</v>
      </c>
      <c r="B1512">
        <v>1.1044869999999999E-3</v>
      </c>
      <c r="C1512">
        <v>1.0108129999999999E-3</v>
      </c>
      <c r="D1512">
        <v>1.2099280000000001E-3</v>
      </c>
      <c r="E1512">
        <v>1.088063E-3</v>
      </c>
      <c r="F1512">
        <v>9.6887600000000003E-4</v>
      </c>
      <c r="G1512">
        <v>6.4496699999999998E-4</v>
      </c>
      <c r="H1512">
        <v>7.7680299999999996E-4</v>
      </c>
      <c r="I1512">
        <v>8.3857099999999998E-4</v>
      </c>
      <c r="J1512">
        <v>9.3762800000000003E-4</v>
      </c>
      <c r="K1512">
        <v>1.063039E-3</v>
      </c>
      <c r="L1512">
        <v>8.1146600000000005E-4</v>
      </c>
      <c r="M1512">
        <v>7.9708399999999999E-4</v>
      </c>
      <c r="N1512">
        <v>7.3910299999999996E-4</v>
      </c>
      <c r="O1512">
        <v>8.1013400000000001E-4</v>
      </c>
      <c r="P1512">
        <v>8.43957E-4</v>
      </c>
      <c r="Q1512">
        <v>6.1006700000000005E-4</v>
      </c>
      <c r="R1512">
        <v>7.7339200000000002E-4</v>
      </c>
      <c r="S1512">
        <v>6.1581500000000003E-4</v>
      </c>
      <c r="T1512">
        <v>5.2578300000000004E-4</v>
      </c>
    </row>
    <row r="1513" spans="1:20" hidden="1" x14ac:dyDescent="0.25">
      <c r="A1513" s="2">
        <v>37500</v>
      </c>
      <c r="B1513">
        <v>5.7303300000000003E-4</v>
      </c>
      <c r="C1513">
        <v>3.5275699999999998E-4</v>
      </c>
      <c r="D1513">
        <v>4.1438199999999998E-4</v>
      </c>
      <c r="E1513">
        <v>5.0409200000000004E-4</v>
      </c>
      <c r="F1513">
        <v>4.9506300000000001E-4</v>
      </c>
      <c r="G1513">
        <v>4.4356300000000001E-4</v>
      </c>
      <c r="H1513">
        <v>5.0749400000000004E-4</v>
      </c>
      <c r="I1513">
        <v>5.3904199999999999E-4</v>
      </c>
      <c r="J1513">
        <v>6.0861499999999996E-4</v>
      </c>
      <c r="K1513">
        <v>4.2772600000000002E-4</v>
      </c>
      <c r="L1513">
        <v>4.0723700000000002E-4</v>
      </c>
      <c r="M1513">
        <v>5.9476799999999997E-4</v>
      </c>
      <c r="N1513">
        <v>4.9243699999999997E-4</v>
      </c>
      <c r="O1513">
        <v>4.7663099999999998E-4</v>
      </c>
      <c r="P1513">
        <v>7.8417799999999996E-4</v>
      </c>
      <c r="Q1513">
        <v>8.3089399999999999E-4</v>
      </c>
      <c r="R1513">
        <v>8.8483799999999999E-4</v>
      </c>
      <c r="S1513">
        <v>8.4031799999999995E-4</v>
      </c>
      <c r="T1513">
        <v>6.2615499999999998E-4</v>
      </c>
    </row>
    <row r="1514" spans="1:20" hidden="1" x14ac:dyDescent="0.25">
      <c r="A1514" s="2">
        <v>37865</v>
      </c>
      <c r="B1514">
        <v>2.0761099999999999E-4</v>
      </c>
      <c r="C1514">
        <v>2.2698E-4</v>
      </c>
      <c r="D1514">
        <v>2.4188200000000001E-4</v>
      </c>
      <c r="E1514">
        <v>2.1404700000000001E-4</v>
      </c>
      <c r="F1514">
        <v>2.11411E-4</v>
      </c>
      <c r="G1514">
        <v>1.49844E-4</v>
      </c>
      <c r="H1514">
        <v>2.186E-4</v>
      </c>
      <c r="I1514">
        <v>2.2615499999999999E-4</v>
      </c>
      <c r="J1514">
        <v>2.6135600000000002E-4</v>
      </c>
      <c r="K1514">
        <v>2.4573900000000003E-4</v>
      </c>
      <c r="L1514">
        <v>2.15913E-4</v>
      </c>
      <c r="M1514">
        <v>1.5558400000000001E-4</v>
      </c>
      <c r="N1514">
        <v>1.41543E-4</v>
      </c>
      <c r="O1514">
        <v>1.9570500000000001E-4</v>
      </c>
      <c r="P1514">
        <v>1.5303300000000001E-4</v>
      </c>
      <c r="Q1514">
        <v>1.16606E-4</v>
      </c>
      <c r="R1514">
        <v>1.2697899999999999E-4</v>
      </c>
      <c r="S1514">
        <v>1.0533499999999999E-4</v>
      </c>
      <c r="T1514">
        <v>1.1617599999999999E-4</v>
      </c>
    </row>
    <row r="1515" spans="1:20" hidden="1" x14ac:dyDescent="0.25">
      <c r="A1515" s="2">
        <v>38231</v>
      </c>
      <c r="B1515" s="1">
        <v>3.9900000000000001E-5</v>
      </c>
      <c r="C1515" s="1">
        <v>3.1399999999999998E-5</v>
      </c>
      <c r="D1515" s="1">
        <v>3.1999999999999999E-5</v>
      </c>
      <c r="E1515" s="1">
        <v>1.9400000000000001E-5</v>
      </c>
      <c r="F1515">
        <v>0</v>
      </c>
      <c r="G1515">
        <v>0</v>
      </c>
      <c r="H1515" s="1">
        <v>2.7500000000000001E-5</v>
      </c>
      <c r="I1515">
        <v>0</v>
      </c>
      <c r="J1515" s="1">
        <v>2.94E-5</v>
      </c>
      <c r="K1515" s="1">
        <v>2.3099999999999999E-5</v>
      </c>
      <c r="L1515" s="1">
        <v>3.9700000000000003E-5</v>
      </c>
      <c r="M1515">
        <v>0</v>
      </c>
      <c r="N1515">
        <v>0</v>
      </c>
      <c r="O1515">
        <v>0</v>
      </c>
      <c r="P1515">
        <v>0</v>
      </c>
      <c r="Q1515">
        <v>0</v>
      </c>
      <c r="R1515" s="1">
        <v>2.26E-5</v>
      </c>
      <c r="S1515">
        <v>0</v>
      </c>
      <c r="T1515">
        <v>0</v>
      </c>
    </row>
    <row r="1516" spans="1:20" hidden="1" x14ac:dyDescent="0.25">
      <c r="A1516" s="2">
        <v>38596</v>
      </c>
      <c r="B1516">
        <v>8.9033899999999997E-4</v>
      </c>
      <c r="C1516">
        <v>9.37075E-4</v>
      </c>
      <c r="D1516">
        <v>1.184427E-3</v>
      </c>
      <c r="E1516">
        <v>8.2681200000000001E-4</v>
      </c>
      <c r="F1516">
        <v>6.2016999999999997E-4</v>
      </c>
      <c r="G1516">
        <v>5.1031799999999995E-4</v>
      </c>
      <c r="H1516">
        <v>7.9560399999999999E-4</v>
      </c>
      <c r="I1516">
        <v>6.8291499999999998E-4</v>
      </c>
      <c r="J1516">
        <v>7.3542599999999996E-4</v>
      </c>
      <c r="K1516">
        <v>1.025055E-3</v>
      </c>
      <c r="L1516">
        <v>7.0759999999999996E-4</v>
      </c>
      <c r="M1516">
        <v>5.2920699999999996E-4</v>
      </c>
      <c r="N1516">
        <v>3.5978799999999999E-4</v>
      </c>
      <c r="O1516">
        <v>5.9093199999999996E-4</v>
      </c>
      <c r="P1516">
        <v>2.8416100000000001E-4</v>
      </c>
      <c r="Q1516">
        <v>2.03229E-4</v>
      </c>
      <c r="R1516">
        <v>1.9258E-4</v>
      </c>
      <c r="S1516">
        <v>1.1555199999999999E-4</v>
      </c>
      <c r="T1516">
        <v>2.03857E-4</v>
      </c>
    </row>
    <row r="1517" spans="1:20" hidden="1" x14ac:dyDescent="0.25">
      <c r="A1517" s="2">
        <v>38961</v>
      </c>
      <c r="B1517">
        <v>1.34401E-4</v>
      </c>
      <c r="C1517">
        <v>1.07316E-4</v>
      </c>
      <c r="D1517">
        <v>1.2931100000000001E-4</v>
      </c>
      <c r="E1517">
        <v>1.1278E-4</v>
      </c>
      <c r="F1517" s="1">
        <v>7.9900000000000004E-5</v>
      </c>
      <c r="G1517" s="1">
        <v>6.8499999999999998E-5</v>
      </c>
      <c r="H1517" s="1">
        <v>7.7000000000000001E-5</v>
      </c>
      <c r="I1517" s="1">
        <v>8.0099999999999995E-5</v>
      </c>
      <c r="J1517" s="1">
        <v>9.9599999999999995E-5</v>
      </c>
      <c r="K1517">
        <v>1.2364400000000001E-4</v>
      </c>
      <c r="L1517" s="1">
        <v>9.7499999999999998E-5</v>
      </c>
      <c r="M1517" s="1">
        <v>5.5500000000000001E-5</v>
      </c>
      <c r="N1517" s="1">
        <v>5.4799999999999997E-5</v>
      </c>
      <c r="O1517" s="1">
        <v>6.8700000000000003E-5</v>
      </c>
      <c r="P1517" s="1">
        <v>5.7299999999999997E-5</v>
      </c>
      <c r="Q1517" s="1">
        <v>3.2700000000000002E-5</v>
      </c>
      <c r="R1517" s="1">
        <v>2.9200000000000002E-5</v>
      </c>
      <c r="S1517" s="1">
        <v>2.7500000000000001E-5</v>
      </c>
      <c r="T1517">
        <v>0</v>
      </c>
    </row>
    <row r="1518" spans="1:20" hidden="1" x14ac:dyDescent="0.25">
      <c r="A1518" s="2">
        <v>39326</v>
      </c>
      <c r="B1518">
        <v>1.635744E-3</v>
      </c>
      <c r="C1518">
        <v>1.5715099999999999E-3</v>
      </c>
      <c r="D1518">
        <v>1.9809739999999999E-3</v>
      </c>
      <c r="E1518">
        <v>1.7083700000000001E-3</v>
      </c>
      <c r="F1518">
        <v>1.3763810000000001E-3</v>
      </c>
      <c r="G1518">
        <v>9.9883999999999997E-4</v>
      </c>
      <c r="H1518">
        <v>1.1930350000000001E-3</v>
      </c>
      <c r="I1518">
        <v>1.325321E-3</v>
      </c>
      <c r="J1518">
        <v>1.4242599999999999E-3</v>
      </c>
      <c r="K1518">
        <v>1.6594489999999999E-3</v>
      </c>
      <c r="L1518">
        <v>1.28674E-3</v>
      </c>
      <c r="M1518">
        <v>1.2910650000000001E-3</v>
      </c>
      <c r="N1518">
        <v>1.244167E-3</v>
      </c>
      <c r="O1518">
        <v>1.2040989999999999E-3</v>
      </c>
      <c r="P1518">
        <v>1.1283829999999999E-3</v>
      </c>
      <c r="Q1518">
        <v>9.7405799999999998E-4</v>
      </c>
      <c r="R1518">
        <v>1.173784E-3</v>
      </c>
      <c r="S1518">
        <v>1.072857E-3</v>
      </c>
      <c r="T1518">
        <v>9.7006100000000004E-4</v>
      </c>
    </row>
    <row r="1519" spans="1:20" hidden="1" x14ac:dyDescent="0.25">
      <c r="A1519" s="2">
        <v>39692</v>
      </c>
      <c r="B1519">
        <v>4.3348399999999999E-4</v>
      </c>
      <c r="C1519">
        <v>3.4298400000000001E-4</v>
      </c>
      <c r="D1519">
        <v>3.8216500000000001E-4</v>
      </c>
      <c r="E1519">
        <v>4.3357399999999999E-4</v>
      </c>
      <c r="F1519">
        <v>3.5463600000000002E-4</v>
      </c>
      <c r="G1519">
        <v>2.9017700000000002E-4</v>
      </c>
      <c r="H1519">
        <v>2.8221799999999999E-4</v>
      </c>
      <c r="I1519">
        <v>3.4006800000000001E-4</v>
      </c>
      <c r="J1519">
        <v>3.7445499999999999E-4</v>
      </c>
      <c r="K1519">
        <v>3.4217200000000002E-4</v>
      </c>
      <c r="L1519">
        <v>2.4935199999999999E-4</v>
      </c>
      <c r="M1519">
        <v>3.13543E-4</v>
      </c>
      <c r="N1519">
        <v>2.9402600000000002E-4</v>
      </c>
      <c r="O1519">
        <v>3.15588E-4</v>
      </c>
      <c r="P1519">
        <v>2.6711999999999998E-4</v>
      </c>
      <c r="Q1519">
        <v>2.8215E-4</v>
      </c>
      <c r="R1519">
        <v>3.5050400000000002E-4</v>
      </c>
      <c r="S1519">
        <v>2.4731599999999997E-4</v>
      </c>
      <c r="T1519">
        <v>1.8663800000000001E-4</v>
      </c>
    </row>
    <row r="1520" spans="1:20" hidden="1" x14ac:dyDescent="0.25">
      <c r="A1520" s="2">
        <v>40057</v>
      </c>
      <c r="B1520">
        <v>1.3805100000000001E-4</v>
      </c>
      <c r="C1520">
        <v>1.39405E-4</v>
      </c>
      <c r="D1520">
        <v>1.2370299999999999E-4</v>
      </c>
      <c r="E1520">
        <v>1.5757299999999999E-4</v>
      </c>
      <c r="F1520">
        <v>1.50953E-4</v>
      </c>
      <c r="G1520" s="1">
        <v>9.7100000000000002E-5</v>
      </c>
      <c r="H1520">
        <v>1.3285599999999999E-4</v>
      </c>
      <c r="I1520">
        <v>1.2953699999999999E-4</v>
      </c>
      <c r="J1520">
        <v>1.4683599999999999E-4</v>
      </c>
      <c r="K1520">
        <v>1.8954599999999999E-4</v>
      </c>
      <c r="L1520">
        <v>1.15803E-4</v>
      </c>
      <c r="M1520">
        <v>1.15837E-4</v>
      </c>
      <c r="N1520">
        <v>1.03724E-4</v>
      </c>
      <c r="O1520">
        <v>1.21514E-4</v>
      </c>
      <c r="P1520">
        <v>1.24664E-4</v>
      </c>
      <c r="Q1520">
        <v>1.25659E-4</v>
      </c>
      <c r="R1520">
        <v>2.1666900000000001E-4</v>
      </c>
      <c r="S1520">
        <v>1.3619200000000001E-4</v>
      </c>
      <c r="T1520">
        <v>1.2291799999999999E-4</v>
      </c>
    </row>
    <row r="1521" spans="1:20" hidden="1" x14ac:dyDescent="0.25">
      <c r="A1521" t="s">
        <v>1529</v>
      </c>
      <c r="B1521">
        <v>3.77334E-4</v>
      </c>
      <c r="C1521">
        <v>2.9292100000000002E-4</v>
      </c>
      <c r="D1521" s="1">
        <v>7.9900000000000004E-5</v>
      </c>
      <c r="E1521" s="1">
        <v>7.4200000000000001E-5</v>
      </c>
      <c r="F1521">
        <v>1.0969129999999999E-3</v>
      </c>
      <c r="G1521">
        <v>2.9376899999999999E-4</v>
      </c>
      <c r="H1521">
        <v>3.68995E-4</v>
      </c>
      <c r="I1521">
        <v>1.3190929999999999E-3</v>
      </c>
      <c r="J1521">
        <v>6.0400500000000001E-4</v>
      </c>
      <c r="K1521">
        <v>3.65435E-4</v>
      </c>
      <c r="L1521">
        <v>3.8620000000000001E-4</v>
      </c>
      <c r="M1521">
        <v>5.8634400000000004E-4</v>
      </c>
      <c r="N1521">
        <v>7.7841200000000003E-4</v>
      </c>
      <c r="O1521">
        <v>6.2177800000000002E-4</v>
      </c>
      <c r="P1521">
        <v>1.360885E-3</v>
      </c>
      <c r="Q1521">
        <v>5.1459200000000002E-4</v>
      </c>
      <c r="R1521">
        <v>5.4486499999999995E-4</v>
      </c>
      <c r="S1521">
        <v>5.1919499999999996E-4</v>
      </c>
      <c r="T1521">
        <v>1.46873E-4</v>
      </c>
    </row>
    <row r="1522" spans="1:20" hidden="1" x14ac:dyDescent="0.25">
      <c r="A1522" t="s">
        <v>1530</v>
      </c>
      <c r="B1522">
        <v>0</v>
      </c>
      <c r="C1522" s="1">
        <v>3.4600000000000001E-5</v>
      </c>
      <c r="D1522">
        <v>0</v>
      </c>
      <c r="E1522">
        <v>0</v>
      </c>
      <c r="F1522" s="1">
        <v>4.8399999999999997E-5</v>
      </c>
      <c r="G1522" s="1">
        <v>4.5200000000000001E-5</v>
      </c>
      <c r="H1522" s="1">
        <v>3.2499999999999997E-5</v>
      </c>
      <c r="I1522">
        <v>1.44196E-4</v>
      </c>
      <c r="J1522">
        <v>0</v>
      </c>
      <c r="K1522" s="1">
        <v>4.3999999999999999E-5</v>
      </c>
      <c r="L1522" s="1">
        <v>4.3000000000000002E-5</v>
      </c>
      <c r="M1522" s="1">
        <v>3.7700000000000002E-5</v>
      </c>
      <c r="N1522" s="1">
        <v>4.0000000000000003E-5</v>
      </c>
      <c r="O1522" s="1">
        <v>6.58E-5</v>
      </c>
      <c r="P1522" s="1">
        <v>4.4799999999999998E-5</v>
      </c>
      <c r="Q1522">
        <v>0</v>
      </c>
      <c r="R1522" s="1">
        <v>4.7800000000000003E-5</v>
      </c>
      <c r="S1522" s="1">
        <v>8.03E-5</v>
      </c>
      <c r="T1522" s="1">
        <v>1.52E-5</v>
      </c>
    </row>
    <row r="1523" spans="1:20" hidden="1" x14ac:dyDescent="0.25">
      <c r="A1523" t="s">
        <v>1531</v>
      </c>
      <c r="B1523" s="1">
        <v>3.8300000000000003E-5</v>
      </c>
      <c r="C1523" s="1">
        <v>2.1800000000000001E-5</v>
      </c>
      <c r="D1523" s="1">
        <v>1.9700000000000001E-5</v>
      </c>
      <c r="E1523" s="1">
        <v>1.3900000000000001E-5</v>
      </c>
      <c r="F1523">
        <v>0</v>
      </c>
      <c r="G1523" s="1">
        <v>3.3699999999999999E-5</v>
      </c>
      <c r="H1523" s="1">
        <v>7.86E-5</v>
      </c>
      <c r="I1523" s="1">
        <v>5.8600000000000001E-5</v>
      </c>
      <c r="J1523" s="1">
        <v>9.1899999999999998E-5</v>
      </c>
      <c r="K1523" s="1">
        <v>2.2900000000000001E-5</v>
      </c>
      <c r="L1523" s="1">
        <v>3.3899999999999997E-5</v>
      </c>
      <c r="M1523" s="1">
        <v>4.7700000000000001E-5</v>
      </c>
      <c r="N1523" s="1">
        <v>6.9300000000000004E-5</v>
      </c>
      <c r="O1523" s="1">
        <v>7.9499999999999994E-5</v>
      </c>
      <c r="P1523" s="1">
        <v>6.3899999999999995E-5</v>
      </c>
      <c r="Q1523" s="1">
        <v>5.1900000000000001E-5</v>
      </c>
      <c r="R1523" s="1">
        <v>6.0800000000000001E-5</v>
      </c>
      <c r="S1523" s="1">
        <v>9.9699999999999998E-5</v>
      </c>
      <c r="T1523" s="1">
        <v>5.4500000000000003E-5</v>
      </c>
    </row>
    <row r="1524" spans="1:20" hidden="1" x14ac:dyDescent="0.25">
      <c r="A1524" t="s">
        <v>1532</v>
      </c>
      <c r="B1524">
        <v>1.17843E-4</v>
      </c>
      <c r="C1524" s="1">
        <v>7.5300000000000001E-5</v>
      </c>
      <c r="D1524" s="1">
        <v>3.9900000000000001E-5</v>
      </c>
      <c r="E1524" s="1">
        <v>9.09E-5</v>
      </c>
      <c r="F1524" s="1">
        <v>3.8000000000000002E-5</v>
      </c>
      <c r="G1524" s="1">
        <v>9.7200000000000004E-5</v>
      </c>
      <c r="H1524">
        <v>1.4919099999999999E-4</v>
      </c>
      <c r="I1524">
        <v>1.76436E-4</v>
      </c>
      <c r="J1524">
        <v>1.9330199999999999E-4</v>
      </c>
      <c r="K1524" s="1">
        <v>5.3999999999999998E-5</v>
      </c>
      <c r="L1524" s="1">
        <v>7.86E-5</v>
      </c>
      <c r="M1524">
        <v>1.46985E-4</v>
      </c>
      <c r="N1524">
        <v>1.01066E-4</v>
      </c>
      <c r="O1524">
        <v>1.6573E-4</v>
      </c>
      <c r="P1524" s="1">
        <v>7.4800000000000002E-5</v>
      </c>
      <c r="Q1524" s="1">
        <v>7.64E-5</v>
      </c>
      <c r="R1524" s="1">
        <v>5.9700000000000001E-5</v>
      </c>
      <c r="S1524">
        <v>1.40731E-4</v>
      </c>
      <c r="T1524" s="1">
        <v>9.4500000000000007E-5</v>
      </c>
    </row>
    <row r="1525" spans="1:20" hidden="1" x14ac:dyDescent="0.25">
      <c r="A1525" t="s">
        <v>1533</v>
      </c>
      <c r="B1525" s="1">
        <v>2.3E-5</v>
      </c>
      <c r="C1525" s="1">
        <v>2.09E-5</v>
      </c>
      <c r="D1525" s="1">
        <v>1.9199999999999999E-5</v>
      </c>
      <c r="E1525" s="1">
        <v>1.8E-5</v>
      </c>
      <c r="F1525">
        <v>0</v>
      </c>
      <c r="G1525">
        <v>0</v>
      </c>
      <c r="H1525">
        <v>0</v>
      </c>
      <c r="I1525" s="1">
        <v>1.47E-5</v>
      </c>
      <c r="J1525">
        <v>0</v>
      </c>
      <c r="K1525" s="1">
        <v>1.6900000000000001E-5</v>
      </c>
      <c r="L1525" s="1">
        <v>2.7100000000000001E-5</v>
      </c>
      <c r="M1525" s="1">
        <v>9.2900000000000008E-6</v>
      </c>
      <c r="N1525" s="1">
        <v>2.3799999999999999E-5</v>
      </c>
      <c r="O1525" s="1">
        <v>3.6100000000000003E-5</v>
      </c>
      <c r="P1525">
        <v>0</v>
      </c>
      <c r="Q1525">
        <v>0</v>
      </c>
      <c r="R1525">
        <v>0</v>
      </c>
      <c r="S1525" s="1">
        <v>1.17E-5</v>
      </c>
      <c r="T1525">
        <v>0</v>
      </c>
    </row>
    <row r="1526" spans="1:20" hidden="1" x14ac:dyDescent="0.25">
      <c r="A1526" t="s">
        <v>1534</v>
      </c>
      <c r="B1526">
        <v>0</v>
      </c>
      <c r="C1526">
        <v>0</v>
      </c>
      <c r="D1526">
        <v>0</v>
      </c>
      <c r="E1526">
        <v>0</v>
      </c>
      <c r="F1526">
        <v>0</v>
      </c>
      <c r="G1526" s="1">
        <v>3.7100000000000001E-5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s="1">
        <v>1.27E-5</v>
      </c>
      <c r="Q1526" s="1">
        <v>2.94E-5</v>
      </c>
      <c r="R1526" s="1">
        <v>2.0000000000000002E-5</v>
      </c>
      <c r="S1526" s="1">
        <v>5.3499999999999999E-5</v>
      </c>
      <c r="T1526" s="1">
        <v>4.1100000000000003E-5</v>
      </c>
    </row>
    <row r="1527" spans="1:20" hidden="1" x14ac:dyDescent="0.25">
      <c r="A1527" t="s">
        <v>1535</v>
      </c>
      <c r="B1527" s="1">
        <v>9.8599999999999998E-5</v>
      </c>
      <c r="C1527" s="1">
        <v>9.7399999999999996E-5</v>
      </c>
      <c r="D1527">
        <v>0</v>
      </c>
      <c r="E1527">
        <v>0</v>
      </c>
      <c r="F1527">
        <v>1.4403800000000001E-4</v>
      </c>
      <c r="G1527">
        <v>1.23089E-4</v>
      </c>
      <c r="H1527">
        <v>2.5030499999999998E-4</v>
      </c>
      <c r="I1527">
        <v>2.3378E-4</v>
      </c>
      <c r="J1527">
        <v>1.55243E-4</v>
      </c>
      <c r="K1527">
        <v>0</v>
      </c>
      <c r="L1527">
        <v>0</v>
      </c>
      <c r="M1527">
        <v>0</v>
      </c>
      <c r="N1527">
        <v>2.3432100000000001E-4</v>
      </c>
      <c r="O1527">
        <v>0</v>
      </c>
      <c r="P1527">
        <v>1.5789800000000001E-4</v>
      </c>
      <c r="Q1527">
        <v>1.5608500000000001E-4</v>
      </c>
      <c r="R1527">
        <v>7.4825499999999997E-4</v>
      </c>
      <c r="S1527">
        <v>1.55255E-4</v>
      </c>
      <c r="T1527">
        <v>2.03396E-4</v>
      </c>
    </row>
    <row r="1528" spans="1:20" hidden="1" x14ac:dyDescent="0.25">
      <c r="A1528" t="s">
        <v>1536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3.5648599999999999E-4</v>
      </c>
      <c r="N1528">
        <v>2.9709300000000001E-4</v>
      </c>
      <c r="O1528">
        <v>0</v>
      </c>
      <c r="P1528">
        <v>3.0941699999999998E-4</v>
      </c>
      <c r="Q1528">
        <v>0</v>
      </c>
      <c r="R1528">
        <v>3.3672200000000002E-4</v>
      </c>
      <c r="S1528">
        <v>3.3118999999999998E-4</v>
      </c>
      <c r="T1528">
        <v>3.1468199999999999E-4</v>
      </c>
    </row>
    <row r="1529" spans="1:20" hidden="1" x14ac:dyDescent="0.25">
      <c r="A1529" t="s">
        <v>1537</v>
      </c>
      <c r="B1529">
        <v>0</v>
      </c>
      <c r="C1529">
        <v>0</v>
      </c>
      <c r="D1529" s="1">
        <v>1.8099999999999999E-5</v>
      </c>
      <c r="E1529" s="1">
        <v>1.98E-5</v>
      </c>
      <c r="F1529" s="1">
        <v>8.3499999999999997E-5</v>
      </c>
      <c r="G1529" s="1">
        <v>8.7600000000000002E-5</v>
      </c>
      <c r="H1529" s="1">
        <v>5.6900000000000001E-5</v>
      </c>
      <c r="I1529" s="1">
        <v>6.0999999999999999E-5</v>
      </c>
      <c r="J1529">
        <v>0</v>
      </c>
      <c r="K1529" s="1">
        <v>5.5800000000000001E-5</v>
      </c>
      <c r="L1529" s="1">
        <v>2.02E-5</v>
      </c>
      <c r="M1529" s="1">
        <v>4.8900000000000003E-5</v>
      </c>
      <c r="N1529" s="1">
        <v>4.0099999999999999E-5</v>
      </c>
      <c r="O1529">
        <v>0</v>
      </c>
      <c r="P1529">
        <v>1.8101799999999999E-4</v>
      </c>
      <c r="Q1529">
        <v>3.8043000000000002E-4</v>
      </c>
      <c r="R1529">
        <v>2.8459900000000002E-4</v>
      </c>
      <c r="S1529">
        <v>1.6369900000000001E-4</v>
      </c>
      <c r="T1529">
        <v>6.2421500000000001E-4</v>
      </c>
    </row>
    <row r="1530" spans="1:20" hidden="1" x14ac:dyDescent="0.25">
      <c r="A1530" t="s">
        <v>1538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1">
        <v>3.3800000000000002E-5</v>
      </c>
      <c r="Q1530" s="1">
        <v>6.5400000000000004E-5</v>
      </c>
      <c r="R1530" s="1">
        <v>7.7200000000000006E-5</v>
      </c>
      <c r="S1530" s="1">
        <v>4.1999999999999998E-5</v>
      </c>
      <c r="T1530">
        <v>1.4806699999999999E-4</v>
      </c>
    </row>
    <row r="1531" spans="1:20" hidden="1" x14ac:dyDescent="0.25">
      <c r="A1531" t="s">
        <v>1539</v>
      </c>
      <c r="B1531">
        <v>0</v>
      </c>
      <c r="C1531">
        <v>0</v>
      </c>
      <c r="D1531">
        <v>0</v>
      </c>
      <c r="E1531">
        <v>0</v>
      </c>
      <c r="F1531">
        <v>1.2271800000000001E-4</v>
      </c>
      <c r="G1531" s="1">
        <v>4.1E-5</v>
      </c>
      <c r="H1531" s="1">
        <v>3.7400000000000001E-5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1">
        <v>7.4999999999999993E-5</v>
      </c>
      <c r="Q1531">
        <v>1.8910699999999999E-4</v>
      </c>
      <c r="R1531">
        <v>1.4431900000000001E-4</v>
      </c>
      <c r="S1531">
        <v>0</v>
      </c>
      <c r="T1531">
        <v>2.2009300000000001E-4</v>
      </c>
    </row>
    <row r="1532" spans="1:20" hidden="1" x14ac:dyDescent="0.25">
      <c r="A1532" t="s">
        <v>1540</v>
      </c>
      <c r="B1532" s="1">
        <v>2.6100000000000001E-5</v>
      </c>
      <c r="C1532">
        <v>0</v>
      </c>
      <c r="D1532">
        <v>0</v>
      </c>
      <c r="E1532" s="1">
        <v>1.5400000000000002E-5</v>
      </c>
      <c r="F1532" s="1">
        <v>9.5999999999999996E-6</v>
      </c>
      <c r="G1532">
        <v>0</v>
      </c>
      <c r="H1532" s="1">
        <v>6.0699999999999998E-5</v>
      </c>
      <c r="I1532" s="1">
        <v>1.6399999999999999E-5</v>
      </c>
      <c r="J1532" s="1">
        <v>3.7299999999999999E-5</v>
      </c>
      <c r="K1532" s="1">
        <v>1.3900000000000001E-5</v>
      </c>
      <c r="L1532" s="1">
        <v>1.4E-5</v>
      </c>
      <c r="M1532">
        <v>0</v>
      </c>
      <c r="N1532" s="1">
        <v>3.0599999999999998E-5</v>
      </c>
      <c r="O1532" s="1">
        <v>2.05E-5</v>
      </c>
      <c r="P1532" s="1">
        <v>3.5099999999999999E-5</v>
      </c>
      <c r="Q1532" s="1">
        <v>3.1600000000000002E-5</v>
      </c>
      <c r="R1532" s="1">
        <v>4.2700000000000001E-5</v>
      </c>
      <c r="S1532" s="1">
        <v>3.8000000000000002E-5</v>
      </c>
      <c r="T1532">
        <v>0</v>
      </c>
    </row>
    <row r="1533" spans="1:20" hidden="1" x14ac:dyDescent="0.25">
      <c r="A1533" t="s">
        <v>1541</v>
      </c>
      <c r="B1533" s="1">
        <v>3.0800000000000003E-5</v>
      </c>
      <c r="C1533" s="1">
        <v>4.4100000000000001E-5</v>
      </c>
      <c r="D1533" s="1">
        <v>4.9400000000000001E-5</v>
      </c>
      <c r="E1533" s="1">
        <v>4.3600000000000003E-5</v>
      </c>
      <c r="F1533" s="1">
        <v>2.4600000000000002E-5</v>
      </c>
      <c r="G1533" s="1">
        <v>1.9300000000000002E-5</v>
      </c>
      <c r="H1533" s="1">
        <v>1.5800000000000001E-5</v>
      </c>
      <c r="I1533" s="1">
        <v>2.8200000000000001E-5</v>
      </c>
      <c r="J1533" s="1">
        <v>1.9599999999999999E-5</v>
      </c>
      <c r="K1533" s="1">
        <v>2.9200000000000002E-5</v>
      </c>
      <c r="L1533" s="1">
        <v>2.4300000000000001E-5</v>
      </c>
      <c r="M1533" s="1">
        <v>1.3699999999999999E-5</v>
      </c>
      <c r="N1533" s="1">
        <v>2.1500000000000001E-5</v>
      </c>
      <c r="O1533" s="1">
        <v>2.6400000000000001E-5</v>
      </c>
      <c r="P1533" s="1">
        <v>1.1600000000000001E-5</v>
      </c>
      <c r="Q1533" s="1">
        <v>5.5099999999999998E-6</v>
      </c>
      <c r="R1533">
        <v>0</v>
      </c>
      <c r="S1533">
        <v>0</v>
      </c>
      <c r="T1533">
        <v>0</v>
      </c>
    </row>
    <row r="1534" spans="1:20" hidden="1" x14ac:dyDescent="0.25">
      <c r="A1534" t="s">
        <v>1542</v>
      </c>
      <c r="B1534">
        <v>0</v>
      </c>
      <c r="C1534" s="1">
        <v>8.9400000000000005E-5</v>
      </c>
      <c r="D1534" s="1">
        <v>9.7100000000000002E-5</v>
      </c>
      <c r="E1534" s="1">
        <v>9.4199999999999999E-5</v>
      </c>
      <c r="F1534" s="1">
        <v>5.7599999999999997E-5</v>
      </c>
      <c r="G1534" s="1">
        <v>6.6400000000000001E-5</v>
      </c>
      <c r="H1534" s="1">
        <v>3.2199999999999997E-5</v>
      </c>
      <c r="I1534" s="1">
        <v>5.0800000000000002E-5</v>
      </c>
      <c r="J1534" s="1">
        <v>3.7400000000000001E-5</v>
      </c>
      <c r="K1534" s="1">
        <v>5.9200000000000002E-5</v>
      </c>
      <c r="L1534" s="1">
        <v>7.9800000000000002E-5</v>
      </c>
      <c r="M1534" s="1">
        <v>4.3800000000000001E-5</v>
      </c>
      <c r="N1534" s="1">
        <v>3.8699999999999999E-5</v>
      </c>
      <c r="O1534" s="1">
        <v>6.02E-5</v>
      </c>
      <c r="P1534" s="1">
        <v>3.8600000000000003E-5</v>
      </c>
      <c r="Q1534" s="1">
        <v>4.3600000000000003E-5</v>
      </c>
      <c r="R1534" s="1">
        <v>3.4799999999999999E-5</v>
      </c>
      <c r="S1534" s="1">
        <v>5.7299999999999997E-5</v>
      </c>
      <c r="T1534" s="1">
        <v>3.8999999999999999E-5</v>
      </c>
    </row>
    <row r="1535" spans="1:20" hidden="1" x14ac:dyDescent="0.25">
      <c r="A1535" t="s">
        <v>1543</v>
      </c>
      <c r="B1535">
        <v>0</v>
      </c>
      <c r="C1535">
        <v>1.73685E-4</v>
      </c>
      <c r="D1535">
        <v>1.5725400000000001E-4</v>
      </c>
      <c r="E1535" s="1">
        <v>8.4499999999999994E-5</v>
      </c>
      <c r="F1535">
        <v>0</v>
      </c>
      <c r="G1535" s="1">
        <v>8.25E-5</v>
      </c>
      <c r="H1535">
        <v>0</v>
      </c>
      <c r="I1535">
        <v>0</v>
      </c>
      <c r="J1535">
        <v>0</v>
      </c>
      <c r="K1535" s="1">
        <v>6.5500000000000006E-5</v>
      </c>
      <c r="L1535" s="1">
        <v>8.7399999999999997E-5</v>
      </c>
      <c r="M1535" s="1">
        <v>4.1E-5</v>
      </c>
      <c r="N1535" s="1">
        <v>5.94E-5</v>
      </c>
      <c r="O1535" s="1">
        <v>6.1600000000000007E-5</v>
      </c>
      <c r="P1535" s="1">
        <v>3.0599999999999998E-5</v>
      </c>
      <c r="Q1535">
        <v>0</v>
      </c>
      <c r="R1535" s="1">
        <v>2.6400000000000001E-5</v>
      </c>
      <c r="S1535">
        <v>0</v>
      </c>
      <c r="T1535">
        <v>0</v>
      </c>
    </row>
    <row r="1536" spans="1:20" hidden="1" x14ac:dyDescent="0.25">
      <c r="A1536" t="s">
        <v>1544</v>
      </c>
      <c r="B1536">
        <v>4.8424999999999998E-4</v>
      </c>
      <c r="C1536">
        <v>3.8287500000000002E-4</v>
      </c>
      <c r="D1536">
        <v>3.2685199999999998E-4</v>
      </c>
      <c r="E1536">
        <v>3.9468400000000002E-4</v>
      </c>
      <c r="F1536">
        <v>4.7385400000000001E-4</v>
      </c>
      <c r="G1536">
        <v>4.88479E-4</v>
      </c>
      <c r="H1536">
        <v>4.9132199999999998E-4</v>
      </c>
      <c r="I1536">
        <v>5.84496E-4</v>
      </c>
      <c r="J1536">
        <v>5.7449900000000002E-4</v>
      </c>
      <c r="K1536">
        <v>3.4829099999999998E-4</v>
      </c>
      <c r="L1536">
        <v>4.6472100000000003E-4</v>
      </c>
      <c r="M1536">
        <v>5.8097499999999996E-4</v>
      </c>
      <c r="N1536">
        <v>1.054241E-3</v>
      </c>
      <c r="O1536">
        <v>5.6752899999999999E-4</v>
      </c>
      <c r="P1536">
        <v>5.4562499999999999E-4</v>
      </c>
      <c r="Q1536">
        <v>6.6595999999999995E-4</v>
      </c>
      <c r="R1536">
        <v>5.3922900000000001E-4</v>
      </c>
      <c r="S1536">
        <v>6.7365000000000003E-4</v>
      </c>
      <c r="T1536">
        <v>5.3542800000000001E-4</v>
      </c>
    </row>
    <row r="1537" spans="1:20" hidden="1" x14ac:dyDescent="0.25">
      <c r="A1537" t="s">
        <v>1545</v>
      </c>
      <c r="B1537">
        <v>2.1915300000000001E-4</v>
      </c>
      <c r="C1537">
        <v>2.4627399999999999E-4</v>
      </c>
      <c r="D1537">
        <v>1.9521100000000001E-4</v>
      </c>
      <c r="E1537">
        <v>1.83077E-4</v>
      </c>
      <c r="F1537">
        <v>1.8281600000000001E-4</v>
      </c>
      <c r="G1537">
        <v>0</v>
      </c>
      <c r="H1537">
        <v>0</v>
      </c>
      <c r="I1537">
        <v>2.44553E-4</v>
      </c>
      <c r="J1537">
        <v>2.0633000000000001E-4</v>
      </c>
      <c r="K1537">
        <v>1.8243999999999999E-4</v>
      </c>
      <c r="L1537">
        <v>0</v>
      </c>
      <c r="M1537">
        <v>1.9219800000000001E-4</v>
      </c>
      <c r="N1537">
        <v>4.9126200000000001E-4</v>
      </c>
      <c r="O1537">
        <v>2.1813299999999999E-4</v>
      </c>
      <c r="P1537">
        <v>1.56129E-4</v>
      </c>
      <c r="Q1537">
        <v>0</v>
      </c>
      <c r="R1537">
        <v>0</v>
      </c>
      <c r="S1537">
        <v>0</v>
      </c>
      <c r="T1537" s="1">
        <v>8.0000000000000007E-5</v>
      </c>
    </row>
    <row r="1538" spans="1:20" hidden="1" x14ac:dyDescent="0.25">
      <c r="A1538" t="s">
        <v>1546</v>
      </c>
      <c r="B1538">
        <v>0</v>
      </c>
      <c r="C1538">
        <v>0</v>
      </c>
      <c r="D1538">
        <v>3.9461699999999999E-4</v>
      </c>
      <c r="E1538">
        <v>5.2851500000000002E-4</v>
      </c>
      <c r="F1538">
        <v>4.4352699999999998E-4</v>
      </c>
      <c r="G1538">
        <v>3.9343199999999998E-4</v>
      </c>
      <c r="H1538">
        <v>4.1441900000000002E-4</v>
      </c>
      <c r="I1538">
        <v>7.1402200000000003E-4</v>
      </c>
      <c r="J1538">
        <v>3.4291999999999998E-4</v>
      </c>
      <c r="K1538">
        <v>0</v>
      </c>
      <c r="L1538">
        <v>3.9912299999999998E-4</v>
      </c>
      <c r="M1538">
        <v>0</v>
      </c>
      <c r="N1538">
        <v>9.791750000000001E-4</v>
      </c>
      <c r="O1538">
        <v>4.8183500000000001E-4</v>
      </c>
      <c r="P1538">
        <v>3.58804E-4</v>
      </c>
      <c r="Q1538">
        <v>3.9629500000000001E-4</v>
      </c>
      <c r="R1538">
        <v>0</v>
      </c>
      <c r="S1538">
        <v>0</v>
      </c>
      <c r="T1538">
        <v>3.83025E-4</v>
      </c>
    </row>
    <row r="1539" spans="1:20" hidden="1" x14ac:dyDescent="0.25">
      <c r="A1539" t="s">
        <v>1547</v>
      </c>
      <c r="B1539" s="1">
        <v>5.4700000000000001E-5</v>
      </c>
      <c r="C1539" s="1">
        <v>7.7899999999999996E-5</v>
      </c>
      <c r="D1539">
        <v>1.2979199999999999E-4</v>
      </c>
      <c r="E1539" s="1">
        <v>9.7600000000000001E-5</v>
      </c>
      <c r="F1539" s="1">
        <v>5.9599999999999999E-5</v>
      </c>
      <c r="G1539">
        <v>0</v>
      </c>
      <c r="H1539">
        <v>0</v>
      </c>
      <c r="I1539">
        <v>0</v>
      </c>
      <c r="J1539" s="1">
        <v>4.0599999999999998E-5</v>
      </c>
      <c r="K1539" s="1">
        <v>7.3899999999999994E-5</v>
      </c>
      <c r="L1539" s="1">
        <v>5.2500000000000002E-5</v>
      </c>
      <c r="M1539">
        <v>0</v>
      </c>
      <c r="N1539">
        <v>0</v>
      </c>
      <c r="O1539" s="1">
        <v>4.9299999999999999E-5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hidden="1" x14ac:dyDescent="0.25">
      <c r="A1540" t="s">
        <v>1548</v>
      </c>
      <c r="B1540">
        <v>1.0001470000000001E-3</v>
      </c>
      <c r="C1540">
        <v>1.3294170000000001E-3</v>
      </c>
      <c r="D1540">
        <v>1.493554E-3</v>
      </c>
      <c r="E1540">
        <v>1.749132E-3</v>
      </c>
      <c r="F1540">
        <v>1.235306E-3</v>
      </c>
      <c r="G1540">
        <v>7.1613999999999998E-4</v>
      </c>
      <c r="H1540">
        <v>7.2428900000000003E-4</v>
      </c>
      <c r="I1540">
        <v>1.0524110000000001E-3</v>
      </c>
      <c r="J1540">
        <v>1.014105E-3</v>
      </c>
      <c r="K1540">
        <v>1.575295E-3</v>
      </c>
      <c r="L1540">
        <v>1.327015E-3</v>
      </c>
      <c r="M1540">
        <v>6.4417999999999995E-4</v>
      </c>
      <c r="N1540">
        <v>5.2124199999999999E-4</v>
      </c>
      <c r="O1540">
        <v>8.7980600000000001E-4</v>
      </c>
      <c r="P1540">
        <v>4.2397799999999999E-4</v>
      </c>
      <c r="Q1540">
        <v>2.0631299999999999E-4</v>
      </c>
      <c r="R1540">
        <v>2.4477E-4</v>
      </c>
      <c r="S1540">
        <v>2.0549000000000001E-4</v>
      </c>
      <c r="T1540">
        <v>2.6922200000000001E-4</v>
      </c>
    </row>
    <row r="1541" spans="1:20" hidden="1" x14ac:dyDescent="0.25">
      <c r="A1541" t="s">
        <v>1549</v>
      </c>
      <c r="B1541" s="1">
        <v>6.7399999999999998E-5</v>
      </c>
      <c r="C1541">
        <v>1.13347E-4</v>
      </c>
      <c r="D1541">
        <v>1.4811800000000001E-4</v>
      </c>
      <c r="E1541">
        <v>1.75804E-4</v>
      </c>
      <c r="F1541" s="1">
        <v>9.5000000000000005E-5</v>
      </c>
      <c r="G1541" s="1">
        <v>6.1199999999999997E-5</v>
      </c>
      <c r="H1541" s="1">
        <v>5.9700000000000001E-5</v>
      </c>
      <c r="I1541" s="1">
        <v>8.5400000000000002E-5</v>
      </c>
      <c r="J1541" s="1">
        <v>7.4499999999999995E-5</v>
      </c>
      <c r="K1541">
        <v>1.20994E-4</v>
      </c>
      <c r="L1541" s="1">
        <v>7.7399999999999998E-5</v>
      </c>
      <c r="M1541" s="1">
        <v>4.5800000000000002E-5</v>
      </c>
      <c r="N1541" s="1">
        <v>4.1999999999999998E-5</v>
      </c>
      <c r="O1541" s="1">
        <v>7.0099999999999996E-5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hidden="1" x14ac:dyDescent="0.25">
      <c r="A1542" t="s">
        <v>1550</v>
      </c>
      <c r="B1542">
        <v>0</v>
      </c>
      <c r="C1542">
        <v>0</v>
      </c>
      <c r="D1542" s="1">
        <v>3.0800000000000003E-5</v>
      </c>
      <c r="E1542" s="1">
        <v>3.4600000000000001E-5</v>
      </c>
      <c r="F1542">
        <v>0</v>
      </c>
      <c r="G1542" s="1">
        <v>1.8E-5</v>
      </c>
      <c r="H1542">
        <v>0</v>
      </c>
      <c r="I1542">
        <v>0</v>
      </c>
      <c r="J1542">
        <v>0</v>
      </c>
      <c r="K1542">
        <v>0</v>
      </c>
      <c r="L1542" s="1">
        <v>2.4000000000000001E-5</v>
      </c>
      <c r="M1542">
        <v>0</v>
      </c>
      <c r="N1542">
        <v>0</v>
      </c>
      <c r="O1542">
        <v>0</v>
      </c>
      <c r="P1542">
        <v>0</v>
      </c>
      <c r="Q1542" s="1">
        <v>1.5999999999999999E-5</v>
      </c>
      <c r="R1542" s="1">
        <v>1.1399999999999999E-5</v>
      </c>
      <c r="S1542" s="1">
        <v>1.6699999999999999E-5</v>
      </c>
      <c r="T1542" s="1">
        <v>2.8500000000000002E-5</v>
      </c>
    </row>
    <row r="1543" spans="1:20" hidden="1" x14ac:dyDescent="0.25">
      <c r="A1543" t="s">
        <v>1551</v>
      </c>
      <c r="B1543" s="1">
        <v>8.0099999999999995E-5</v>
      </c>
      <c r="C1543">
        <v>3.9155400000000001E-4</v>
      </c>
      <c r="D1543">
        <v>2.4723200000000001E-4</v>
      </c>
      <c r="E1543">
        <v>2.22747E-4</v>
      </c>
      <c r="F1543">
        <v>1.2645199999999999E-4</v>
      </c>
      <c r="G1543">
        <v>1.8475800000000001E-4</v>
      </c>
      <c r="H1543">
        <v>1.69242E-4</v>
      </c>
      <c r="I1543" s="1">
        <v>9.0600000000000007E-5</v>
      </c>
      <c r="J1543" s="1">
        <v>9.7E-5</v>
      </c>
      <c r="K1543">
        <v>2.4949800000000002E-4</v>
      </c>
      <c r="L1543">
        <v>2.2590500000000001E-4</v>
      </c>
      <c r="M1543" s="1">
        <v>7.4999999999999993E-5</v>
      </c>
      <c r="N1543" s="1">
        <v>8.3200000000000003E-5</v>
      </c>
      <c r="O1543" s="1">
        <v>7.6000000000000004E-5</v>
      </c>
      <c r="P1543" s="1">
        <v>4.0299999999999997E-5</v>
      </c>
      <c r="Q1543" s="1">
        <v>5.13E-5</v>
      </c>
      <c r="R1543" s="1">
        <v>4.0200000000000001E-5</v>
      </c>
      <c r="S1543" s="1">
        <v>3.0800000000000003E-5</v>
      </c>
      <c r="T1543" s="1">
        <v>8.8900000000000006E-5</v>
      </c>
    </row>
    <row r="1544" spans="1:20" hidden="1" x14ac:dyDescent="0.25">
      <c r="A1544" t="s">
        <v>1552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 s="1">
        <v>9.4199999999999996E-6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s="1">
        <v>1.1800000000000001E-5</v>
      </c>
      <c r="Q1544" s="1">
        <v>1.08E-5</v>
      </c>
      <c r="R1544" s="1">
        <v>1.43E-5</v>
      </c>
      <c r="S1544" s="1">
        <v>7.1400000000000002E-6</v>
      </c>
      <c r="T1544" s="1">
        <v>8.0700000000000007E-6</v>
      </c>
    </row>
    <row r="1545" spans="1:20" hidden="1" x14ac:dyDescent="0.25">
      <c r="A1545" t="s">
        <v>1553</v>
      </c>
      <c r="B1545">
        <v>6.6426899999999999E-4</v>
      </c>
      <c r="C1545">
        <v>3.6384999999999998E-4</v>
      </c>
      <c r="D1545">
        <v>5.9860299999999996E-4</v>
      </c>
      <c r="E1545">
        <v>5.2797599999999999E-4</v>
      </c>
      <c r="F1545">
        <v>6.9803200000000001E-4</v>
      </c>
      <c r="G1545">
        <v>7.6871100000000005E-4</v>
      </c>
      <c r="H1545">
        <v>1.358092E-3</v>
      </c>
      <c r="I1545">
        <v>5.3614199999999998E-4</v>
      </c>
      <c r="J1545">
        <v>5.3958999999999995E-4</v>
      </c>
      <c r="K1545">
        <v>5.0933200000000004E-4</v>
      </c>
      <c r="L1545">
        <v>5.9776199999999995E-4</v>
      </c>
      <c r="M1545">
        <v>6.8682499999999996E-4</v>
      </c>
      <c r="N1545">
        <v>3.7829299999999998E-4</v>
      </c>
      <c r="O1545">
        <v>5.1183000000000001E-4</v>
      </c>
      <c r="P1545">
        <v>4.1335599999999998E-4</v>
      </c>
      <c r="Q1545">
        <v>7.2421499999999995E-4</v>
      </c>
      <c r="R1545">
        <v>4.4863699999999999E-4</v>
      </c>
      <c r="S1545">
        <v>2.8373E-4</v>
      </c>
      <c r="T1545">
        <v>7.3073500000000004E-4</v>
      </c>
    </row>
    <row r="1546" spans="1:20" hidden="1" x14ac:dyDescent="0.25">
      <c r="A1546" t="s">
        <v>1554</v>
      </c>
      <c r="B1546">
        <v>1.2531599999999999E-4</v>
      </c>
      <c r="C1546">
        <v>2.9614700000000002E-4</v>
      </c>
      <c r="D1546">
        <v>1.5435700000000001E-4</v>
      </c>
      <c r="E1546">
        <v>1.5018400000000001E-4</v>
      </c>
      <c r="F1546">
        <v>2.35999E-4</v>
      </c>
      <c r="G1546">
        <v>5.1706199999999999E-4</v>
      </c>
      <c r="H1546">
        <v>4.1153199999999999E-4</v>
      </c>
      <c r="I1546">
        <v>3.2068400000000001E-4</v>
      </c>
      <c r="J1546">
        <v>2.3756100000000001E-4</v>
      </c>
      <c r="K1546">
        <v>2.7697900000000001E-4</v>
      </c>
      <c r="L1546">
        <v>4.7976399999999998E-4</v>
      </c>
      <c r="M1546">
        <v>3.3680400000000001E-4</v>
      </c>
      <c r="N1546">
        <v>2.6358600000000001E-4</v>
      </c>
      <c r="O1546">
        <v>2.5715100000000001E-4</v>
      </c>
      <c r="P1546">
        <v>2.7882699999999999E-4</v>
      </c>
      <c r="Q1546">
        <v>1.08948E-4</v>
      </c>
      <c r="R1546">
        <v>2.5861299999999999E-4</v>
      </c>
      <c r="S1546" s="1">
        <v>7.75E-5</v>
      </c>
      <c r="T1546">
        <v>1.0718900000000001E-4</v>
      </c>
    </row>
    <row r="1547" spans="1:20" hidden="1" x14ac:dyDescent="0.25">
      <c r="A1547" t="s">
        <v>1555</v>
      </c>
      <c r="B1547">
        <v>8.3600099999999995E-4</v>
      </c>
      <c r="C1547">
        <v>1.2806E-3</v>
      </c>
      <c r="D1547">
        <v>1.142779E-3</v>
      </c>
      <c r="E1547">
        <v>1.153985E-3</v>
      </c>
      <c r="F1547">
        <v>1.172422E-3</v>
      </c>
      <c r="G1547">
        <v>1.264112E-3</v>
      </c>
      <c r="H1547">
        <v>8.0729800000000002E-4</v>
      </c>
      <c r="I1547">
        <v>1.4402849999999999E-3</v>
      </c>
      <c r="J1547">
        <v>1.0431769999999999E-3</v>
      </c>
      <c r="K1547">
        <v>1.0967629999999999E-3</v>
      </c>
      <c r="L1547">
        <v>1.151397E-3</v>
      </c>
      <c r="M1547">
        <v>8.9481499999999998E-4</v>
      </c>
      <c r="N1547">
        <v>1.540058E-3</v>
      </c>
      <c r="O1547">
        <v>1.046904E-3</v>
      </c>
      <c r="P1547">
        <v>9.5373799999999998E-4</v>
      </c>
      <c r="Q1547">
        <v>1.0514330000000001E-3</v>
      </c>
      <c r="R1547">
        <v>1.1540949999999999E-3</v>
      </c>
      <c r="S1547">
        <v>1.4756680000000001E-3</v>
      </c>
      <c r="T1547">
        <v>1.000784E-3</v>
      </c>
    </row>
    <row r="1548" spans="1:20" hidden="1" x14ac:dyDescent="0.25">
      <c r="A1548" t="s">
        <v>1556</v>
      </c>
      <c r="B1548" s="1">
        <v>9.1600000000000004E-6</v>
      </c>
      <c r="C1548" s="1">
        <v>1.91E-5</v>
      </c>
      <c r="D1548" s="1">
        <v>1.36E-5</v>
      </c>
      <c r="E1548" s="1">
        <v>9.6399999999999992E-6</v>
      </c>
      <c r="F1548" s="1">
        <v>5.6300000000000003E-6</v>
      </c>
      <c r="G1548" s="1">
        <v>1.15E-5</v>
      </c>
      <c r="H1548" s="1">
        <v>6.7299999999999999E-6</v>
      </c>
      <c r="I1548" s="1">
        <v>9.5799999999999998E-6</v>
      </c>
      <c r="J1548" s="1">
        <v>8.9600000000000006E-6</v>
      </c>
      <c r="K1548" s="1">
        <v>9.3100000000000006E-6</v>
      </c>
      <c r="L1548" s="1">
        <v>1.11E-5</v>
      </c>
      <c r="M1548" s="1">
        <v>8.67E-6</v>
      </c>
      <c r="N1548" s="1">
        <v>9.0799999999999995E-6</v>
      </c>
      <c r="O1548" s="1">
        <v>6.3199999999999996E-6</v>
      </c>
      <c r="P1548" s="1">
        <v>7.17E-6</v>
      </c>
      <c r="Q1548" s="1">
        <v>6.6900000000000003E-6</v>
      </c>
      <c r="R1548">
        <v>0</v>
      </c>
      <c r="S1548" s="1">
        <v>6.8700000000000003E-6</v>
      </c>
      <c r="T1548" s="1">
        <v>5.6099999999999997E-6</v>
      </c>
    </row>
    <row r="1549" spans="1:20" hidden="1" x14ac:dyDescent="0.25">
      <c r="A1549" t="s">
        <v>1557</v>
      </c>
      <c r="B1549" s="1">
        <v>6.3299999999999994E-5</v>
      </c>
      <c r="C1549" s="1">
        <v>5.3600000000000002E-5</v>
      </c>
      <c r="D1549" s="1">
        <v>4.5000000000000003E-5</v>
      </c>
      <c r="E1549" s="1">
        <v>2.3799999999999999E-5</v>
      </c>
      <c r="F1549" s="1">
        <v>3.68E-5</v>
      </c>
      <c r="G1549" s="1">
        <v>9.3300000000000005E-5</v>
      </c>
      <c r="H1549" s="1">
        <v>5.2299999999999997E-5</v>
      </c>
      <c r="I1549" s="1">
        <v>3.3599999999999997E-5</v>
      </c>
      <c r="J1549" s="1">
        <v>6.0999999999999999E-5</v>
      </c>
      <c r="K1549" s="1">
        <v>3.68E-5</v>
      </c>
      <c r="L1549" s="1">
        <v>4.6999999999999997E-5</v>
      </c>
      <c r="M1549" s="1">
        <v>5.4400000000000001E-5</v>
      </c>
      <c r="N1549" s="1">
        <v>3.7200000000000003E-5</v>
      </c>
      <c r="O1549" s="1">
        <v>2.2099999999999998E-5</v>
      </c>
      <c r="P1549" s="1">
        <v>4.3699999999999998E-5</v>
      </c>
      <c r="Q1549" s="1">
        <v>4.0500000000000002E-5</v>
      </c>
      <c r="R1549" s="1">
        <v>2.58E-5</v>
      </c>
      <c r="S1549" s="1">
        <v>1.15E-5</v>
      </c>
      <c r="T1549" s="1">
        <v>5.7099999999999999E-5</v>
      </c>
    </row>
    <row r="1550" spans="1:20" hidden="1" x14ac:dyDescent="0.25">
      <c r="A1550" t="s">
        <v>1558</v>
      </c>
      <c r="B1550">
        <v>1.63151E-4</v>
      </c>
      <c r="C1550">
        <v>0</v>
      </c>
      <c r="D1550">
        <v>0</v>
      </c>
      <c r="E1550">
        <v>0</v>
      </c>
      <c r="F1550">
        <v>3.2673400000000002E-4</v>
      </c>
      <c r="G1550">
        <v>2.6411199999999999E-4</v>
      </c>
      <c r="H1550">
        <v>1.57415E-4</v>
      </c>
      <c r="I1550">
        <v>2.2382200000000001E-4</v>
      </c>
      <c r="J1550">
        <v>4.8862199999999997E-4</v>
      </c>
      <c r="K1550">
        <v>1.3230199999999999E-4</v>
      </c>
      <c r="L1550">
        <v>2.1234199999999999E-4</v>
      </c>
      <c r="M1550">
        <v>4.0637300000000002E-4</v>
      </c>
      <c r="N1550">
        <v>0</v>
      </c>
      <c r="O1550">
        <v>0</v>
      </c>
      <c r="P1550">
        <v>6.9965299999999995E-4</v>
      </c>
      <c r="Q1550">
        <v>9.4267999999999999E-4</v>
      </c>
      <c r="R1550">
        <v>1.925609E-3</v>
      </c>
      <c r="S1550">
        <v>9.2795599999999996E-4</v>
      </c>
      <c r="T1550">
        <v>1.5228780000000001E-3</v>
      </c>
    </row>
    <row r="1551" spans="1:20" hidden="1" x14ac:dyDescent="0.25">
      <c r="A1551" t="s">
        <v>1559</v>
      </c>
      <c r="B1551" s="1">
        <v>5.1799999999999999E-5</v>
      </c>
      <c r="C1551" s="1">
        <v>4.8300000000000002E-5</v>
      </c>
      <c r="D1551" s="1">
        <v>5.6100000000000002E-5</v>
      </c>
      <c r="E1551" s="1">
        <v>8.3999999999999995E-5</v>
      </c>
      <c r="F1551" s="1">
        <v>4.71E-5</v>
      </c>
      <c r="G1551" s="1">
        <v>3.1900000000000003E-5</v>
      </c>
      <c r="H1551" s="1">
        <v>6.19E-5</v>
      </c>
      <c r="I1551" s="1">
        <v>6.2500000000000001E-5</v>
      </c>
      <c r="J1551" s="1">
        <v>3.0000000000000001E-5</v>
      </c>
      <c r="K1551" s="1">
        <v>4.2899999999999999E-5</v>
      </c>
      <c r="L1551" s="1">
        <v>4.3000000000000002E-5</v>
      </c>
      <c r="M1551" s="1">
        <v>6.0600000000000003E-5</v>
      </c>
      <c r="N1551" s="1">
        <v>3.1099999999999997E-5</v>
      </c>
      <c r="O1551" s="1">
        <v>3.0899999999999999E-5</v>
      </c>
      <c r="P1551" s="1">
        <v>4.1E-5</v>
      </c>
      <c r="Q1551" s="1">
        <v>7.8200000000000003E-5</v>
      </c>
      <c r="R1551" s="1">
        <v>8.3999999999999995E-5</v>
      </c>
      <c r="S1551" s="1">
        <v>9.9699999999999998E-5</v>
      </c>
      <c r="T1551">
        <v>1.20383E-4</v>
      </c>
    </row>
    <row r="1552" spans="1:20" hidden="1" x14ac:dyDescent="0.25">
      <c r="A1552" t="s">
        <v>1560</v>
      </c>
      <c r="B1552">
        <v>1.17932E-4</v>
      </c>
      <c r="C1552">
        <v>0</v>
      </c>
      <c r="D1552" s="1">
        <v>7.3300000000000006E-5</v>
      </c>
      <c r="E1552" s="1">
        <v>7.8300000000000006E-5</v>
      </c>
      <c r="F1552">
        <v>1.10046E-4</v>
      </c>
      <c r="G1552">
        <v>1.2108999999999999E-4</v>
      </c>
      <c r="H1552">
        <v>1.15036E-4</v>
      </c>
      <c r="I1552">
        <v>1.48522E-4</v>
      </c>
      <c r="J1552">
        <v>1.36904E-4</v>
      </c>
      <c r="K1552">
        <v>1.0085E-4</v>
      </c>
      <c r="L1552">
        <v>1.6429699999999999E-4</v>
      </c>
      <c r="M1552">
        <v>1.97584E-4</v>
      </c>
      <c r="N1552">
        <v>1.61886E-4</v>
      </c>
      <c r="O1552" s="1">
        <v>9.7200000000000004E-5</v>
      </c>
      <c r="P1552">
        <v>2.3894300000000001E-4</v>
      </c>
      <c r="Q1552">
        <v>3.6689600000000002E-4</v>
      </c>
      <c r="R1552">
        <v>3.4566499999999999E-4</v>
      </c>
      <c r="S1552">
        <v>1.86446E-4</v>
      </c>
      <c r="T1552">
        <v>1.54332E-4</v>
      </c>
    </row>
    <row r="1553" spans="1:20" hidden="1" x14ac:dyDescent="0.25">
      <c r="A1553" t="s">
        <v>1561</v>
      </c>
      <c r="B1553">
        <v>2.19218E-4</v>
      </c>
      <c r="C1553">
        <v>2.4609799999999999E-4</v>
      </c>
      <c r="D1553">
        <v>3.0962699999999998E-4</v>
      </c>
      <c r="E1553">
        <v>2.5630899999999997E-4</v>
      </c>
      <c r="F1553">
        <v>2.5267699999999998E-4</v>
      </c>
      <c r="G1553">
        <v>1.80817E-4</v>
      </c>
      <c r="H1553">
        <v>5.13971E-4</v>
      </c>
      <c r="I1553">
        <v>1.4671199999999999E-4</v>
      </c>
      <c r="J1553">
        <v>2.1579499999999999E-4</v>
      </c>
      <c r="K1553">
        <v>2.54885E-4</v>
      </c>
      <c r="L1553">
        <v>2.42332E-4</v>
      </c>
      <c r="M1553">
        <v>1.04139E-4</v>
      </c>
      <c r="N1553" s="1">
        <v>6.7299999999999996E-5</v>
      </c>
      <c r="O1553">
        <v>1.16284E-4</v>
      </c>
      <c r="P1553" s="1">
        <v>5.7000000000000003E-5</v>
      </c>
      <c r="Q1553" s="1">
        <v>5.8499999999999999E-5</v>
      </c>
      <c r="R1553">
        <v>0</v>
      </c>
      <c r="S1553">
        <v>0</v>
      </c>
      <c r="T1553" s="1">
        <v>9.7100000000000002E-5</v>
      </c>
    </row>
    <row r="1554" spans="1:20" hidden="1" x14ac:dyDescent="0.25">
      <c r="A1554" t="s">
        <v>1562</v>
      </c>
      <c r="B1554">
        <v>7.2964120000000004E-3</v>
      </c>
      <c r="C1554">
        <v>6.3146590000000002E-3</v>
      </c>
      <c r="D1554">
        <v>5.3170470000000001E-3</v>
      </c>
      <c r="E1554">
        <v>7.0089540000000004E-3</v>
      </c>
      <c r="F1554">
        <v>5.0096359999999996E-3</v>
      </c>
      <c r="G1554">
        <v>6.8289049999999997E-3</v>
      </c>
      <c r="H1554">
        <v>4.8754690000000003E-3</v>
      </c>
      <c r="I1554">
        <v>7.0086460000000003E-3</v>
      </c>
      <c r="J1554">
        <v>5.440706E-3</v>
      </c>
      <c r="K1554">
        <v>4.6976099999999996E-3</v>
      </c>
      <c r="L1554">
        <v>4.9054490000000001E-3</v>
      </c>
      <c r="M1554">
        <v>5.6971340000000004E-3</v>
      </c>
      <c r="N1554">
        <v>3.7297649999999999E-3</v>
      </c>
      <c r="O1554">
        <v>3.9323960000000003E-3</v>
      </c>
      <c r="P1554">
        <v>4.5080509999999999E-3</v>
      </c>
      <c r="Q1554">
        <v>2.3069990000000001E-3</v>
      </c>
      <c r="R1554">
        <v>2.7904570000000001E-3</v>
      </c>
      <c r="S1554">
        <v>3.0684929999999998E-3</v>
      </c>
      <c r="T1554">
        <v>2.7198909999999999E-3</v>
      </c>
    </row>
    <row r="1555" spans="1:20" hidden="1" x14ac:dyDescent="0.25">
      <c r="A1555" t="s">
        <v>1563</v>
      </c>
      <c r="B1555">
        <v>3.7686550000000001E-3</v>
      </c>
      <c r="C1555">
        <v>3.0005100000000001E-3</v>
      </c>
      <c r="D1555">
        <v>2.6986509999999998E-3</v>
      </c>
      <c r="E1555">
        <v>2.5716889999999998E-3</v>
      </c>
      <c r="F1555">
        <v>2.4997840000000001E-3</v>
      </c>
      <c r="G1555">
        <v>3.3660080000000002E-3</v>
      </c>
      <c r="H1555">
        <v>2.836313E-3</v>
      </c>
      <c r="I1555">
        <v>3.0761849999999999E-3</v>
      </c>
      <c r="J1555">
        <v>3.1420609999999998E-3</v>
      </c>
      <c r="K1555">
        <v>2.657441E-3</v>
      </c>
      <c r="L1555">
        <v>2.526117E-3</v>
      </c>
      <c r="M1555">
        <v>3.381528E-3</v>
      </c>
      <c r="N1555">
        <v>2.071856E-3</v>
      </c>
      <c r="O1555">
        <v>1.894981E-3</v>
      </c>
      <c r="P1555">
        <v>4.5118930000000003E-3</v>
      </c>
      <c r="Q1555">
        <v>5.2499850000000004E-3</v>
      </c>
      <c r="R1555">
        <v>4.0576500000000003E-3</v>
      </c>
      <c r="S1555">
        <v>4.155967E-3</v>
      </c>
      <c r="T1555">
        <v>4.3063659999999998E-3</v>
      </c>
    </row>
    <row r="1556" spans="1:20" hidden="1" x14ac:dyDescent="0.25">
      <c r="A1556" t="s">
        <v>1564</v>
      </c>
      <c r="B1556">
        <v>2.81472E-4</v>
      </c>
      <c r="C1556">
        <v>2.5916699999999998E-4</v>
      </c>
      <c r="D1556">
        <v>2.1389799999999999E-4</v>
      </c>
      <c r="E1556">
        <v>3.19117E-4</v>
      </c>
      <c r="F1556">
        <v>2.8013300000000001E-4</v>
      </c>
      <c r="G1556">
        <v>3.2676999999999999E-4</v>
      </c>
      <c r="H1556">
        <v>3.3938099999999998E-4</v>
      </c>
      <c r="I1556">
        <v>5.1916899999999999E-4</v>
      </c>
      <c r="J1556">
        <v>3.4241600000000001E-4</v>
      </c>
      <c r="K1556">
        <v>2.5031199999999998E-4</v>
      </c>
      <c r="L1556">
        <v>1.72824E-4</v>
      </c>
      <c r="M1556">
        <v>2.9963599999999999E-4</v>
      </c>
      <c r="N1556">
        <v>1.4747E-4</v>
      </c>
      <c r="O1556">
        <v>2.01657E-4</v>
      </c>
      <c r="P1556">
        <v>3.1358100000000001E-4</v>
      </c>
      <c r="Q1556">
        <v>2.7403900000000001E-4</v>
      </c>
      <c r="R1556">
        <v>2.0667799999999999E-4</v>
      </c>
      <c r="S1556">
        <v>2.9166100000000003E-4</v>
      </c>
      <c r="T1556">
        <v>2.7054800000000001E-4</v>
      </c>
    </row>
    <row r="1557" spans="1:20" hidden="1" x14ac:dyDescent="0.25">
      <c r="A1557" t="s">
        <v>1565</v>
      </c>
      <c r="B1557">
        <v>0</v>
      </c>
      <c r="C1557">
        <v>0</v>
      </c>
      <c r="D1557">
        <v>0</v>
      </c>
      <c r="E1557">
        <v>0</v>
      </c>
      <c r="F1557" s="1">
        <v>2.0599999999999999E-5</v>
      </c>
      <c r="G1557">
        <v>0</v>
      </c>
      <c r="H1557">
        <v>0</v>
      </c>
      <c r="I1557">
        <v>0</v>
      </c>
      <c r="J1557">
        <v>0</v>
      </c>
      <c r="K1557" s="1">
        <v>2.1100000000000001E-5</v>
      </c>
      <c r="L1557">
        <v>0</v>
      </c>
      <c r="M1557">
        <v>0</v>
      </c>
      <c r="N1557">
        <v>0</v>
      </c>
      <c r="O1557">
        <v>0</v>
      </c>
      <c r="P1557" s="1">
        <v>3.4199999999999998E-5</v>
      </c>
      <c r="Q1557">
        <v>1.7170099999999999E-4</v>
      </c>
      <c r="R1557" s="1">
        <v>9.8499999999999995E-5</v>
      </c>
      <c r="S1557" s="1">
        <v>5.0699999999999999E-5</v>
      </c>
      <c r="T1557">
        <v>1.9999500000000001E-4</v>
      </c>
    </row>
    <row r="1558" spans="1:20" hidden="1" x14ac:dyDescent="0.25">
      <c r="A1558" t="s">
        <v>1566</v>
      </c>
      <c r="B1558" s="1">
        <v>3.1900000000000003E-5</v>
      </c>
      <c r="C1558">
        <v>0</v>
      </c>
      <c r="D1558">
        <v>0</v>
      </c>
      <c r="E1558">
        <v>0</v>
      </c>
      <c r="F1558" s="1">
        <v>3.15E-5</v>
      </c>
      <c r="G1558" s="1">
        <v>6.4200000000000002E-5</v>
      </c>
      <c r="H1558" s="1">
        <v>3.4100000000000002E-5</v>
      </c>
      <c r="I1558" s="1">
        <v>4.4799999999999998E-5</v>
      </c>
      <c r="J1558" s="1">
        <v>2.8200000000000001E-5</v>
      </c>
      <c r="K1558">
        <v>0</v>
      </c>
      <c r="L1558">
        <v>0</v>
      </c>
      <c r="M1558">
        <v>0</v>
      </c>
      <c r="N1558">
        <v>0</v>
      </c>
      <c r="O1558">
        <v>0</v>
      </c>
      <c r="P1558" s="1">
        <v>8.6000000000000003E-5</v>
      </c>
      <c r="Q1558">
        <v>1.8762600000000001E-4</v>
      </c>
      <c r="R1558">
        <v>1.1144199999999999E-4</v>
      </c>
      <c r="S1558" s="1">
        <v>5.0599999999999997E-5</v>
      </c>
      <c r="T1558">
        <v>2.76793E-4</v>
      </c>
    </row>
    <row r="1559" spans="1:20" hidden="1" x14ac:dyDescent="0.25">
      <c r="A1559" t="s">
        <v>1567</v>
      </c>
      <c r="B1559" s="1">
        <v>1.52E-5</v>
      </c>
      <c r="C1559">
        <v>0</v>
      </c>
      <c r="D1559" s="1">
        <v>5.9000000000000003E-6</v>
      </c>
      <c r="E1559">
        <v>0</v>
      </c>
      <c r="F1559">
        <v>0</v>
      </c>
      <c r="G1559" s="1">
        <v>3.6199999999999999E-5</v>
      </c>
      <c r="H1559" s="1">
        <v>2.9899999999999998E-5</v>
      </c>
      <c r="I1559" s="1">
        <v>1.2E-5</v>
      </c>
      <c r="J1559">
        <v>0</v>
      </c>
      <c r="K1559" s="1">
        <v>2.0299999999999999E-5</v>
      </c>
      <c r="L1559">
        <v>0</v>
      </c>
      <c r="M1559" s="1">
        <v>1.1399999999999999E-5</v>
      </c>
      <c r="N1559" s="1">
        <v>1.06E-5</v>
      </c>
      <c r="O1559">
        <v>0</v>
      </c>
      <c r="P1559" s="1">
        <v>3.9400000000000002E-5</v>
      </c>
      <c r="Q1559" s="1">
        <v>9.8900000000000005E-5</v>
      </c>
      <c r="R1559" s="1">
        <v>5.1600000000000001E-5</v>
      </c>
      <c r="S1559" s="1">
        <v>2.3799999999999999E-5</v>
      </c>
      <c r="T1559">
        <v>1.4622800000000001E-4</v>
      </c>
    </row>
    <row r="1560" spans="1:20" hidden="1" x14ac:dyDescent="0.25">
      <c r="A1560" t="s">
        <v>1568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s="1">
        <v>7.3300000000000006E-5</v>
      </c>
      <c r="R1560" s="1">
        <v>7.0199999999999999E-5</v>
      </c>
      <c r="S1560" s="1">
        <v>2.62E-5</v>
      </c>
      <c r="T1560">
        <v>1.2379599999999999E-4</v>
      </c>
    </row>
    <row r="1561" spans="1:20" hidden="1" x14ac:dyDescent="0.25">
      <c r="A1561" t="s">
        <v>1569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s="1">
        <v>5.94E-5</v>
      </c>
      <c r="R1561" s="1">
        <v>6.3499999999999999E-5</v>
      </c>
      <c r="S1561" s="1">
        <v>1.9700000000000001E-5</v>
      </c>
      <c r="T1561" s="1">
        <v>6.6299999999999999E-5</v>
      </c>
    </row>
    <row r="1562" spans="1:20" hidden="1" x14ac:dyDescent="0.25">
      <c r="A1562" t="s">
        <v>1570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s="1">
        <v>3.6199999999999999E-5</v>
      </c>
      <c r="R1562" s="1">
        <v>2.27E-5</v>
      </c>
      <c r="S1562" s="1">
        <v>2.4000000000000001E-5</v>
      </c>
      <c r="T1562" s="1">
        <v>8.1600000000000005E-5</v>
      </c>
    </row>
    <row r="1563" spans="1:20" hidden="1" x14ac:dyDescent="0.25">
      <c r="A1563" t="s">
        <v>1571</v>
      </c>
      <c r="B1563" s="1">
        <v>7.4099999999999999E-5</v>
      </c>
      <c r="C1563">
        <v>0</v>
      </c>
      <c r="D1563" s="1">
        <v>2.1800000000000001E-5</v>
      </c>
      <c r="E1563" s="1">
        <v>3.7200000000000003E-5</v>
      </c>
      <c r="F1563" s="1">
        <v>9.7899999999999994E-5</v>
      </c>
      <c r="G1563">
        <v>1.47269E-4</v>
      </c>
      <c r="H1563" s="1">
        <v>7.7100000000000004E-5</v>
      </c>
      <c r="I1563">
        <v>1.00925E-4</v>
      </c>
      <c r="J1563" s="1">
        <v>7.75E-5</v>
      </c>
      <c r="K1563">
        <v>1.03748E-4</v>
      </c>
      <c r="L1563" s="1">
        <v>3.4700000000000003E-5</v>
      </c>
      <c r="M1563" s="1">
        <v>6.05E-5</v>
      </c>
      <c r="N1563" s="1">
        <v>3.0199999999999999E-5</v>
      </c>
      <c r="O1563">
        <v>0</v>
      </c>
      <c r="P1563">
        <v>2.12263E-4</v>
      </c>
      <c r="Q1563">
        <v>5.36426E-4</v>
      </c>
      <c r="R1563">
        <v>3.86189E-4</v>
      </c>
      <c r="S1563">
        <v>1.80366E-4</v>
      </c>
      <c r="T1563">
        <v>7.1505699999999995E-4</v>
      </c>
    </row>
    <row r="1564" spans="1:20" hidden="1" x14ac:dyDescent="0.25">
      <c r="A1564" t="s">
        <v>1572</v>
      </c>
      <c r="B1564">
        <v>2.3476500000000001E-4</v>
      </c>
      <c r="C1564" s="1">
        <v>8.6600000000000004E-5</v>
      </c>
      <c r="D1564">
        <v>1.21561E-4</v>
      </c>
      <c r="E1564">
        <v>1.1938999999999999E-4</v>
      </c>
      <c r="F1564">
        <v>3.4051200000000001E-4</v>
      </c>
      <c r="G1564">
        <v>4.56126E-4</v>
      </c>
      <c r="H1564">
        <v>3.3207100000000003E-4</v>
      </c>
      <c r="I1564">
        <v>3.3845099999999998E-4</v>
      </c>
      <c r="J1564">
        <v>2.6741999999999998E-4</v>
      </c>
      <c r="K1564">
        <v>2.7754199999999998E-4</v>
      </c>
      <c r="L1564">
        <v>1.74155E-4</v>
      </c>
      <c r="M1564">
        <v>2.2768500000000001E-4</v>
      </c>
      <c r="N1564">
        <v>1.48109E-4</v>
      </c>
      <c r="O1564" s="1">
        <v>7.4200000000000001E-5</v>
      </c>
      <c r="P1564">
        <v>8.1587599999999999E-4</v>
      </c>
      <c r="Q1564">
        <v>1.9070339999999999E-3</v>
      </c>
      <c r="R1564">
        <v>1.2339779999999999E-3</v>
      </c>
      <c r="S1564">
        <v>6.43846E-4</v>
      </c>
      <c r="T1564">
        <v>2.2714430000000002E-3</v>
      </c>
    </row>
    <row r="1565" spans="1:20" hidden="1" x14ac:dyDescent="0.25">
      <c r="A1565" t="s">
        <v>1573</v>
      </c>
      <c r="B1565">
        <v>0</v>
      </c>
      <c r="C1565">
        <v>0</v>
      </c>
      <c r="D1565">
        <v>0</v>
      </c>
      <c r="E1565">
        <v>0</v>
      </c>
      <c r="F1565">
        <v>0</v>
      </c>
      <c r="G1565" s="1">
        <v>5.6400000000000002E-5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1.0103E-4</v>
      </c>
      <c r="Q1565">
        <v>2.0515400000000001E-4</v>
      </c>
      <c r="R1565">
        <v>1.6268200000000001E-4</v>
      </c>
      <c r="S1565" s="1">
        <v>6.9999999999999994E-5</v>
      </c>
      <c r="T1565">
        <v>1.9807399999999999E-4</v>
      </c>
    </row>
    <row r="1566" spans="1:20" hidden="1" x14ac:dyDescent="0.25">
      <c r="A1566" t="s">
        <v>1574</v>
      </c>
      <c r="B1566">
        <v>0</v>
      </c>
      <c r="C1566" s="1">
        <v>3.6100000000000003E-5</v>
      </c>
      <c r="D1566" s="1">
        <v>2.8399999999999999E-5</v>
      </c>
      <c r="E1566">
        <v>0</v>
      </c>
      <c r="F1566">
        <v>1.08866E-4</v>
      </c>
      <c r="G1566">
        <v>1.3397999999999999E-4</v>
      </c>
      <c r="H1566">
        <v>0</v>
      </c>
      <c r="I1566">
        <v>0</v>
      </c>
      <c r="J1566">
        <v>0</v>
      </c>
      <c r="K1566" s="1">
        <v>9.4699999999999998E-5</v>
      </c>
      <c r="L1566">
        <v>0</v>
      </c>
      <c r="M1566">
        <v>0</v>
      </c>
      <c r="N1566">
        <v>0</v>
      </c>
      <c r="O1566">
        <v>0</v>
      </c>
      <c r="P1566">
        <v>2.12981E-4</v>
      </c>
      <c r="Q1566">
        <v>4.9470600000000003E-4</v>
      </c>
      <c r="R1566">
        <v>3.75781E-4</v>
      </c>
      <c r="S1566">
        <v>1.8209000000000001E-4</v>
      </c>
      <c r="T1566">
        <v>5.5141399999999996E-4</v>
      </c>
    </row>
    <row r="1567" spans="1:20" hidden="1" x14ac:dyDescent="0.25">
      <c r="A1567" t="s">
        <v>1575</v>
      </c>
      <c r="B1567">
        <v>3.1223699999999999E-4</v>
      </c>
      <c r="C1567">
        <v>1.2980199999999999E-4</v>
      </c>
      <c r="D1567">
        <v>1.5982099999999999E-4</v>
      </c>
      <c r="E1567">
        <v>1.617E-4</v>
      </c>
      <c r="F1567">
        <v>1.3752299999999999E-4</v>
      </c>
      <c r="G1567">
        <v>0</v>
      </c>
      <c r="H1567">
        <v>2.7722199999999998E-4</v>
      </c>
      <c r="I1567">
        <v>2.02136E-4</v>
      </c>
      <c r="J1567">
        <v>2.2951699999999999E-4</v>
      </c>
      <c r="K1567">
        <v>1.7714400000000001E-4</v>
      </c>
      <c r="L1567">
        <v>1.7401299999999999E-4</v>
      </c>
      <c r="M1567">
        <v>2.7575100000000002E-4</v>
      </c>
      <c r="N1567">
        <v>1.5861400000000001E-4</v>
      </c>
      <c r="O1567">
        <v>1.7460800000000001E-4</v>
      </c>
      <c r="P1567">
        <v>3.30317E-4</v>
      </c>
      <c r="Q1567">
        <v>3.8457999999999998E-4</v>
      </c>
      <c r="R1567">
        <v>1.0875899999999999E-4</v>
      </c>
      <c r="S1567">
        <v>1.9668299999999999E-4</v>
      </c>
      <c r="T1567">
        <v>3.8880799999999998E-4</v>
      </c>
    </row>
    <row r="1568" spans="1:20" hidden="1" x14ac:dyDescent="0.25">
      <c r="A1568" t="s">
        <v>1576</v>
      </c>
      <c r="B1568">
        <v>0</v>
      </c>
      <c r="C1568" s="1">
        <v>1.27E-5</v>
      </c>
      <c r="D1568" s="1">
        <v>2.0599999999999999E-5</v>
      </c>
      <c r="E1568" s="1">
        <v>2.16E-5</v>
      </c>
      <c r="F1568" s="1">
        <v>2.5299999999999998E-5</v>
      </c>
      <c r="G1568">
        <v>0</v>
      </c>
      <c r="H1568">
        <v>0</v>
      </c>
      <c r="I1568" s="1">
        <v>1.5099999999999999E-5</v>
      </c>
      <c r="J1568">
        <v>0</v>
      </c>
      <c r="K1568" s="1">
        <v>1.5500000000000001E-5</v>
      </c>
      <c r="L1568">
        <v>0</v>
      </c>
      <c r="M1568">
        <v>0</v>
      </c>
      <c r="N1568">
        <v>0</v>
      </c>
      <c r="O1568">
        <v>0</v>
      </c>
      <c r="P1568">
        <v>0</v>
      </c>
      <c r="Q1568" s="1">
        <v>1.6099999999999998E-5</v>
      </c>
      <c r="R1568" s="1">
        <v>7.5000000000000002E-6</v>
      </c>
      <c r="S1568">
        <v>0</v>
      </c>
      <c r="T1568">
        <v>0</v>
      </c>
    </row>
    <row r="1569" spans="1:20" hidden="1" x14ac:dyDescent="0.25">
      <c r="A1569" t="s">
        <v>1577</v>
      </c>
      <c r="B1569">
        <v>7.2914900000000001E-4</v>
      </c>
      <c r="C1569">
        <v>5.4507399999999999E-4</v>
      </c>
      <c r="D1569">
        <v>6.0949599999999995E-4</v>
      </c>
      <c r="E1569">
        <v>7.13263E-4</v>
      </c>
      <c r="F1569">
        <v>3.79599E-4</v>
      </c>
      <c r="G1569">
        <v>3.3931800000000002E-4</v>
      </c>
      <c r="H1569">
        <v>4.7899800000000001E-4</v>
      </c>
      <c r="I1569">
        <v>3.84454E-4</v>
      </c>
      <c r="J1569">
        <v>3.93867E-4</v>
      </c>
      <c r="K1569">
        <v>5.5938600000000004E-4</v>
      </c>
      <c r="L1569">
        <v>4.46441E-4</v>
      </c>
      <c r="M1569">
        <v>3.9289799999999998E-4</v>
      </c>
      <c r="N1569">
        <v>1.6119300000000001E-4</v>
      </c>
      <c r="O1569">
        <v>4.3925600000000001E-4</v>
      </c>
      <c r="P1569">
        <v>2.8567499999999999E-4</v>
      </c>
      <c r="Q1569">
        <v>2.2017299999999999E-4</v>
      </c>
      <c r="R1569">
        <v>0</v>
      </c>
      <c r="S1569" s="1">
        <v>9.8200000000000002E-5</v>
      </c>
      <c r="T1569">
        <v>1.4055799999999999E-4</v>
      </c>
    </row>
    <row r="1570" spans="1:20" hidden="1" x14ac:dyDescent="0.25">
      <c r="A1570" t="s">
        <v>1578</v>
      </c>
      <c r="B1570" s="1">
        <v>5.5699999999999999E-5</v>
      </c>
      <c r="C1570">
        <v>0</v>
      </c>
      <c r="D1570">
        <v>0</v>
      </c>
      <c r="E1570">
        <v>0</v>
      </c>
      <c r="F1570" s="1">
        <v>8.1199999999999995E-5</v>
      </c>
      <c r="G1570">
        <v>0</v>
      </c>
      <c r="H1570" s="1">
        <v>8.6399999999999999E-5</v>
      </c>
      <c r="I1570" s="1">
        <v>9.0199999999999997E-5</v>
      </c>
      <c r="J1570">
        <v>0</v>
      </c>
      <c r="K1570" s="1">
        <v>5.41E-5</v>
      </c>
      <c r="L1570" s="1">
        <v>6.1199999999999997E-5</v>
      </c>
      <c r="M1570">
        <v>0</v>
      </c>
      <c r="N1570">
        <v>0</v>
      </c>
      <c r="O1570">
        <v>0</v>
      </c>
      <c r="P1570" s="1">
        <v>8.25E-5</v>
      </c>
      <c r="Q1570">
        <v>1.3014E-4</v>
      </c>
      <c r="R1570">
        <v>1.13072E-4</v>
      </c>
      <c r="S1570">
        <v>1.6567799999999999E-4</v>
      </c>
      <c r="T1570" s="1">
        <v>9.6899999999999997E-5</v>
      </c>
    </row>
    <row r="1571" spans="1:20" hidden="1" x14ac:dyDescent="0.25">
      <c r="A1571" t="s">
        <v>1579</v>
      </c>
      <c r="B1571" s="1">
        <v>4.8099999999999997E-5</v>
      </c>
      <c r="C1571" s="1">
        <v>5.8900000000000002E-5</v>
      </c>
      <c r="D1571" s="1">
        <v>5.5500000000000001E-5</v>
      </c>
      <c r="E1571" s="1">
        <v>5.5899999999999997E-5</v>
      </c>
      <c r="F1571" s="1">
        <v>6.5199999999999999E-5</v>
      </c>
      <c r="G1571" s="1">
        <v>3.7799999999999997E-5</v>
      </c>
      <c r="H1571" s="1">
        <v>4.8300000000000002E-5</v>
      </c>
      <c r="I1571" s="1">
        <v>5.66E-5</v>
      </c>
      <c r="J1571" s="1">
        <v>3.2400000000000001E-5</v>
      </c>
      <c r="K1571" s="1">
        <v>5.0899999999999997E-5</v>
      </c>
      <c r="L1571" s="1">
        <v>5.3100000000000003E-5</v>
      </c>
      <c r="M1571" s="1">
        <v>4.0399999999999999E-5</v>
      </c>
      <c r="N1571" s="1">
        <v>3.4499999999999998E-5</v>
      </c>
      <c r="O1571" s="1">
        <v>3.26E-5</v>
      </c>
      <c r="P1571" s="1">
        <v>5.0500000000000001E-5</v>
      </c>
      <c r="Q1571" s="1">
        <v>6.5199999999999999E-5</v>
      </c>
      <c r="R1571" s="1">
        <v>9.2100000000000003E-5</v>
      </c>
      <c r="S1571" s="1">
        <v>6.2799999999999995E-5</v>
      </c>
      <c r="T1571" s="1">
        <v>7.2999999999999999E-5</v>
      </c>
    </row>
    <row r="1572" spans="1:20" hidden="1" x14ac:dyDescent="0.25">
      <c r="A1572" t="s">
        <v>1580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 s="1">
        <v>6.0699999999999998E-5</v>
      </c>
      <c r="I1572" s="1">
        <v>3.5299999999999997E-5</v>
      </c>
      <c r="J1572">
        <v>0</v>
      </c>
      <c r="K1572">
        <v>0</v>
      </c>
      <c r="L1572" s="1">
        <v>1.66E-5</v>
      </c>
      <c r="M1572">
        <v>0</v>
      </c>
      <c r="N1572">
        <v>0</v>
      </c>
      <c r="O1572">
        <v>0</v>
      </c>
      <c r="P1572" s="1">
        <v>2.83E-5</v>
      </c>
      <c r="Q1572" s="1">
        <v>4.7500000000000003E-5</v>
      </c>
      <c r="R1572" s="1">
        <v>2.83E-5</v>
      </c>
      <c r="S1572" s="1">
        <v>4.5300000000000003E-5</v>
      </c>
      <c r="T1572" s="1">
        <v>6.0999999999999999E-5</v>
      </c>
    </row>
    <row r="1573" spans="1:20" hidden="1" x14ac:dyDescent="0.25">
      <c r="A1573" t="s">
        <v>1581</v>
      </c>
      <c r="B1573">
        <v>1.3672580000000001E-3</v>
      </c>
      <c r="C1573">
        <v>9.5328299999999997E-4</v>
      </c>
      <c r="D1573">
        <v>9.4691399999999998E-4</v>
      </c>
      <c r="E1573">
        <v>1.095012E-3</v>
      </c>
      <c r="F1573">
        <v>8.3881799999999996E-4</v>
      </c>
      <c r="G1573">
        <v>9.9542599999999999E-4</v>
      </c>
      <c r="H1573">
        <v>1.0907079999999999E-3</v>
      </c>
      <c r="I1573">
        <v>9.962110000000001E-4</v>
      </c>
      <c r="J1573">
        <v>1.046323E-3</v>
      </c>
      <c r="K1573">
        <v>1.2295520000000001E-3</v>
      </c>
      <c r="L1573">
        <v>1.1277150000000001E-3</v>
      </c>
      <c r="M1573">
        <v>1.0921539999999999E-3</v>
      </c>
      <c r="N1573">
        <v>8.1570199999999996E-4</v>
      </c>
      <c r="O1573">
        <v>8.5485800000000001E-4</v>
      </c>
      <c r="P1573">
        <v>1.4632079999999999E-3</v>
      </c>
      <c r="Q1573">
        <v>1.696326E-3</v>
      </c>
      <c r="R1573">
        <v>1.7067009999999999E-3</v>
      </c>
      <c r="S1573">
        <v>1.539166E-3</v>
      </c>
      <c r="T1573">
        <v>1.9699800000000001E-3</v>
      </c>
    </row>
    <row r="1574" spans="1:20" hidden="1" x14ac:dyDescent="0.25">
      <c r="A1574" t="s">
        <v>1582</v>
      </c>
      <c r="B1574">
        <v>1.9742300000000001E-4</v>
      </c>
      <c r="C1574">
        <v>1.4255E-4</v>
      </c>
      <c r="D1574">
        <v>1.00225E-4</v>
      </c>
      <c r="E1574">
        <v>1.25945E-4</v>
      </c>
      <c r="F1574">
        <v>2.3351900000000001E-4</v>
      </c>
      <c r="G1574">
        <v>2.4652000000000002E-4</v>
      </c>
      <c r="H1574">
        <v>2.3204899999999999E-4</v>
      </c>
      <c r="I1574">
        <v>3.86988E-4</v>
      </c>
      <c r="J1574">
        <v>2.5126700000000001E-4</v>
      </c>
      <c r="K1574">
        <v>2.3857699999999999E-4</v>
      </c>
      <c r="L1574">
        <v>3.6162899999999998E-4</v>
      </c>
      <c r="M1574">
        <v>2.89518E-4</v>
      </c>
      <c r="N1574">
        <v>3.2410799999999998E-4</v>
      </c>
      <c r="O1574">
        <v>2.4197699999999999E-4</v>
      </c>
      <c r="P1574">
        <v>3.0163100000000001E-4</v>
      </c>
      <c r="Q1574">
        <v>2.8485000000000001E-4</v>
      </c>
      <c r="R1574">
        <v>4.5239500000000002E-4</v>
      </c>
      <c r="S1574">
        <v>2.7122499999999999E-4</v>
      </c>
      <c r="T1574">
        <v>2.9168299999999999E-4</v>
      </c>
    </row>
    <row r="1575" spans="1:20" hidden="1" x14ac:dyDescent="0.25">
      <c r="A1575" t="s">
        <v>1583</v>
      </c>
      <c r="B1575">
        <v>4.7893499999999999E-4</v>
      </c>
      <c r="C1575">
        <v>4.2218799999999999E-4</v>
      </c>
      <c r="D1575">
        <v>3.1134000000000001E-4</v>
      </c>
      <c r="E1575">
        <v>4.5541599999999999E-4</v>
      </c>
      <c r="F1575">
        <v>6.3576699999999997E-4</v>
      </c>
      <c r="G1575">
        <v>4.0873400000000001E-4</v>
      </c>
      <c r="H1575">
        <v>5.56271E-4</v>
      </c>
      <c r="I1575">
        <v>5.0643900000000002E-4</v>
      </c>
      <c r="J1575">
        <v>4.26079E-4</v>
      </c>
      <c r="K1575">
        <v>3.9356299999999999E-4</v>
      </c>
      <c r="L1575">
        <v>3.7165800000000003E-4</v>
      </c>
      <c r="M1575">
        <v>5.8001500000000002E-4</v>
      </c>
      <c r="N1575">
        <v>5.6349000000000004E-4</v>
      </c>
      <c r="O1575">
        <v>3.7510400000000002E-4</v>
      </c>
      <c r="P1575">
        <v>5.7585899999999996E-4</v>
      </c>
      <c r="Q1575">
        <v>1.251767E-3</v>
      </c>
      <c r="R1575">
        <v>1.402574E-3</v>
      </c>
      <c r="S1575">
        <v>1.0597289999999999E-3</v>
      </c>
      <c r="T1575">
        <v>1.1507659999999999E-3</v>
      </c>
    </row>
    <row r="1576" spans="1:20" hidden="1" x14ac:dyDescent="0.25">
      <c r="A1576" t="s">
        <v>1584</v>
      </c>
      <c r="B1576" s="1">
        <v>6.9300000000000004E-5</v>
      </c>
      <c r="C1576" s="1">
        <v>2.9200000000000002E-5</v>
      </c>
      <c r="D1576" s="1">
        <v>3.0899999999999999E-5</v>
      </c>
      <c r="E1576" s="1">
        <v>2.58E-5</v>
      </c>
      <c r="F1576" s="1">
        <v>1.98E-5</v>
      </c>
      <c r="G1576" s="1">
        <v>3.5299999999999997E-5</v>
      </c>
      <c r="H1576" s="1">
        <v>9.0000000000000006E-5</v>
      </c>
      <c r="I1576" s="1">
        <v>9.4500000000000007E-5</v>
      </c>
      <c r="J1576" s="1">
        <v>3.5800000000000003E-5</v>
      </c>
      <c r="K1576">
        <v>1.10464E-4</v>
      </c>
      <c r="L1576" s="1">
        <v>7.7600000000000002E-5</v>
      </c>
      <c r="M1576" s="1">
        <v>8.3599999999999999E-5</v>
      </c>
      <c r="N1576" s="1">
        <v>5.8900000000000002E-5</v>
      </c>
      <c r="O1576" s="1">
        <v>3.4600000000000001E-5</v>
      </c>
      <c r="P1576">
        <v>2.0130199999999999E-4</v>
      </c>
      <c r="Q1576">
        <v>2.2694300000000001E-4</v>
      </c>
      <c r="R1576" s="1">
        <v>4.0200000000000001E-5</v>
      </c>
      <c r="S1576">
        <v>2.6991500000000002E-4</v>
      </c>
      <c r="T1576">
        <v>3.12069E-4</v>
      </c>
    </row>
    <row r="1577" spans="1:20" hidden="1" x14ac:dyDescent="0.25">
      <c r="A1577" t="s">
        <v>1585</v>
      </c>
      <c r="B1577" s="1">
        <v>1.7099999999999999E-5</v>
      </c>
      <c r="C1577" s="1">
        <v>1.63E-5</v>
      </c>
      <c r="D1577" s="1">
        <v>9.1800000000000002E-6</v>
      </c>
      <c r="E1577">
        <v>0</v>
      </c>
      <c r="F1577" s="1">
        <v>1.11E-5</v>
      </c>
      <c r="G1577" s="1">
        <v>1.24E-5</v>
      </c>
      <c r="H1577" s="1">
        <v>6.6000000000000003E-6</v>
      </c>
      <c r="I1577">
        <v>0</v>
      </c>
      <c r="J1577" s="1">
        <v>8.5900000000000008E-6</v>
      </c>
      <c r="K1577" s="1">
        <v>1.4600000000000001E-5</v>
      </c>
      <c r="L1577" s="1">
        <v>1.5800000000000001E-5</v>
      </c>
      <c r="M1577" s="1">
        <v>1.4399999999999999E-5</v>
      </c>
      <c r="N1577" s="1">
        <v>6.2099999999999998E-6</v>
      </c>
      <c r="O1577" s="1">
        <v>9.3999999999999998E-6</v>
      </c>
      <c r="P1577">
        <v>0</v>
      </c>
      <c r="Q1577" s="1">
        <v>7.3599999999999998E-6</v>
      </c>
      <c r="R1577" s="1">
        <v>7.4000000000000003E-6</v>
      </c>
      <c r="S1577">
        <v>0</v>
      </c>
      <c r="T1577">
        <v>0</v>
      </c>
    </row>
    <row r="1578" spans="1:20" hidden="1" x14ac:dyDescent="0.25">
      <c r="A1578" t="s">
        <v>1586</v>
      </c>
      <c r="B1578">
        <v>4.0160599999999999E-4</v>
      </c>
      <c r="C1578">
        <v>2.6495400000000002E-4</v>
      </c>
      <c r="D1578">
        <v>2.7900700000000001E-4</v>
      </c>
      <c r="E1578">
        <v>3.0862199999999999E-4</v>
      </c>
      <c r="F1578">
        <v>2.5818100000000001E-4</v>
      </c>
      <c r="G1578">
        <v>2.3689499999999999E-4</v>
      </c>
      <c r="H1578">
        <v>2.4045699999999999E-4</v>
      </c>
      <c r="I1578">
        <v>2.85242E-4</v>
      </c>
      <c r="J1578">
        <v>2.1972199999999999E-4</v>
      </c>
      <c r="K1578">
        <v>2.42857E-4</v>
      </c>
      <c r="L1578">
        <v>2.7576899999999998E-4</v>
      </c>
      <c r="M1578">
        <v>2.5423699999999999E-4</v>
      </c>
      <c r="N1578">
        <v>1.8855099999999999E-4</v>
      </c>
      <c r="O1578">
        <v>1.6899699999999999E-4</v>
      </c>
      <c r="P1578">
        <v>2.19151E-4</v>
      </c>
      <c r="Q1578">
        <v>2.4042599999999999E-4</v>
      </c>
      <c r="R1578">
        <v>1.8403500000000001E-4</v>
      </c>
      <c r="S1578">
        <v>2.0147700000000001E-4</v>
      </c>
      <c r="T1578">
        <v>1.2872599999999999E-4</v>
      </c>
    </row>
    <row r="1579" spans="1:20" hidden="1" x14ac:dyDescent="0.25">
      <c r="A1579" t="s">
        <v>1587</v>
      </c>
      <c r="B1579">
        <v>3.0432000000000001E-4</v>
      </c>
      <c r="C1579">
        <v>1.96054E-4</v>
      </c>
      <c r="D1579">
        <v>1.86844E-4</v>
      </c>
      <c r="E1579">
        <v>2.4708800000000002E-4</v>
      </c>
      <c r="F1579">
        <v>1.72616E-4</v>
      </c>
      <c r="G1579">
        <v>1.7003299999999999E-4</v>
      </c>
      <c r="H1579">
        <v>1.81533E-4</v>
      </c>
      <c r="I1579">
        <v>1.58739E-4</v>
      </c>
      <c r="J1579">
        <v>2.14444E-4</v>
      </c>
      <c r="K1579">
        <v>1.68085E-4</v>
      </c>
      <c r="L1579">
        <v>1.7377899999999999E-4</v>
      </c>
      <c r="M1579">
        <v>2.0393899999999999E-4</v>
      </c>
      <c r="N1579">
        <v>1.10819E-4</v>
      </c>
      <c r="O1579">
        <v>1.0869E-4</v>
      </c>
      <c r="P1579">
        <v>1.6301099999999999E-4</v>
      </c>
      <c r="Q1579">
        <v>2.42322E-4</v>
      </c>
      <c r="R1579">
        <v>1.40032E-4</v>
      </c>
      <c r="S1579" s="1">
        <v>9.31E-5</v>
      </c>
      <c r="T1579">
        <v>1.94654E-4</v>
      </c>
    </row>
    <row r="1580" spans="1:20" hidden="1" x14ac:dyDescent="0.25">
      <c r="A1580" t="s">
        <v>1588</v>
      </c>
      <c r="B1580">
        <v>1.43948E-4</v>
      </c>
      <c r="C1580" s="1">
        <v>8.1699999999999994E-5</v>
      </c>
      <c r="D1580" s="1">
        <v>6.4900000000000005E-5</v>
      </c>
      <c r="E1580" s="1">
        <v>5.9500000000000003E-5</v>
      </c>
      <c r="F1580">
        <v>1.03556E-4</v>
      </c>
      <c r="G1580" s="1">
        <v>9.5799999999999998E-5</v>
      </c>
      <c r="H1580" s="1">
        <v>7.5099999999999996E-5</v>
      </c>
      <c r="I1580" s="1">
        <v>7.5799999999999999E-5</v>
      </c>
      <c r="J1580">
        <v>1.01747E-4</v>
      </c>
      <c r="K1580" s="1">
        <v>7.7700000000000005E-5</v>
      </c>
      <c r="L1580">
        <v>1.06296E-4</v>
      </c>
      <c r="M1580">
        <v>1.13755E-4</v>
      </c>
      <c r="N1580" s="1">
        <v>9.1500000000000001E-5</v>
      </c>
      <c r="O1580" s="1">
        <v>5.6799999999999998E-5</v>
      </c>
      <c r="P1580" s="1">
        <v>7.08E-5</v>
      </c>
      <c r="Q1580">
        <v>1.22087E-4</v>
      </c>
      <c r="R1580">
        <v>0</v>
      </c>
      <c r="S1580">
        <v>1.0134200000000001E-4</v>
      </c>
      <c r="T1580">
        <v>1.3689999999999999E-4</v>
      </c>
    </row>
    <row r="1581" spans="1:20" hidden="1" x14ac:dyDescent="0.25">
      <c r="A1581" t="s">
        <v>1589</v>
      </c>
      <c r="B1581" s="1">
        <v>3.3800000000000002E-5</v>
      </c>
      <c r="C1581" s="1">
        <v>5.4799999999999997E-5</v>
      </c>
      <c r="D1581" s="1">
        <v>4.5800000000000002E-5</v>
      </c>
      <c r="E1581" s="1">
        <v>5.3900000000000002E-5</v>
      </c>
      <c r="F1581" s="1">
        <v>4.8600000000000002E-5</v>
      </c>
      <c r="G1581" s="1">
        <v>5.52E-5</v>
      </c>
      <c r="H1581" s="1">
        <v>9.4099999999999997E-5</v>
      </c>
      <c r="I1581" s="1">
        <v>4.7899999999999999E-5</v>
      </c>
      <c r="J1581" s="1">
        <v>2.8E-5</v>
      </c>
      <c r="K1581" s="1">
        <v>5.9299999999999998E-5</v>
      </c>
      <c r="L1581" s="1">
        <v>3.5099999999999999E-5</v>
      </c>
      <c r="M1581" s="1">
        <v>2.0699999999999998E-5</v>
      </c>
      <c r="N1581" s="1">
        <v>2.05E-5</v>
      </c>
      <c r="O1581" s="1">
        <v>2.02E-5</v>
      </c>
      <c r="P1581" s="1">
        <v>1.9400000000000001E-5</v>
      </c>
      <c r="Q1581" s="1">
        <v>1.8700000000000001E-5</v>
      </c>
      <c r="R1581" s="1">
        <v>1.1E-5</v>
      </c>
      <c r="S1581" s="1">
        <v>2.3499999999999999E-5</v>
      </c>
      <c r="T1581" s="1">
        <v>2.3300000000000001E-5</v>
      </c>
    </row>
    <row r="1582" spans="1:20" hidden="1" x14ac:dyDescent="0.25">
      <c r="A1582" t="s">
        <v>1590</v>
      </c>
      <c r="B1582" s="1">
        <v>3.9100000000000002E-5</v>
      </c>
      <c r="C1582">
        <v>0</v>
      </c>
      <c r="D1582">
        <v>0</v>
      </c>
      <c r="E1582" s="1">
        <v>4.0000000000000003E-5</v>
      </c>
      <c r="F1582" s="1">
        <v>2.5700000000000001E-5</v>
      </c>
      <c r="G1582">
        <v>0</v>
      </c>
      <c r="H1582">
        <v>0</v>
      </c>
      <c r="I1582" s="1">
        <v>4.6499999999999999E-5</v>
      </c>
      <c r="J1582" s="1">
        <v>4.3900000000000003E-5</v>
      </c>
      <c r="K1582">
        <v>0</v>
      </c>
      <c r="L1582" s="1">
        <v>4.1399999999999997E-5</v>
      </c>
      <c r="M1582">
        <v>0</v>
      </c>
      <c r="N1582">
        <v>0</v>
      </c>
      <c r="O1582">
        <v>0</v>
      </c>
      <c r="P1582" s="1">
        <v>4.4700000000000002E-5</v>
      </c>
      <c r="Q1582" s="1">
        <v>6.7799999999999995E-5</v>
      </c>
      <c r="R1582" s="1">
        <v>6.0999999999999999E-5</v>
      </c>
      <c r="S1582" s="1">
        <v>4.35E-5</v>
      </c>
      <c r="T1582" s="1">
        <v>4.9700000000000002E-5</v>
      </c>
    </row>
    <row r="1583" spans="1:20" hidden="1" x14ac:dyDescent="0.25">
      <c r="A1583" t="s">
        <v>1591</v>
      </c>
      <c r="B1583" s="1">
        <v>4.88E-5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s="1">
        <v>3.6000000000000001E-5</v>
      </c>
      <c r="J1583" s="1">
        <v>4.5599999999999997E-5</v>
      </c>
      <c r="K1583">
        <v>0</v>
      </c>
      <c r="L1583">
        <v>0</v>
      </c>
      <c r="M1583" s="1">
        <v>3.79E-5</v>
      </c>
      <c r="N1583">
        <v>0</v>
      </c>
      <c r="O1583" s="1">
        <v>2.8600000000000001E-5</v>
      </c>
      <c r="P1583" s="1">
        <v>6.5699999999999998E-5</v>
      </c>
      <c r="Q1583" s="1">
        <v>7.08E-5</v>
      </c>
      <c r="R1583" s="1">
        <v>7.7399999999999998E-5</v>
      </c>
      <c r="S1583">
        <v>0</v>
      </c>
      <c r="T1583" s="1">
        <v>7.2100000000000004E-5</v>
      </c>
    </row>
    <row r="1584" spans="1:20" hidden="1" x14ac:dyDescent="0.25">
      <c r="A1584" t="s">
        <v>1592</v>
      </c>
      <c r="B1584" s="1">
        <v>4.2599999999999999E-5</v>
      </c>
      <c r="C1584" s="1">
        <v>6.7600000000000003E-5</v>
      </c>
      <c r="D1584" s="1">
        <v>5.7500000000000002E-5</v>
      </c>
      <c r="E1584" s="1">
        <v>5.0399999999999999E-5</v>
      </c>
      <c r="F1584" s="1">
        <v>3.3399999999999999E-5</v>
      </c>
      <c r="G1584" s="1">
        <v>3.9199999999999997E-5</v>
      </c>
      <c r="H1584" s="1">
        <v>2.65E-5</v>
      </c>
      <c r="I1584" s="1">
        <v>4.7800000000000003E-5</v>
      </c>
      <c r="J1584" s="1">
        <v>5.1499999999999998E-5</v>
      </c>
      <c r="K1584" s="1">
        <v>5.1100000000000002E-5</v>
      </c>
      <c r="L1584" s="1">
        <v>6.0600000000000003E-5</v>
      </c>
      <c r="M1584" s="1">
        <v>3.8800000000000001E-5</v>
      </c>
      <c r="N1584" s="1">
        <v>2.7900000000000001E-5</v>
      </c>
      <c r="O1584" s="1">
        <v>3.01E-5</v>
      </c>
      <c r="P1584" s="1">
        <v>2.7399999999999999E-5</v>
      </c>
      <c r="Q1584" s="1">
        <v>2.4499999999999999E-5</v>
      </c>
      <c r="R1584" s="1">
        <v>1.8600000000000001E-5</v>
      </c>
      <c r="S1584" s="1">
        <v>1.2E-5</v>
      </c>
      <c r="T1584" s="1">
        <v>2.1299999999999999E-5</v>
      </c>
    </row>
    <row r="1585" spans="1:20" hidden="1" x14ac:dyDescent="0.25">
      <c r="A1585" t="s">
        <v>1593</v>
      </c>
      <c r="B1585">
        <v>2.33327E-4</v>
      </c>
      <c r="C1585">
        <v>3.3984500000000002E-4</v>
      </c>
      <c r="D1585">
        <v>3.4815699999999998E-4</v>
      </c>
      <c r="E1585">
        <v>4.2625600000000002E-4</v>
      </c>
      <c r="F1585">
        <v>3.09322E-4</v>
      </c>
      <c r="G1585">
        <v>1.6067100000000001E-4</v>
      </c>
      <c r="H1585">
        <v>1.9274599999999999E-4</v>
      </c>
      <c r="I1585">
        <v>2.48729E-4</v>
      </c>
      <c r="J1585">
        <v>2.3440399999999999E-4</v>
      </c>
      <c r="K1585">
        <v>3.6969500000000002E-4</v>
      </c>
      <c r="L1585">
        <v>2.5835499999999999E-4</v>
      </c>
      <c r="M1585">
        <v>1.8644500000000001E-4</v>
      </c>
      <c r="N1585">
        <v>1.7138099999999999E-4</v>
      </c>
      <c r="O1585">
        <v>2.6310299999999999E-4</v>
      </c>
      <c r="P1585" s="1">
        <v>7.75E-5</v>
      </c>
      <c r="Q1585" s="1">
        <v>6.0600000000000003E-5</v>
      </c>
      <c r="R1585" s="1">
        <v>5.1499999999999998E-5</v>
      </c>
      <c r="S1585" s="1">
        <v>3.1099999999999997E-5</v>
      </c>
      <c r="T1585" s="1">
        <v>8.4499999999999994E-5</v>
      </c>
    </row>
    <row r="1586" spans="1:20" hidden="1" x14ac:dyDescent="0.25">
      <c r="A1586" t="s">
        <v>1594</v>
      </c>
      <c r="B1586" s="1">
        <v>2.73E-5</v>
      </c>
      <c r="C1586" s="1">
        <v>3.1699999999999998E-5</v>
      </c>
      <c r="D1586" s="1">
        <v>2.3600000000000001E-5</v>
      </c>
      <c r="E1586" s="1">
        <v>2.0699999999999998E-5</v>
      </c>
      <c r="F1586">
        <v>0</v>
      </c>
      <c r="G1586">
        <v>0</v>
      </c>
      <c r="H1586">
        <v>0</v>
      </c>
      <c r="I1586" s="1">
        <v>2.4700000000000001E-5</v>
      </c>
      <c r="J1586" s="1">
        <v>2.23E-5</v>
      </c>
      <c r="K1586" s="1">
        <v>2.44E-5</v>
      </c>
      <c r="L1586" s="1">
        <v>2.6299999999999999E-5</v>
      </c>
      <c r="M1586">
        <v>0</v>
      </c>
      <c r="N1586">
        <v>0</v>
      </c>
      <c r="O1586" s="1">
        <v>1.4600000000000001E-5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hidden="1" x14ac:dyDescent="0.25">
      <c r="A1587" t="s">
        <v>1595</v>
      </c>
      <c r="B1587">
        <v>1.8135849999999999E-3</v>
      </c>
      <c r="C1587">
        <v>2.7229839999999999E-3</v>
      </c>
      <c r="D1587">
        <v>1.5385310000000001E-3</v>
      </c>
      <c r="E1587">
        <v>1.778293E-3</v>
      </c>
      <c r="F1587">
        <v>2.9989729999999998E-3</v>
      </c>
      <c r="G1587">
        <v>2.5167700000000002E-3</v>
      </c>
      <c r="H1587">
        <v>2.8179939999999999E-3</v>
      </c>
      <c r="I1587">
        <v>2.7341010000000001E-3</v>
      </c>
      <c r="J1587">
        <v>2.3561390000000001E-3</v>
      </c>
      <c r="K1587">
        <v>2.8090440000000001E-3</v>
      </c>
      <c r="L1587">
        <v>3.0152489999999998E-3</v>
      </c>
      <c r="M1587">
        <v>2.9573849999999999E-3</v>
      </c>
      <c r="N1587">
        <v>2.7616049999999999E-3</v>
      </c>
      <c r="O1587">
        <v>2.1409599999999999E-3</v>
      </c>
      <c r="P1587">
        <v>2.6207460000000002E-3</v>
      </c>
      <c r="Q1587">
        <v>3.7861050000000001E-3</v>
      </c>
      <c r="R1587">
        <v>4.8354390000000004E-3</v>
      </c>
      <c r="S1587">
        <v>5.9113120000000002E-3</v>
      </c>
      <c r="T1587">
        <v>3.3053319999999998E-3</v>
      </c>
    </row>
    <row r="1588" spans="1:20" hidden="1" x14ac:dyDescent="0.25">
      <c r="A1588" t="s">
        <v>1596</v>
      </c>
      <c r="B1588">
        <v>3.2366600000000001E-4</v>
      </c>
      <c r="C1588">
        <v>3.6456999999999999E-4</v>
      </c>
      <c r="D1588">
        <v>3.0152400000000001E-4</v>
      </c>
      <c r="E1588">
        <v>2.7840900000000002E-4</v>
      </c>
      <c r="F1588">
        <v>3.0329700000000001E-4</v>
      </c>
      <c r="G1588">
        <v>3.4084099999999998E-4</v>
      </c>
      <c r="H1588">
        <v>5.3032800000000005E-4</v>
      </c>
      <c r="I1588">
        <v>4.2215500000000001E-4</v>
      </c>
      <c r="J1588">
        <v>3.1378299999999999E-4</v>
      </c>
      <c r="K1588">
        <v>3.3864300000000002E-4</v>
      </c>
      <c r="L1588">
        <v>4.2572200000000001E-4</v>
      </c>
      <c r="M1588">
        <v>4.6181199999999998E-4</v>
      </c>
      <c r="N1588">
        <v>3.4348199999999999E-4</v>
      </c>
      <c r="O1588">
        <v>2.52262E-4</v>
      </c>
      <c r="P1588">
        <v>4.8410700000000001E-4</v>
      </c>
      <c r="Q1588">
        <v>6.5239400000000004E-4</v>
      </c>
      <c r="R1588">
        <v>1.1776169999999999E-3</v>
      </c>
      <c r="S1588">
        <v>1.207147E-3</v>
      </c>
      <c r="T1588">
        <v>5.2791600000000002E-4</v>
      </c>
    </row>
    <row r="1589" spans="1:20" hidden="1" x14ac:dyDescent="0.25">
      <c r="A1589" t="s">
        <v>1597</v>
      </c>
      <c r="B1589" s="1">
        <v>1.43E-5</v>
      </c>
      <c r="C1589" s="1">
        <v>1.8700000000000001E-5</v>
      </c>
      <c r="D1589" s="1">
        <v>2.5400000000000001E-5</v>
      </c>
      <c r="E1589" s="1">
        <v>2.09E-5</v>
      </c>
      <c r="F1589" s="1">
        <v>1.19E-5</v>
      </c>
      <c r="G1589" s="1">
        <v>9.4900000000000006E-6</v>
      </c>
      <c r="H1589">
        <v>0</v>
      </c>
      <c r="I1589" s="1">
        <v>1.06E-5</v>
      </c>
      <c r="J1589" s="1">
        <v>1.3499999999999999E-5</v>
      </c>
      <c r="K1589" s="1">
        <v>1.3200000000000001E-5</v>
      </c>
      <c r="L1589">
        <v>0</v>
      </c>
      <c r="M1589">
        <v>0</v>
      </c>
      <c r="N1589" s="1">
        <v>6.1600000000000003E-6</v>
      </c>
      <c r="O1589" s="1">
        <v>1.17E-5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hidden="1" x14ac:dyDescent="0.25">
      <c r="A1590" t="s">
        <v>1598</v>
      </c>
      <c r="B1590">
        <v>0</v>
      </c>
      <c r="C1590" s="1">
        <v>3.0700000000000001E-5</v>
      </c>
      <c r="D1590" s="1">
        <v>2.2900000000000001E-5</v>
      </c>
      <c r="E1590" s="1">
        <v>2.41E-5</v>
      </c>
      <c r="F1590">
        <v>0</v>
      </c>
      <c r="G1590" s="1">
        <v>3.6600000000000002E-5</v>
      </c>
      <c r="H1590">
        <v>0</v>
      </c>
      <c r="I1590" s="1">
        <v>1.66E-5</v>
      </c>
      <c r="J1590">
        <v>0</v>
      </c>
      <c r="K1590" s="1">
        <v>1.6399999999999999E-5</v>
      </c>
      <c r="L1590" s="1">
        <v>2.0000000000000002E-5</v>
      </c>
      <c r="M1590">
        <v>0</v>
      </c>
      <c r="N1590">
        <v>0</v>
      </c>
      <c r="O1590">
        <v>0</v>
      </c>
      <c r="P1590">
        <v>0</v>
      </c>
      <c r="Q1590" s="1">
        <v>2.09E-5</v>
      </c>
      <c r="R1590" s="1">
        <v>1.7499999999999998E-5</v>
      </c>
      <c r="S1590" s="1">
        <v>4.0800000000000002E-5</v>
      </c>
      <c r="T1590">
        <v>0</v>
      </c>
    </row>
    <row r="1591" spans="1:20" hidden="1" x14ac:dyDescent="0.25">
      <c r="A1591" t="s">
        <v>1599</v>
      </c>
      <c r="B1591" s="1">
        <v>4.6400000000000003E-5</v>
      </c>
      <c r="C1591" s="1">
        <v>4.3000000000000002E-5</v>
      </c>
      <c r="D1591" s="1">
        <v>5.9700000000000001E-5</v>
      </c>
      <c r="E1591" s="1">
        <v>7.6500000000000003E-5</v>
      </c>
      <c r="F1591">
        <v>1.02743E-4</v>
      </c>
      <c r="G1591" s="1">
        <v>8.14E-5</v>
      </c>
      <c r="H1591">
        <v>1.96462E-4</v>
      </c>
      <c r="I1591" s="1">
        <v>6.8399999999999996E-5</v>
      </c>
      <c r="J1591" s="1">
        <v>6.6600000000000006E-5</v>
      </c>
      <c r="K1591" s="1">
        <v>9.0400000000000002E-5</v>
      </c>
      <c r="L1591" s="1">
        <v>8.1699999999999994E-5</v>
      </c>
      <c r="M1591">
        <v>1.1947699999999999E-4</v>
      </c>
      <c r="N1591" s="1">
        <v>7.0199999999999999E-5</v>
      </c>
      <c r="O1591" s="1">
        <v>9.5699999999999995E-5</v>
      </c>
      <c r="P1591">
        <v>1.8909800000000001E-4</v>
      </c>
      <c r="Q1591">
        <v>1.7013099999999999E-4</v>
      </c>
      <c r="R1591">
        <v>1.7633300000000001E-4</v>
      </c>
      <c r="S1591">
        <v>2.56111E-4</v>
      </c>
      <c r="T1591">
        <v>2.2833599999999999E-4</v>
      </c>
    </row>
    <row r="1592" spans="1:20" hidden="1" x14ac:dyDescent="0.25">
      <c r="A1592" t="s">
        <v>1600</v>
      </c>
      <c r="B1592">
        <v>9.6699260000000006E-3</v>
      </c>
      <c r="C1592">
        <v>1.0317415E-2</v>
      </c>
      <c r="D1592">
        <v>1.3820626000000001E-2</v>
      </c>
      <c r="E1592">
        <v>1.251763E-2</v>
      </c>
      <c r="F1592">
        <v>7.541893E-3</v>
      </c>
      <c r="G1592">
        <v>5.8918130000000001E-3</v>
      </c>
      <c r="H1592">
        <v>5.7751399999999998E-3</v>
      </c>
      <c r="I1592">
        <v>6.0323989999999999E-3</v>
      </c>
      <c r="J1592">
        <v>6.7462370000000004E-3</v>
      </c>
      <c r="K1592">
        <v>1.0859673E-2</v>
      </c>
      <c r="L1592">
        <v>8.5851050000000009E-3</v>
      </c>
      <c r="M1592">
        <v>6.6871049999999996E-3</v>
      </c>
      <c r="N1592">
        <v>5.5863409999999999E-3</v>
      </c>
      <c r="O1592">
        <v>6.6612279999999999E-3</v>
      </c>
      <c r="P1592">
        <v>2.765502E-3</v>
      </c>
      <c r="Q1592">
        <v>1.9328259999999999E-3</v>
      </c>
      <c r="R1592">
        <v>1.7967289999999999E-3</v>
      </c>
      <c r="S1592">
        <v>1.3875440000000001E-3</v>
      </c>
      <c r="T1592">
        <v>1.827338E-3</v>
      </c>
    </row>
    <row r="1593" spans="1:20" hidden="1" x14ac:dyDescent="0.25">
      <c r="A1593" t="s">
        <v>1601</v>
      </c>
      <c r="B1593">
        <v>5.6042099999999997E-4</v>
      </c>
      <c r="C1593">
        <v>8.83634E-4</v>
      </c>
      <c r="D1593">
        <v>9.1059699999999997E-4</v>
      </c>
      <c r="E1593">
        <v>9.06123E-4</v>
      </c>
      <c r="F1593">
        <v>7.41233E-4</v>
      </c>
      <c r="G1593">
        <v>6.7675799999999996E-4</v>
      </c>
      <c r="H1593">
        <v>7.6969799999999998E-4</v>
      </c>
      <c r="I1593">
        <v>7.5065400000000001E-4</v>
      </c>
      <c r="J1593">
        <v>6.7299700000000005E-4</v>
      </c>
      <c r="K1593">
        <v>7.2836299999999999E-4</v>
      </c>
      <c r="L1593">
        <v>8.03124E-4</v>
      </c>
      <c r="M1593">
        <v>4.5124899999999998E-4</v>
      </c>
      <c r="N1593">
        <v>4.8009300000000001E-4</v>
      </c>
      <c r="O1593">
        <v>6.0083499999999998E-4</v>
      </c>
      <c r="P1593">
        <v>4.6369899999999998E-4</v>
      </c>
      <c r="Q1593">
        <v>3.44264E-4</v>
      </c>
      <c r="R1593">
        <v>3.0104200000000001E-4</v>
      </c>
      <c r="S1593">
        <v>1.5956E-4</v>
      </c>
      <c r="T1593">
        <v>2.4893300000000001E-4</v>
      </c>
    </row>
    <row r="1594" spans="1:20" hidden="1" x14ac:dyDescent="0.25">
      <c r="A1594" t="s">
        <v>1602</v>
      </c>
      <c r="B1594">
        <v>3.586873E-3</v>
      </c>
      <c r="C1594">
        <v>3.0211460000000002E-3</v>
      </c>
      <c r="D1594">
        <v>4.4648409999999998E-3</v>
      </c>
      <c r="E1594">
        <v>6.9746310000000002E-3</v>
      </c>
      <c r="F1594">
        <v>3.081126E-3</v>
      </c>
      <c r="G1594">
        <v>3.0394160000000001E-3</v>
      </c>
      <c r="H1594">
        <v>3.7163700000000001E-3</v>
      </c>
      <c r="I1594">
        <v>3.8488179999999999E-3</v>
      </c>
      <c r="J1594">
        <v>3.7306610000000001E-3</v>
      </c>
      <c r="K1594">
        <v>3.9162060000000002E-3</v>
      </c>
      <c r="L1594">
        <v>2.8714270000000002E-3</v>
      </c>
      <c r="M1594">
        <v>2.8261750000000002E-3</v>
      </c>
      <c r="N1594">
        <v>4.024967E-3</v>
      </c>
      <c r="O1594">
        <v>3.6952159999999999E-3</v>
      </c>
      <c r="P1594">
        <v>1.773286E-3</v>
      </c>
      <c r="Q1594">
        <v>6.5552199999999996E-4</v>
      </c>
      <c r="R1594">
        <v>8.2595900000000002E-4</v>
      </c>
      <c r="S1594">
        <v>6.7656699999999999E-4</v>
      </c>
      <c r="T1594">
        <v>5.4668700000000002E-4</v>
      </c>
    </row>
    <row r="1595" spans="1:20" hidden="1" x14ac:dyDescent="0.25">
      <c r="A1595" t="s">
        <v>1603</v>
      </c>
      <c r="B1595">
        <v>1.262771E-3</v>
      </c>
      <c r="C1595">
        <v>1.2001449999999999E-3</v>
      </c>
      <c r="D1595">
        <v>1.2083689999999999E-3</v>
      </c>
      <c r="E1595">
        <v>1.808502E-3</v>
      </c>
      <c r="F1595">
        <v>8.8259700000000005E-4</v>
      </c>
      <c r="G1595">
        <v>8.4959399999999996E-4</v>
      </c>
      <c r="H1595">
        <v>9.2453999999999995E-4</v>
      </c>
      <c r="I1595">
        <v>1.1555000000000001E-3</v>
      </c>
      <c r="J1595">
        <v>1.3374229999999999E-3</v>
      </c>
      <c r="K1595">
        <v>1.2627960000000001E-3</v>
      </c>
      <c r="L1595">
        <v>1.0244640000000001E-3</v>
      </c>
      <c r="M1595">
        <v>1.082115E-3</v>
      </c>
      <c r="N1595">
        <v>1.414975E-3</v>
      </c>
      <c r="O1595">
        <v>1.5334700000000001E-3</v>
      </c>
      <c r="P1595">
        <v>8.2344700000000005E-4</v>
      </c>
      <c r="Q1595">
        <v>3.4091200000000002E-4</v>
      </c>
      <c r="R1595">
        <v>3.3125500000000003E-4</v>
      </c>
      <c r="S1595">
        <v>1.9836800000000001E-4</v>
      </c>
      <c r="T1595">
        <v>1.4218100000000001E-4</v>
      </c>
    </row>
    <row r="1596" spans="1:20" hidden="1" x14ac:dyDescent="0.25">
      <c r="A1596" t="s">
        <v>1604</v>
      </c>
      <c r="B1596" s="1">
        <v>4.4900000000000002E-6</v>
      </c>
      <c r="C1596" s="1">
        <v>4.87E-6</v>
      </c>
      <c r="D1596" s="1">
        <v>3.5300000000000001E-6</v>
      </c>
      <c r="E1596" s="1">
        <v>4.9100000000000004E-6</v>
      </c>
      <c r="F1596" s="1">
        <v>5.7799999999999997E-6</v>
      </c>
      <c r="G1596" s="1">
        <v>6.37E-6</v>
      </c>
      <c r="H1596" s="1">
        <v>8.1200000000000002E-6</v>
      </c>
      <c r="I1596" s="1">
        <v>5.7400000000000001E-6</v>
      </c>
      <c r="J1596" s="1">
        <v>5.6899999999999997E-6</v>
      </c>
      <c r="K1596" s="1">
        <v>3.8500000000000004E-6</v>
      </c>
      <c r="L1596">
        <v>0</v>
      </c>
      <c r="M1596">
        <v>0</v>
      </c>
      <c r="N1596">
        <v>0</v>
      </c>
      <c r="O1596" s="1">
        <v>4.1099999999999996E-6</v>
      </c>
      <c r="P1596">
        <v>0</v>
      </c>
      <c r="Q1596" s="1">
        <v>1.1600000000000001E-5</v>
      </c>
      <c r="R1596" s="1">
        <v>1.13E-5</v>
      </c>
      <c r="S1596" s="1">
        <v>8.7800000000000006E-6</v>
      </c>
      <c r="T1596" s="1">
        <v>8.6300000000000004E-6</v>
      </c>
    </row>
    <row r="1597" spans="1:20" hidden="1" x14ac:dyDescent="0.25">
      <c r="A1597" t="s">
        <v>1605</v>
      </c>
      <c r="B1597">
        <v>1.1757200000000001E-4</v>
      </c>
      <c r="C1597" s="1">
        <v>8.1799999999999996E-5</v>
      </c>
      <c r="D1597">
        <v>1.3052300000000001E-4</v>
      </c>
      <c r="E1597">
        <v>1.5373200000000001E-4</v>
      </c>
      <c r="F1597" s="1">
        <v>7.8300000000000006E-5</v>
      </c>
      <c r="G1597" s="1">
        <v>9.7499999999999998E-5</v>
      </c>
      <c r="H1597">
        <v>1.99626E-4</v>
      </c>
      <c r="I1597">
        <v>1.6950900000000001E-4</v>
      </c>
      <c r="J1597" s="1">
        <v>8.7499999999999999E-5</v>
      </c>
      <c r="K1597">
        <v>1.2611499999999999E-4</v>
      </c>
      <c r="L1597">
        <v>1.01222E-4</v>
      </c>
      <c r="M1597">
        <v>1.4450199999999999E-4</v>
      </c>
      <c r="N1597">
        <v>1.07959E-4</v>
      </c>
      <c r="O1597" s="1">
        <v>9.5400000000000001E-5</v>
      </c>
      <c r="P1597">
        <v>1.0047000000000001E-4</v>
      </c>
      <c r="Q1597">
        <v>1.02191E-4</v>
      </c>
      <c r="R1597">
        <v>1.26682E-4</v>
      </c>
      <c r="S1597">
        <v>1.19765E-4</v>
      </c>
      <c r="T1597" s="1">
        <v>9.2E-5</v>
      </c>
    </row>
    <row r="1598" spans="1:20" hidden="1" x14ac:dyDescent="0.25">
      <c r="A1598" t="s">
        <v>1606</v>
      </c>
      <c r="B1598">
        <v>0</v>
      </c>
      <c r="C1598" s="1">
        <v>1.8199999999999999E-5</v>
      </c>
      <c r="D1598" s="1">
        <v>9.0899999999999994E-6</v>
      </c>
      <c r="E1598" s="1">
        <v>1.2099999999999999E-5</v>
      </c>
      <c r="F1598">
        <v>0</v>
      </c>
      <c r="G1598" s="1">
        <v>2.1999999999999999E-5</v>
      </c>
      <c r="H1598" s="1">
        <v>4.2700000000000001E-5</v>
      </c>
      <c r="I1598" s="1">
        <v>2.6100000000000001E-5</v>
      </c>
      <c r="J1598">
        <v>0</v>
      </c>
      <c r="K1598" s="1">
        <v>2.19E-5</v>
      </c>
      <c r="L1598" s="1">
        <v>1.29E-5</v>
      </c>
      <c r="M1598" s="1">
        <v>1.8300000000000001E-5</v>
      </c>
      <c r="N1598" s="1">
        <v>1.66E-5</v>
      </c>
      <c r="O1598">
        <v>0</v>
      </c>
      <c r="P1598" s="1">
        <v>3.0499999999999999E-5</v>
      </c>
      <c r="Q1598" s="1">
        <v>5.3000000000000001E-5</v>
      </c>
      <c r="R1598" s="1">
        <v>4.0599999999999998E-5</v>
      </c>
      <c r="S1598" s="1">
        <v>5.3600000000000002E-5</v>
      </c>
      <c r="T1598" s="1">
        <v>2.72E-5</v>
      </c>
    </row>
    <row r="1599" spans="1:20" hidden="1" x14ac:dyDescent="0.25">
      <c r="A1599" t="s">
        <v>1607</v>
      </c>
      <c r="B1599" s="1">
        <v>1.8099999999999999E-5</v>
      </c>
      <c r="C1599" s="1">
        <v>2.41E-5</v>
      </c>
      <c r="D1599" s="1">
        <v>1.8199999999999999E-5</v>
      </c>
      <c r="E1599" s="1">
        <v>2.3900000000000002E-5</v>
      </c>
      <c r="F1599" s="1">
        <v>1.1399999999999999E-5</v>
      </c>
      <c r="G1599" s="1">
        <v>3.2100000000000001E-5</v>
      </c>
      <c r="H1599" s="1">
        <v>2.0299999999999999E-5</v>
      </c>
      <c r="I1599" s="1">
        <v>2.1500000000000001E-5</v>
      </c>
      <c r="J1599" s="1">
        <v>9.0899999999999994E-6</v>
      </c>
      <c r="K1599" s="1">
        <v>1.95E-5</v>
      </c>
      <c r="L1599" s="1">
        <v>2.6100000000000001E-5</v>
      </c>
      <c r="M1599" s="1">
        <v>1.9700000000000001E-5</v>
      </c>
      <c r="N1599" s="1">
        <v>1.27E-5</v>
      </c>
      <c r="O1599" s="1">
        <v>1.08E-5</v>
      </c>
      <c r="P1599" s="1">
        <v>1.1399999999999999E-5</v>
      </c>
      <c r="Q1599" s="1">
        <v>1.1E-5</v>
      </c>
      <c r="R1599">
        <v>0</v>
      </c>
      <c r="S1599" s="1">
        <v>2.2099999999999998E-5</v>
      </c>
      <c r="T1599" s="1">
        <v>1.5400000000000002E-5</v>
      </c>
    </row>
    <row r="1600" spans="1:20" hidden="1" x14ac:dyDescent="0.25">
      <c r="A1600" t="s">
        <v>1608</v>
      </c>
      <c r="B1600" s="1">
        <v>1.88E-5</v>
      </c>
      <c r="C1600" s="1">
        <v>4.0899999999999998E-5</v>
      </c>
      <c r="D1600" s="1">
        <v>2.34E-5</v>
      </c>
      <c r="E1600" s="1">
        <v>3.1099999999999997E-5</v>
      </c>
      <c r="F1600" s="1">
        <v>2.6800000000000001E-5</v>
      </c>
      <c r="G1600" s="1">
        <v>4.3000000000000002E-5</v>
      </c>
      <c r="H1600" s="1">
        <v>4.1300000000000001E-5</v>
      </c>
      <c r="I1600" s="1">
        <v>4.0399999999999999E-5</v>
      </c>
      <c r="J1600" s="1">
        <v>2.4600000000000002E-5</v>
      </c>
      <c r="K1600" s="1">
        <v>3.1399999999999998E-5</v>
      </c>
      <c r="L1600" s="1">
        <v>3.0300000000000001E-5</v>
      </c>
      <c r="M1600" s="1">
        <v>1.7499999999999998E-5</v>
      </c>
      <c r="N1600" s="1">
        <v>1.95E-5</v>
      </c>
      <c r="O1600" s="1">
        <v>1.8099999999999999E-5</v>
      </c>
      <c r="P1600" s="1">
        <v>2.3200000000000001E-5</v>
      </c>
      <c r="Q1600" s="1">
        <v>3.43E-5</v>
      </c>
      <c r="R1600" s="1">
        <v>2.3900000000000002E-5</v>
      </c>
      <c r="S1600" s="1">
        <v>3.9799999999999998E-5</v>
      </c>
      <c r="T1600" s="1">
        <v>3.2100000000000001E-5</v>
      </c>
    </row>
    <row r="1601" spans="1:20" hidden="1" x14ac:dyDescent="0.25">
      <c r="A1601" t="s">
        <v>1609</v>
      </c>
      <c r="B1601">
        <v>0</v>
      </c>
      <c r="C1601" s="1">
        <v>2.1100000000000001E-5</v>
      </c>
      <c r="D1601" s="1">
        <v>1.88E-5</v>
      </c>
      <c r="E1601" s="1">
        <v>2.27E-5</v>
      </c>
      <c r="F1601">
        <v>0</v>
      </c>
      <c r="G1601">
        <v>0</v>
      </c>
      <c r="H1601" s="1">
        <v>1.6900000000000001E-5</v>
      </c>
      <c r="I1601" s="1">
        <v>2.19E-5</v>
      </c>
      <c r="J1601">
        <v>0</v>
      </c>
      <c r="K1601">
        <v>0</v>
      </c>
      <c r="L1601" s="1">
        <v>2.2399999999999999E-5</v>
      </c>
      <c r="M1601" s="1">
        <v>1.73E-5</v>
      </c>
      <c r="N1601">
        <v>0</v>
      </c>
      <c r="O1601">
        <v>0</v>
      </c>
      <c r="P1601" s="1">
        <v>1.3900000000000001E-5</v>
      </c>
      <c r="Q1601" s="1">
        <v>2.51E-5</v>
      </c>
      <c r="R1601" s="1">
        <v>1.6399999999999999E-5</v>
      </c>
      <c r="S1601" s="1">
        <v>2.0800000000000001E-5</v>
      </c>
      <c r="T1601" s="1">
        <v>2.16E-5</v>
      </c>
    </row>
    <row r="1602" spans="1:20" hidden="1" x14ac:dyDescent="0.25">
      <c r="A1602" t="s">
        <v>1610</v>
      </c>
      <c r="B1602">
        <v>0</v>
      </c>
      <c r="C1602" s="1">
        <v>3.3200000000000001E-5</v>
      </c>
      <c r="D1602" s="1">
        <v>1.8300000000000001E-5</v>
      </c>
      <c r="E1602" s="1">
        <v>1.6099999999999998E-5</v>
      </c>
      <c r="F1602">
        <v>0</v>
      </c>
      <c r="G1602" s="1">
        <v>1.33E-5</v>
      </c>
      <c r="H1602">
        <v>0</v>
      </c>
      <c r="I1602">
        <v>0</v>
      </c>
      <c r="J1602">
        <v>0</v>
      </c>
      <c r="K1602" s="1">
        <v>1.66E-5</v>
      </c>
      <c r="L1602" s="1">
        <v>8.1799999999999996E-6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hidden="1" x14ac:dyDescent="0.25">
      <c r="A1603" t="s">
        <v>1611</v>
      </c>
      <c r="B1603" s="1">
        <v>8.6100000000000006E-6</v>
      </c>
      <c r="C1603" s="1">
        <v>1.8700000000000001E-5</v>
      </c>
      <c r="D1603" s="1">
        <v>1.95E-5</v>
      </c>
      <c r="E1603" s="1">
        <v>1.9199999999999999E-5</v>
      </c>
      <c r="F1603" s="1">
        <v>1.6500000000000001E-5</v>
      </c>
      <c r="G1603" s="1">
        <v>2.5000000000000001E-5</v>
      </c>
      <c r="H1603" s="1">
        <v>2.1500000000000001E-5</v>
      </c>
      <c r="I1603" s="1">
        <v>2.3300000000000001E-5</v>
      </c>
      <c r="J1603" s="1">
        <v>1.5E-5</v>
      </c>
      <c r="K1603" s="1">
        <v>2.0299999999999999E-5</v>
      </c>
      <c r="L1603" s="1">
        <v>1.5999999999999999E-5</v>
      </c>
      <c r="M1603" s="1">
        <v>1.7099999999999999E-5</v>
      </c>
      <c r="N1603" s="1">
        <v>2.3799999999999999E-5</v>
      </c>
      <c r="O1603" s="1">
        <v>1.4600000000000001E-5</v>
      </c>
      <c r="P1603" s="1">
        <v>2.2500000000000001E-5</v>
      </c>
      <c r="Q1603" s="1">
        <v>1.91E-5</v>
      </c>
      <c r="R1603" s="1">
        <v>2.3099999999999999E-5</v>
      </c>
      <c r="S1603" s="1">
        <v>2.7699999999999999E-5</v>
      </c>
      <c r="T1603" s="1">
        <v>2.7500000000000001E-5</v>
      </c>
    </row>
    <row r="1604" spans="1:20" hidden="1" x14ac:dyDescent="0.25">
      <c r="A1604" t="s">
        <v>1612</v>
      </c>
      <c r="B1604">
        <v>0</v>
      </c>
      <c r="C1604" s="1">
        <v>1.9599999999999999E-5</v>
      </c>
      <c r="D1604" s="1">
        <v>9.8600000000000005E-6</v>
      </c>
      <c r="E1604" s="1">
        <v>1.4600000000000001E-5</v>
      </c>
      <c r="F1604">
        <v>0</v>
      </c>
      <c r="G1604" s="1">
        <v>2.1399999999999998E-5</v>
      </c>
      <c r="H1604" s="1">
        <v>2.2799999999999999E-5</v>
      </c>
      <c r="I1604" s="1">
        <v>3.0199999999999999E-5</v>
      </c>
      <c r="J1604" s="1">
        <v>2.1500000000000001E-5</v>
      </c>
      <c r="K1604">
        <v>0</v>
      </c>
      <c r="L1604" s="1">
        <v>2.34E-5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s="1">
        <v>1.7499999999999998E-5</v>
      </c>
      <c r="T1604" s="1">
        <v>1.59E-5</v>
      </c>
    </row>
    <row r="1605" spans="1:20" hidden="1" x14ac:dyDescent="0.25">
      <c r="A1605" t="s">
        <v>1613</v>
      </c>
      <c r="B1605">
        <v>5.6771219999999997E-3</v>
      </c>
      <c r="C1605">
        <v>6.355543E-3</v>
      </c>
      <c r="D1605">
        <v>6.0882269999999999E-3</v>
      </c>
      <c r="E1605">
        <v>5.4916569999999996E-3</v>
      </c>
      <c r="F1605">
        <v>8.8849759999999993E-3</v>
      </c>
      <c r="G1605">
        <v>6.2647149999999997E-3</v>
      </c>
      <c r="H1605">
        <v>6.5386200000000002E-3</v>
      </c>
      <c r="I1605">
        <v>1.0285697E-2</v>
      </c>
      <c r="J1605">
        <v>7.9687820000000006E-3</v>
      </c>
      <c r="K1605">
        <v>6.9810549999999999E-3</v>
      </c>
      <c r="L1605">
        <v>9.0828980000000007E-3</v>
      </c>
      <c r="M1605">
        <v>9.1410810000000006E-3</v>
      </c>
      <c r="N1605">
        <v>1.3002165E-2</v>
      </c>
      <c r="O1605">
        <v>9.6647739999999992E-3</v>
      </c>
      <c r="P1605">
        <v>7.4027709999999998E-3</v>
      </c>
      <c r="Q1605">
        <v>7.7506470000000003E-3</v>
      </c>
      <c r="R1605">
        <v>6.1633149999999999E-3</v>
      </c>
      <c r="S1605">
        <v>8.8842720000000003E-3</v>
      </c>
      <c r="T1605">
        <v>8.3160720000000007E-3</v>
      </c>
    </row>
    <row r="1606" spans="1:20" hidden="1" x14ac:dyDescent="0.25">
      <c r="A1606" t="s">
        <v>1614</v>
      </c>
      <c r="B1606">
        <v>4.9775799999999995E-4</v>
      </c>
      <c r="C1606">
        <v>1.5865000000000001E-4</v>
      </c>
      <c r="D1606">
        <v>2.3114199999999999E-4</v>
      </c>
      <c r="E1606">
        <v>1.18034E-4</v>
      </c>
      <c r="F1606">
        <v>4.0247900000000002E-4</v>
      </c>
      <c r="G1606">
        <v>3.3478000000000002E-4</v>
      </c>
      <c r="H1606">
        <v>4.3259E-4</v>
      </c>
      <c r="I1606">
        <v>3.5383600000000001E-4</v>
      </c>
      <c r="J1606">
        <v>5.9831000000000001E-4</v>
      </c>
      <c r="K1606">
        <v>3.0936700000000001E-4</v>
      </c>
      <c r="L1606">
        <v>1.9911500000000001E-4</v>
      </c>
      <c r="M1606">
        <v>5.1641700000000003E-4</v>
      </c>
      <c r="N1606">
        <v>9.912129999999999E-4</v>
      </c>
      <c r="O1606">
        <v>2.3477400000000001E-4</v>
      </c>
      <c r="P1606">
        <v>1.2813880000000001E-3</v>
      </c>
      <c r="Q1606">
        <v>1.6298669999999999E-3</v>
      </c>
      <c r="R1606">
        <v>2.3657919999999998E-3</v>
      </c>
      <c r="S1606">
        <v>1.7690169999999999E-3</v>
      </c>
      <c r="T1606">
        <v>1.5379600000000001E-3</v>
      </c>
    </row>
    <row r="1607" spans="1:20" hidden="1" x14ac:dyDescent="0.25">
      <c r="A1607" t="s">
        <v>1615</v>
      </c>
      <c r="B1607" s="1">
        <v>2.0599999999999999E-5</v>
      </c>
      <c r="C1607" s="1">
        <v>5.0300000000000003E-5</v>
      </c>
      <c r="D1607" s="1">
        <v>4.4299999999999999E-5</v>
      </c>
      <c r="E1607" s="1">
        <v>2.62E-5</v>
      </c>
      <c r="F1607" s="1">
        <v>1.5800000000000001E-5</v>
      </c>
      <c r="G1607" s="1">
        <v>1.59E-5</v>
      </c>
      <c r="H1607">
        <v>0</v>
      </c>
      <c r="I1607" s="1">
        <v>1.88E-5</v>
      </c>
      <c r="J1607" s="1">
        <v>1.9300000000000002E-5</v>
      </c>
      <c r="K1607" s="1">
        <v>2.05E-5</v>
      </c>
      <c r="L1607" s="1">
        <v>2.3300000000000001E-5</v>
      </c>
      <c r="M1607" s="1">
        <v>1.2500000000000001E-5</v>
      </c>
      <c r="N1607" s="1">
        <v>1.22E-5</v>
      </c>
      <c r="O1607" s="1">
        <v>1.15E-5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hidden="1" x14ac:dyDescent="0.25">
      <c r="A1608" t="s">
        <v>1616</v>
      </c>
      <c r="B1608" s="1">
        <v>5.1800000000000004E-6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s="1">
        <v>7.8900000000000007E-6</v>
      </c>
      <c r="J1608" s="1">
        <v>9.1500000000000005E-6</v>
      </c>
      <c r="K1608" s="1">
        <v>3.9299999999999996E-6</v>
      </c>
      <c r="L1608" s="1">
        <v>4.6600000000000003E-6</v>
      </c>
      <c r="M1608" s="1">
        <v>1.49E-5</v>
      </c>
      <c r="N1608" s="1">
        <v>1.7399999999999999E-5</v>
      </c>
      <c r="O1608">
        <v>0</v>
      </c>
      <c r="P1608" s="1">
        <v>9.5899999999999997E-6</v>
      </c>
      <c r="Q1608" s="1">
        <v>1.29E-5</v>
      </c>
      <c r="R1608" s="1">
        <v>1.4100000000000001E-5</v>
      </c>
      <c r="S1608" s="1">
        <v>1.0200000000000001E-5</v>
      </c>
      <c r="T1608" s="1">
        <v>9.1500000000000005E-6</v>
      </c>
    </row>
    <row r="1609" spans="1:20" hidden="1" x14ac:dyDescent="0.25">
      <c r="A1609" t="s">
        <v>1617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s="1">
        <v>2.1500000000000001E-5</v>
      </c>
      <c r="Q1609" s="1">
        <v>7.7100000000000004E-5</v>
      </c>
      <c r="R1609" s="1">
        <v>2.2099999999999998E-5</v>
      </c>
      <c r="S1609" s="1">
        <v>1.11E-5</v>
      </c>
      <c r="T1609" s="1">
        <v>5.8799999999999996E-6</v>
      </c>
    </row>
    <row r="1610" spans="1:20" hidden="1" x14ac:dyDescent="0.25">
      <c r="A1610" t="s">
        <v>1618</v>
      </c>
      <c r="B1610" s="1">
        <v>4.5800000000000002E-5</v>
      </c>
      <c r="C1610">
        <v>0</v>
      </c>
      <c r="D1610" s="1">
        <v>3.2100000000000001E-5</v>
      </c>
      <c r="E1610">
        <v>0</v>
      </c>
      <c r="F1610" s="1">
        <v>4.49E-5</v>
      </c>
      <c r="G1610">
        <v>0</v>
      </c>
      <c r="H1610" s="1">
        <v>6.5199999999999999E-5</v>
      </c>
      <c r="I1610" s="1">
        <v>3.6699999999999998E-5</v>
      </c>
      <c r="J1610" s="1">
        <v>6.1199999999999997E-5</v>
      </c>
      <c r="K1610" s="1">
        <v>4.0800000000000002E-5</v>
      </c>
      <c r="L1610" s="1">
        <v>3.7200000000000003E-5</v>
      </c>
      <c r="M1610" s="1">
        <v>3.7499999999999997E-5</v>
      </c>
      <c r="N1610" s="1">
        <v>2.8500000000000002E-5</v>
      </c>
      <c r="O1610" s="1">
        <v>5.1700000000000003E-5</v>
      </c>
      <c r="P1610" s="1">
        <v>7.8800000000000004E-5</v>
      </c>
      <c r="Q1610">
        <v>1.21863E-4</v>
      </c>
      <c r="R1610">
        <v>1.61855E-4</v>
      </c>
      <c r="S1610">
        <v>1.18E-4</v>
      </c>
      <c r="T1610">
        <v>1.52841E-4</v>
      </c>
    </row>
    <row r="1611" spans="1:20" hidden="1" x14ac:dyDescent="0.25">
      <c r="A1611" t="s">
        <v>1619</v>
      </c>
      <c r="B1611" s="1">
        <v>2.9900000000000002E-6</v>
      </c>
      <c r="C1611">
        <v>0</v>
      </c>
      <c r="D1611" s="1">
        <v>2.7199999999999998E-6</v>
      </c>
      <c r="E1611">
        <v>0</v>
      </c>
      <c r="F1611" s="1">
        <v>4.9699999999999998E-6</v>
      </c>
      <c r="G1611" s="1">
        <v>1.6500000000000001E-5</v>
      </c>
      <c r="H1611" s="1">
        <v>7.3100000000000003E-6</v>
      </c>
      <c r="I1611" s="1">
        <v>4.7199999999999997E-6</v>
      </c>
      <c r="J1611" s="1">
        <v>5.5799999999999999E-6</v>
      </c>
      <c r="K1611" s="1">
        <v>2.6900000000000001E-6</v>
      </c>
      <c r="L1611" s="1">
        <v>4.3800000000000004E-6</v>
      </c>
      <c r="M1611" s="1">
        <v>2.6000000000000001E-6</v>
      </c>
      <c r="N1611">
        <v>0</v>
      </c>
      <c r="O1611">
        <v>0</v>
      </c>
      <c r="P1611" s="1">
        <v>1.1800000000000001E-5</v>
      </c>
      <c r="Q1611" s="1">
        <v>2.3900000000000002E-5</v>
      </c>
      <c r="R1611" s="1">
        <v>1.6500000000000001E-5</v>
      </c>
      <c r="S1611" s="1">
        <v>2.9300000000000001E-5</v>
      </c>
      <c r="T1611" s="1">
        <v>2.65E-5</v>
      </c>
    </row>
    <row r="1612" spans="1:20" hidden="1" x14ac:dyDescent="0.25">
      <c r="A1612" t="s">
        <v>1620</v>
      </c>
      <c r="B1612">
        <v>0</v>
      </c>
      <c r="C1612">
        <v>0</v>
      </c>
      <c r="D1612">
        <v>0</v>
      </c>
      <c r="E1612">
        <v>0</v>
      </c>
      <c r="F1612" s="1">
        <v>2.2200000000000001E-5</v>
      </c>
      <c r="G1612" s="1">
        <v>3.9100000000000002E-5</v>
      </c>
      <c r="H1612" s="1">
        <v>2.5000000000000001E-5</v>
      </c>
      <c r="I1612" s="1">
        <v>1.2999999999999999E-5</v>
      </c>
      <c r="J1612">
        <v>0</v>
      </c>
      <c r="K1612" s="1">
        <v>1.6699999999999999E-5</v>
      </c>
      <c r="L1612" s="1">
        <v>1.8700000000000001E-5</v>
      </c>
      <c r="M1612" s="1">
        <v>1.27E-5</v>
      </c>
      <c r="N1612">
        <v>0</v>
      </c>
      <c r="O1612" s="1">
        <v>7.6000000000000001E-6</v>
      </c>
      <c r="P1612" s="1">
        <v>2.62E-5</v>
      </c>
      <c r="Q1612" s="1">
        <v>3.8899999999999997E-5</v>
      </c>
      <c r="R1612" s="1">
        <v>3.2299999999999999E-5</v>
      </c>
      <c r="S1612" s="1">
        <v>3.3399999999999999E-5</v>
      </c>
      <c r="T1612" s="1">
        <v>5.8699999999999997E-5</v>
      </c>
    </row>
    <row r="1613" spans="1:20" hidden="1" x14ac:dyDescent="0.25">
      <c r="A1613" t="s">
        <v>1621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1.6958199999999999E-4</v>
      </c>
      <c r="R1613">
        <v>2.03935E-4</v>
      </c>
      <c r="S1613">
        <v>2.2952199999999999E-4</v>
      </c>
      <c r="T1613">
        <v>3.7320700000000002E-4</v>
      </c>
    </row>
    <row r="1614" spans="1:20" hidden="1" x14ac:dyDescent="0.25">
      <c r="A1614" t="s">
        <v>1622</v>
      </c>
      <c r="B1614" s="1">
        <v>1.9599999999999999E-5</v>
      </c>
      <c r="C1614">
        <v>0</v>
      </c>
      <c r="D1614" s="1">
        <v>1.03E-5</v>
      </c>
      <c r="E1614">
        <v>0</v>
      </c>
      <c r="F1614" s="1">
        <v>1.52E-5</v>
      </c>
      <c r="G1614" s="1">
        <v>5.7500000000000002E-5</v>
      </c>
      <c r="H1614" s="1">
        <v>6.8800000000000005E-5</v>
      </c>
      <c r="I1614" s="1">
        <v>2.5199999999999999E-5</v>
      </c>
      <c r="J1614" s="1">
        <v>4.6499999999999999E-5</v>
      </c>
      <c r="K1614" s="1">
        <v>2.3900000000000002E-5</v>
      </c>
      <c r="L1614" s="1">
        <v>4.18E-5</v>
      </c>
      <c r="M1614" s="1">
        <v>5.0699999999999999E-5</v>
      </c>
      <c r="N1614" s="1">
        <v>9.2600000000000001E-5</v>
      </c>
      <c r="O1614" s="1">
        <v>2.2799999999999999E-5</v>
      </c>
      <c r="P1614" s="1">
        <v>4.7299999999999998E-5</v>
      </c>
      <c r="Q1614" s="1">
        <v>4.2200000000000003E-5</v>
      </c>
      <c r="R1614" s="1">
        <v>5.0099999999999998E-5</v>
      </c>
      <c r="S1614" s="1">
        <v>3.7200000000000003E-5</v>
      </c>
      <c r="T1614">
        <v>1.25971E-4</v>
      </c>
    </row>
    <row r="1615" spans="1:20" hidden="1" x14ac:dyDescent="0.25">
      <c r="A1615" t="s">
        <v>1623</v>
      </c>
      <c r="B1615">
        <v>0</v>
      </c>
      <c r="C1615" s="1">
        <v>1.56E-5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 s="1">
        <v>5.93E-6</v>
      </c>
      <c r="L1615" s="1">
        <v>5.3600000000000004E-6</v>
      </c>
      <c r="M1615">
        <v>0</v>
      </c>
      <c r="N1615">
        <v>0</v>
      </c>
      <c r="O1615">
        <v>0</v>
      </c>
      <c r="P1615">
        <v>0</v>
      </c>
      <c r="Q1615" s="1">
        <v>7.3499999999999999E-6</v>
      </c>
      <c r="R1615" s="1">
        <v>1.6500000000000001E-5</v>
      </c>
      <c r="S1615" s="1">
        <v>8.0199999999999994E-6</v>
      </c>
      <c r="T1615" s="1">
        <v>1.31E-5</v>
      </c>
    </row>
    <row r="1616" spans="1:20" hidden="1" x14ac:dyDescent="0.25">
      <c r="A1616" t="s">
        <v>1624</v>
      </c>
      <c r="B1616" s="1">
        <v>4.3399999999999998E-5</v>
      </c>
      <c r="C1616">
        <v>0</v>
      </c>
      <c r="D1616">
        <v>0</v>
      </c>
      <c r="E1616">
        <v>0</v>
      </c>
      <c r="F1616" s="1">
        <v>6.7399999999999998E-5</v>
      </c>
      <c r="G1616">
        <v>0</v>
      </c>
      <c r="H1616">
        <v>0</v>
      </c>
      <c r="I1616" s="1">
        <v>5.5000000000000002E-5</v>
      </c>
      <c r="J1616" s="1">
        <v>5.4200000000000003E-5</v>
      </c>
      <c r="K1616" s="1">
        <v>5.1700000000000003E-5</v>
      </c>
      <c r="L1616" s="1">
        <v>4.2700000000000001E-5</v>
      </c>
      <c r="M1616" s="1">
        <v>4.6100000000000002E-5</v>
      </c>
      <c r="N1616" s="1">
        <v>4.3099999999999997E-5</v>
      </c>
      <c r="O1616" s="1">
        <v>2.69E-5</v>
      </c>
      <c r="P1616" s="1">
        <v>4.85E-5</v>
      </c>
      <c r="Q1616" s="1">
        <v>9.7999999999999997E-5</v>
      </c>
      <c r="R1616" s="1">
        <v>8.2100000000000003E-5</v>
      </c>
      <c r="S1616" s="1">
        <v>7.4999999999999993E-5</v>
      </c>
      <c r="T1616">
        <v>1.1799900000000001E-4</v>
      </c>
    </row>
    <row r="1617" spans="1:20" hidden="1" x14ac:dyDescent="0.25">
      <c r="A1617" t="s">
        <v>1625</v>
      </c>
      <c r="B1617">
        <v>1.663627E-3</v>
      </c>
      <c r="C1617">
        <v>2.0662570000000002E-3</v>
      </c>
      <c r="D1617">
        <v>2.0531460000000001E-3</v>
      </c>
      <c r="E1617">
        <v>1.9585869999999999E-3</v>
      </c>
      <c r="F1617">
        <v>1.742129E-3</v>
      </c>
      <c r="G1617">
        <v>1.4563250000000001E-3</v>
      </c>
      <c r="H1617">
        <v>3.3025799999999998E-3</v>
      </c>
      <c r="I1617">
        <v>1.8749249999999999E-3</v>
      </c>
      <c r="J1617">
        <v>1.6490260000000001E-3</v>
      </c>
      <c r="K1617">
        <v>2.1560640000000001E-3</v>
      </c>
      <c r="L1617">
        <v>2.018546E-3</v>
      </c>
      <c r="M1617">
        <v>2.0401350000000002E-3</v>
      </c>
      <c r="N1617">
        <v>2.6118320000000001E-3</v>
      </c>
      <c r="O1617">
        <v>1.7212900000000001E-3</v>
      </c>
      <c r="P1617">
        <v>2.1819589999999998E-3</v>
      </c>
      <c r="Q1617">
        <v>1.7886079999999999E-3</v>
      </c>
      <c r="R1617">
        <v>1.90716E-3</v>
      </c>
      <c r="S1617">
        <v>1.887089E-3</v>
      </c>
      <c r="T1617">
        <v>1.8668409999999999E-3</v>
      </c>
    </row>
    <row r="1618" spans="1:20" hidden="1" x14ac:dyDescent="0.25">
      <c r="A1618" t="s">
        <v>1626</v>
      </c>
      <c r="B1618">
        <v>1.205526E-3</v>
      </c>
      <c r="C1618">
        <v>1.618576E-3</v>
      </c>
      <c r="D1618">
        <v>1.5465570000000001E-3</v>
      </c>
      <c r="E1618">
        <v>1.5488399999999999E-3</v>
      </c>
      <c r="F1618">
        <v>1.3519129999999999E-3</v>
      </c>
      <c r="G1618">
        <v>1.1271720000000001E-3</v>
      </c>
      <c r="H1618">
        <v>2.5220759999999998E-3</v>
      </c>
      <c r="I1618">
        <v>1.5351309999999999E-3</v>
      </c>
      <c r="J1618">
        <v>1.1909780000000001E-3</v>
      </c>
      <c r="K1618">
        <v>1.6912520000000001E-3</v>
      </c>
      <c r="L1618">
        <v>1.5508169999999999E-3</v>
      </c>
      <c r="M1618">
        <v>1.400669E-3</v>
      </c>
      <c r="N1618">
        <v>1.7033009999999999E-3</v>
      </c>
      <c r="O1618">
        <v>1.3136370000000001E-3</v>
      </c>
      <c r="P1618">
        <v>1.5236640000000001E-3</v>
      </c>
      <c r="Q1618">
        <v>1.37779E-3</v>
      </c>
      <c r="R1618">
        <v>1.4608889999999999E-3</v>
      </c>
      <c r="S1618">
        <v>1.355394E-3</v>
      </c>
      <c r="T1618">
        <v>1.188386E-3</v>
      </c>
    </row>
    <row r="1619" spans="1:20" hidden="1" x14ac:dyDescent="0.25">
      <c r="A1619" t="s">
        <v>1627</v>
      </c>
      <c r="B1619" s="1">
        <v>3.18E-5</v>
      </c>
      <c r="C1619" s="1">
        <v>1.5400000000000002E-5</v>
      </c>
      <c r="D1619" s="1">
        <v>4.7299999999999998E-5</v>
      </c>
      <c r="E1619" s="1">
        <v>3.82E-5</v>
      </c>
      <c r="F1619" s="1">
        <v>1.3699999999999999E-5</v>
      </c>
      <c r="G1619" s="1">
        <v>7.4499999999999995E-5</v>
      </c>
      <c r="H1619" s="1">
        <v>7.4599999999999997E-5</v>
      </c>
      <c r="I1619" s="1">
        <v>1.7799999999999999E-5</v>
      </c>
      <c r="J1619" s="1">
        <v>1.5299999999999999E-5</v>
      </c>
      <c r="K1619" s="1">
        <v>2.3300000000000001E-5</v>
      </c>
      <c r="L1619" s="1">
        <v>1.5099999999999999E-5</v>
      </c>
      <c r="M1619" s="1">
        <v>9.6399999999999999E-5</v>
      </c>
      <c r="N1619" s="1">
        <v>5.38E-5</v>
      </c>
      <c r="O1619" s="1">
        <v>8.7800000000000006E-5</v>
      </c>
      <c r="P1619" s="1">
        <v>1.04E-5</v>
      </c>
      <c r="Q1619" s="1">
        <v>9.0399999999999998E-6</v>
      </c>
      <c r="R1619" s="1">
        <v>1.31E-5</v>
      </c>
      <c r="S1619" s="1">
        <v>4.8699999999999998E-5</v>
      </c>
      <c r="T1619" s="1">
        <v>6.86E-5</v>
      </c>
    </row>
    <row r="1620" spans="1:20" hidden="1" x14ac:dyDescent="0.25">
      <c r="A1620" t="s">
        <v>1628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s="1">
        <v>1.01E-5</v>
      </c>
      <c r="Q1620" s="1">
        <v>2.4700000000000001E-5</v>
      </c>
      <c r="R1620" s="1">
        <v>9.5999999999999996E-6</v>
      </c>
      <c r="S1620" s="1">
        <v>1.5099999999999999E-5</v>
      </c>
      <c r="T1620" s="1">
        <v>2.8200000000000001E-5</v>
      </c>
    </row>
    <row r="1621" spans="1:20" hidden="1" x14ac:dyDescent="0.25">
      <c r="A1621" t="s">
        <v>1629</v>
      </c>
      <c r="B1621">
        <v>0</v>
      </c>
      <c r="C1621" s="1">
        <v>9.6399999999999992E-6</v>
      </c>
      <c r="D1621" s="1">
        <v>9.0499999999999997E-6</v>
      </c>
      <c r="E1621" s="1">
        <v>1.03E-5</v>
      </c>
      <c r="F1621" s="1">
        <v>6.9199999999999998E-6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hidden="1" x14ac:dyDescent="0.25">
      <c r="A1622" t="s">
        <v>1630</v>
      </c>
      <c r="B1622" s="1">
        <v>1.8E-5</v>
      </c>
      <c r="C1622">
        <v>0</v>
      </c>
      <c r="D1622" s="1">
        <v>2.3900000000000002E-5</v>
      </c>
      <c r="E1622" s="1">
        <v>9.9499999999999996E-6</v>
      </c>
      <c r="F1622" s="1">
        <v>2.05E-5</v>
      </c>
      <c r="G1622">
        <v>0</v>
      </c>
      <c r="H1622">
        <v>0</v>
      </c>
      <c r="I1622">
        <v>0</v>
      </c>
      <c r="J1622">
        <v>0</v>
      </c>
      <c r="K1622">
        <v>0</v>
      </c>
      <c r="L1622" s="1">
        <v>8.1799999999999996E-6</v>
      </c>
      <c r="M1622" s="1">
        <v>7.1600000000000001E-6</v>
      </c>
      <c r="N1622">
        <v>0</v>
      </c>
      <c r="O1622">
        <v>0</v>
      </c>
      <c r="P1622">
        <v>0</v>
      </c>
      <c r="Q1622" s="1">
        <v>1.8700000000000001E-5</v>
      </c>
      <c r="R1622" s="1">
        <v>1.1800000000000001E-5</v>
      </c>
      <c r="S1622" s="1">
        <v>1.9199999999999999E-5</v>
      </c>
      <c r="T1622" s="1">
        <v>2.05E-5</v>
      </c>
    </row>
    <row r="1623" spans="1:20" hidden="1" x14ac:dyDescent="0.25">
      <c r="A1623" t="s">
        <v>1631</v>
      </c>
      <c r="B1623" s="1">
        <v>6.7900000000000002E-6</v>
      </c>
      <c r="C1623" s="1">
        <v>6.9999999999999999E-6</v>
      </c>
      <c r="D1623" s="1">
        <v>1.7099999999999999E-5</v>
      </c>
      <c r="E1623" s="1">
        <v>1.56E-5</v>
      </c>
      <c r="F1623" s="1">
        <v>6.0299999999999999E-6</v>
      </c>
      <c r="G1623">
        <v>0</v>
      </c>
      <c r="H1623" s="1">
        <v>6.2899999999999999E-6</v>
      </c>
      <c r="I1623" s="1">
        <v>3.6500000000000002E-6</v>
      </c>
      <c r="J1623" s="1">
        <v>6.9700000000000002E-6</v>
      </c>
      <c r="K1623" s="1">
        <v>7.9300000000000003E-6</v>
      </c>
      <c r="L1623" s="1">
        <v>5.8499999999999999E-6</v>
      </c>
      <c r="M1623" s="1">
        <v>5.8699999999999997E-6</v>
      </c>
      <c r="N1623">
        <v>0</v>
      </c>
      <c r="O1623" s="1">
        <v>5.48E-6</v>
      </c>
      <c r="P1623">
        <v>0</v>
      </c>
      <c r="Q1623" s="1">
        <v>8.5199999999999997E-6</v>
      </c>
      <c r="R1623">
        <v>0</v>
      </c>
      <c r="S1623">
        <v>0</v>
      </c>
      <c r="T1623" s="1">
        <v>6.1199999999999999E-6</v>
      </c>
    </row>
    <row r="1624" spans="1:20" hidden="1" x14ac:dyDescent="0.25">
      <c r="A1624" t="s">
        <v>1632</v>
      </c>
      <c r="B1624">
        <v>1.427113E-3</v>
      </c>
      <c r="C1624">
        <v>2.582371E-3</v>
      </c>
      <c r="D1624">
        <v>1.5943629999999999E-3</v>
      </c>
      <c r="E1624">
        <v>2.4790739999999999E-3</v>
      </c>
      <c r="F1624">
        <v>3.1415340000000001E-3</v>
      </c>
      <c r="G1624">
        <v>3.9555950000000001E-3</v>
      </c>
      <c r="H1624">
        <v>3.054995E-3</v>
      </c>
      <c r="I1624">
        <v>2.315732E-3</v>
      </c>
      <c r="J1624">
        <v>1.9260779999999999E-3</v>
      </c>
      <c r="K1624">
        <v>2.6893899999999998E-3</v>
      </c>
      <c r="L1624">
        <v>3.245455E-3</v>
      </c>
      <c r="M1624">
        <v>2.2184869999999999E-3</v>
      </c>
      <c r="N1624">
        <v>3.074954E-3</v>
      </c>
      <c r="O1624">
        <v>1.641747E-3</v>
      </c>
      <c r="P1624">
        <v>2.6382609999999998E-3</v>
      </c>
      <c r="Q1624">
        <v>4.4992119999999998E-3</v>
      </c>
      <c r="R1624">
        <v>4.7155770000000003E-3</v>
      </c>
      <c r="S1624">
        <v>8.3147929999999991E-3</v>
      </c>
      <c r="T1624">
        <v>6.1750900000000003E-3</v>
      </c>
    </row>
    <row r="1625" spans="1:20" hidden="1" x14ac:dyDescent="0.25">
      <c r="A1625" t="s">
        <v>1633</v>
      </c>
      <c r="B1625" s="1">
        <v>5.3000000000000001E-5</v>
      </c>
      <c r="C1625" s="1">
        <v>4.46E-5</v>
      </c>
      <c r="D1625" s="1">
        <v>5.8E-5</v>
      </c>
      <c r="E1625" s="1">
        <v>6.5400000000000004E-5</v>
      </c>
      <c r="F1625" s="1">
        <v>8.9900000000000003E-5</v>
      </c>
      <c r="G1625" s="1">
        <v>4.9100000000000001E-5</v>
      </c>
      <c r="H1625" s="1">
        <v>4.9700000000000002E-5</v>
      </c>
      <c r="I1625" s="1">
        <v>5.3199999999999999E-5</v>
      </c>
      <c r="J1625" s="1">
        <v>5.8199999999999998E-5</v>
      </c>
      <c r="K1625" s="1">
        <v>5.5899999999999997E-5</v>
      </c>
      <c r="L1625" s="1">
        <v>5.5300000000000002E-5</v>
      </c>
      <c r="M1625" s="1">
        <v>4.9200000000000003E-5</v>
      </c>
      <c r="N1625" s="1">
        <v>6.7899999999999997E-5</v>
      </c>
      <c r="O1625" s="1">
        <v>7.47E-5</v>
      </c>
      <c r="P1625" s="1">
        <v>6.6099999999999994E-5</v>
      </c>
      <c r="Q1625" s="1">
        <v>6.8999999999999997E-5</v>
      </c>
      <c r="R1625" s="1">
        <v>5.8E-5</v>
      </c>
      <c r="S1625" s="1">
        <v>5.6499999999999998E-5</v>
      </c>
      <c r="T1625" s="1">
        <v>7.08E-5</v>
      </c>
    </row>
    <row r="1626" spans="1:20" hidden="1" x14ac:dyDescent="0.25">
      <c r="A1626" t="s">
        <v>1634</v>
      </c>
      <c r="B1626" s="1">
        <v>1.8199999999999999E-5</v>
      </c>
      <c r="C1626" s="1">
        <v>2.9799999999999999E-5</v>
      </c>
      <c r="D1626">
        <v>0</v>
      </c>
      <c r="E1626" s="1">
        <v>2.5000000000000001E-5</v>
      </c>
      <c r="F1626">
        <v>0</v>
      </c>
      <c r="G1626">
        <v>0</v>
      </c>
      <c r="H1626">
        <v>0</v>
      </c>
      <c r="I1626" s="1">
        <v>2.97E-5</v>
      </c>
      <c r="J1626" s="1">
        <v>1.4800000000000001E-5</v>
      </c>
      <c r="K1626" s="1">
        <v>2.4199999999999999E-5</v>
      </c>
      <c r="L1626" s="1">
        <v>2.5700000000000001E-5</v>
      </c>
      <c r="M1626">
        <v>0</v>
      </c>
      <c r="N1626" s="1">
        <v>1.33E-5</v>
      </c>
      <c r="O1626">
        <v>0</v>
      </c>
      <c r="P1626">
        <v>0</v>
      </c>
      <c r="Q1626">
        <v>0</v>
      </c>
      <c r="R1626" s="1">
        <v>2.7900000000000001E-5</v>
      </c>
      <c r="S1626" s="1">
        <v>2.9799999999999999E-5</v>
      </c>
      <c r="T1626" s="1">
        <v>3.0199999999999999E-5</v>
      </c>
    </row>
    <row r="1627" spans="1:20" hidden="1" x14ac:dyDescent="0.25">
      <c r="A1627" t="s">
        <v>1635</v>
      </c>
      <c r="B1627">
        <v>0</v>
      </c>
      <c r="C1627" s="1">
        <v>1.7200000000000001E-5</v>
      </c>
      <c r="D1627" s="1">
        <v>4.3600000000000003E-5</v>
      </c>
      <c r="E1627">
        <v>0</v>
      </c>
      <c r="F1627" s="1">
        <v>2.2900000000000001E-5</v>
      </c>
      <c r="G1627" s="1">
        <v>2.8500000000000002E-5</v>
      </c>
      <c r="H1627" s="1">
        <v>2.02E-5</v>
      </c>
      <c r="I1627" s="1">
        <v>1.8E-5</v>
      </c>
      <c r="J1627" s="1">
        <v>2.7900000000000001E-5</v>
      </c>
      <c r="K1627">
        <v>0</v>
      </c>
      <c r="L1627" s="1">
        <v>1.9899999999999999E-5</v>
      </c>
      <c r="M1627">
        <v>0</v>
      </c>
      <c r="N1627" s="1">
        <v>1.7399999999999999E-5</v>
      </c>
      <c r="O1627" s="1">
        <v>1.6399999999999999E-5</v>
      </c>
      <c r="P1627" s="1">
        <v>2.5400000000000001E-5</v>
      </c>
      <c r="Q1627" s="1">
        <v>2.5999999999999998E-5</v>
      </c>
      <c r="R1627" s="1">
        <v>3.7700000000000002E-5</v>
      </c>
      <c r="S1627" s="1">
        <v>3.1300000000000002E-5</v>
      </c>
      <c r="T1627" s="1">
        <v>3.0599999999999998E-5</v>
      </c>
    </row>
    <row r="1628" spans="1:20" hidden="1" x14ac:dyDescent="0.25">
      <c r="A1628" t="s">
        <v>1636</v>
      </c>
      <c r="B1628">
        <v>1.6342700000000001E-4</v>
      </c>
      <c r="C1628">
        <v>0</v>
      </c>
      <c r="D1628">
        <v>0</v>
      </c>
      <c r="E1628">
        <v>0</v>
      </c>
      <c r="F1628">
        <v>1.2564299999999999E-4</v>
      </c>
      <c r="G1628">
        <v>1.19233E-4</v>
      </c>
      <c r="H1628">
        <v>1.5949099999999999E-4</v>
      </c>
      <c r="I1628" s="1">
        <v>7.5599999999999994E-5</v>
      </c>
      <c r="J1628">
        <v>1.79851E-4</v>
      </c>
      <c r="K1628">
        <v>0</v>
      </c>
      <c r="L1628">
        <v>0</v>
      </c>
      <c r="M1628">
        <v>2.75629E-4</v>
      </c>
      <c r="N1628">
        <v>2.8886299999999999E-4</v>
      </c>
      <c r="O1628" s="1">
        <v>8.6899999999999998E-5</v>
      </c>
      <c r="P1628">
        <v>2.4089200000000001E-4</v>
      </c>
      <c r="Q1628">
        <v>4.1978799999999999E-4</v>
      </c>
      <c r="R1628">
        <v>4.1726300000000002E-4</v>
      </c>
      <c r="S1628">
        <v>4.3261500000000002E-4</v>
      </c>
      <c r="T1628">
        <v>6.2602100000000004E-4</v>
      </c>
    </row>
    <row r="1629" spans="1:20" hidden="1" x14ac:dyDescent="0.25">
      <c r="A1629" t="s">
        <v>1637</v>
      </c>
      <c r="B1629">
        <v>5.7864899999999998E-4</v>
      </c>
      <c r="C1629">
        <v>7.3460099999999998E-4</v>
      </c>
      <c r="D1629">
        <v>7.04359E-4</v>
      </c>
      <c r="E1629">
        <v>5.3427399999999995E-4</v>
      </c>
      <c r="F1629">
        <v>6.2747300000000003E-4</v>
      </c>
      <c r="G1629">
        <v>6.83922E-4</v>
      </c>
      <c r="H1629">
        <v>4.8995199999999999E-4</v>
      </c>
      <c r="I1629">
        <v>6.4374899999999999E-4</v>
      </c>
      <c r="J1629">
        <v>6.56833E-4</v>
      </c>
      <c r="K1629">
        <v>6.3155500000000001E-4</v>
      </c>
      <c r="L1629">
        <v>7.3597699999999996E-4</v>
      </c>
      <c r="M1629">
        <v>5.7481999999999998E-4</v>
      </c>
      <c r="N1629">
        <v>9.8045300000000005E-4</v>
      </c>
      <c r="O1629">
        <v>7.2333599999999999E-4</v>
      </c>
      <c r="P1629">
        <v>7.2564299999999999E-4</v>
      </c>
      <c r="Q1629">
        <v>6.4591400000000004E-4</v>
      </c>
      <c r="R1629">
        <v>8.7379099999999996E-4</v>
      </c>
      <c r="S1629">
        <v>1.000206E-3</v>
      </c>
      <c r="T1629">
        <v>8.4776600000000001E-4</v>
      </c>
    </row>
    <row r="1630" spans="1:20" hidden="1" x14ac:dyDescent="0.25">
      <c r="A1630" t="s">
        <v>1638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 s="1">
        <v>1.9599999999999999E-6</v>
      </c>
      <c r="L1630">
        <v>0</v>
      </c>
      <c r="M1630">
        <v>0</v>
      </c>
      <c r="N1630">
        <v>0</v>
      </c>
      <c r="O1630">
        <v>0</v>
      </c>
      <c r="P1630" s="1">
        <v>5.3800000000000002E-6</v>
      </c>
      <c r="Q1630" s="1">
        <v>9.1600000000000004E-6</v>
      </c>
      <c r="R1630">
        <v>0</v>
      </c>
      <c r="S1630" s="1">
        <v>2.7599999999999998E-6</v>
      </c>
      <c r="T1630" s="1">
        <v>4.7199999999999997E-6</v>
      </c>
    </row>
    <row r="1631" spans="1:20" hidden="1" x14ac:dyDescent="0.25">
      <c r="A1631" t="s">
        <v>1639</v>
      </c>
      <c r="B1631" s="1">
        <v>3.0800000000000003E-5</v>
      </c>
      <c r="C1631" s="1">
        <v>8.0799999999999999E-5</v>
      </c>
      <c r="D1631" s="1">
        <v>8.7700000000000004E-5</v>
      </c>
      <c r="E1631" s="1">
        <v>5.8300000000000001E-5</v>
      </c>
      <c r="F1631" s="1">
        <v>5.9500000000000003E-5</v>
      </c>
      <c r="G1631" s="1">
        <v>8.7499999999999999E-5</v>
      </c>
      <c r="H1631" s="1">
        <v>5.52E-5</v>
      </c>
      <c r="I1631" s="1">
        <v>6.5300000000000002E-5</v>
      </c>
      <c r="J1631" s="1">
        <v>5.0300000000000003E-5</v>
      </c>
      <c r="K1631" s="1">
        <v>5.8699999999999997E-5</v>
      </c>
      <c r="L1631" s="1">
        <v>7.1199999999999996E-5</v>
      </c>
      <c r="M1631">
        <v>0</v>
      </c>
      <c r="N1631" s="1">
        <v>4.7800000000000003E-5</v>
      </c>
      <c r="O1631" s="1">
        <v>6.1299999999999999E-5</v>
      </c>
      <c r="P1631" s="1">
        <v>3.0499999999999999E-5</v>
      </c>
      <c r="Q1631">
        <v>0</v>
      </c>
      <c r="R1631" s="1">
        <v>2.6100000000000001E-5</v>
      </c>
      <c r="S1631">
        <v>0</v>
      </c>
      <c r="T1631">
        <v>0</v>
      </c>
    </row>
    <row r="1632" spans="1:20" hidden="1" x14ac:dyDescent="0.25">
      <c r="A1632" t="s">
        <v>1640</v>
      </c>
      <c r="B1632">
        <v>0</v>
      </c>
      <c r="C1632" s="1">
        <v>1.31E-5</v>
      </c>
      <c r="D1632">
        <v>0</v>
      </c>
      <c r="E1632" s="1">
        <v>4.2899999999999996E-6</v>
      </c>
      <c r="F1632">
        <v>0</v>
      </c>
      <c r="G1632" s="1">
        <v>8.7199999999999995E-6</v>
      </c>
      <c r="H1632" s="1">
        <v>1.0200000000000001E-5</v>
      </c>
      <c r="I1632">
        <v>0</v>
      </c>
      <c r="J1632">
        <v>0</v>
      </c>
      <c r="K1632" s="1">
        <v>3.7100000000000001E-5</v>
      </c>
      <c r="L1632" s="1">
        <v>1.5E-5</v>
      </c>
      <c r="M1632">
        <v>0</v>
      </c>
      <c r="N1632">
        <v>0</v>
      </c>
      <c r="O1632">
        <v>0</v>
      </c>
      <c r="P1632">
        <v>0</v>
      </c>
      <c r="Q1632" s="1">
        <v>2.0400000000000001E-5</v>
      </c>
      <c r="R1632" s="1">
        <v>1.0699999999999999E-5</v>
      </c>
      <c r="S1632" s="1">
        <v>1.2799999999999999E-5</v>
      </c>
      <c r="T1632" s="1">
        <v>9.3300000000000005E-6</v>
      </c>
    </row>
    <row r="1633" spans="1:20" hidden="1" x14ac:dyDescent="0.25">
      <c r="A1633" t="s">
        <v>1641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s="1">
        <v>7.4900000000000003E-6</v>
      </c>
      <c r="J1633">
        <v>0</v>
      </c>
      <c r="K1633">
        <v>0</v>
      </c>
      <c r="L1633">
        <v>0</v>
      </c>
      <c r="M1633" s="1">
        <v>4.4499999999999997E-6</v>
      </c>
      <c r="N1633">
        <v>0</v>
      </c>
      <c r="O1633">
        <v>0</v>
      </c>
      <c r="P1633" s="1">
        <v>6.6599999999999998E-6</v>
      </c>
      <c r="Q1633" s="1">
        <v>1.5999999999999999E-5</v>
      </c>
      <c r="R1633" s="1">
        <v>1.19E-5</v>
      </c>
      <c r="S1633" s="1">
        <v>1.4100000000000001E-5</v>
      </c>
      <c r="T1633" s="1">
        <v>1.8499999999999999E-5</v>
      </c>
    </row>
    <row r="1634" spans="1:20" hidden="1" x14ac:dyDescent="0.25">
      <c r="A1634" t="s">
        <v>1642</v>
      </c>
      <c r="B1634">
        <v>3.7550600000000001E-4</v>
      </c>
      <c r="C1634">
        <v>4.3567399999999999E-4</v>
      </c>
      <c r="D1634">
        <v>4.9519500000000003E-4</v>
      </c>
      <c r="E1634">
        <v>3.8657200000000001E-4</v>
      </c>
      <c r="F1634">
        <v>4.7220399999999999E-4</v>
      </c>
      <c r="G1634">
        <v>4.0492799999999998E-4</v>
      </c>
      <c r="H1634">
        <v>2.69831E-4</v>
      </c>
      <c r="I1634">
        <v>4.4169199999999999E-4</v>
      </c>
      <c r="J1634">
        <v>5.46837E-4</v>
      </c>
      <c r="K1634">
        <v>4.2522000000000003E-4</v>
      </c>
      <c r="L1634">
        <v>4.5425899999999999E-4</v>
      </c>
      <c r="M1634">
        <v>3.3562099999999998E-4</v>
      </c>
      <c r="N1634">
        <v>5.9497800000000002E-4</v>
      </c>
      <c r="O1634">
        <v>4.6691700000000002E-4</v>
      </c>
      <c r="P1634">
        <v>3.4695E-4</v>
      </c>
      <c r="Q1634">
        <v>2.41215E-4</v>
      </c>
      <c r="R1634">
        <v>2.44601E-4</v>
      </c>
      <c r="S1634">
        <v>2.8035499999999998E-4</v>
      </c>
      <c r="T1634">
        <v>3.51226E-4</v>
      </c>
    </row>
    <row r="1635" spans="1:20" hidden="1" x14ac:dyDescent="0.25">
      <c r="A1635" t="s">
        <v>1643</v>
      </c>
      <c r="B1635" s="1">
        <v>1.1199999999999999E-5</v>
      </c>
      <c r="C1635" s="1">
        <v>2.16E-5</v>
      </c>
      <c r="D1635">
        <v>0</v>
      </c>
      <c r="E1635" s="1">
        <v>1.29E-5</v>
      </c>
      <c r="F1635" s="1">
        <v>1.43E-5</v>
      </c>
      <c r="G1635" s="1">
        <v>2.6100000000000001E-5</v>
      </c>
      <c r="H1635" s="1">
        <v>2.3E-5</v>
      </c>
      <c r="I1635" s="1">
        <v>1.59E-5</v>
      </c>
      <c r="J1635" s="1">
        <v>1.8600000000000001E-5</v>
      </c>
      <c r="K1635" s="1">
        <v>1.63E-5</v>
      </c>
      <c r="L1635" s="1">
        <v>2.3499999999999999E-5</v>
      </c>
      <c r="M1635">
        <v>0</v>
      </c>
      <c r="N1635">
        <v>0</v>
      </c>
      <c r="O1635" s="1">
        <v>1.1800000000000001E-5</v>
      </c>
      <c r="P1635" s="1">
        <v>1.6500000000000001E-5</v>
      </c>
      <c r="Q1635" s="1">
        <v>2.2399999999999999E-5</v>
      </c>
      <c r="R1635" s="1">
        <v>1.9400000000000001E-5</v>
      </c>
      <c r="S1635" s="1">
        <v>1.3699999999999999E-5</v>
      </c>
      <c r="T1635">
        <v>0</v>
      </c>
    </row>
    <row r="1636" spans="1:20" hidden="1" x14ac:dyDescent="0.25">
      <c r="A1636" t="s">
        <v>1644</v>
      </c>
      <c r="B1636">
        <v>1.58249E-3</v>
      </c>
      <c r="C1636">
        <v>1.698008E-3</v>
      </c>
      <c r="D1636">
        <v>2.38937E-3</v>
      </c>
      <c r="E1636">
        <v>2.1966059999999998E-3</v>
      </c>
      <c r="F1636">
        <v>1.3692839999999999E-3</v>
      </c>
      <c r="G1636">
        <v>1.377433E-3</v>
      </c>
      <c r="H1636">
        <v>1.4566449999999999E-3</v>
      </c>
      <c r="I1636">
        <v>1.763319E-3</v>
      </c>
      <c r="J1636">
        <v>1.852205E-3</v>
      </c>
      <c r="K1636">
        <v>1.9561819999999999E-3</v>
      </c>
      <c r="L1636">
        <v>1.5074649999999999E-3</v>
      </c>
      <c r="M1636">
        <v>1.5819460000000001E-3</v>
      </c>
      <c r="N1636">
        <v>1.6731420000000001E-3</v>
      </c>
      <c r="O1636">
        <v>2.5641629999999999E-3</v>
      </c>
      <c r="P1636">
        <v>9.2198499999999995E-4</v>
      </c>
      <c r="Q1636">
        <v>4.2920499999999999E-4</v>
      </c>
      <c r="R1636">
        <v>5.9040500000000001E-4</v>
      </c>
      <c r="S1636">
        <v>3.8341900000000002E-4</v>
      </c>
      <c r="T1636">
        <v>4.2965700000000001E-4</v>
      </c>
    </row>
    <row r="1637" spans="1:20" hidden="1" x14ac:dyDescent="0.25">
      <c r="A1637" t="s">
        <v>1645</v>
      </c>
      <c r="B1637">
        <v>6.1968500000000003E-4</v>
      </c>
      <c r="C1637">
        <v>4.8309999999999998E-4</v>
      </c>
      <c r="D1637">
        <v>4.2404299999999998E-4</v>
      </c>
      <c r="E1637">
        <v>4.2685100000000001E-4</v>
      </c>
      <c r="F1637">
        <v>8.6085199999999995E-4</v>
      </c>
      <c r="G1637">
        <v>5.7138999999999996E-4</v>
      </c>
      <c r="H1637">
        <v>9.5059400000000003E-4</v>
      </c>
      <c r="I1637">
        <v>6.51503E-4</v>
      </c>
      <c r="J1637">
        <v>7.1275400000000001E-4</v>
      </c>
      <c r="K1637">
        <v>6.5575699999999998E-4</v>
      </c>
      <c r="L1637">
        <v>6.14925E-4</v>
      </c>
      <c r="M1637">
        <v>1.1338400000000001E-3</v>
      </c>
      <c r="N1637">
        <v>7.9931900000000005E-4</v>
      </c>
      <c r="O1637">
        <v>6.8343799999999997E-4</v>
      </c>
      <c r="P1637">
        <v>9.1723800000000002E-4</v>
      </c>
      <c r="Q1637">
        <v>1.047348E-3</v>
      </c>
      <c r="R1637">
        <v>1.4161009999999999E-3</v>
      </c>
      <c r="S1637">
        <v>1.0215440000000001E-3</v>
      </c>
      <c r="T1637">
        <v>1.1131260000000001E-3</v>
      </c>
    </row>
    <row r="1638" spans="1:20" hidden="1" x14ac:dyDescent="0.25">
      <c r="A1638" t="s">
        <v>1646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s="1">
        <v>1.5699999999999999E-5</v>
      </c>
      <c r="Q1638" s="1">
        <v>4.07E-5</v>
      </c>
      <c r="R1638" s="1">
        <v>3.1000000000000001E-5</v>
      </c>
      <c r="S1638" s="1">
        <v>3.3500000000000001E-5</v>
      </c>
      <c r="T1638" s="1">
        <v>9.0799999999999998E-5</v>
      </c>
    </row>
    <row r="1639" spans="1:20" hidden="1" x14ac:dyDescent="0.25">
      <c r="A1639" t="s">
        <v>1647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 s="1">
        <v>1.8899999999999999E-5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s="1">
        <v>2.9799999999999999E-5</v>
      </c>
      <c r="R1639" s="1">
        <v>2.0800000000000001E-5</v>
      </c>
      <c r="S1639" s="1">
        <v>2.6299999999999999E-5</v>
      </c>
      <c r="T1639" s="1">
        <v>3.1099999999999997E-5</v>
      </c>
    </row>
    <row r="1640" spans="1:20" hidden="1" x14ac:dyDescent="0.25">
      <c r="A1640" t="s">
        <v>1648</v>
      </c>
      <c r="B1640" s="1">
        <v>6.4900000000000005E-5</v>
      </c>
      <c r="C1640" s="1">
        <v>8.1500000000000002E-5</v>
      </c>
      <c r="D1640" s="1">
        <v>6.7700000000000006E-5</v>
      </c>
      <c r="E1640">
        <v>1.2955599999999999E-4</v>
      </c>
      <c r="F1640" s="1">
        <v>5.7299999999999997E-5</v>
      </c>
      <c r="G1640" s="1">
        <v>7.0900000000000002E-5</v>
      </c>
      <c r="H1640" s="1">
        <v>6.4599999999999998E-5</v>
      </c>
      <c r="I1640" s="1">
        <v>4.7200000000000002E-5</v>
      </c>
      <c r="J1640" s="1">
        <v>5.8600000000000001E-5</v>
      </c>
      <c r="K1640" s="1">
        <v>6.7199999999999994E-5</v>
      </c>
      <c r="L1640" s="1">
        <v>7.4599999999999997E-5</v>
      </c>
      <c r="M1640" s="1">
        <v>5.0000000000000002E-5</v>
      </c>
      <c r="N1640" s="1">
        <v>5.3600000000000002E-5</v>
      </c>
      <c r="O1640" s="1">
        <v>5.9299999999999998E-5</v>
      </c>
      <c r="P1640" s="1">
        <v>6.7700000000000006E-5</v>
      </c>
      <c r="Q1640" s="1">
        <v>5.9899999999999999E-5</v>
      </c>
      <c r="R1640" s="1">
        <v>7.7399999999999998E-5</v>
      </c>
      <c r="S1640" s="1">
        <v>6.9800000000000003E-5</v>
      </c>
      <c r="T1640" s="1">
        <v>5.2899999999999998E-5</v>
      </c>
    </row>
    <row r="1641" spans="1:20" hidden="1" x14ac:dyDescent="0.25">
      <c r="A1641" t="s">
        <v>1649</v>
      </c>
      <c r="B1641">
        <v>0</v>
      </c>
      <c r="C1641">
        <v>0</v>
      </c>
      <c r="D1641" s="1">
        <v>5.77E-5</v>
      </c>
      <c r="E1641" s="1">
        <v>3.6199999999999999E-5</v>
      </c>
      <c r="F1641" s="1">
        <v>1.8899999999999999E-5</v>
      </c>
      <c r="G1641" s="1">
        <v>2.73E-5</v>
      </c>
      <c r="H1641">
        <v>0</v>
      </c>
      <c r="I1641">
        <v>0</v>
      </c>
      <c r="J1641" s="1">
        <v>1.6799999999999998E-5</v>
      </c>
      <c r="K1641" s="1">
        <v>1.2E-5</v>
      </c>
      <c r="L1641" s="1">
        <v>1.4800000000000001E-5</v>
      </c>
      <c r="M1641">
        <v>0</v>
      </c>
      <c r="N1641" s="1">
        <v>7.6299999999999998E-6</v>
      </c>
      <c r="O1641" s="1">
        <v>3.54E-5</v>
      </c>
      <c r="P1641" s="1">
        <v>1.9199999999999999E-5</v>
      </c>
      <c r="Q1641" s="1">
        <v>1.8199999999999999E-5</v>
      </c>
      <c r="R1641" s="1">
        <v>1.1399999999999999E-5</v>
      </c>
      <c r="S1641" s="1">
        <v>1.7499999999999998E-5</v>
      </c>
      <c r="T1641" s="1">
        <v>2.4000000000000001E-5</v>
      </c>
    </row>
    <row r="1642" spans="1:20" hidden="1" x14ac:dyDescent="0.25">
      <c r="A1642" t="s">
        <v>1650</v>
      </c>
      <c r="B1642">
        <v>2.1281800000000001E-4</v>
      </c>
      <c r="C1642">
        <v>2.5715699999999999E-4</v>
      </c>
      <c r="D1642">
        <v>3.7764199999999997E-4</v>
      </c>
      <c r="E1642">
        <v>3.7678599999999999E-4</v>
      </c>
      <c r="F1642">
        <v>3.2805900000000001E-4</v>
      </c>
      <c r="G1642">
        <v>2.0035100000000001E-4</v>
      </c>
      <c r="H1642">
        <v>1.7117799999999999E-4</v>
      </c>
      <c r="I1642">
        <v>2.2690899999999999E-4</v>
      </c>
      <c r="J1642">
        <v>2.3195299999999999E-4</v>
      </c>
      <c r="K1642">
        <v>2.0320900000000001E-4</v>
      </c>
      <c r="L1642">
        <v>1.8626E-4</v>
      </c>
      <c r="M1642">
        <v>1.4469799999999999E-4</v>
      </c>
      <c r="N1642">
        <v>1.5591499999999999E-4</v>
      </c>
      <c r="O1642">
        <v>1.52268E-4</v>
      </c>
      <c r="P1642">
        <v>1.38524E-4</v>
      </c>
      <c r="Q1642">
        <v>2.0076499999999999E-4</v>
      </c>
      <c r="R1642">
        <v>1.7928200000000001E-4</v>
      </c>
      <c r="S1642">
        <v>1.4417499999999999E-4</v>
      </c>
      <c r="T1642">
        <v>1.2546700000000001E-4</v>
      </c>
    </row>
    <row r="1643" spans="1:20" hidden="1" x14ac:dyDescent="0.25">
      <c r="A1643" t="s">
        <v>1651</v>
      </c>
      <c r="B1643">
        <v>4.7125429999999996E-3</v>
      </c>
      <c r="C1643">
        <v>8.3257720000000004E-3</v>
      </c>
      <c r="D1643">
        <v>1.0472621E-2</v>
      </c>
      <c r="E1643">
        <v>9.0808060000000003E-3</v>
      </c>
      <c r="F1643">
        <v>7.5101209999999998E-3</v>
      </c>
      <c r="G1643">
        <v>4.0383989999999998E-3</v>
      </c>
      <c r="H1643">
        <v>3.5669299999999998E-3</v>
      </c>
      <c r="I1643">
        <v>4.8974129999999998E-3</v>
      </c>
      <c r="J1643">
        <v>4.2482090000000002E-3</v>
      </c>
      <c r="K1643">
        <v>6.3113689999999998E-3</v>
      </c>
      <c r="L1643">
        <v>6.1765989999999996E-3</v>
      </c>
      <c r="M1643">
        <v>3.1823110000000002E-3</v>
      </c>
      <c r="N1643">
        <v>3.6970499999999999E-3</v>
      </c>
      <c r="O1643">
        <v>4.6666449999999996E-3</v>
      </c>
      <c r="P1643">
        <v>1.689947E-3</v>
      </c>
      <c r="Q1643">
        <v>7.4649600000000003E-4</v>
      </c>
      <c r="R1643">
        <v>8.7942700000000001E-4</v>
      </c>
      <c r="S1643">
        <v>6.9327099999999997E-4</v>
      </c>
      <c r="T1643">
        <v>1.057407E-3</v>
      </c>
    </row>
    <row r="1644" spans="1:20" hidden="1" x14ac:dyDescent="0.25">
      <c r="A1644" t="s">
        <v>1652</v>
      </c>
      <c r="B1644">
        <v>7.2441930000000003E-3</v>
      </c>
      <c r="C1644">
        <v>8.6109870000000005E-3</v>
      </c>
      <c r="D1644">
        <v>7.4569909999999996E-3</v>
      </c>
      <c r="E1644">
        <v>8.5078129999999995E-3</v>
      </c>
      <c r="F1644">
        <v>7.9594660000000001E-3</v>
      </c>
      <c r="G1644">
        <v>5.167278E-3</v>
      </c>
      <c r="H1644">
        <v>4.3477309999999996E-3</v>
      </c>
      <c r="I1644">
        <v>5.6486770000000004E-3</v>
      </c>
      <c r="J1644">
        <v>6.2369330000000001E-3</v>
      </c>
      <c r="K1644">
        <v>7.9032029999999993E-3</v>
      </c>
      <c r="L1644">
        <v>8.0861730000000003E-3</v>
      </c>
      <c r="M1644">
        <v>5.5343220000000004E-3</v>
      </c>
      <c r="N1644">
        <v>4.651919E-3</v>
      </c>
      <c r="O1644">
        <v>5.4179249999999997E-3</v>
      </c>
      <c r="P1644">
        <v>2.7306399999999999E-3</v>
      </c>
      <c r="Q1644">
        <v>1.4569850000000001E-3</v>
      </c>
      <c r="R1644">
        <v>1.4669010000000001E-3</v>
      </c>
      <c r="S1644">
        <v>1.118822E-3</v>
      </c>
      <c r="T1644">
        <v>1.1491520000000001E-3</v>
      </c>
    </row>
    <row r="1645" spans="1:20" hidden="1" x14ac:dyDescent="0.25">
      <c r="A1645" t="s">
        <v>1653</v>
      </c>
      <c r="B1645" s="1">
        <v>9.31E-5</v>
      </c>
      <c r="C1645">
        <v>1.26391E-4</v>
      </c>
      <c r="D1645" s="1">
        <v>6.1299999999999999E-5</v>
      </c>
      <c r="E1645">
        <v>1.1058800000000001E-4</v>
      </c>
      <c r="F1645">
        <v>1.38732E-4</v>
      </c>
      <c r="G1645">
        <v>1.60273E-4</v>
      </c>
      <c r="H1645">
        <v>1.7715100000000001E-4</v>
      </c>
      <c r="I1645">
        <v>1.21484E-4</v>
      </c>
      <c r="J1645" s="1">
        <v>9.2499999999999999E-5</v>
      </c>
      <c r="K1645">
        <v>1.09422E-4</v>
      </c>
      <c r="L1645">
        <v>1.08995E-4</v>
      </c>
      <c r="M1645">
        <v>1.3785800000000001E-4</v>
      </c>
      <c r="N1645" s="1">
        <v>9.9699999999999998E-5</v>
      </c>
      <c r="O1645" s="1">
        <v>8.3300000000000005E-5</v>
      </c>
      <c r="P1645">
        <v>1.6595499999999999E-4</v>
      </c>
      <c r="Q1645">
        <v>1.79097E-4</v>
      </c>
      <c r="R1645">
        <v>1.1686E-4</v>
      </c>
      <c r="S1645">
        <v>2.2011700000000001E-4</v>
      </c>
      <c r="T1645">
        <v>1.3408499999999999E-4</v>
      </c>
    </row>
    <row r="1646" spans="1:20" hidden="1" x14ac:dyDescent="0.25">
      <c r="A1646" t="s">
        <v>1654</v>
      </c>
      <c r="B1646">
        <v>1.5082999999999999E-4</v>
      </c>
      <c r="C1646">
        <v>2.5281000000000001E-4</v>
      </c>
      <c r="D1646">
        <v>2.1268599999999999E-4</v>
      </c>
      <c r="E1646">
        <v>2.4815999999999998E-4</v>
      </c>
      <c r="F1646">
        <v>2.54827E-4</v>
      </c>
      <c r="G1646">
        <v>1.97207E-4</v>
      </c>
      <c r="H1646" s="1">
        <v>8.8200000000000003E-5</v>
      </c>
      <c r="I1646">
        <v>1.6897200000000001E-4</v>
      </c>
      <c r="J1646">
        <v>1.7426400000000001E-4</v>
      </c>
      <c r="K1646">
        <v>2.09927E-4</v>
      </c>
      <c r="L1646">
        <v>2.29158E-4</v>
      </c>
      <c r="M1646">
        <v>1.45506E-4</v>
      </c>
      <c r="N1646">
        <v>1.77839E-4</v>
      </c>
      <c r="O1646">
        <v>1.6007799999999999E-4</v>
      </c>
      <c r="P1646" s="1">
        <v>9.1100000000000005E-5</v>
      </c>
      <c r="Q1646">
        <v>1.3636200000000001E-4</v>
      </c>
      <c r="R1646">
        <v>1.15233E-4</v>
      </c>
      <c r="S1646">
        <v>1.2584900000000001E-4</v>
      </c>
      <c r="T1646">
        <v>1.28436E-4</v>
      </c>
    </row>
    <row r="1647" spans="1:20" hidden="1" x14ac:dyDescent="0.25">
      <c r="A1647" t="s">
        <v>1655</v>
      </c>
      <c r="B1647">
        <v>6.5510560000000004E-3</v>
      </c>
      <c r="C1647">
        <v>1.2001454E-2</v>
      </c>
      <c r="D1647">
        <v>1.2055206000000001E-2</v>
      </c>
      <c r="E1647">
        <v>1.3399529E-2</v>
      </c>
      <c r="F1647">
        <v>6.4950729999999996E-3</v>
      </c>
      <c r="G1647">
        <v>6.0936289999999997E-3</v>
      </c>
      <c r="H1647">
        <v>4.2674230000000002E-3</v>
      </c>
      <c r="I1647">
        <v>5.1556700000000002E-3</v>
      </c>
      <c r="J1647">
        <v>5.5697949999999998E-3</v>
      </c>
      <c r="K1647">
        <v>9.7890540000000002E-3</v>
      </c>
      <c r="L1647">
        <v>9.2009650000000002E-3</v>
      </c>
      <c r="M1647">
        <v>3.6405880000000002E-3</v>
      </c>
      <c r="N1647">
        <v>2.13657E-3</v>
      </c>
      <c r="O1647">
        <v>6.25941E-3</v>
      </c>
      <c r="P1647">
        <v>2.1323510000000002E-3</v>
      </c>
      <c r="Q1647">
        <v>1.1063690000000001E-3</v>
      </c>
      <c r="R1647">
        <v>1.3205490000000001E-3</v>
      </c>
      <c r="S1647">
        <v>9.7354899999999999E-4</v>
      </c>
      <c r="T1647">
        <v>1.251004E-3</v>
      </c>
    </row>
    <row r="1648" spans="1:20" hidden="1" x14ac:dyDescent="0.25">
      <c r="A1648" t="s">
        <v>1656</v>
      </c>
      <c r="B1648" s="1">
        <v>2.5999999999999998E-5</v>
      </c>
      <c r="C1648" s="1">
        <v>3.3800000000000002E-5</v>
      </c>
      <c r="D1648" s="1">
        <v>2.2099999999999998E-5</v>
      </c>
      <c r="E1648" s="1">
        <v>3.5200000000000002E-5</v>
      </c>
      <c r="F1648" s="1">
        <v>2.3099999999999999E-5</v>
      </c>
      <c r="G1648" s="1">
        <v>4.21E-5</v>
      </c>
      <c r="H1648" s="1">
        <v>2.8799999999999999E-5</v>
      </c>
      <c r="I1648" s="1">
        <v>2.7800000000000001E-5</v>
      </c>
      <c r="J1648" s="1">
        <v>1.9899999999999999E-5</v>
      </c>
      <c r="K1648" s="1">
        <v>2.6699999999999998E-5</v>
      </c>
      <c r="L1648" s="1">
        <v>2.62E-5</v>
      </c>
      <c r="M1648" s="1">
        <v>3.18E-5</v>
      </c>
      <c r="N1648" s="1">
        <v>2.2900000000000001E-5</v>
      </c>
      <c r="O1648" s="1">
        <v>2.0299999999999999E-5</v>
      </c>
      <c r="P1648" s="1">
        <v>3.8600000000000003E-5</v>
      </c>
      <c r="Q1648" s="1">
        <v>4.3800000000000001E-5</v>
      </c>
      <c r="R1648" s="1">
        <v>4.3600000000000003E-5</v>
      </c>
      <c r="S1648" s="1">
        <v>7.1099999999999994E-5</v>
      </c>
      <c r="T1648" s="1">
        <v>3.43E-5</v>
      </c>
    </row>
    <row r="1649" spans="1:20" hidden="1" x14ac:dyDescent="0.25">
      <c r="A1649" t="s">
        <v>1657</v>
      </c>
      <c r="B1649" s="1">
        <v>1.6099999999999998E-5</v>
      </c>
      <c r="C1649" s="1">
        <v>6.9599999999999998E-5</v>
      </c>
      <c r="D1649" s="1">
        <v>8.3999999999999995E-5</v>
      </c>
      <c r="E1649" s="1">
        <v>9.4500000000000007E-5</v>
      </c>
      <c r="F1649" s="1">
        <v>3.3099999999999998E-5</v>
      </c>
      <c r="G1649" s="1">
        <v>2.97E-5</v>
      </c>
      <c r="H1649" s="1">
        <v>2.02E-5</v>
      </c>
      <c r="I1649" s="1">
        <v>2.7900000000000001E-5</v>
      </c>
      <c r="J1649" s="1">
        <v>1.19E-5</v>
      </c>
      <c r="K1649" s="1">
        <v>5.1700000000000003E-5</v>
      </c>
      <c r="L1649" s="1">
        <v>3.7700000000000002E-5</v>
      </c>
      <c r="M1649">
        <v>0</v>
      </c>
      <c r="N1649">
        <v>0</v>
      </c>
      <c r="O1649" s="1">
        <v>3.0800000000000003E-5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hidden="1" x14ac:dyDescent="0.25">
      <c r="A1650" t="s">
        <v>1658</v>
      </c>
      <c r="B1650" s="1">
        <v>7.61E-6</v>
      </c>
      <c r="C1650" s="1">
        <v>3.1000000000000001E-5</v>
      </c>
      <c r="D1650" s="1">
        <v>3.1900000000000003E-5</v>
      </c>
      <c r="E1650" s="1">
        <v>3.1699999999999998E-5</v>
      </c>
      <c r="F1650" s="1">
        <v>6.0299999999999999E-6</v>
      </c>
      <c r="G1650" s="1">
        <v>1.36E-5</v>
      </c>
      <c r="H1650">
        <v>0</v>
      </c>
      <c r="I1650" s="1">
        <v>1.0900000000000001E-5</v>
      </c>
      <c r="J1650">
        <v>0</v>
      </c>
      <c r="K1650" s="1">
        <v>3.3800000000000002E-5</v>
      </c>
      <c r="L1650" s="1">
        <v>2.3200000000000001E-5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hidden="1" x14ac:dyDescent="0.25">
      <c r="A1651" t="s">
        <v>1659</v>
      </c>
      <c r="B1651" s="1">
        <v>2.2900000000000001E-5</v>
      </c>
      <c r="C1651" s="1">
        <v>5.2899999999999998E-5</v>
      </c>
      <c r="D1651" s="1">
        <v>6.1400000000000002E-5</v>
      </c>
      <c r="E1651" s="1">
        <v>5.6199999999999997E-5</v>
      </c>
      <c r="F1651" s="1">
        <v>4.6300000000000001E-5</v>
      </c>
      <c r="G1651" s="1">
        <v>3.6999999999999998E-5</v>
      </c>
      <c r="H1651" s="1">
        <v>2.51E-5</v>
      </c>
      <c r="I1651" s="1">
        <v>2.8099999999999999E-5</v>
      </c>
      <c r="J1651" s="1">
        <v>2.8500000000000002E-5</v>
      </c>
      <c r="K1651" s="1">
        <v>4.8699999999999998E-5</v>
      </c>
      <c r="L1651" s="1">
        <v>4.8699999999999998E-5</v>
      </c>
      <c r="M1651" s="1">
        <v>1.95E-5</v>
      </c>
      <c r="N1651" s="1">
        <v>3.4400000000000003E-5</v>
      </c>
      <c r="O1651" s="1">
        <v>3.0499999999999999E-5</v>
      </c>
      <c r="P1651">
        <v>0</v>
      </c>
      <c r="Q1651" s="1">
        <v>2.3499999999999999E-5</v>
      </c>
      <c r="R1651" s="1">
        <v>1.91E-5</v>
      </c>
      <c r="S1651" s="1">
        <v>3.5899999999999998E-5</v>
      </c>
      <c r="T1651" s="1">
        <v>2.3600000000000001E-5</v>
      </c>
    </row>
    <row r="1652" spans="1:20" hidden="1" x14ac:dyDescent="0.25">
      <c r="A1652" t="s">
        <v>1660</v>
      </c>
      <c r="B1652">
        <v>1.01414E-4</v>
      </c>
      <c r="C1652">
        <v>1.59331E-4</v>
      </c>
      <c r="D1652">
        <v>1.70507E-4</v>
      </c>
      <c r="E1652">
        <v>1.9281800000000001E-4</v>
      </c>
      <c r="F1652">
        <v>1.2162E-4</v>
      </c>
      <c r="G1652" s="1">
        <v>9.6100000000000005E-5</v>
      </c>
      <c r="H1652" s="1">
        <v>9.1399999999999999E-5</v>
      </c>
      <c r="I1652">
        <v>1.21106E-4</v>
      </c>
      <c r="J1652" s="1">
        <v>8.0699999999999996E-5</v>
      </c>
      <c r="K1652">
        <v>2.0145699999999999E-4</v>
      </c>
      <c r="L1652">
        <v>2.0990700000000001E-4</v>
      </c>
      <c r="M1652" s="1">
        <v>7.8399999999999995E-5</v>
      </c>
      <c r="N1652">
        <v>1.0182499999999999E-4</v>
      </c>
      <c r="O1652" s="1">
        <v>9.5199999999999997E-5</v>
      </c>
      <c r="P1652" s="1">
        <v>6.4200000000000002E-5</v>
      </c>
      <c r="Q1652" s="1">
        <v>2.6599999999999999E-5</v>
      </c>
      <c r="R1652" s="1">
        <v>2.9600000000000001E-5</v>
      </c>
      <c r="S1652">
        <v>0</v>
      </c>
      <c r="T1652" s="1">
        <v>2.73E-5</v>
      </c>
    </row>
    <row r="1653" spans="1:20" hidden="1" x14ac:dyDescent="0.25">
      <c r="A1653" t="s">
        <v>1661</v>
      </c>
      <c r="B1653" s="1">
        <v>1.7200000000000001E-5</v>
      </c>
      <c r="C1653">
        <v>0</v>
      </c>
      <c r="D1653">
        <v>0</v>
      </c>
      <c r="E1653" s="1">
        <v>9.1600000000000004E-6</v>
      </c>
      <c r="F1653">
        <v>0</v>
      </c>
      <c r="G1653" s="1">
        <v>1.45E-5</v>
      </c>
      <c r="H1653" s="1">
        <v>2.16E-5</v>
      </c>
      <c r="I1653" s="1">
        <v>5.9900000000000002E-6</v>
      </c>
      <c r="J1653" s="1">
        <v>1.42E-5</v>
      </c>
      <c r="K1653" s="1">
        <v>3.3399999999999999E-5</v>
      </c>
      <c r="L1653">
        <v>0</v>
      </c>
      <c r="M1653" s="1">
        <v>2.2099999999999998E-5</v>
      </c>
      <c r="N1653">
        <v>0</v>
      </c>
      <c r="O1653">
        <v>0</v>
      </c>
      <c r="P1653" s="1">
        <v>7.2100000000000004E-5</v>
      </c>
      <c r="Q1653">
        <v>1.7766700000000001E-4</v>
      </c>
      <c r="R1653" s="1">
        <v>6.0999999999999999E-5</v>
      </c>
      <c r="S1653" s="1">
        <v>8.9800000000000001E-5</v>
      </c>
      <c r="T1653">
        <v>2.6463000000000002E-4</v>
      </c>
    </row>
    <row r="1654" spans="1:20" hidden="1" x14ac:dyDescent="0.25">
      <c r="A1654" t="s">
        <v>1662</v>
      </c>
      <c r="B1654">
        <v>2.2589299999999999E-4</v>
      </c>
      <c r="C1654">
        <v>4.5748400000000003E-4</v>
      </c>
      <c r="D1654">
        <v>4.4429000000000002E-4</v>
      </c>
      <c r="E1654">
        <v>5.1461599999999997E-4</v>
      </c>
      <c r="F1654">
        <v>3.51009E-4</v>
      </c>
      <c r="G1654">
        <v>4.0181199999999998E-4</v>
      </c>
      <c r="H1654">
        <v>7.1281600000000001E-4</v>
      </c>
      <c r="I1654">
        <v>3.3277300000000002E-4</v>
      </c>
      <c r="J1654">
        <v>2.9279300000000001E-4</v>
      </c>
      <c r="K1654">
        <v>4.6673299999999999E-4</v>
      </c>
      <c r="L1654">
        <v>4.52435E-4</v>
      </c>
      <c r="M1654">
        <v>2.08653E-4</v>
      </c>
      <c r="N1654">
        <v>2.1855900000000001E-4</v>
      </c>
      <c r="O1654">
        <v>2.329E-4</v>
      </c>
      <c r="P1654">
        <v>1.61299E-4</v>
      </c>
      <c r="Q1654">
        <v>1.17308E-4</v>
      </c>
      <c r="R1654">
        <v>1.3962600000000001E-4</v>
      </c>
      <c r="S1654">
        <v>1.7775399999999999E-4</v>
      </c>
      <c r="T1654">
        <v>2.21611E-4</v>
      </c>
    </row>
    <row r="1655" spans="1:20" hidden="1" x14ac:dyDescent="0.25">
      <c r="A1655" t="s">
        <v>1663</v>
      </c>
      <c r="B1655">
        <v>2.1612399999999999E-4</v>
      </c>
      <c r="C1655">
        <v>3.2278100000000001E-4</v>
      </c>
      <c r="D1655">
        <v>3.5681800000000001E-4</v>
      </c>
      <c r="E1655">
        <v>4.3434000000000002E-4</v>
      </c>
      <c r="F1655">
        <v>2.1000399999999999E-4</v>
      </c>
      <c r="G1655">
        <v>2.6657999999999999E-4</v>
      </c>
      <c r="H1655">
        <v>4.3647500000000002E-4</v>
      </c>
      <c r="I1655">
        <v>2.26469E-4</v>
      </c>
      <c r="J1655">
        <v>2.02349E-4</v>
      </c>
      <c r="K1655">
        <v>3.3805800000000002E-4</v>
      </c>
      <c r="L1655">
        <v>3.0052200000000001E-4</v>
      </c>
      <c r="M1655">
        <v>1.6721300000000001E-4</v>
      </c>
      <c r="N1655">
        <v>1.4035799999999999E-4</v>
      </c>
      <c r="O1655">
        <v>1.8884500000000001E-4</v>
      </c>
      <c r="P1655" s="1">
        <v>8.7000000000000001E-5</v>
      </c>
      <c r="Q1655" s="1">
        <v>6.2299999999999996E-5</v>
      </c>
      <c r="R1655" s="1">
        <v>3.9799999999999998E-5</v>
      </c>
      <c r="S1655">
        <v>0</v>
      </c>
      <c r="T1655" s="1">
        <v>9.5000000000000005E-5</v>
      </c>
    </row>
    <row r="1656" spans="1:20" hidden="1" x14ac:dyDescent="0.25">
      <c r="A1656" t="s">
        <v>1664</v>
      </c>
      <c r="B1656">
        <v>1.6827420000000001E-3</v>
      </c>
      <c r="C1656">
        <v>1.649628E-3</v>
      </c>
      <c r="D1656">
        <v>1.8110719999999999E-3</v>
      </c>
      <c r="E1656">
        <v>2.2409700000000001E-3</v>
      </c>
      <c r="F1656">
        <v>1.9023499999999999E-3</v>
      </c>
      <c r="G1656">
        <v>9.1717399999999998E-4</v>
      </c>
      <c r="H1656">
        <v>1.1939609999999999E-3</v>
      </c>
      <c r="I1656">
        <v>1.2087999999999999E-3</v>
      </c>
      <c r="J1656">
        <v>1.4766E-3</v>
      </c>
      <c r="K1656">
        <v>1.499472E-3</v>
      </c>
      <c r="L1656">
        <v>1.2574509999999999E-3</v>
      </c>
      <c r="M1656">
        <v>9.3885699999999997E-4</v>
      </c>
      <c r="N1656">
        <v>7.67448E-4</v>
      </c>
      <c r="O1656">
        <v>1.431281E-3</v>
      </c>
      <c r="P1656">
        <v>6.6885999999999996E-4</v>
      </c>
      <c r="Q1656">
        <v>3.7525900000000002E-4</v>
      </c>
      <c r="R1656">
        <v>2.9053999999999999E-4</v>
      </c>
      <c r="S1656">
        <v>2.5838499999999997E-4</v>
      </c>
      <c r="T1656">
        <v>4.2546800000000003E-4</v>
      </c>
    </row>
    <row r="1657" spans="1:20" hidden="1" x14ac:dyDescent="0.25">
      <c r="A1657" t="s">
        <v>1665</v>
      </c>
      <c r="B1657">
        <v>8.53391E-4</v>
      </c>
      <c r="C1657">
        <v>1.0610420000000001E-3</v>
      </c>
      <c r="D1657">
        <v>1.0734939999999999E-3</v>
      </c>
      <c r="E1657">
        <v>1.7516000000000001E-3</v>
      </c>
      <c r="F1657">
        <v>1.6849390000000001E-3</v>
      </c>
      <c r="G1657">
        <v>5.3567199999999995E-4</v>
      </c>
      <c r="H1657">
        <v>7.88794E-4</v>
      </c>
      <c r="I1657">
        <v>9.1110300000000002E-4</v>
      </c>
      <c r="J1657">
        <v>8.1130600000000003E-4</v>
      </c>
      <c r="K1657">
        <v>8.0775699999999998E-4</v>
      </c>
      <c r="L1657">
        <v>5.8891800000000002E-4</v>
      </c>
      <c r="M1657">
        <v>5.2702399999999996E-4</v>
      </c>
      <c r="N1657">
        <v>3.8008200000000001E-4</v>
      </c>
      <c r="O1657">
        <v>7.4348999999999997E-4</v>
      </c>
      <c r="P1657">
        <v>4.1310799999999998E-4</v>
      </c>
      <c r="Q1657">
        <v>2.37438E-4</v>
      </c>
      <c r="R1657">
        <v>1.4227900000000001E-4</v>
      </c>
      <c r="S1657">
        <v>2.18524E-4</v>
      </c>
      <c r="T1657">
        <v>1.70101E-4</v>
      </c>
    </row>
    <row r="1658" spans="1:20" hidden="1" x14ac:dyDescent="0.25">
      <c r="A1658" t="s">
        <v>1666</v>
      </c>
      <c r="B1658" s="1">
        <v>2.5400000000000001E-5</v>
      </c>
      <c r="C1658" s="1">
        <v>5.1999999999999997E-5</v>
      </c>
      <c r="D1658" s="1">
        <v>3.0599999999999998E-5</v>
      </c>
      <c r="E1658" s="1">
        <v>4.0000000000000003E-5</v>
      </c>
      <c r="F1658" s="1">
        <v>5.4200000000000003E-5</v>
      </c>
      <c r="G1658">
        <v>0</v>
      </c>
      <c r="H1658">
        <v>0</v>
      </c>
      <c r="I1658" s="1">
        <v>3.5899999999999998E-5</v>
      </c>
      <c r="J1658">
        <v>0</v>
      </c>
      <c r="K1658" s="1">
        <v>3.1600000000000002E-5</v>
      </c>
      <c r="L1658" s="1">
        <v>3.5500000000000002E-5</v>
      </c>
      <c r="M1658">
        <v>0</v>
      </c>
      <c r="N1658" s="1">
        <v>1.84E-5</v>
      </c>
      <c r="O1658" s="1">
        <v>2.23E-5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hidden="1" x14ac:dyDescent="0.25">
      <c r="A1659" t="s">
        <v>1667</v>
      </c>
      <c r="B1659" s="1">
        <v>3.6300000000000001E-5</v>
      </c>
      <c r="C1659" s="1">
        <v>4.1300000000000001E-5</v>
      </c>
      <c r="D1659" s="1">
        <v>2.9200000000000002E-5</v>
      </c>
      <c r="E1659" s="1">
        <v>2.58E-5</v>
      </c>
      <c r="F1659" s="1">
        <v>2.8799999999999999E-5</v>
      </c>
      <c r="G1659" s="1">
        <v>1.9000000000000001E-5</v>
      </c>
      <c r="H1659" s="1">
        <v>2.2399999999999999E-5</v>
      </c>
      <c r="I1659" s="1">
        <v>4.0399999999999999E-5</v>
      </c>
      <c r="J1659" s="1">
        <v>2.58E-5</v>
      </c>
      <c r="K1659" s="1">
        <v>2.9899999999999998E-5</v>
      </c>
      <c r="L1659" s="1">
        <v>2.1999999999999999E-5</v>
      </c>
      <c r="M1659" s="1">
        <v>3.1999999999999999E-5</v>
      </c>
      <c r="N1659" s="1">
        <v>6.0399999999999998E-5</v>
      </c>
      <c r="O1659" s="1">
        <v>3.18E-5</v>
      </c>
      <c r="P1659" s="1">
        <v>3.15E-5</v>
      </c>
      <c r="Q1659" s="1">
        <v>3.7599999999999999E-5</v>
      </c>
      <c r="R1659" s="1">
        <v>3.3200000000000001E-5</v>
      </c>
      <c r="S1659" s="1">
        <v>2.9600000000000001E-5</v>
      </c>
      <c r="T1659" s="1">
        <v>4.3900000000000003E-5</v>
      </c>
    </row>
    <row r="1660" spans="1:20" hidden="1" x14ac:dyDescent="0.25">
      <c r="A1660" t="s">
        <v>1668</v>
      </c>
      <c r="B1660">
        <v>1.28415E-4</v>
      </c>
      <c r="C1660">
        <v>1.5114999999999999E-4</v>
      </c>
      <c r="D1660">
        <v>1.7790699999999999E-4</v>
      </c>
      <c r="E1660">
        <v>1.75713E-4</v>
      </c>
      <c r="F1660">
        <v>1.38224E-4</v>
      </c>
      <c r="G1660" s="1">
        <v>8.8900000000000006E-5</v>
      </c>
      <c r="H1660" s="1">
        <v>9.5500000000000004E-5</v>
      </c>
      <c r="I1660">
        <v>1.6236000000000001E-4</v>
      </c>
      <c r="J1660">
        <v>1.20275E-4</v>
      </c>
      <c r="K1660">
        <v>1.5685499999999999E-4</v>
      </c>
      <c r="L1660">
        <v>1.36594E-4</v>
      </c>
      <c r="M1660" s="1">
        <v>5.94E-5</v>
      </c>
      <c r="N1660" s="1">
        <v>6.1299999999999999E-5</v>
      </c>
      <c r="O1660">
        <v>1.26642E-4</v>
      </c>
      <c r="P1660" s="1">
        <v>4.5399999999999999E-5</v>
      </c>
      <c r="Q1660" s="1">
        <v>2.4300000000000001E-5</v>
      </c>
      <c r="R1660" s="1">
        <v>2.5400000000000001E-5</v>
      </c>
      <c r="S1660" s="1">
        <v>1.6399999999999999E-5</v>
      </c>
      <c r="T1660" s="1">
        <v>2.3900000000000002E-5</v>
      </c>
    </row>
    <row r="1661" spans="1:20" hidden="1" x14ac:dyDescent="0.25">
      <c r="A1661" t="s">
        <v>1669</v>
      </c>
      <c r="B1661">
        <v>9.3881399999999995E-4</v>
      </c>
      <c r="C1661">
        <v>2.3600880000000002E-3</v>
      </c>
      <c r="D1661">
        <v>1.7366860000000001E-3</v>
      </c>
      <c r="E1661">
        <v>1.8755880000000001E-3</v>
      </c>
      <c r="F1661">
        <v>1.829563E-3</v>
      </c>
      <c r="G1661">
        <v>2.5169120000000001E-3</v>
      </c>
      <c r="H1661">
        <v>3.4218209999999998E-3</v>
      </c>
      <c r="I1661">
        <v>1.359327E-3</v>
      </c>
      <c r="J1661">
        <v>1.35402E-3</v>
      </c>
      <c r="K1661">
        <v>1.357015E-3</v>
      </c>
      <c r="L1661">
        <v>1.383586E-3</v>
      </c>
      <c r="M1661">
        <v>6.40775E-4</v>
      </c>
      <c r="N1661">
        <v>8.5340100000000005E-4</v>
      </c>
      <c r="O1661">
        <v>9.4190799999999998E-4</v>
      </c>
      <c r="P1661">
        <v>6.5727699999999995E-4</v>
      </c>
      <c r="Q1661">
        <v>8.541E-4</v>
      </c>
      <c r="R1661">
        <v>6.8554300000000005E-4</v>
      </c>
      <c r="S1661">
        <v>0</v>
      </c>
      <c r="T1661">
        <v>0</v>
      </c>
    </row>
    <row r="1662" spans="1:20" hidden="1" x14ac:dyDescent="0.25">
      <c r="A1662" t="s">
        <v>1670</v>
      </c>
      <c r="B1662">
        <v>6.7397350000000002E-3</v>
      </c>
      <c r="C1662">
        <v>6.4519130000000001E-3</v>
      </c>
      <c r="D1662">
        <v>8.4458420000000003E-3</v>
      </c>
      <c r="E1662">
        <v>7.6903049999999997E-3</v>
      </c>
      <c r="F1662">
        <v>7.7255099999999997E-3</v>
      </c>
      <c r="G1662">
        <v>2.7845309999999998E-3</v>
      </c>
      <c r="H1662">
        <v>3.2571340000000001E-3</v>
      </c>
      <c r="I1662">
        <v>3.4278529999999998E-3</v>
      </c>
      <c r="J1662">
        <v>3.463697E-3</v>
      </c>
      <c r="K1662">
        <v>5.2382449999999999E-3</v>
      </c>
      <c r="L1662">
        <v>4.2795610000000003E-3</v>
      </c>
      <c r="M1662">
        <v>3.6645950000000001E-3</v>
      </c>
      <c r="N1662">
        <v>3.6119400000000001E-3</v>
      </c>
      <c r="O1662">
        <v>3.222117E-3</v>
      </c>
      <c r="P1662">
        <v>1.976238E-3</v>
      </c>
      <c r="Q1662">
        <v>1.1611449999999999E-3</v>
      </c>
      <c r="R1662">
        <v>9.1726399999999999E-4</v>
      </c>
      <c r="S1662">
        <v>9.3968299999999997E-4</v>
      </c>
      <c r="T1662">
        <v>1.922523E-3</v>
      </c>
    </row>
    <row r="1663" spans="1:20" hidden="1" x14ac:dyDescent="0.25">
      <c r="A1663" t="s">
        <v>1671</v>
      </c>
      <c r="B1663">
        <v>1.22636E-4</v>
      </c>
      <c r="C1663" s="1">
        <v>8.1299999999999997E-5</v>
      </c>
      <c r="D1663" s="1">
        <v>4.4700000000000002E-5</v>
      </c>
      <c r="E1663" s="1">
        <v>5.1799999999999999E-5</v>
      </c>
      <c r="F1663" s="1">
        <v>2.87E-5</v>
      </c>
      <c r="G1663" s="1">
        <v>4.0299999999999997E-5</v>
      </c>
      <c r="H1663">
        <v>0</v>
      </c>
      <c r="I1663" s="1">
        <v>2.44E-5</v>
      </c>
      <c r="J1663" s="1">
        <v>5.5699999999999999E-5</v>
      </c>
      <c r="K1663" s="1">
        <v>7.0099999999999996E-5</v>
      </c>
      <c r="L1663">
        <v>1.3036499999999999E-4</v>
      </c>
      <c r="M1663" s="1">
        <v>3.4100000000000002E-5</v>
      </c>
      <c r="N1663" s="1">
        <v>2.6699999999999998E-5</v>
      </c>
      <c r="O1663">
        <v>0</v>
      </c>
      <c r="P1663">
        <v>1.14398E-4</v>
      </c>
      <c r="Q1663">
        <v>0</v>
      </c>
      <c r="R1663" s="1">
        <v>1.7900000000000001E-5</v>
      </c>
      <c r="S1663">
        <v>0</v>
      </c>
      <c r="T1663">
        <v>0</v>
      </c>
    </row>
    <row r="1664" spans="1:20" hidden="1" x14ac:dyDescent="0.25">
      <c r="A1664" t="s">
        <v>1672</v>
      </c>
      <c r="B1664" s="1">
        <v>8.8999999999999995E-6</v>
      </c>
      <c r="C1664" s="1">
        <v>1.4800000000000001E-5</v>
      </c>
      <c r="D1664" s="1">
        <v>1.63E-5</v>
      </c>
      <c r="E1664" s="1">
        <v>1.33E-5</v>
      </c>
      <c r="F1664" s="1">
        <v>1.1199999999999999E-5</v>
      </c>
      <c r="G1664">
        <v>0</v>
      </c>
      <c r="H1664" s="1">
        <v>5.8599999999999998E-6</v>
      </c>
      <c r="I1664" s="1">
        <v>6.9399999999999996E-6</v>
      </c>
      <c r="J1664">
        <v>0</v>
      </c>
      <c r="K1664" s="1">
        <v>7.1899999999999998E-6</v>
      </c>
      <c r="L1664" s="1">
        <v>7.96E-6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hidden="1" x14ac:dyDescent="0.25">
      <c r="A1665" t="s">
        <v>1673</v>
      </c>
      <c r="B1665">
        <v>1.38613E-4</v>
      </c>
      <c r="C1665">
        <v>2.1350300000000001E-4</v>
      </c>
      <c r="D1665">
        <v>2.37898E-4</v>
      </c>
      <c r="E1665">
        <v>2.41134E-4</v>
      </c>
      <c r="F1665">
        <v>1.49889E-4</v>
      </c>
      <c r="G1665">
        <v>1.1203400000000001E-4</v>
      </c>
      <c r="H1665" s="1">
        <v>7.1400000000000001E-5</v>
      </c>
      <c r="I1665">
        <v>1.1443299999999999E-4</v>
      </c>
      <c r="J1665" s="1">
        <v>9.5099999999999994E-5</v>
      </c>
      <c r="K1665">
        <v>1.35086E-4</v>
      </c>
      <c r="L1665">
        <v>1.3724399999999999E-4</v>
      </c>
      <c r="M1665" s="1">
        <v>7.7799999999999994E-5</v>
      </c>
      <c r="N1665" s="1">
        <v>6.2399999999999999E-5</v>
      </c>
      <c r="O1665" s="1">
        <v>9.8200000000000002E-5</v>
      </c>
      <c r="P1665" s="1">
        <v>4.99E-5</v>
      </c>
      <c r="Q1665" s="1">
        <v>2.37E-5</v>
      </c>
      <c r="R1665">
        <v>0</v>
      </c>
      <c r="S1665" s="1">
        <v>1.22E-5</v>
      </c>
      <c r="T1665">
        <v>0</v>
      </c>
    </row>
    <row r="1666" spans="1:20" hidden="1" x14ac:dyDescent="0.25">
      <c r="A1666" t="s">
        <v>1674</v>
      </c>
      <c r="B1666" s="1">
        <v>8.1600000000000005E-5</v>
      </c>
      <c r="C1666">
        <v>0</v>
      </c>
      <c r="D1666" s="1">
        <v>4.2899999999999999E-5</v>
      </c>
      <c r="E1666" s="1">
        <v>6.6099999999999994E-5</v>
      </c>
      <c r="F1666">
        <v>0</v>
      </c>
      <c r="G1666">
        <v>1.1281E-4</v>
      </c>
      <c r="H1666">
        <v>1.06765E-4</v>
      </c>
      <c r="I1666" s="1">
        <v>2.3200000000000001E-5</v>
      </c>
      <c r="J1666" s="1">
        <v>3.8300000000000003E-5</v>
      </c>
      <c r="K1666">
        <v>1.38379E-4</v>
      </c>
      <c r="L1666" s="1">
        <v>7.4300000000000004E-5</v>
      </c>
      <c r="M1666">
        <v>1.0231E-4</v>
      </c>
      <c r="N1666" s="1">
        <v>7.9099999999999998E-5</v>
      </c>
      <c r="O1666" s="1">
        <v>7.3700000000000002E-5</v>
      </c>
      <c r="P1666">
        <v>1.7343600000000001E-4</v>
      </c>
      <c r="Q1666">
        <v>4.1343599999999999E-4</v>
      </c>
      <c r="R1666" s="1">
        <v>9.7399999999999996E-5</v>
      </c>
      <c r="S1666">
        <v>2.2959900000000001E-4</v>
      </c>
      <c r="T1666">
        <v>4.4485500000000002E-4</v>
      </c>
    </row>
    <row r="1667" spans="1:20" hidden="1" x14ac:dyDescent="0.25">
      <c r="A1667" t="s">
        <v>1675</v>
      </c>
      <c r="B1667" s="1">
        <v>6.1299999999999999E-5</v>
      </c>
      <c r="C1667" s="1">
        <v>4.9700000000000002E-5</v>
      </c>
      <c r="D1667" s="1">
        <v>6.05E-5</v>
      </c>
      <c r="E1667" s="1">
        <v>4.9799999999999998E-5</v>
      </c>
      <c r="F1667" s="1">
        <v>8.7700000000000004E-5</v>
      </c>
      <c r="G1667" s="1">
        <v>7.7899999999999996E-5</v>
      </c>
      <c r="H1667" s="1">
        <v>7.7799999999999994E-5</v>
      </c>
      <c r="I1667" s="1">
        <v>8.3599999999999999E-5</v>
      </c>
      <c r="J1667" s="1">
        <v>8.03E-5</v>
      </c>
      <c r="K1667" s="1">
        <v>4.5099999999999998E-5</v>
      </c>
      <c r="L1667" s="1">
        <v>8.6399999999999999E-5</v>
      </c>
      <c r="M1667" s="1">
        <v>8.0599999999999994E-5</v>
      </c>
      <c r="N1667">
        <v>1.5785500000000001E-4</v>
      </c>
      <c r="O1667" s="1">
        <v>9.48E-5</v>
      </c>
      <c r="P1667">
        <v>1.5634399999999999E-4</v>
      </c>
      <c r="Q1667">
        <v>2.5684900000000002E-4</v>
      </c>
      <c r="R1667">
        <v>3.1376800000000002E-4</v>
      </c>
      <c r="S1667">
        <v>4.1021900000000002E-4</v>
      </c>
      <c r="T1667">
        <v>2.7081700000000002E-4</v>
      </c>
    </row>
    <row r="1668" spans="1:20" hidden="1" x14ac:dyDescent="0.25">
      <c r="A1668" t="s">
        <v>1676</v>
      </c>
      <c r="B1668">
        <v>1.149267E-3</v>
      </c>
      <c r="C1668">
        <v>1.1091779999999999E-3</v>
      </c>
      <c r="D1668">
        <v>1.5018099999999999E-3</v>
      </c>
      <c r="E1668">
        <v>1.0849430000000001E-3</v>
      </c>
      <c r="F1668">
        <v>6.82104E-4</v>
      </c>
      <c r="G1668">
        <v>6.2565299999999999E-4</v>
      </c>
      <c r="H1668">
        <v>5.7233299999999996E-4</v>
      </c>
      <c r="I1668">
        <v>8.7502000000000001E-4</v>
      </c>
      <c r="J1668">
        <v>6.6399299999999998E-4</v>
      </c>
      <c r="K1668">
        <v>9.3582599999999995E-4</v>
      </c>
      <c r="L1668">
        <v>8.8996400000000003E-4</v>
      </c>
      <c r="M1668">
        <v>9.2000100000000004E-4</v>
      </c>
      <c r="N1668">
        <v>1.082048E-3</v>
      </c>
      <c r="O1668">
        <v>9.4487300000000005E-4</v>
      </c>
      <c r="P1668">
        <v>5.5807199999999995E-4</v>
      </c>
      <c r="Q1668">
        <v>2.48454E-4</v>
      </c>
      <c r="R1668">
        <v>2.1333600000000001E-4</v>
      </c>
      <c r="S1668">
        <v>1.97147E-4</v>
      </c>
      <c r="T1668">
        <v>2.7320000000000003E-4</v>
      </c>
    </row>
    <row r="1669" spans="1:20" hidden="1" x14ac:dyDescent="0.25">
      <c r="A1669" t="s">
        <v>1677</v>
      </c>
      <c r="B1669">
        <v>4.5493299999999998E-4</v>
      </c>
      <c r="C1669">
        <v>4.6388899999999999E-4</v>
      </c>
      <c r="D1669">
        <v>3.5131300000000002E-4</v>
      </c>
      <c r="E1669">
        <v>5.52711E-4</v>
      </c>
      <c r="F1669">
        <v>6.5417000000000003E-4</v>
      </c>
      <c r="G1669">
        <v>7.1955499999999998E-4</v>
      </c>
      <c r="H1669">
        <v>6.4124199999999998E-4</v>
      </c>
      <c r="I1669">
        <v>1.57738E-3</v>
      </c>
      <c r="J1669">
        <v>9.6702599999999995E-4</v>
      </c>
      <c r="K1669">
        <v>4.0868099999999999E-4</v>
      </c>
      <c r="L1669">
        <v>6.3012699999999997E-4</v>
      </c>
      <c r="M1669">
        <v>8.93942E-4</v>
      </c>
      <c r="N1669">
        <v>1.425684E-3</v>
      </c>
      <c r="O1669">
        <v>9.4329600000000004E-4</v>
      </c>
      <c r="P1669">
        <v>8.2582E-4</v>
      </c>
      <c r="Q1669">
        <v>4.7868200000000002E-4</v>
      </c>
      <c r="R1669">
        <v>6.98582E-4</v>
      </c>
      <c r="S1669">
        <v>4.29212E-4</v>
      </c>
      <c r="T1669">
        <v>5.4903099999999995E-4</v>
      </c>
    </row>
    <row r="1670" spans="1:20" hidden="1" x14ac:dyDescent="0.25">
      <c r="A1670" t="s">
        <v>1678</v>
      </c>
      <c r="B1670" s="1">
        <v>2.3E-5</v>
      </c>
      <c r="C1670" s="1">
        <v>1.9700000000000001E-5</v>
      </c>
      <c r="D1670" s="1">
        <v>2.0999999999999999E-5</v>
      </c>
      <c r="E1670" s="1">
        <v>2.1399999999999998E-5</v>
      </c>
      <c r="F1670" s="1">
        <v>2.7699999999999999E-5</v>
      </c>
      <c r="G1670" s="1">
        <v>2.4899999999999999E-5</v>
      </c>
      <c r="H1670" s="1">
        <v>2.2799999999999999E-5</v>
      </c>
      <c r="I1670" s="1">
        <v>3.3800000000000002E-5</v>
      </c>
      <c r="J1670" s="1">
        <v>2.73E-5</v>
      </c>
      <c r="K1670" s="1">
        <v>2.37E-5</v>
      </c>
      <c r="L1670" s="1">
        <v>2.4199999999999999E-5</v>
      </c>
      <c r="M1670" s="1">
        <v>1.6200000000000001E-5</v>
      </c>
      <c r="N1670" s="1">
        <v>1.8499999999999999E-5</v>
      </c>
      <c r="O1670" s="1">
        <v>2.0699999999999998E-5</v>
      </c>
      <c r="P1670" s="1">
        <v>1.7600000000000001E-5</v>
      </c>
      <c r="Q1670" s="1">
        <v>1.5400000000000002E-5</v>
      </c>
      <c r="R1670" s="1">
        <v>1.91E-5</v>
      </c>
      <c r="S1670" s="1">
        <v>1.9400000000000001E-5</v>
      </c>
      <c r="T1670" s="1">
        <v>1.1399999999999999E-5</v>
      </c>
    </row>
    <row r="1671" spans="1:20" hidden="1" x14ac:dyDescent="0.25">
      <c r="A1671" t="s">
        <v>1679</v>
      </c>
      <c r="B1671" s="1">
        <v>5.2500000000000002E-5</v>
      </c>
      <c r="C1671" s="1">
        <v>5.1499999999999998E-5</v>
      </c>
      <c r="D1671" s="1">
        <v>7.4499999999999995E-5</v>
      </c>
      <c r="E1671" s="1">
        <v>6.9400000000000006E-5</v>
      </c>
      <c r="F1671" s="1">
        <v>7.1099999999999994E-5</v>
      </c>
      <c r="G1671" s="1">
        <v>4.0800000000000002E-5</v>
      </c>
      <c r="H1671" s="1">
        <v>4.7599999999999998E-5</v>
      </c>
      <c r="I1671" s="1">
        <v>4.2299999999999998E-5</v>
      </c>
      <c r="J1671" s="1">
        <v>3.8999999999999999E-5</v>
      </c>
      <c r="K1671" s="1">
        <v>6.4999999999999994E-5</v>
      </c>
      <c r="L1671" s="1">
        <v>6.2600000000000004E-5</v>
      </c>
      <c r="M1671" s="1">
        <v>3.96E-5</v>
      </c>
      <c r="N1671" s="1">
        <v>4.5500000000000001E-5</v>
      </c>
      <c r="O1671" s="1">
        <v>5.3900000000000002E-5</v>
      </c>
      <c r="P1671" s="1">
        <v>2.2399999999999999E-5</v>
      </c>
      <c r="Q1671" s="1">
        <v>2.0100000000000001E-5</v>
      </c>
      <c r="R1671" s="1">
        <v>1.9000000000000001E-5</v>
      </c>
      <c r="S1671" s="1">
        <v>1.6399999999999999E-5</v>
      </c>
      <c r="T1671" s="1">
        <v>1.49E-5</v>
      </c>
    </row>
    <row r="1672" spans="1:20" hidden="1" x14ac:dyDescent="0.25">
      <c r="A1672" t="s">
        <v>1680</v>
      </c>
      <c r="B1672">
        <v>7.2175899999999999E-4</v>
      </c>
      <c r="C1672">
        <v>1.0078439999999999E-3</v>
      </c>
      <c r="D1672">
        <v>9.3242200000000003E-4</v>
      </c>
      <c r="E1672">
        <v>8.6022699999999998E-4</v>
      </c>
      <c r="F1672">
        <v>8.7001199999999998E-4</v>
      </c>
      <c r="G1672">
        <v>9.3595500000000003E-4</v>
      </c>
      <c r="H1672">
        <v>1.491507E-3</v>
      </c>
      <c r="I1672">
        <v>1.3105460000000001E-3</v>
      </c>
      <c r="J1672">
        <v>8.9966099999999995E-4</v>
      </c>
      <c r="K1672">
        <v>8.6802199999999998E-4</v>
      </c>
      <c r="L1672">
        <v>1.23459E-3</v>
      </c>
      <c r="M1672">
        <v>7.6522000000000005E-4</v>
      </c>
      <c r="N1672">
        <v>1.4151280000000001E-3</v>
      </c>
      <c r="O1672">
        <v>9.3443300000000003E-4</v>
      </c>
      <c r="P1672">
        <v>5.2168600000000005E-4</v>
      </c>
      <c r="Q1672">
        <v>5.8063600000000004E-4</v>
      </c>
      <c r="R1672">
        <v>5.7101700000000005E-4</v>
      </c>
      <c r="S1672">
        <v>6.8389000000000004E-4</v>
      </c>
      <c r="T1672">
        <v>6.2940200000000004E-4</v>
      </c>
    </row>
    <row r="1673" spans="1:20" hidden="1" x14ac:dyDescent="0.25">
      <c r="A1673" t="s">
        <v>1681</v>
      </c>
      <c r="B1673">
        <v>0</v>
      </c>
      <c r="C1673">
        <v>1.5555000000000001E-4</v>
      </c>
      <c r="D1673" s="1">
        <v>8.7000000000000001E-5</v>
      </c>
      <c r="E1673">
        <v>1.03113E-4</v>
      </c>
      <c r="F1673" s="1">
        <v>5.52E-5</v>
      </c>
      <c r="G1673">
        <v>1.6614099999999999E-4</v>
      </c>
      <c r="H1673" s="1">
        <v>5.4599999999999999E-5</v>
      </c>
      <c r="I1673" s="1">
        <v>9.2100000000000003E-5</v>
      </c>
      <c r="J1673">
        <v>1.0249E-4</v>
      </c>
      <c r="K1673" s="1">
        <v>5.0000000000000002E-5</v>
      </c>
      <c r="L1673">
        <v>1.2590499999999999E-4</v>
      </c>
      <c r="M1673" s="1">
        <v>4.9700000000000002E-5</v>
      </c>
      <c r="N1673" s="1">
        <v>4.6100000000000002E-5</v>
      </c>
      <c r="O1673" s="1">
        <v>7.8100000000000001E-5</v>
      </c>
      <c r="P1673" s="1">
        <v>5.2200000000000002E-5</v>
      </c>
      <c r="Q1673" s="1">
        <v>5.63E-5</v>
      </c>
      <c r="R1673" s="1">
        <v>8.6399999999999999E-5</v>
      </c>
      <c r="S1673" s="1">
        <v>5.1799999999999999E-5</v>
      </c>
      <c r="T1673" s="1">
        <v>8.1799999999999996E-5</v>
      </c>
    </row>
    <row r="1674" spans="1:20" hidden="1" x14ac:dyDescent="0.25">
      <c r="A1674" t="s">
        <v>1682</v>
      </c>
      <c r="B1674">
        <v>0</v>
      </c>
      <c r="C1674" s="1">
        <v>1.9199999999999999E-5</v>
      </c>
      <c r="D1674" s="1">
        <v>7.61E-6</v>
      </c>
      <c r="E1674" s="1">
        <v>1.03E-5</v>
      </c>
      <c r="F1674" s="1">
        <v>3.41E-6</v>
      </c>
      <c r="G1674" s="1">
        <v>1.15E-5</v>
      </c>
      <c r="H1674" s="1">
        <v>6.0299999999999999E-6</v>
      </c>
      <c r="I1674" s="1">
        <v>3.2499999999999998E-6</v>
      </c>
      <c r="J1674">
        <v>0</v>
      </c>
      <c r="K1674" s="1">
        <v>6.5799999999999997E-6</v>
      </c>
      <c r="L1674" s="1">
        <v>7.34E-6</v>
      </c>
      <c r="M1674">
        <v>0</v>
      </c>
      <c r="N1674">
        <v>0</v>
      </c>
      <c r="O1674">
        <v>0</v>
      </c>
      <c r="P1674">
        <v>0</v>
      </c>
      <c r="Q1674" s="1">
        <v>6.0499999999999997E-6</v>
      </c>
      <c r="R1674" s="1">
        <v>4.0300000000000004E-6</v>
      </c>
      <c r="S1674" s="1">
        <v>3.0400000000000001E-6</v>
      </c>
      <c r="T1674" s="1">
        <v>3.7000000000000002E-6</v>
      </c>
    </row>
    <row r="1675" spans="1:20" hidden="1" x14ac:dyDescent="0.25">
      <c r="A1675" t="s">
        <v>1683</v>
      </c>
      <c r="B1675">
        <v>0</v>
      </c>
      <c r="C1675" s="1">
        <v>1.31E-5</v>
      </c>
      <c r="D1675" s="1">
        <v>1.01E-5</v>
      </c>
      <c r="E1675" s="1">
        <v>9.0100000000000001E-6</v>
      </c>
      <c r="F1675" s="1">
        <v>1.4E-5</v>
      </c>
      <c r="G1675">
        <v>0</v>
      </c>
      <c r="H1675">
        <v>0</v>
      </c>
      <c r="I1675" s="1">
        <v>8.3999999999999992E-6</v>
      </c>
      <c r="J1675" s="1">
        <v>1.4600000000000001E-5</v>
      </c>
      <c r="K1675" s="1">
        <v>5.0599999999999998E-6</v>
      </c>
      <c r="L1675" s="1">
        <v>9.0999999999999993E-6</v>
      </c>
      <c r="M1675">
        <v>0</v>
      </c>
      <c r="N1675">
        <v>0</v>
      </c>
      <c r="O1675" s="1">
        <v>8.7600000000000008E-6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hidden="1" x14ac:dyDescent="0.25">
      <c r="A1676" t="s">
        <v>1684</v>
      </c>
      <c r="B1676" s="1">
        <v>3.2100000000000001E-5</v>
      </c>
      <c r="C1676" s="1">
        <v>3.7299999999999999E-5</v>
      </c>
      <c r="D1676" s="1">
        <v>4.0599999999999998E-5</v>
      </c>
      <c r="E1676" s="1">
        <v>3.15E-5</v>
      </c>
      <c r="F1676" s="1">
        <v>4.4400000000000002E-5</v>
      </c>
      <c r="G1676" s="1">
        <v>4.5800000000000002E-5</v>
      </c>
      <c r="H1676" s="1">
        <v>5.0899999999999997E-5</v>
      </c>
      <c r="I1676" s="1">
        <v>4.1699999999999997E-5</v>
      </c>
      <c r="J1676" s="1">
        <v>7.0199999999999999E-5</v>
      </c>
      <c r="K1676" s="1">
        <v>3.6999999999999998E-5</v>
      </c>
      <c r="L1676" s="1">
        <v>3.4900000000000001E-5</v>
      </c>
      <c r="M1676" s="1">
        <v>4.4199999999999997E-5</v>
      </c>
      <c r="N1676" s="1">
        <v>6.8700000000000003E-5</v>
      </c>
      <c r="O1676" s="1">
        <v>5.1E-5</v>
      </c>
      <c r="P1676">
        <v>0</v>
      </c>
      <c r="Q1676" s="1">
        <v>3.0899999999999999E-5</v>
      </c>
      <c r="R1676">
        <v>0</v>
      </c>
      <c r="S1676" s="1">
        <v>2.5400000000000001E-5</v>
      </c>
      <c r="T1676">
        <v>0</v>
      </c>
    </row>
    <row r="1677" spans="1:20" hidden="1" x14ac:dyDescent="0.25">
      <c r="A1677" t="s">
        <v>1685</v>
      </c>
      <c r="B1677">
        <v>1.19139E-4</v>
      </c>
      <c r="C1677">
        <v>3.43486E-4</v>
      </c>
      <c r="D1677">
        <v>2.6897999999999999E-4</v>
      </c>
      <c r="E1677">
        <v>2.95347E-4</v>
      </c>
      <c r="F1677">
        <v>1.29901E-4</v>
      </c>
      <c r="G1677">
        <v>2.4093500000000001E-4</v>
      </c>
      <c r="H1677" s="1">
        <v>6.3600000000000001E-5</v>
      </c>
      <c r="I1677">
        <v>1.7585300000000001E-4</v>
      </c>
      <c r="J1677">
        <v>1.1709600000000001E-4</v>
      </c>
      <c r="K1677">
        <v>1.75026E-4</v>
      </c>
      <c r="L1677">
        <v>2.0635400000000001E-4</v>
      </c>
      <c r="M1677">
        <v>1.3055599999999999E-4</v>
      </c>
      <c r="N1677" s="1">
        <v>9.8300000000000004E-5</v>
      </c>
      <c r="O1677">
        <v>1.5346399999999999E-4</v>
      </c>
      <c r="P1677">
        <v>1.20986E-4</v>
      </c>
      <c r="Q1677" s="1">
        <v>4.46E-5</v>
      </c>
      <c r="R1677" s="1">
        <v>4.0800000000000002E-5</v>
      </c>
      <c r="S1677">
        <v>1.4510400000000001E-4</v>
      </c>
      <c r="T1677">
        <v>0</v>
      </c>
    </row>
    <row r="1678" spans="1:20" hidden="1" x14ac:dyDescent="0.25">
      <c r="A1678" t="s">
        <v>1686</v>
      </c>
      <c r="B1678">
        <v>0</v>
      </c>
      <c r="C1678">
        <v>1.7435199999999999E-4</v>
      </c>
      <c r="D1678">
        <v>2.1218499999999999E-4</v>
      </c>
      <c r="E1678">
        <v>2.01702E-4</v>
      </c>
      <c r="F1678" s="1">
        <v>7.4400000000000006E-5</v>
      </c>
      <c r="G1678">
        <v>1.3237200000000001E-4</v>
      </c>
      <c r="H1678" s="1">
        <v>8.5400000000000002E-5</v>
      </c>
      <c r="I1678">
        <v>0</v>
      </c>
      <c r="J1678" s="1">
        <v>8.8599999999999999E-5</v>
      </c>
      <c r="K1678">
        <v>1.4417299999999999E-4</v>
      </c>
      <c r="L1678">
        <v>1.5420399999999999E-4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hidden="1" x14ac:dyDescent="0.25">
      <c r="A1679" t="s">
        <v>1687</v>
      </c>
      <c r="B1679">
        <v>1.04325E-4</v>
      </c>
      <c r="C1679">
        <v>2.3672400000000001E-4</v>
      </c>
      <c r="D1679">
        <v>1.3584299999999999E-4</v>
      </c>
      <c r="E1679">
        <v>1.75673E-4</v>
      </c>
      <c r="F1679" s="1">
        <v>9.3800000000000003E-5</v>
      </c>
      <c r="G1679">
        <v>2.0250699999999999E-4</v>
      </c>
      <c r="H1679">
        <v>1.8718000000000001E-4</v>
      </c>
      <c r="I1679">
        <v>1.7533100000000001E-4</v>
      </c>
      <c r="J1679">
        <v>1.17953E-4</v>
      </c>
      <c r="K1679">
        <v>1.3532600000000001E-4</v>
      </c>
      <c r="L1679">
        <v>1.40123E-4</v>
      </c>
      <c r="M1679" s="1">
        <v>9.3599999999999998E-5</v>
      </c>
      <c r="N1679" s="1">
        <v>7.4099999999999999E-5</v>
      </c>
      <c r="O1679">
        <v>1.06693E-4</v>
      </c>
      <c r="P1679">
        <v>1.12867E-4</v>
      </c>
      <c r="Q1679" s="1">
        <v>9.0699999999999996E-5</v>
      </c>
      <c r="R1679">
        <v>1.0705999999999999E-4</v>
      </c>
      <c r="S1679">
        <v>1.13578E-4</v>
      </c>
      <c r="T1679">
        <v>1.01902E-4</v>
      </c>
    </row>
    <row r="1680" spans="1:20" hidden="1" x14ac:dyDescent="0.25">
      <c r="A1680" t="s">
        <v>1688</v>
      </c>
      <c r="B1680" s="1">
        <v>6.2600000000000004E-5</v>
      </c>
      <c r="C1680" s="1">
        <v>7.3100000000000001E-5</v>
      </c>
      <c r="D1680" s="1">
        <v>5.9899999999999999E-5</v>
      </c>
      <c r="E1680" s="1">
        <v>2.7699999999999999E-5</v>
      </c>
      <c r="F1680">
        <v>0</v>
      </c>
      <c r="G1680">
        <v>0</v>
      </c>
      <c r="H1680">
        <v>0</v>
      </c>
      <c r="I1680">
        <v>0</v>
      </c>
      <c r="J1680" s="1">
        <v>3.6900000000000002E-5</v>
      </c>
      <c r="K1680" s="1">
        <v>4.49E-5</v>
      </c>
      <c r="L1680" s="1">
        <v>4.3000000000000002E-5</v>
      </c>
      <c r="M1680">
        <v>0</v>
      </c>
      <c r="N1680" s="1">
        <v>3.2799999999999998E-5</v>
      </c>
      <c r="O1680">
        <v>0</v>
      </c>
      <c r="P1680" s="1">
        <v>4.0899999999999998E-5</v>
      </c>
      <c r="Q1680">
        <v>0</v>
      </c>
      <c r="R1680">
        <v>0</v>
      </c>
      <c r="S1680">
        <v>0</v>
      </c>
      <c r="T1680" s="1">
        <v>1.4600000000000001E-5</v>
      </c>
    </row>
    <row r="1681" spans="1:20" hidden="1" x14ac:dyDescent="0.25">
      <c r="A1681" t="s">
        <v>1689</v>
      </c>
      <c r="B1681">
        <v>3.7453999999999997E-4</v>
      </c>
      <c r="C1681">
        <v>2.3517699999999999E-4</v>
      </c>
      <c r="D1681">
        <v>3.1459199999999999E-4</v>
      </c>
      <c r="E1681">
        <v>1.62566E-4</v>
      </c>
      <c r="F1681">
        <v>2.4668200000000002E-4</v>
      </c>
      <c r="G1681">
        <v>7.6493999999999998E-4</v>
      </c>
      <c r="H1681">
        <v>3.7600399999999999E-4</v>
      </c>
      <c r="I1681">
        <v>5.3602000000000001E-4</v>
      </c>
      <c r="J1681">
        <v>4.7786699999999998E-4</v>
      </c>
      <c r="K1681">
        <v>3.5814700000000001E-4</v>
      </c>
      <c r="L1681">
        <v>4.92163E-4</v>
      </c>
      <c r="M1681">
        <v>5.3636500000000002E-4</v>
      </c>
      <c r="N1681">
        <v>6.7436299999999998E-4</v>
      </c>
      <c r="O1681">
        <v>6.6609099999999995E-4</v>
      </c>
      <c r="P1681">
        <v>5.1965699999999997E-4</v>
      </c>
      <c r="Q1681">
        <v>2.9175799999999998E-4</v>
      </c>
      <c r="R1681">
        <v>3.6287400000000001E-4</v>
      </c>
      <c r="S1681">
        <v>2.9426399999999997E-4</v>
      </c>
      <c r="T1681">
        <v>1.7141699999999999E-4</v>
      </c>
    </row>
    <row r="1682" spans="1:20" hidden="1" x14ac:dyDescent="0.25">
      <c r="A1682" t="s">
        <v>1690</v>
      </c>
      <c r="B1682">
        <v>2.0038400000000001E-4</v>
      </c>
      <c r="C1682">
        <v>2.1617500000000001E-4</v>
      </c>
      <c r="D1682">
        <v>2.2096099999999999E-4</v>
      </c>
      <c r="E1682">
        <v>1.79409E-4</v>
      </c>
      <c r="F1682">
        <v>2.09323E-4</v>
      </c>
      <c r="G1682">
        <v>2.6804599999999997E-4</v>
      </c>
      <c r="H1682">
        <v>1.5982E-4</v>
      </c>
      <c r="I1682">
        <v>2.16035E-4</v>
      </c>
      <c r="J1682">
        <v>1.6012399999999999E-4</v>
      </c>
      <c r="K1682">
        <v>2.0257399999999999E-4</v>
      </c>
      <c r="L1682">
        <v>2.03642E-4</v>
      </c>
      <c r="M1682">
        <v>1.68369E-4</v>
      </c>
      <c r="N1682">
        <v>2.1582900000000001E-4</v>
      </c>
      <c r="O1682">
        <v>1.9950600000000001E-4</v>
      </c>
      <c r="P1682">
        <v>1.9448800000000001E-4</v>
      </c>
      <c r="Q1682">
        <v>1.71478E-4</v>
      </c>
      <c r="R1682">
        <v>1.46923E-4</v>
      </c>
      <c r="S1682">
        <v>1.76613E-4</v>
      </c>
      <c r="T1682">
        <v>1.75408E-4</v>
      </c>
    </row>
    <row r="1683" spans="1:20" hidden="1" x14ac:dyDescent="0.25">
      <c r="A1683" t="s">
        <v>1691</v>
      </c>
      <c r="B1683">
        <v>0</v>
      </c>
      <c r="C1683">
        <v>0</v>
      </c>
      <c r="D1683">
        <v>0</v>
      </c>
      <c r="E1683">
        <v>0</v>
      </c>
      <c r="F1683">
        <v>0</v>
      </c>
      <c r="G1683" s="1">
        <v>2.5199999999999999E-5</v>
      </c>
      <c r="H1683" s="1">
        <v>2.5700000000000001E-5</v>
      </c>
      <c r="I1683">
        <v>0</v>
      </c>
      <c r="J1683">
        <v>0</v>
      </c>
      <c r="K1683" s="1">
        <v>3.9100000000000002E-5</v>
      </c>
      <c r="L1683">
        <v>0</v>
      </c>
      <c r="M1683">
        <v>0</v>
      </c>
      <c r="N1683">
        <v>0</v>
      </c>
      <c r="O1683">
        <v>0</v>
      </c>
      <c r="P1683">
        <v>0</v>
      </c>
      <c r="Q1683" s="1">
        <v>6.8300000000000007E-5</v>
      </c>
      <c r="R1683" s="1">
        <v>1.6399999999999999E-5</v>
      </c>
      <c r="S1683">
        <v>1.5321900000000001E-4</v>
      </c>
      <c r="T1683" s="1">
        <v>9.1600000000000004E-5</v>
      </c>
    </row>
    <row r="1684" spans="1:20" hidden="1" x14ac:dyDescent="0.25">
      <c r="A1684" t="s">
        <v>1692</v>
      </c>
      <c r="B1684" s="1">
        <v>1.04E-5</v>
      </c>
      <c r="C1684" s="1">
        <v>8.0700000000000007E-6</v>
      </c>
      <c r="D1684">
        <v>0</v>
      </c>
      <c r="E1684">
        <v>0</v>
      </c>
      <c r="F1684">
        <v>0</v>
      </c>
      <c r="G1684" s="1">
        <v>1.66E-5</v>
      </c>
      <c r="H1684" s="1">
        <v>1.0200000000000001E-5</v>
      </c>
      <c r="I1684">
        <v>0</v>
      </c>
      <c r="J1684">
        <v>0</v>
      </c>
      <c r="K1684" s="1">
        <v>1.5500000000000001E-5</v>
      </c>
      <c r="L1684" s="1">
        <v>1.7200000000000001E-5</v>
      </c>
      <c r="M1684">
        <v>0</v>
      </c>
      <c r="N1684">
        <v>0</v>
      </c>
      <c r="O1684" s="1">
        <v>6.0499999999999997E-6</v>
      </c>
      <c r="P1684" s="1">
        <v>1.24E-5</v>
      </c>
      <c r="Q1684" s="1">
        <v>1.34E-5</v>
      </c>
      <c r="R1684" s="1">
        <v>6.5300000000000002E-6</v>
      </c>
      <c r="S1684" s="1">
        <v>8.9900000000000003E-6</v>
      </c>
      <c r="T1684" s="1">
        <v>1.38E-5</v>
      </c>
    </row>
    <row r="1685" spans="1:20" hidden="1" x14ac:dyDescent="0.25">
      <c r="A1685" t="s">
        <v>1693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s="1">
        <v>3.76E-6</v>
      </c>
      <c r="Q1685" s="1">
        <v>7.6799999999999993E-6</v>
      </c>
      <c r="R1685" s="1">
        <v>4.7199999999999997E-6</v>
      </c>
      <c r="S1685" s="1">
        <v>1.11E-5</v>
      </c>
      <c r="T1685" s="1">
        <v>1.8300000000000001E-5</v>
      </c>
    </row>
    <row r="1686" spans="1:20" hidden="1" x14ac:dyDescent="0.25">
      <c r="A1686" t="s">
        <v>1694</v>
      </c>
      <c r="B1686" s="1">
        <v>2.5999999999999998E-5</v>
      </c>
      <c r="C1686" s="1">
        <v>1.66E-5</v>
      </c>
      <c r="D1686" s="1">
        <v>1.7099999999999999E-5</v>
      </c>
      <c r="E1686" s="1">
        <v>1.98E-5</v>
      </c>
      <c r="F1686" s="1">
        <v>1.6099999999999998E-5</v>
      </c>
      <c r="G1686" s="1">
        <v>1.84E-5</v>
      </c>
      <c r="H1686" s="1">
        <v>1.24E-5</v>
      </c>
      <c r="I1686" s="1">
        <v>1.5800000000000001E-5</v>
      </c>
      <c r="J1686" s="1">
        <v>2.27E-5</v>
      </c>
      <c r="K1686" s="1">
        <v>1.8600000000000001E-5</v>
      </c>
      <c r="L1686" s="1">
        <v>2.0599999999999999E-5</v>
      </c>
      <c r="M1686" s="1">
        <v>1.47E-5</v>
      </c>
      <c r="N1686" s="1">
        <v>1.38E-5</v>
      </c>
      <c r="O1686" s="1">
        <v>2.19E-5</v>
      </c>
      <c r="P1686" s="1">
        <v>1.15E-5</v>
      </c>
      <c r="Q1686">
        <v>0</v>
      </c>
      <c r="R1686" s="1">
        <v>1.6200000000000001E-5</v>
      </c>
      <c r="S1686">
        <v>0</v>
      </c>
      <c r="T1686">
        <v>0</v>
      </c>
    </row>
    <row r="1687" spans="1:20" hidden="1" x14ac:dyDescent="0.25">
      <c r="A1687" t="s">
        <v>1695</v>
      </c>
      <c r="B1687">
        <v>1.7158466000000001E-2</v>
      </c>
      <c r="C1687">
        <v>1.5733595999999999E-2</v>
      </c>
      <c r="D1687">
        <v>1.4754626999999999E-2</v>
      </c>
      <c r="E1687">
        <v>1.6143939E-2</v>
      </c>
      <c r="F1687">
        <v>1.6890242999999999E-2</v>
      </c>
      <c r="G1687">
        <v>1.7684044999999999E-2</v>
      </c>
      <c r="H1687">
        <v>1.1304174E-2</v>
      </c>
      <c r="I1687">
        <v>1.443673E-2</v>
      </c>
      <c r="J1687">
        <v>0</v>
      </c>
      <c r="K1687">
        <v>1.3976518E-2</v>
      </c>
      <c r="L1687">
        <v>1.3877802E-2</v>
      </c>
      <c r="M1687">
        <v>1.7912886999999999E-2</v>
      </c>
      <c r="N1687">
        <v>1.132271E-2</v>
      </c>
      <c r="O1687">
        <v>1.352242E-2</v>
      </c>
      <c r="P1687">
        <v>0</v>
      </c>
      <c r="Q1687">
        <v>8.2042390000000003E-3</v>
      </c>
      <c r="R1687">
        <v>6.285807E-3</v>
      </c>
      <c r="S1687">
        <v>4.6673820000000003E-3</v>
      </c>
      <c r="T1687">
        <v>7.6276460000000001E-3</v>
      </c>
    </row>
    <row r="1688" spans="1:20" hidden="1" x14ac:dyDescent="0.25">
      <c r="A1688" t="s">
        <v>1696</v>
      </c>
      <c r="B1688">
        <v>7.9388099999999997E-4</v>
      </c>
      <c r="C1688">
        <v>3.3091400000000002E-4</v>
      </c>
      <c r="D1688">
        <v>4.28162E-4</v>
      </c>
      <c r="E1688">
        <v>2.51263E-4</v>
      </c>
      <c r="F1688">
        <v>3.2673400000000002E-4</v>
      </c>
      <c r="G1688">
        <v>1.8620900000000001E-4</v>
      </c>
      <c r="H1688">
        <v>3.78002E-4</v>
      </c>
      <c r="I1688">
        <v>3.1778399999999999E-4</v>
      </c>
      <c r="J1688">
        <v>5.9727900000000004E-4</v>
      </c>
      <c r="K1688">
        <v>6.2911100000000001E-4</v>
      </c>
      <c r="L1688">
        <v>3.2468200000000002E-4</v>
      </c>
      <c r="M1688">
        <v>8.2275000000000002E-4</v>
      </c>
      <c r="N1688">
        <v>6.8555799999999996E-4</v>
      </c>
      <c r="O1688">
        <v>3.87783E-4</v>
      </c>
      <c r="P1688">
        <v>1.8221599999999999E-4</v>
      </c>
      <c r="Q1688">
        <v>2.1167500000000001E-4</v>
      </c>
      <c r="R1688">
        <v>3.6849099999999998E-4</v>
      </c>
      <c r="S1688">
        <v>1.6718500000000001E-4</v>
      </c>
      <c r="T1688">
        <v>2.6879999999999997E-4</v>
      </c>
    </row>
    <row r="1689" spans="1:20" hidden="1" x14ac:dyDescent="0.25">
      <c r="A1689" t="s">
        <v>1697</v>
      </c>
      <c r="B1689">
        <v>1.1441400000000001E-4</v>
      </c>
      <c r="C1689">
        <v>1.74181E-4</v>
      </c>
      <c r="D1689">
        <v>1.6035600000000001E-4</v>
      </c>
      <c r="E1689">
        <v>2.2368600000000001E-4</v>
      </c>
      <c r="F1689">
        <v>1.36215E-4</v>
      </c>
      <c r="G1689" s="1">
        <v>8.9800000000000001E-5</v>
      </c>
      <c r="H1689" s="1">
        <v>8.53E-5</v>
      </c>
      <c r="I1689" s="1">
        <v>9.1500000000000001E-5</v>
      </c>
      <c r="J1689" s="1">
        <v>8.4300000000000003E-5</v>
      </c>
      <c r="K1689">
        <v>1.2873100000000001E-4</v>
      </c>
      <c r="L1689">
        <v>1.3738800000000001E-4</v>
      </c>
      <c r="M1689" s="1">
        <v>7.9300000000000003E-5</v>
      </c>
      <c r="N1689" s="1">
        <v>5.7200000000000001E-5</v>
      </c>
      <c r="O1689">
        <v>1.09652E-4</v>
      </c>
      <c r="P1689">
        <v>0</v>
      </c>
      <c r="Q1689" s="1">
        <v>2.69E-5</v>
      </c>
      <c r="R1689" s="1">
        <v>3.6600000000000002E-5</v>
      </c>
      <c r="S1689" s="1">
        <v>5.3900000000000002E-5</v>
      </c>
      <c r="T1689" s="1">
        <v>3.4199999999999998E-5</v>
      </c>
    </row>
    <row r="1690" spans="1:20" hidden="1" x14ac:dyDescent="0.25">
      <c r="A1690" t="s">
        <v>1698</v>
      </c>
      <c r="B1690" s="1">
        <v>5.4500000000000003E-6</v>
      </c>
      <c r="C1690" s="1">
        <v>5.3900000000000001E-6</v>
      </c>
      <c r="D1690" s="1">
        <v>2.65E-6</v>
      </c>
      <c r="E1690" s="1">
        <v>2.1399999999999998E-6</v>
      </c>
      <c r="F1690" s="1">
        <v>7.52E-6</v>
      </c>
      <c r="G1690" s="1">
        <v>5.66E-6</v>
      </c>
      <c r="H1690" s="1">
        <v>7.1600000000000001E-6</v>
      </c>
      <c r="I1690" s="1">
        <v>5.2599999999999996E-6</v>
      </c>
      <c r="J1690" s="1">
        <v>5.2100000000000001E-6</v>
      </c>
      <c r="K1690" s="1">
        <v>5.3600000000000004E-6</v>
      </c>
      <c r="L1690" s="1">
        <v>5.9399999999999999E-6</v>
      </c>
      <c r="M1690" s="1">
        <v>4.4800000000000003E-6</v>
      </c>
      <c r="N1690" s="1">
        <v>9.3100000000000006E-6</v>
      </c>
      <c r="O1690" s="1">
        <v>4.2200000000000003E-6</v>
      </c>
      <c r="P1690" s="1">
        <v>9.6399999999999992E-6</v>
      </c>
      <c r="Q1690" s="1">
        <v>1.4399999999999999E-5</v>
      </c>
      <c r="R1690" s="1">
        <v>1.73E-5</v>
      </c>
      <c r="S1690" s="1">
        <v>1.1800000000000001E-5</v>
      </c>
      <c r="T1690" s="1">
        <v>1.1E-5</v>
      </c>
    </row>
    <row r="1691" spans="1:20" hidden="1" x14ac:dyDescent="0.25">
      <c r="A1691" t="s">
        <v>1699</v>
      </c>
      <c r="B1691">
        <v>1.293757E-3</v>
      </c>
      <c r="C1691">
        <v>1.204721E-3</v>
      </c>
      <c r="D1691">
        <v>1.0874669999999999E-3</v>
      </c>
      <c r="E1691">
        <v>1.1110390000000001E-3</v>
      </c>
      <c r="F1691">
        <v>1.1248059999999999E-3</v>
      </c>
      <c r="G1691">
        <v>1.1860029999999999E-3</v>
      </c>
      <c r="H1691">
        <v>1.1555459999999999E-3</v>
      </c>
      <c r="I1691">
        <v>1.5755179999999999E-3</v>
      </c>
      <c r="J1691">
        <v>1.800949E-3</v>
      </c>
      <c r="K1691">
        <v>1.285766E-3</v>
      </c>
      <c r="L1691">
        <v>1.1404340000000001E-3</v>
      </c>
      <c r="M1691">
        <v>9.7635199999999999E-4</v>
      </c>
      <c r="N1691">
        <v>1.012708E-3</v>
      </c>
      <c r="O1691">
        <v>1.310325E-3</v>
      </c>
      <c r="P1691">
        <v>1.510782E-3</v>
      </c>
      <c r="Q1691">
        <v>1.674109E-3</v>
      </c>
      <c r="R1691">
        <v>1.8711629999999999E-3</v>
      </c>
      <c r="S1691">
        <v>1.249135E-3</v>
      </c>
      <c r="T1691">
        <v>1.325073E-3</v>
      </c>
    </row>
    <row r="1692" spans="1:20" hidden="1" x14ac:dyDescent="0.25">
      <c r="A1692" t="s">
        <v>1700</v>
      </c>
      <c r="B1692">
        <v>0</v>
      </c>
      <c r="C1692" s="1">
        <v>2.4899999999999999E-5</v>
      </c>
      <c r="D1692" s="1">
        <v>2.0999999999999999E-5</v>
      </c>
      <c r="E1692" s="1">
        <v>1.4399999999999999E-5</v>
      </c>
      <c r="F1692">
        <v>0</v>
      </c>
      <c r="G1692">
        <v>0</v>
      </c>
      <c r="H1692">
        <v>0</v>
      </c>
      <c r="I1692">
        <v>0</v>
      </c>
      <c r="J1692" s="1">
        <v>3.29E-5</v>
      </c>
      <c r="K1692" s="1">
        <v>2.4199999999999999E-5</v>
      </c>
      <c r="L1692">
        <v>0</v>
      </c>
      <c r="M1692">
        <v>0</v>
      </c>
      <c r="N1692">
        <v>0</v>
      </c>
      <c r="O1692">
        <v>0</v>
      </c>
      <c r="P1692">
        <v>0</v>
      </c>
      <c r="Q1692" s="1">
        <v>2.5599999999999999E-5</v>
      </c>
      <c r="R1692" s="1">
        <v>2.0599999999999999E-5</v>
      </c>
      <c r="S1692" s="1">
        <v>2.9E-5</v>
      </c>
      <c r="T1692">
        <v>0</v>
      </c>
    </row>
    <row r="1693" spans="1:20" hidden="1" x14ac:dyDescent="0.25">
      <c r="A1693" t="s">
        <v>1701</v>
      </c>
      <c r="B1693" s="1">
        <v>1.6200000000000001E-5</v>
      </c>
      <c r="C1693" s="1">
        <v>1.5400000000000002E-5</v>
      </c>
      <c r="D1693" s="1">
        <v>1.24E-5</v>
      </c>
      <c r="E1693" s="1">
        <v>1.2099999999999999E-5</v>
      </c>
      <c r="F1693" s="1">
        <v>2.4000000000000001E-5</v>
      </c>
      <c r="G1693" s="1">
        <v>2.1800000000000001E-5</v>
      </c>
      <c r="H1693" s="1">
        <v>2.09E-5</v>
      </c>
      <c r="I1693" s="1">
        <v>2.3200000000000001E-5</v>
      </c>
      <c r="J1693" s="1">
        <v>2.0299999999999999E-5</v>
      </c>
      <c r="K1693" s="1">
        <v>2.19E-5</v>
      </c>
      <c r="L1693" s="1">
        <v>1.98E-5</v>
      </c>
      <c r="M1693" s="1">
        <v>1.5400000000000002E-5</v>
      </c>
      <c r="N1693" s="1">
        <v>2.27E-5</v>
      </c>
      <c r="O1693" s="1">
        <v>1.95E-5</v>
      </c>
      <c r="P1693" s="1">
        <v>3.7400000000000001E-5</v>
      </c>
      <c r="Q1693" s="1">
        <v>5.4299999999999998E-5</v>
      </c>
      <c r="R1693" s="1">
        <v>3.9100000000000002E-5</v>
      </c>
      <c r="S1693" s="1">
        <v>5.4700000000000001E-5</v>
      </c>
      <c r="T1693" s="1">
        <v>4.35E-5</v>
      </c>
    </row>
    <row r="1694" spans="1:20" hidden="1" x14ac:dyDescent="0.25">
      <c r="A1694" t="s">
        <v>1702</v>
      </c>
      <c r="B1694" s="1">
        <v>1.91E-5</v>
      </c>
      <c r="C1694" s="1">
        <v>4.49E-5</v>
      </c>
      <c r="D1694" s="1">
        <v>6.8899999999999994E-5</v>
      </c>
      <c r="E1694" s="1">
        <v>5.7500000000000002E-5</v>
      </c>
      <c r="F1694" s="1">
        <v>2.5299999999999998E-5</v>
      </c>
      <c r="G1694" s="1">
        <v>2.2500000000000001E-5</v>
      </c>
      <c r="H1694" s="1">
        <v>1.8899999999999999E-5</v>
      </c>
      <c r="I1694" s="1">
        <v>1.8899999999999999E-5</v>
      </c>
      <c r="J1694" s="1">
        <v>1.8199999999999999E-5</v>
      </c>
      <c r="K1694" s="1">
        <v>3.04E-5</v>
      </c>
      <c r="L1694" s="1">
        <v>3.1099999999999997E-5</v>
      </c>
      <c r="M1694" s="1">
        <v>1.45E-5</v>
      </c>
      <c r="N1694" s="1">
        <v>1.08E-5</v>
      </c>
      <c r="O1694" s="1">
        <v>2.9600000000000001E-5</v>
      </c>
      <c r="P1694" s="1">
        <v>1.2099999999999999E-5</v>
      </c>
      <c r="Q1694" s="1">
        <v>1.36E-5</v>
      </c>
      <c r="R1694" s="1">
        <v>1.4100000000000001E-5</v>
      </c>
      <c r="S1694" s="1">
        <v>1.5E-5</v>
      </c>
      <c r="T1694" s="1">
        <v>1.24E-5</v>
      </c>
    </row>
    <row r="1695" spans="1:20" hidden="1" x14ac:dyDescent="0.25">
      <c r="A1695" t="s">
        <v>1703</v>
      </c>
      <c r="B1695" s="1">
        <v>7.1000000000000005E-5</v>
      </c>
      <c r="C1695">
        <v>0</v>
      </c>
      <c r="D1695">
        <v>0</v>
      </c>
      <c r="E1695">
        <v>0</v>
      </c>
      <c r="F1695" s="1">
        <v>7.6100000000000007E-5</v>
      </c>
      <c r="G1695">
        <v>1.90378E-4</v>
      </c>
      <c r="H1695">
        <v>0</v>
      </c>
      <c r="I1695" s="1">
        <v>7.2000000000000002E-5</v>
      </c>
      <c r="J1695">
        <v>0</v>
      </c>
      <c r="K1695" s="1">
        <v>8.6100000000000006E-5</v>
      </c>
      <c r="L1695" s="1">
        <v>7.7799999999999994E-5</v>
      </c>
      <c r="M1695">
        <v>0</v>
      </c>
      <c r="N1695">
        <v>0</v>
      </c>
      <c r="O1695">
        <v>0</v>
      </c>
      <c r="P1695" s="1">
        <v>8.9099999999999997E-5</v>
      </c>
      <c r="Q1695">
        <v>3.1137599999999998E-4</v>
      </c>
      <c r="R1695">
        <v>2.46946E-4</v>
      </c>
      <c r="S1695">
        <v>3.5804800000000003E-4</v>
      </c>
      <c r="T1695">
        <v>2.7759900000000001E-4</v>
      </c>
    </row>
    <row r="1696" spans="1:20" hidden="1" x14ac:dyDescent="0.25">
      <c r="A1696" t="s">
        <v>1704</v>
      </c>
      <c r="B1696">
        <v>0</v>
      </c>
      <c r="C1696">
        <v>0</v>
      </c>
      <c r="D1696">
        <v>0</v>
      </c>
      <c r="E1696">
        <v>0</v>
      </c>
      <c r="F1696">
        <v>0</v>
      </c>
      <c r="G1696" s="1">
        <v>7.5300000000000001E-5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s="1">
        <v>9.2700000000000004E-5</v>
      </c>
      <c r="R1696" s="1">
        <v>8.3800000000000004E-5</v>
      </c>
      <c r="S1696">
        <v>1.6405599999999999E-4</v>
      </c>
      <c r="T1696" s="1">
        <v>9.3200000000000002E-5</v>
      </c>
    </row>
    <row r="1697" spans="1:20" hidden="1" x14ac:dyDescent="0.25">
      <c r="A1697" t="s">
        <v>1705</v>
      </c>
      <c r="B1697">
        <v>0</v>
      </c>
      <c r="C1697">
        <v>0</v>
      </c>
      <c r="D1697">
        <v>0</v>
      </c>
      <c r="E1697">
        <v>0</v>
      </c>
      <c r="F1697">
        <v>0</v>
      </c>
      <c r="G1697" s="1">
        <v>7.1899999999999999E-5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s="1">
        <v>5.7800000000000002E-5</v>
      </c>
      <c r="R1697" s="1">
        <v>5.8100000000000003E-5</v>
      </c>
      <c r="S1697" s="1">
        <v>7.8200000000000003E-5</v>
      </c>
      <c r="T1697" s="1">
        <v>5.13E-5</v>
      </c>
    </row>
    <row r="1698" spans="1:20" hidden="1" x14ac:dyDescent="0.25">
      <c r="A1698" t="s">
        <v>1706</v>
      </c>
      <c r="B1698" s="1">
        <v>8.25E-5</v>
      </c>
      <c r="C1698">
        <v>1.33521E-4</v>
      </c>
      <c r="D1698" s="1">
        <v>8.1500000000000002E-5</v>
      </c>
      <c r="E1698" s="1">
        <v>9.7700000000000003E-5</v>
      </c>
      <c r="F1698">
        <v>2.7449199999999999E-4</v>
      </c>
      <c r="G1698">
        <v>1.3107099999999999E-4</v>
      </c>
      <c r="H1698">
        <v>2.86192E-4</v>
      </c>
      <c r="I1698">
        <v>1.61194E-4</v>
      </c>
      <c r="J1698">
        <v>1.1594700000000001E-4</v>
      </c>
      <c r="K1698">
        <v>1.2074E-4</v>
      </c>
      <c r="L1698">
        <v>1.0002599999999999E-4</v>
      </c>
      <c r="M1698" s="1">
        <v>8.3499999999999997E-5</v>
      </c>
      <c r="N1698" s="1">
        <v>6.1500000000000004E-5</v>
      </c>
      <c r="O1698" s="1">
        <v>5.5399999999999998E-5</v>
      </c>
      <c r="P1698" s="1">
        <v>6.6000000000000005E-5</v>
      </c>
      <c r="Q1698" s="1">
        <v>8.1699999999999994E-5</v>
      </c>
      <c r="R1698" s="1">
        <v>7.3499999999999998E-5</v>
      </c>
      <c r="S1698">
        <v>1.18466E-4</v>
      </c>
      <c r="T1698" s="1">
        <v>5.5500000000000001E-5</v>
      </c>
    </row>
    <row r="1699" spans="1:20" hidden="1" x14ac:dyDescent="0.25">
      <c r="A1699" t="s">
        <v>1707</v>
      </c>
      <c r="B1699">
        <v>0</v>
      </c>
      <c r="C1699">
        <v>0</v>
      </c>
      <c r="D1699">
        <v>0</v>
      </c>
      <c r="E1699">
        <v>0</v>
      </c>
      <c r="F1699">
        <v>0</v>
      </c>
      <c r="G1699" s="1">
        <v>2.7100000000000001E-5</v>
      </c>
      <c r="H1699">
        <v>0</v>
      </c>
      <c r="I1699">
        <v>0</v>
      </c>
      <c r="J1699">
        <v>0</v>
      </c>
      <c r="K1699" s="1">
        <v>2.1500000000000001E-5</v>
      </c>
      <c r="L1699">
        <v>0</v>
      </c>
      <c r="M1699">
        <v>0</v>
      </c>
      <c r="N1699">
        <v>0</v>
      </c>
      <c r="O1699">
        <v>0</v>
      </c>
      <c r="P1699" s="1">
        <v>2.87E-5</v>
      </c>
      <c r="Q1699" s="1">
        <v>7.1299999999999998E-5</v>
      </c>
      <c r="R1699" s="1">
        <v>6.2700000000000006E-5</v>
      </c>
      <c r="S1699" s="1">
        <v>9.8400000000000007E-5</v>
      </c>
      <c r="T1699" s="1">
        <v>6.7299999999999996E-5</v>
      </c>
    </row>
    <row r="1700" spans="1:20" hidden="1" x14ac:dyDescent="0.25">
      <c r="A1700" t="s">
        <v>1708</v>
      </c>
      <c r="B1700">
        <v>3.6773699999999998E-4</v>
      </c>
      <c r="C1700">
        <v>5.2682200000000003E-4</v>
      </c>
      <c r="D1700">
        <v>4.3447499999999998E-4</v>
      </c>
      <c r="E1700">
        <v>4.7473300000000002E-4</v>
      </c>
      <c r="F1700">
        <v>2.9270899999999999E-4</v>
      </c>
      <c r="G1700">
        <v>2.7257699999999998E-4</v>
      </c>
      <c r="H1700">
        <v>3.65838E-4</v>
      </c>
      <c r="I1700">
        <v>5.2493899999999998E-4</v>
      </c>
      <c r="J1700">
        <v>3.9133400000000002E-4</v>
      </c>
      <c r="K1700">
        <v>4.2114799999999999E-4</v>
      </c>
      <c r="L1700">
        <v>4.1758499999999999E-4</v>
      </c>
      <c r="M1700">
        <v>3.9200299999999998E-4</v>
      </c>
      <c r="N1700">
        <v>8.2802199999999998E-4</v>
      </c>
      <c r="O1700">
        <v>4.3849900000000002E-4</v>
      </c>
      <c r="P1700">
        <v>3.2876800000000001E-4</v>
      </c>
      <c r="Q1700">
        <v>2.4497199999999998E-4</v>
      </c>
      <c r="R1700">
        <v>2.7988399999999999E-4</v>
      </c>
      <c r="S1700">
        <v>2.4701500000000001E-4</v>
      </c>
      <c r="T1700">
        <v>2.01955E-4</v>
      </c>
    </row>
    <row r="1701" spans="1:20" hidden="1" x14ac:dyDescent="0.25">
      <c r="A1701" t="s">
        <v>1709</v>
      </c>
      <c r="B1701">
        <v>1.2975505E-2</v>
      </c>
      <c r="C1701">
        <v>1.333457E-2</v>
      </c>
      <c r="D1701">
        <v>1.5114716E-2</v>
      </c>
      <c r="E1701">
        <v>1.7732433999999998E-2</v>
      </c>
      <c r="F1701">
        <v>1.2273422000000001E-2</v>
      </c>
      <c r="G1701">
        <v>1.2589184999999999E-2</v>
      </c>
      <c r="H1701">
        <v>8.7846520000000004E-3</v>
      </c>
      <c r="I1701">
        <v>1.2024198E-2</v>
      </c>
      <c r="J1701">
        <v>1.5070826000000001E-2</v>
      </c>
      <c r="K1701">
        <v>1.4985326E-2</v>
      </c>
      <c r="L1701">
        <v>1.1604000999999999E-2</v>
      </c>
      <c r="M1701">
        <v>2.0155163E-2</v>
      </c>
      <c r="N1701">
        <v>1.7432235000000001E-2</v>
      </c>
      <c r="O1701">
        <v>1.9109398999999999E-2</v>
      </c>
      <c r="P1701">
        <v>8.7689670000000008E-3</v>
      </c>
      <c r="Q1701">
        <v>5.8165760000000004E-3</v>
      </c>
      <c r="R1701">
        <v>8.7153630000000003E-3</v>
      </c>
      <c r="S1701">
        <v>9.5029480000000006E-3</v>
      </c>
      <c r="T1701">
        <v>6.1197550000000002E-3</v>
      </c>
    </row>
    <row r="1702" spans="1:20" hidden="1" x14ac:dyDescent="0.25">
      <c r="A1702" t="s">
        <v>1710</v>
      </c>
      <c r="B1702">
        <v>0</v>
      </c>
      <c r="C1702">
        <v>0</v>
      </c>
      <c r="D1702">
        <v>0</v>
      </c>
      <c r="E1702">
        <v>0</v>
      </c>
      <c r="F1702" s="1">
        <v>1.6099999999999998E-5</v>
      </c>
      <c r="G1702" s="1">
        <v>2.7500000000000001E-5</v>
      </c>
      <c r="H1702" s="1">
        <v>3.0800000000000003E-5</v>
      </c>
      <c r="I1702">
        <v>0</v>
      </c>
      <c r="J1702" s="1">
        <v>1.5099999999999999E-5</v>
      </c>
      <c r="K1702" s="1">
        <v>1.5999999999999999E-5</v>
      </c>
      <c r="L1702" s="1">
        <v>3.3200000000000001E-5</v>
      </c>
      <c r="M1702" s="1">
        <v>2.8900000000000001E-5</v>
      </c>
      <c r="N1702" s="1">
        <v>2.3099999999999999E-5</v>
      </c>
      <c r="O1702" s="1">
        <v>1.2999999999999999E-5</v>
      </c>
      <c r="P1702" s="1">
        <v>4.6799999999999999E-5</v>
      </c>
      <c r="Q1702">
        <v>1.67954E-4</v>
      </c>
      <c r="R1702" s="1">
        <v>9.8999999999999994E-5</v>
      </c>
      <c r="S1702">
        <v>1.9200099999999999E-4</v>
      </c>
      <c r="T1702">
        <v>1.10788E-4</v>
      </c>
    </row>
    <row r="1703" spans="1:20" hidden="1" x14ac:dyDescent="0.25">
      <c r="A1703" t="s">
        <v>1711</v>
      </c>
      <c r="B1703" s="1">
        <v>1.3499999999999999E-5</v>
      </c>
      <c r="C1703" s="1">
        <v>1.2799999999999999E-5</v>
      </c>
      <c r="D1703" s="1">
        <v>1.95E-5</v>
      </c>
      <c r="E1703" s="1">
        <v>1.4399999999999999E-5</v>
      </c>
      <c r="F1703">
        <v>0</v>
      </c>
      <c r="G1703" s="1">
        <v>1.31E-5</v>
      </c>
      <c r="H1703" s="1">
        <v>1.17E-5</v>
      </c>
      <c r="I1703" s="1">
        <v>1.2300000000000001E-5</v>
      </c>
      <c r="J1703" s="1">
        <v>1.06E-5</v>
      </c>
      <c r="K1703" s="1">
        <v>9.3700000000000001E-6</v>
      </c>
      <c r="L1703" s="1">
        <v>1.06E-5</v>
      </c>
      <c r="M1703" s="1">
        <v>1.04E-5</v>
      </c>
      <c r="N1703" s="1">
        <v>7.5499999999999997E-6</v>
      </c>
      <c r="O1703">
        <v>0</v>
      </c>
      <c r="P1703" s="1">
        <v>8.3799999999999994E-6</v>
      </c>
      <c r="Q1703" s="1">
        <v>1.4600000000000001E-5</v>
      </c>
      <c r="R1703" s="1">
        <v>9.0799999999999995E-6</v>
      </c>
      <c r="S1703" s="1">
        <v>1.03E-5</v>
      </c>
      <c r="T1703" s="1">
        <v>1.36E-5</v>
      </c>
    </row>
    <row r="1704" spans="1:20" hidden="1" x14ac:dyDescent="0.25">
      <c r="A1704" t="s">
        <v>1712</v>
      </c>
      <c r="B1704">
        <v>0</v>
      </c>
      <c r="C1704" s="1">
        <v>7.0199999999999997E-6</v>
      </c>
      <c r="D1704" s="1">
        <v>6.8800000000000002E-6</v>
      </c>
      <c r="E1704" s="1">
        <v>4.9100000000000004E-6</v>
      </c>
      <c r="F1704" s="1">
        <v>5.3900000000000001E-6</v>
      </c>
      <c r="G1704" s="1">
        <v>5.93E-6</v>
      </c>
      <c r="H1704" s="1">
        <v>7.25E-6</v>
      </c>
      <c r="I1704" s="1">
        <v>4.2300000000000002E-6</v>
      </c>
      <c r="J1704">
        <v>0</v>
      </c>
      <c r="K1704" s="1">
        <v>6.6100000000000002E-6</v>
      </c>
      <c r="L1704" s="1">
        <v>6.2099999999999998E-6</v>
      </c>
      <c r="M1704">
        <v>0</v>
      </c>
      <c r="N1704">
        <v>0</v>
      </c>
      <c r="O1704">
        <v>0</v>
      </c>
      <c r="P1704">
        <v>0</v>
      </c>
      <c r="Q1704" s="1">
        <v>6.0299999999999999E-6</v>
      </c>
      <c r="R1704">
        <v>0</v>
      </c>
      <c r="S1704">
        <v>0</v>
      </c>
      <c r="T1704" s="1">
        <v>6.46E-6</v>
      </c>
    </row>
    <row r="1705" spans="1:20" hidden="1" x14ac:dyDescent="0.25">
      <c r="A1705" t="s">
        <v>1713</v>
      </c>
      <c r="B1705">
        <v>2.2620800000000001E-4</v>
      </c>
      <c r="C1705">
        <v>1.9382000000000001E-4</v>
      </c>
      <c r="D1705">
        <v>1.20887E-4</v>
      </c>
      <c r="E1705">
        <v>1.85828E-4</v>
      </c>
      <c r="F1705">
        <v>5.2605100000000004E-4</v>
      </c>
      <c r="G1705">
        <v>3.28847E-4</v>
      </c>
      <c r="H1705">
        <v>1.8119989999999999E-3</v>
      </c>
      <c r="I1705">
        <v>2.4614999999999999E-4</v>
      </c>
      <c r="J1705">
        <v>2.9231500000000002E-4</v>
      </c>
      <c r="K1705">
        <v>3.7219999999999999E-4</v>
      </c>
      <c r="L1705">
        <v>3.87408E-4</v>
      </c>
      <c r="M1705">
        <v>5.5028900000000003E-4</v>
      </c>
      <c r="N1705">
        <v>2.7536800000000001E-4</v>
      </c>
      <c r="O1705">
        <v>4.2985700000000001E-4</v>
      </c>
      <c r="P1705">
        <v>6.9931400000000003E-4</v>
      </c>
      <c r="Q1705">
        <v>3.2958E-4</v>
      </c>
      <c r="R1705">
        <v>5.5797900000000001E-4</v>
      </c>
      <c r="S1705">
        <v>5.6015500000000001E-4</v>
      </c>
      <c r="T1705">
        <v>4.8016900000000002E-4</v>
      </c>
    </row>
    <row r="1706" spans="1:20" hidden="1" x14ac:dyDescent="0.25">
      <c r="A1706" t="s">
        <v>1714</v>
      </c>
      <c r="B1706" s="1">
        <v>8.6500000000000002E-6</v>
      </c>
      <c r="C1706" s="1">
        <v>7.3100000000000003E-6</v>
      </c>
      <c r="D1706" s="1">
        <v>6.7000000000000002E-6</v>
      </c>
      <c r="E1706" s="1">
        <v>9.6900000000000004E-6</v>
      </c>
      <c r="F1706">
        <v>0</v>
      </c>
      <c r="G1706" s="1">
        <v>4.5299999999999998E-6</v>
      </c>
      <c r="H1706" s="1">
        <v>1.01E-5</v>
      </c>
      <c r="I1706" s="1">
        <v>8.67E-6</v>
      </c>
      <c r="J1706">
        <v>0</v>
      </c>
      <c r="K1706" s="1">
        <v>3.9899999999999999E-6</v>
      </c>
      <c r="L1706" s="1">
        <v>3.2100000000000002E-6</v>
      </c>
      <c r="M1706" s="1">
        <v>7.6399999999999997E-6</v>
      </c>
      <c r="N1706" s="1">
        <v>6.7100000000000001E-6</v>
      </c>
      <c r="O1706" s="1">
        <v>4.8799999999999999E-6</v>
      </c>
      <c r="P1706" s="1">
        <v>6.19E-6</v>
      </c>
      <c r="Q1706">
        <v>0</v>
      </c>
      <c r="R1706">
        <v>0</v>
      </c>
      <c r="S1706" s="1">
        <v>3.58E-6</v>
      </c>
      <c r="T1706">
        <v>0</v>
      </c>
    </row>
    <row r="1707" spans="1:20" hidden="1" x14ac:dyDescent="0.25">
      <c r="A1707" t="s">
        <v>1715</v>
      </c>
      <c r="B1707">
        <v>1.69161E-4</v>
      </c>
      <c r="C1707">
        <v>3.4903400000000002E-4</v>
      </c>
      <c r="D1707">
        <v>2.6384100000000001E-4</v>
      </c>
      <c r="E1707">
        <v>2.6480200000000002E-4</v>
      </c>
      <c r="F1707">
        <v>2.1702200000000001E-4</v>
      </c>
      <c r="G1707">
        <v>2.7421999999999999E-4</v>
      </c>
      <c r="H1707">
        <v>1.62218E-4</v>
      </c>
      <c r="I1707">
        <v>2.3008300000000001E-4</v>
      </c>
      <c r="J1707">
        <v>2.13728E-4</v>
      </c>
      <c r="K1707">
        <v>2.0359499999999999E-4</v>
      </c>
      <c r="L1707">
        <v>2.5254299999999998E-4</v>
      </c>
      <c r="M1707">
        <v>1.8260800000000001E-4</v>
      </c>
      <c r="N1707">
        <v>1.9210900000000001E-4</v>
      </c>
      <c r="O1707">
        <v>2.1010000000000001E-4</v>
      </c>
      <c r="P1707">
        <v>1.2359599999999999E-4</v>
      </c>
      <c r="Q1707">
        <v>1.17292E-4</v>
      </c>
      <c r="R1707" s="1">
        <v>8.5500000000000005E-5</v>
      </c>
      <c r="S1707">
        <v>1.02878E-4</v>
      </c>
      <c r="T1707" s="1">
        <v>8.1100000000000006E-5</v>
      </c>
    </row>
    <row r="1708" spans="1:20" hidden="1" x14ac:dyDescent="0.25">
      <c r="A1708" t="s">
        <v>1716</v>
      </c>
      <c r="B1708" s="1">
        <v>3.2199999999999997E-5</v>
      </c>
      <c r="C1708" s="1">
        <v>7.7899999999999996E-5</v>
      </c>
      <c r="D1708" s="1">
        <v>4.7200000000000002E-5</v>
      </c>
      <c r="E1708" s="1">
        <v>4.4299999999999999E-5</v>
      </c>
      <c r="F1708" s="1">
        <v>3.8800000000000001E-5</v>
      </c>
      <c r="G1708" s="1">
        <v>6.1199999999999997E-5</v>
      </c>
      <c r="H1708">
        <v>0</v>
      </c>
      <c r="I1708" s="1">
        <v>3.79E-5</v>
      </c>
      <c r="J1708" s="1">
        <v>3.8000000000000002E-5</v>
      </c>
      <c r="K1708" s="1">
        <v>6.4900000000000005E-5</v>
      </c>
      <c r="L1708" s="1">
        <v>8.3599999999999999E-5</v>
      </c>
      <c r="M1708" s="1">
        <v>3.4799999999999999E-5</v>
      </c>
      <c r="N1708" s="1">
        <v>2.8600000000000001E-5</v>
      </c>
      <c r="O1708" s="1">
        <v>4.4199999999999997E-5</v>
      </c>
      <c r="P1708" s="1">
        <v>3.0800000000000003E-5</v>
      </c>
      <c r="Q1708">
        <v>0</v>
      </c>
      <c r="R1708">
        <v>0</v>
      </c>
      <c r="S1708">
        <v>0</v>
      </c>
      <c r="T1708">
        <v>0</v>
      </c>
    </row>
    <row r="1709" spans="1:20" hidden="1" x14ac:dyDescent="0.25">
      <c r="A1709" t="s">
        <v>1717</v>
      </c>
      <c r="B1709" s="1">
        <v>6.8700000000000003E-5</v>
      </c>
      <c r="C1709">
        <v>1.7011199999999999E-4</v>
      </c>
      <c r="D1709">
        <v>1.3666500000000001E-4</v>
      </c>
      <c r="E1709" s="1">
        <v>9.6600000000000003E-5</v>
      </c>
      <c r="F1709" s="1">
        <v>9.6399999999999999E-5</v>
      </c>
      <c r="G1709">
        <v>1.00389E-4</v>
      </c>
      <c r="H1709" s="1">
        <v>4.3900000000000003E-5</v>
      </c>
      <c r="I1709" s="1">
        <v>5.13E-5</v>
      </c>
      <c r="J1709" s="1">
        <v>7.3399999999999995E-5</v>
      </c>
      <c r="K1709">
        <v>1.36432E-4</v>
      </c>
      <c r="L1709" s="1">
        <v>7.5799999999999999E-5</v>
      </c>
      <c r="M1709" s="1">
        <v>8.7800000000000006E-5</v>
      </c>
      <c r="N1709" s="1">
        <v>5.8300000000000001E-5</v>
      </c>
      <c r="O1709">
        <v>1.1425999999999999E-4</v>
      </c>
      <c r="P1709" s="1">
        <v>4.6400000000000003E-5</v>
      </c>
      <c r="Q1709" s="1">
        <v>4.5200000000000001E-5</v>
      </c>
      <c r="R1709" s="1">
        <v>2.65E-5</v>
      </c>
      <c r="S1709" s="1">
        <v>2.72E-5</v>
      </c>
      <c r="T1709" s="1">
        <v>2.7800000000000001E-5</v>
      </c>
    </row>
    <row r="1710" spans="1:20" hidden="1" x14ac:dyDescent="0.25">
      <c r="A1710" t="s">
        <v>1718</v>
      </c>
      <c r="B1710" s="1">
        <v>4.21E-5</v>
      </c>
      <c r="C1710" s="1">
        <v>5.3999999999999998E-5</v>
      </c>
      <c r="D1710" s="1">
        <v>6.0900000000000003E-5</v>
      </c>
      <c r="E1710" s="1">
        <v>2.2500000000000001E-5</v>
      </c>
      <c r="F1710">
        <v>0</v>
      </c>
      <c r="G1710" s="1">
        <v>2.3099999999999999E-5</v>
      </c>
      <c r="H1710" s="1">
        <v>2.1800000000000001E-5</v>
      </c>
      <c r="I1710">
        <v>0</v>
      </c>
      <c r="J1710">
        <v>0</v>
      </c>
      <c r="K1710" s="1">
        <v>3.8300000000000003E-5</v>
      </c>
      <c r="L1710" s="1">
        <v>4.3800000000000001E-5</v>
      </c>
      <c r="M1710" s="1">
        <v>2.1699999999999999E-5</v>
      </c>
      <c r="N1710" s="1">
        <v>1.8700000000000001E-5</v>
      </c>
      <c r="O1710">
        <v>0</v>
      </c>
      <c r="P1710" s="1">
        <v>1.73E-5</v>
      </c>
      <c r="Q1710">
        <v>0</v>
      </c>
      <c r="R1710">
        <v>0</v>
      </c>
      <c r="S1710">
        <v>0</v>
      </c>
      <c r="T1710" s="1">
        <v>1.6900000000000001E-5</v>
      </c>
    </row>
    <row r="1711" spans="1:20" hidden="1" x14ac:dyDescent="0.25">
      <c r="A1711" t="s">
        <v>1719</v>
      </c>
      <c r="B1711" s="1">
        <v>7.1400000000000001E-5</v>
      </c>
      <c r="C1711">
        <v>1.4007200000000001E-4</v>
      </c>
      <c r="D1711" s="1">
        <v>5.3699999999999997E-5</v>
      </c>
      <c r="E1711" s="1">
        <v>6.02E-5</v>
      </c>
      <c r="F1711" s="1">
        <v>9.9199999999999999E-5</v>
      </c>
      <c r="G1711">
        <v>1.2664600000000001E-4</v>
      </c>
      <c r="H1711">
        <v>1.16606E-4</v>
      </c>
      <c r="I1711">
        <v>0</v>
      </c>
      <c r="J1711">
        <v>1.01134E-4</v>
      </c>
      <c r="K1711">
        <v>1.3195700000000001E-4</v>
      </c>
      <c r="L1711">
        <v>1.1522400000000001E-4</v>
      </c>
      <c r="M1711">
        <v>0</v>
      </c>
      <c r="N1711">
        <v>1.13347E-4</v>
      </c>
      <c r="O1711">
        <v>1.12459E-4</v>
      </c>
      <c r="P1711" s="1">
        <v>9.1799999999999995E-5</v>
      </c>
      <c r="Q1711" s="1">
        <v>6.7299999999999996E-5</v>
      </c>
      <c r="R1711">
        <v>0</v>
      </c>
      <c r="S1711">
        <v>0</v>
      </c>
      <c r="T1711">
        <v>0</v>
      </c>
    </row>
    <row r="1712" spans="1:20" hidden="1" x14ac:dyDescent="0.25">
      <c r="A1712" t="s">
        <v>1720</v>
      </c>
      <c r="B1712">
        <v>8.3831649999999997E-3</v>
      </c>
      <c r="C1712">
        <v>8.2663919999999991E-3</v>
      </c>
      <c r="D1712">
        <v>8.094413E-3</v>
      </c>
      <c r="E1712">
        <v>8.2726589999999999E-3</v>
      </c>
      <c r="F1712">
        <v>7.3949999999999997E-3</v>
      </c>
      <c r="G1712">
        <v>7.1421949999999996E-3</v>
      </c>
      <c r="H1712">
        <v>6.2432939999999999E-3</v>
      </c>
      <c r="I1712">
        <v>7.4561690000000003E-3</v>
      </c>
      <c r="J1712">
        <v>8.6917869999999994E-3</v>
      </c>
      <c r="K1712">
        <v>6.6778480000000001E-3</v>
      </c>
      <c r="L1712">
        <v>6.4236720000000001E-3</v>
      </c>
      <c r="M1712">
        <v>6.4994129999999999E-3</v>
      </c>
      <c r="N1712">
        <v>8.5618719999999999E-3</v>
      </c>
      <c r="O1712">
        <v>8.7236229999999998E-3</v>
      </c>
      <c r="P1712">
        <v>6.1196310000000004E-3</v>
      </c>
      <c r="Q1712">
        <v>3.5361670000000002E-3</v>
      </c>
      <c r="R1712">
        <v>5.1213789999999997E-3</v>
      </c>
      <c r="S1712">
        <v>3.636256E-3</v>
      </c>
      <c r="T1712">
        <v>3.7701119999999999E-3</v>
      </c>
    </row>
    <row r="1713" spans="1:20" hidden="1" x14ac:dyDescent="0.25">
      <c r="A1713" t="s">
        <v>1721</v>
      </c>
      <c r="B1713">
        <v>3.0653700000000001E-4</v>
      </c>
      <c r="C1713">
        <v>4.62244E-4</v>
      </c>
      <c r="D1713">
        <v>4.1003300000000002E-4</v>
      </c>
      <c r="E1713">
        <v>4.2566000000000001E-4</v>
      </c>
      <c r="F1713">
        <v>3.6229799999999999E-4</v>
      </c>
      <c r="G1713">
        <v>2.6030600000000002E-4</v>
      </c>
      <c r="H1713">
        <v>3.7326500000000001E-4</v>
      </c>
      <c r="I1713">
        <v>4.9364899999999998E-4</v>
      </c>
      <c r="J1713">
        <v>3.8220499999999999E-4</v>
      </c>
      <c r="K1713">
        <v>3.53908E-4</v>
      </c>
      <c r="L1713">
        <v>3.6126499999999999E-4</v>
      </c>
      <c r="M1713">
        <v>3.28179E-4</v>
      </c>
      <c r="N1713">
        <v>8.1284E-4</v>
      </c>
      <c r="O1713">
        <v>4.0068299999999999E-4</v>
      </c>
      <c r="P1713">
        <v>3.7115599999999998E-4</v>
      </c>
      <c r="Q1713">
        <v>3.4282699999999998E-4</v>
      </c>
      <c r="R1713">
        <v>3.7155700000000001E-4</v>
      </c>
      <c r="S1713">
        <v>2.8877200000000002E-4</v>
      </c>
      <c r="T1713">
        <v>4.2556400000000002E-4</v>
      </c>
    </row>
    <row r="1714" spans="1:20" hidden="1" x14ac:dyDescent="0.25">
      <c r="A1714" t="s">
        <v>1722</v>
      </c>
      <c r="B1714">
        <v>1.24676E-3</v>
      </c>
      <c r="C1714">
        <v>1.7481389999999999E-3</v>
      </c>
      <c r="D1714">
        <v>1.485105E-3</v>
      </c>
      <c r="E1714">
        <v>1.491144E-3</v>
      </c>
      <c r="F1714">
        <v>1.1584340000000001E-3</v>
      </c>
      <c r="G1714">
        <v>1.1073249999999999E-3</v>
      </c>
      <c r="H1714">
        <v>1.5500170000000001E-3</v>
      </c>
      <c r="I1714">
        <v>1.781574E-3</v>
      </c>
      <c r="J1714">
        <v>1.2319830000000001E-3</v>
      </c>
      <c r="K1714">
        <v>1.5157599999999999E-3</v>
      </c>
      <c r="L1714">
        <v>1.513209E-3</v>
      </c>
      <c r="M1714">
        <v>1.4838220000000001E-3</v>
      </c>
      <c r="N1714">
        <v>3.1224930000000001E-3</v>
      </c>
      <c r="O1714">
        <v>1.464871E-3</v>
      </c>
      <c r="P1714">
        <v>1.4558069999999999E-3</v>
      </c>
      <c r="Q1714">
        <v>1.4134449999999999E-3</v>
      </c>
      <c r="R1714">
        <v>1.6410579999999999E-3</v>
      </c>
      <c r="S1714">
        <v>1.4849640000000001E-3</v>
      </c>
      <c r="T1714">
        <v>1.3655749999999999E-3</v>
      </c>
    </row>
    <row r="1715" spans="1:20" hidden="1" x14ac:dyDescent="0.25">
      <c r="A1715" t="s">
        <v>1723</v>
      </c>
      <c r="B1715">
        <v>3.0632499999999998E-4</v>
      </c>
      <c r="C1715">
        <v>4.5900800000000001E-4</v>
      </c>
      <c r="D1715">
        <v>4.2850899999999999E-4</v>
      </c>
      <c r="E1715">
        <v>3.3491700000000001E-4</v>
      </c>
      <c r="F1715">
        <v>2.9365000000000001E-4</v>
      </c>
      <c r="G1715">
        <v>3.0051299999999997E-4</v>
      </c>
      <c r="H1715">
        <v>4.4569100000000001E-4</v>
      </c>
      <c r="I1715">
        <v>4.2438300000000002E-4</v>
      </c>
      <c r="J1715">
        <v>3.70658E-4</v>
      </c>
      <c r="K1715">
        <v>4.148E-4</v>
      </c>
      <c r="L1715">
        <v>4.25153E-4</v>
      </c>
      <c r="M1715">
        <v>3.9928799999999998E-4</v>
      </c>
      <c r="N1715">
        <v>8.4476199999999999E-4</v>
      </c>
      <c r="O1715">
        <v>3.1650299999999999E-4</v>
      </c>
      <c r="P1715">
        <v>3.8576700000000002E-4</v>
      </c>
      <c r="Q1715">
        <v>3.7742899999999998E-4</v>
      </c>
      <c r="R1715">
        <v>3.7998900000000001E-4</v>
      </c>
      <c r="S1715">
        <v>4.0272499999999999E-4</v>
      </c>
      <c r="T1715">
        <v>3.8790500000000002E-4</v>
      </c>
    </row>
    <row r="1716" spans="1:20" hidden="1" x14ac:dyDescent="0.25">
      <c r="A1716" t="s">
        <v>1724</v>
      </c>
      <c r="B1716" s="1">
        <v>9.2E-5</v>
      </c>
      <c r="C1716" s="1">
        <v>5.5600000000000003E-5</v>
      </c>
      <c r="D1716" s="1">
        <v>4.0200000000000001E-5</v>
      </c>
      <c r="E1716">
        <v>0</v>
      </c>
      <c r="F1716">
        <v>1.0473599999999999E-4</v>
      </c>
      <c r="G1716">
        <v>1.0635E-4</v>
      </c>
      <c r="H1716">
        <v>1.06665E-4</v>
      </c>
      <c r="I1716">
        <v>1.10837E-4</v>
      </c>
      <c r="J1716" s="1">
        <v>9.1899999999999998E-5</v>
      </c>
      <c r="K1716" s="1">
        <v>9.5099999999999994E-5</v>
      </c>
      <c r="L1716">
        <v>1.15751E-4</v>
      </c>
      <c r="M1716">
        <v>1.35143E-4</v>
      </c>
      <c r="N1716">
        <v>1.3735200000000001E-4</v>
      </c>
      <c r="O1716">
        <v>1.16625E-4</v>
      </c>
      <c r="P1716">
        <v>1.6472899999999999E-4</v>
      </c>
      <c r="Q1716">
        <v>2.4668299999999998E-4</v>
      </c>
      <c r="R1716">
        <v>1.88071E-4</v>
      </c>
      <c r="S1716">
        <v>1.2771899999999999E-4</v>
      </c>
      <c r="T1716">
        <v>3.6127499999999999E-4</v>
      </c>
    </row>
    <row r="1717" spans="1:20" hidden="1" x14ac:dyDescent="0.25">
      <c r="A1717" t="s">
        <v>1725</v>
      </c>
      <c r="B1717" s="1">
        <v>3.7599999999999999E-5</v>
      </c>
      <c r="C1717" s="1">
        <v>2.9499999999999999E-5</v>
      </c>
      <c r="D1717" s="1">
        <v>3.26E-5</v>
      </c>
      <c r="E1717" s="1">
        <v>2.3200000000000001E-5</v>
      </c>
      <c r="F1717" s="1">
        <v>2.2399999999999999E-5</v>
      </c>
      <c r="G1717" s="1">
        <v>3.68E-5</v>
      </c>
      <c r="H1717" s="1">
        <v>1.7799999999999999E-5</v>
      </c>
      <c r="I1717" s="1">
        <v>2.41E-5</v>
      </c>
      <c r="J1717" s="1">
        <v>1.9400000000000001E-5</v>
      </c>
      <c r="K1717" s="1">
        <v>4.35E-5</v>
      </c>
      <c r="L1717" s="1">
        <v>5.4400000000000001E-5</v>
      </c>
      <c r="M1717" s="1">
        <v>2.0400000000000001E-5</v>
      </c>
      <c r="N1717" s="1">
        <v>2.4499999999999999E-5</v>
      </c>
      <c r="O1717" s="1">
        <v>2.4499999999999999E-5</v>
      </c>
      <c r="P1717" s="1">
        <v>3.8800000000000001E-5</v>
      </c>
      <c r="Q1717" s="1">
        <v>1.66E-5</v>
      </c>
      <c r="R1717" s="1">
        <v>2.34E-5</v>
      </c>
      <c r="S1717" s="1">
        <v>2.1800000000000001E-5</v>
      </c>
      <c r="T1717" s="1">
        <v>6.99E-6</v>
      </c>
    </row>
    <row r="1718" spans="1:20" hidden="1" x14ac:dyDescent="0.25">
      <c r="A1718" t="s">
        <v>1726</v>
      </c>
      <c r="B1718">
        <v>1.7929440000000001E-3</v>
      </c>
      <c r="C1718">
        <v>2.1541099999999999E-3</v>
      </c>
      <c r="D1718">
        <v>2.2319390000000001E-3</v>
      </c>
      <c r="E1718">
        <v>1.9181370000000001E-3</v>
      </c>
      <c r="F1718">
        <v>1.568704E-3</v>
      </c>
      <c r="G1718">
        <v>1.708436E-3</v>
      </c>
      <c r="H1718">
        <v>1.650087E-3</v>
      </c>
      <c r="I1718">
        <v>1.4575020000000001E-3</v>
      </c>
      <c r="J1718">
        <v>1.7157940000000001E-3</v>
      </c>
      <c r="K1718">
        <v>2.620271E-3</v>
      </c>
      <c r="L1718">
        <v>1.879305E-3</v>
      </c>
      <c r="M1718">
        <v>1.032617E-3</v>
      </c>
      <c r="N1718">
        <v>1.428878E-3</v>
      </c>
      <c r="O1718">
        <v>2.2151110000000001E-3</v>
      </c>
      <c r="P1718">
        <v>8.4632999999999996E-4</v>
      </c>
      <c r="Q1718">
        <v>2.8040699999999999E-4</v>
      </c>
      <c r="R1718">
        <v>5.39793E-4</v>
      </c>
      <c r="S1718">
        <v>3.42374E-4</v>
      </c>
      <c r="T1718">
        <v>3.7879800000000001E-4</v>
      </c>
    </row>
    <row r="1719" spans="1:20" hidden="1" x14ac:dyDescent="0.25">
      <c r="A1719" t="s">
        <v>1727</v>
      </c>
      <c r="B1719">
        <v>3.8453100000000002E-4</v>
      </c>
      <c r="C1719">
        <v>4.7410099999999999E-4</v>
      </c>
      <c r="D1719">
        <v>2.43575E-4</v>
      </c>
      <c r="E1719">
        <v>2.9211299999999999E-4</v>
      </c>
      <c r="F1719">
        <v>4.6585000000000002E-4</v>
      </c>
      <c r="G1719">
        <v>6.1760799999999996E-4</v>
      </c>
      <c r="H1719">
        <v>7.0241699999999999E-4</v>
      </c>
      <c r="I1719">
        <v>3.5102799999999997E-4</v>
      </c>
      <c r="J1719">
        <v>9.31174E-4</v>
      </c>
      <c r="K1719">
        <v>3.6428600000000002E-4</v>
      </c>
      <c r="L1719">
        <v>4.7898899999999998E-4</v>
      </c>
      <c r="M1719">
        <v>4.9699300000000004E-4</v>
      </c>
      <c r="N1719">
        <v>1.201433E-3</v>
      </c>
      <c r="O1719">
        <v>8.46216E-4</v>
      </c>
      <c r="P1719">
        <v>8.32148E-4</v>
      </c>
      <c r="Q1719">
        <v>1.5764640000000001E-3</v>
      </c>
      <c r="R1719">
        <v>1.2412300000000001E-3</v>
      </c>
      <c r="S1719">
        <v>2.2423339999999999E-3</v>
      </c>
      <c r="T1719">
        <v>1.74128E-3</v>
      </c>
    </row>
    <row r="1720" spans="1:20" hidden="1" x14ac:dyDescent="0.25">
      <c r="A1720" t="s">
        <v>1728</v>
      </c>
      <c r="B1720">
        <v>8.6856399999999995E-4</v>
      </c>
      <c r="C1720">
        <v>9.7187499999999997E-4</v>
      </c>
      <c r="D1720">
        <v>1.113237E-3</v>
      </c>
      <c r="E1720">
        <v>7.6159899999999996E-4</v>
      </c>
      <c r="F1720">
        <v>8.5251700000000001E-4</v>
      </c>
      <c r="G1720">
        <v>6.9437899999999996E-4</v>
      </c>
      <c r="H1720">
        <v>6.4375900000000004E-4</v>
      </c>
      <c r="I1720">
        <v>7.4927999999999995E-4</v>
      </c>
      <c r="J1720">
        <v>7.1568300000000005E-4</v>
      </c>
      <c r="K1720">
        <v>7.3009699999999997E-4</v>
      </c>
      <c r="L1720">
        <v>9.3167499999999997E-4</v>
      </c>
      <c r="M1720">
        <v>5.17159E-4</v>
      </c>
      <c r="N1720">
        <v>7.7452700000000001E-4</v>
      </c>
      <c r="O1720">
        <v>9.0973699999999998E-4</v>
      </c>
      <c r="P1720">
        <v>4.6800999999999999E-4</v>
      </c>
      <c r="Q1720">
        <v>5.5388699999999998E-4</v>
      </c>
      <c r="R1720">
        <v>6.6671899999999997E-4</v>
      </c>
      <c r="S1720">
        <v>4.45687E-4</v>
      </c>
      <c r="T1720">
        <v>4.2027999999999998E-4</v>
      </c>
    </row>
    <row r="1721" spans="1:20" hidden="1" x14ac:dyDescent="0.25">
      <c r="A1721" t="s">
        <v>1729</v>
      </c>
      <c r="B1721">
        <v>0</v>
      </c>
      <c r="C1721" s="1">
        <v>7.25E-5</v>
      </c>
      <c r="D1721" s="1">
        <v>5.2599999999999998E-5</v>
      </c>
      <c r="E1721" s="1">
        <v>4.6100000000000002E-5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2.4110099999999999E-4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s="1">
        <v>5.13E-5</v>
      </c>
      <c r="T1721" s="1">
        <v>4.32E-5</v>
      </c>
    </row>
    <row r="1722" spans="1:20" hidden="1" x14ac:dyDescent="0.25">
      <c r="A1722" t="s">
        <v>1730</v>
      </c>
      <c r="B1722" s="1">
        <v>8.2399999999999997E-5</v>
      </c>
      <c r="C1722">
        <v>1.5692700000000001E-4</v>
      </c>
      <c r="D1722">
        <v>1.54609E-4</v>
      </c>
      <c r="E1722">
        <v>1.6675199999999999E-4</v>
      </c>
      <c r="F1722">
        <v>1.42478E-4</v>
      </c>
      <c r="G1722">
        <v>1.4270900000000001E-4</v>
      </c>
      <c r="H1722" s="1">
        <v>8.0500000000000005E-5</v>
      </c>
      <c r="I1722">
        <v>1.5980200000000001E-4</v>
      </c>
      <c r="J1722">
        <v>1.10973E-4</v>
      </c>
      <c r="K1722">
        <v>1.7328100000000001E-4</v>
      </c>
      <c r="L1722">
        <v>1.9861799999999999E-4</v>
      </c>
      <c r="M1722">
        <v>1.03288E-4</v>
      </c>
      <c r="N1722" s="1">
        <v>9.7700000000000003E-5</v>
      </c>
      <c r="O1722">
        <v>1.37429E-4</v>
      </c>
      <c r="P1722" s="1">
        <v>8.2299999999999995E-5</v>
      </c>
      <c r="Q1722" s="1">
        <v>5.02E-5</v>
      </c>
      <c r="R1722" s="1">
        <v>6.6799999999999997E-5</v>
      </c>
      <c r="S1722" s="1">
        <v>5.7899999999999998E-5</v>
      </c>
      <c r="T1722" s="1">
        <v>4.85E-5</v>
      </c>
    </row>
    <row r="1723" spans="1:20" hidden="1" x14ac:dyDescent="0.25">
      <c r="A1723" t="s">
        <v>1731</v>
      </c>
      <c r="B1723">
        <v>1.81492E-4</v>
      </c>
      <c r="C1723" s="1">
        <v>6.9200000000000002E-5</v>
      </c>
      <c r="D1723">
        <v>1.3303300000000001E-4</v>
      </c>
      <c r="E1723">
        <v>1.17537E-4</v>
      </c>
      <c r="F1723" s="1">
        <v>5.4400000000000001E-5</v>
      </c>
      <c r="G1723" s="1">
        <v>4.2899999999999999E-5</v>
      </c>
      <c r="H1723" s="1">
        <v>4.74E-5</v>
      </c>
      <c r="I1723" s="1">
        <v>4.6900000000000002E-5</v>
      </c>
      <c r="J1723" s="1">
        <v>4.35E-5</v>
      </c>
      <c r="K1723">
        <v>1.19911E-4</v>
      </c>
      <c r="L1723" s="1">
        <v>6.8899999999999994E-5</v>
      </c>
      <c r="M1723">
        <v>1.22018E-4</v>
      </c>
      <c r="N1723" s="1">
        <v>8.6600000000000004E-5</v>
      </c>
      <c r="O1723">
        <v>1.01123E-4</v>
      </c>
      <c r="P1723" s="1">
        <v>4.9200000000000003E-5</v>
      </c>
      <c r="Q1723" s="1">
        <v>5.3100000000000003E-5</v>
      </c>
      <c r="R1723">
        <v>1.17514E-4</v>
      </c>
      <c r="S1723" s="1">
        <v>9.8599999999999998E-5</v>
      </c>
      <c r="T1723" s="1">
        <v>9.3499999999999996E-5</v>
      </c>
    </row>
    <row r="1724" spans="1:20" hidden="1" x14ac:dyDescent="0.25">
      <c r="A1724" t="s">
        <v>1732</v>
      </c>
      <c r="B1724">
        <v>1.1239E-4</v>
      </c>
      <c r="C1724">
        <v>1.23986E-4</v>
      </c>
      <c r="D1724">
        <v>0</v>
      </c>
      <c r="E1724">
        <v>1.3881500000000001E-4</v>
      </c>
      <c r="F1724">
        <v>0</v>
      </c>
      <c r="G1724">
        <v>0</v>
      </c>
      <c r="H1724">
        <v>0</v>
      </c>
      <c r="I1724" s="1">
        <v>8.9400000000000005E-5</v>
      </c>
      <c r="J1724">
        <v>1.14634E-4</v>
      </c>
      <c r="K1724">
        <v>1.2108399999999999E-4</v>
      </c>
      <c r="L1724">
        <v>1.4555199999999999E-4</v>
      </c>
      <c r="M1724">
        <v>1.06252E-4</v>
      </c>
      <c r="N1724">
        <v>1.415E-4</v>
      </c>
      <c r="O1724">
        <v>1.3767799999999999E-4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hidden="1" x14ac:dyDescent="0.25">
      <c r="A1725" t="s">
        <v>1733</v>
      </c>
      <c r="B1725" s="1">
        <v>2.5599999999999999E-5</v>
      </c>
      <c r="C1725" s="1">
        <v>4.3600000000000003E-5</v>
      </c>
      <c r="D1725" s="1">
        <v>5.2299999999999997E-5</v>
      </c>
      <c r="E1725" s="1">
        <v>6.2700000000000006E-5</v>
      </c>
      <c r="F1725" s="1">
        <v>3.8999999999999999E-5</v>
      </c>
      <c r="G1725" s="1">
        <v>4.6E-5</v>
      </c>
      <c r="H1725" s="1">
        <v>4.0500000000000002E-5</v>
      </c>
      <c r="I1725" s="1">
        <v>3.68E-5</v>
      </c>
      <c r="J1725">
        <v>0</v>
      </c>
      <c r="K1725" s="1">
        <v>4.2599999999999999E-5</v>
      </c>
      <c r="L1725" s="1">
        <v>3.8600000000000003E-5</v>
      </c>
      <c r="M1725">
        <v>0</v>
      </c>
      <c r="N1725">
        <v>0</v>
      </c>
      <c r="O1725" s="1">
        <v>3.8600000000000003E-5</v>
      </c>
      <c r="P1725">
        <v>0</v>
      </c>
      <c r="Q1725">
        <v>0</v>
      </c>
      <c r="R1725" s="1">
        <v>3.4499999999999998E-5</v>
      </c>
      <c r="S1725" s="1">
        <v>4.4100000000000001E-5</v>
      </c>
      <c r="T1725" s="1">
        <v>2.8E-5</v>
      </c>
    </row>
    <row r="1726" spans="1:20" hidden="1" x14ac:dyDescent="0.25">
      <c r="A1726" t="s">
        <v>1734</v>
      </c>
      <c r="B1726">
        <v>1.26055E-4</v>
      </c>
      <c r="C1726" s="1">
        <v>8.8200000000000003E-5</v>
      </c>
      <c r="D1726" s="1">
        <v>9.6299999999999996E-5</v>
      </c>
      <c r="E1726">
        <v>1.11459E-4</v>
      </c>
      <c r="F1726">
        <v>1.89703E-4</v>
      </c>
      <c r="G1726">
        <v>1.2178E-4</v>
      </c>
      <c r="H1726">
        <v>1.62733E-4</v>
      </c>
      <c r="I1726">
        <v>1.3903099999999999E-4</v>
      </c>
      <c r="J1726">
        <v>1.9790199999999999E-4</v>
      </c>
      <c r="K1726">
        <v>1.24757E-4</v>
      </c>
      <c r="L1726">
        <v>1.1287E-4</v>
      </c>
      <c r="M1726">
        <v>1.10494E-4</v>
      </c>
      <c r="N1726">
        <v>1.3669499999999999E-4</v>
      </c>
      <c r="O1726">
        <v>1.8443299999999999E-4</v>
      </c>
      <c r="P1726">
        <v>1.6300599999999999E-4</v>
      </c>
      <c r="Q1726">
        <v>2.0371399999999999E-4</v>
      </c>
      <c r="R1726">
        <v>1.87691E-4</v>
      </c>
      <c r="S1726">
        <v>1.7323800000000001E-4</v>
      </c>
      <c r="T1726">
        <v>1.49665E-4</v>
      </c>
    </row>
    <row r="1727" spans="1:20" hidden="1" x14ac:dyDescent="0.25">
      <c r="A1727" t="s">
        <v>1735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 s="1">
        <v>3.1099999999999997E-5</v>
      </c>
      <c r="I1727">
        <v>0</v>
      </c>
      <c r="J1727">
        <v>0</v>
      </c>
      <c r="K1727" s="1">
        <v>2.3900000000000002E-5</v>
      </c>
      <c r="L1727">
        <v>0</v>
      </c>
      <c r="M1727">
        <v>0</v>
      </c>
      <c r="N1727">
        <v>0</v>
      </c>
      <c r="O1727">
        <v>0</v>
      </c>
      <c r="P1727" s="1">
        <v>1.56E-5</v>
      </c>
      <c r="Q1727" s="1">
        <v>3.3599999999999997E-5</v>
      </c>
      <c r="R1727" s="1">
        <v>3.8099999999999998E-5</v>
      </c>
      <c r="S1727">
        <v>0</v>
      </c>
      <c r="T1727" s="1">
        <v>7.9099999999999998E-5</v>
      </c>
    </row>
    <row r="1728" spans="1:20" hidden="1" x14ac:dyDescent="0.25">
      <c r="A1728" t="s">
        <v>1736</v>
      </c>
      <c r="B1728">
        <v>1.32435E-3</v>
      </c>
      <c r="C1728">
        <v>1.292865E-3</v>
      </c>
      <c r="D1728">
        <v>1.484008E-3</v>
      </c>
      <c r="E1728">
        <v>1.526459E-3</v>
      </c>
      <c r="F1728">
        <v>9.3256600000000002E-4</v>
      </c>
      <c r="G1728">
        <v>5.53627E-4</v>
      </c>
      <c r="H1728">
        <v>9.7864700000000002E-4</v>
      </c>
      <c r="I1728">
        <v>0</v>
      </c>
      <c r="J1728">
        <v>5.3074999999999997E-4</v>
      </c>
      <c r="K1728">
        <v>1.314312E-3</v>
      </c>
      <c r="L1728">
        <v>1.0684309999999999E-3</v>
      </c>
      <c r="M1728">
        <v>1.121836E-3</v>
      </c>
      <c r="N1728">
        <v>9.2212800000000003E-4</v>
      </c>
      <c r="O1728">
        <v>8.9671100000000001E-4</v>
      </c>
      <c r="P1728">
        <v>0</v>
      </c>
      <c r="Q1728">
        <v>2.8792100000000001E-4</v>
      </c>
      <c r="R1728">
        <v>0</v>
      </c>
      <c r="S1728">
        <v>3.9783400000000001E-4</v>
      </c>
      <c r="T1728">
        <v>0</v>
      </c>
    </row>
    <row r="1729" spans="1:20" hidden="1" x14ac:dyDescent="0.25">
      <c r="A1729" t="s">
        <v>1737</v>
      </c>
      <c r="B1729" s="1">
        <v>2.8399999999999999E-5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s="1">
        <v>2.8500000000000002E-5</v>
      </c>
      <c r="K1729">
        <v>0</v>
      </c>
      <c r="L1729">
        <v>0</v>
      </c>
      <c r="M1729" s="1">
        <v>2.34E-5</v>
      </c>
      <c r="N1729" s="1">
        <v>3.4900000000000001E-5</v>
      </c>
      <c r="O1729" s="1">
        <v>2.4000000000000001E-5</v>
      </c>
      <c r="P1729">
        <v>0</v>
      </c>
      <c r="Q1729">
        <v>1.4406400000000001E-4</v>
      </c>
      <c r="R1729" s="1">
        <v>8.9699999999999998E-5</v>
      </c>
      <c r="S1729" s="1">
        <v>7.2200000000000007E-5</v>
      </c>
      <c r="T1729">
        <v>1.0188600000000001E-4</v>
      </c>
    </row>
    <row r="1730" spans="1:20" hidden="1" x14ac:dyDescent="0.25">
      <c r="A1730" t="s">
        <v>1738</v>
      </c>
      <c r="B1730" s="1">
        <v>3.7200000000000003E-5</v>
      </c>
      <c r="C1730" s="1">
        <v>6.6299999999999999E-5</v>
      </c>
      <c r="D1730" s="1">
        <v>3.9199999999999997E-5</v>
      </c>
      <c r="E1730" s="1">
        <v>4.3300000000000002E-5</v>
      </c>
      <c r="F1730" s="1">
        <v>4.0299999999999997E-5</v>
      </c>
      <c r="G1730" s="1">
        <v>4.5500000000000001E-5</v>
      </c>
      <c r="H1730">
        <v>0</v>
      </c>
      <c r="I1730" s="1">
        <v>4.7500000000000003E-5</v>
      </c>
      <c r="J1730" s="1">
        <v>4.49E-5</v>
      </c>
      <c r="K1730" s="1">
        <v>3.82E-5</v>
      </c>
      <c r="L1730" s="1">
        <v>4.5399999999999999E-5</v>
      </c>
      <c r="M1730" s="1">
        <v>2.5400000000000001E-5</v>
      </c>
      <c r="N1730" s="1">
        <v>5.1E-5</v>
      </c>
      <c r="O1730" s="1">
        <v>3.2400000000000001E-5</v>
      </c>
      <c r="P1730" s="1">
        <v>3.8099999999999998E-5</v>
      </c>
      <c r="Q1730">
        <v>0</v>
      </c>
      <c r="R1730" s="1">
        <v>2.4600000000000002E-5</v>
      </c>
      <c r="S1730" s="1">
        <v>1.59E-5</v>
      </c>
      <c r="T1730">
        <v>0</v>
      </c>
    </row>
    <row r="1731" spans="1:20" hidden="1" x14ac:dyDescent="0.25">
      <c r="A1731" t="s">
        <v>1739</v>
      </c>
      <c r="B1731" s="1">
        <v>1.2E-5</v>
      </c>
      <c r="C1731" s="1">
        <v>3.93E-5</v>
      </c>
      <c r="D1731" s="1">
        <v>3.43E-5</v>
      </c>
      <c r="E1731" s="1">
        <v>3.7599999999999999E-5</v>
      </c>
      <c r="F1731" s="1">
        <v>1.5099999999999999E-5</v>
      </c>
      <c r="G1731" s="1">
        <v>1.77E-5</v>
      </c>
      <c r="H1731">
        <v>0</v>
      </c>
      <c r="I1731" s="1">
        <v>8.2400000000000007E-6</v>
      </c>
      <c r="J1731" s="1">
        <v>7.5100000000000001E-6</v>
      </c>
      <c r="K1731" s="1">
        <v>2.8E-5</v>
      </c>
      <c r="L1731" s="1">
        <v>3.18E-5</v>
      </c>
      <c r="M1731" s="1">
        <v>1.1399999999999999E-5</v>
      </c>
      <c r="N1731" s="1">
        <v>1.24E-5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hidden="1" x14ac:dyDescent="0.25">
      <c r="A1732" t="s">
        <v>1740</v>
      </c>
      <c r="B1732">
        <v>1.288043E-3</v>
      </c>
      <c r="C1732">
        <v>8.2561699999999995E-4</v>
      </c>
      <c r="D1732">
        <v>7.1761899999999996E-4</v>
      </c>
      <c r="E1732">
        <v>9.9252600000000009E-4</v>
      </c>
      <c r="F1732">
        <v>9.4494399999999997E-4</v>
      </c>
      <c r="G1732">
        <v>6.5279900000000002E-4</v>
      </c>
      <c r="H1732">
        <v>1.566116E-3</v>
      </c>
      <c r="I1732">
        <v>9.5060399999999997E-4</v>
      </c>
      <c r="J1732">
        <v>7.9931900000000005E-4</v>
      </c>
      <c r="K1732">
        <v>8.6257200000000003E-4</v>
      </c>
      <c r="L1732">
        <v>7.2460299999999999E-4</v>
      </c>
      <c r="M1732">
        <v>9.9197900000000004E-4</v>
      </c>
      <c r="N1732">
        <v>7.8533900000000002E-4</v>
      </c>
      <c r="O1732">
        <v>8.1117500000000003E-4</v>
      </c>
      <c r="P1732">
        <v>7.5355500000000005E-4</v>
      </c>
      <c r="Q1732">
        <v>7.8218299999999999E-4</v>
      </c>
      <c r="R1732">
        <v>1.2022650000000001E-3</v>
      </c>
      <c r="S1732">
        <v>7.5299399999999999E-4</v>
      </c>
      <c r="T1732">
        <v>6.6506300000000003E-4</v>
      </c>
    </row>
    <row r="1733" spans="1:20" hidden="1" x14ac:dyDescent="0.25">
      <c r="A1733" t="s">
        <v>1741</v>
      </c>
      <c r="B1733">
        <v>0</v>
      </c>
      <c r="C1733">
        <v>0</v>
      </c>
      <c r="D1733">
        <v>0</v>
      </c>
      <c r="E1733">
        <v>0</v>
      </c>
      <c r="F1733" s="1">
        <v>7.1000000000000005E-5</v>
      </c>
      <c r="G1733">
        <v>0</v>
      </c>
      <c r="H1733">
        <v>1.3488399999999999E-4</v>
      </c>
      <c r="I1733">
        <v>1.2615799999999999E-4</v>
      </c>
      <c r="J1733" s="1">
        <v>8.7800000000000006E-5</v>
      </c>
      <c r="K1733" s="1">
        <v>9.2499999999999999E-5</v>
      </c>
      <c r="L1733" s="1">
        <v>6.1600000000000007E-5</v>
      </c>
      <c r="M1733">
        <v>1.21258E-4</v>
      </c>
      <c r="N1733" s="1">
        <v>8.7600000000000002E-5</v>
      </c>
      <c r="O1733">
        <v>1.10245E-4</v>
      </c>
      <c r="P1733" s="1">
        <v>8.4499999999999994E-5</v>
      </c>
      <c r="Q1733">
        <v>0</v>
      </c>
      <c r="R1733">
        <v>1.34189E-4</v>
      </c>
      <c r="S1733" s="1">
        <v>6.7799999999999995E-5</v>
      </c>
      <c r="T1733" s="1">
        <v>8.3900000000000006E-5</v>
      </c>
    </row>
    <row r="1734" spans="1:20" hidden="1" x14ac:dyDescent="0.25">
      <c r="A1734" t="s">
        <v>1742</v>
      </c>
      <c r="B1734">
        <v>1.0606400000000001E-4</v>
      </c>
      <c r="C1734" s="1">
        <v>7.7000000000000001E-5</v>
      </c>
      <c r="D1734">
        <v>1.2601999999999999E-4</v>
      </c>
      <c r="E1734">
        <v>1.17767E-4</v>
      </c>
      <c r="F1734" s="1">
        <v>8.5900000000000001E-5</v>
      </c>
      <c r="G1734" s="1">
        <v>3.8099999999999998E-5</v>
      </c>
      <c r="H1734" s="1">
        <v>8.8399999999999994E-5</v>
      </c>
      <c r="I1734" s="1">
        <v>7.2600000000000003E-5</v>
      </c>
      <c r="J1734" s="1">
        <v>4.1999999999999998E-5</v>
      </c>
      <c r="K1734" s="1">
        <v>7.9400000000000006E-5</v>
      </c>
      <c r="L1734" s="1">
        <v>5.8900000000000002E-5</v>
      </c>
      <c r="M1734" s="1">
        <v>9.6000000000000002E-5</v>
      </c>
      <c r="N1734" s="1">
        <v>6.3700000000000003E-5</v>
      </c>
      <c r="O1734" s="1">
        <v>5.3000000000000001E-5</v>
      </c>
      <c r="P1734">
        <v>0</v>
      </c>
      <c r="Q1734" s="1">
        <v>2.3300000000000001E-5</v>
      </c>
      <c r="R1734" s="1">
        <v>2.6299999999999999E-5</v>
      </c>
      <c r="S1734">
        <v>0</v>
      </c>
      <c r="T1734" s="1">
        <v>3.2700000000000002E-5</v>
      </c>
    </row>
    <row r="1735" spans="1:20" hidden="1" x14ac:dyDescent="0.25">
      <c r="A1735" t="s">
        <v>1743</v>
      </c>
      <c r="B1735">
        <v>8.9363930000000008E-3</v>
      </c>
      <c r="C1735">
        <v>2.0687396E-2</v>
      </c>
      <c r="D1735">
        <v>1.5294857E-2</v>
      </c>
      <c r="E1735">
        <v>1.6532835999999999E-2</v>
      </c>
      <c r="F1735">
        <v>8.5713839999999996E-3</v>
      </c>
      <c r="G1735">
        <v>1.8634441000000002E-2</v>
      </c>
      <c r="H1735">
        <v>9.5851400000000007E-3</v>
      </c>
      <c r="I1735">
        <v>2.0311305000000002E-2</v>
      </c>
      <c r="J1735">
        <v>1.3617222999999999E-2</v>
      </c>
      <c r="K1735">
        <v>1.7500352E-2</v>
      </c>
      <c r="L1735">
        <v>1.6182146000000001E-2</v>
      </c>
      <c r="M1735">
        <v>8.9132310000000006E-3</v>
      </c>
      <c r="N1735">
        <v>6.780182E-3</v>
      </c>
      <c r="O1735">
        <v>1.1946055000000001E-2</v>
      </c>
      <c r="P1735">
        <v>7.1524709999999997E-3</v>
      </c>
      <c r="Q1735">
        <v>6.1910050000000003E-3</v>
      </c>
      <c r="R1735">
        <v>6.3947730000000003E-3</v>
      </c>
      <c r="S1735">
        <v>5.1988199999999998E-3</v>
      </c>
      <c r="T1735">
        <v>5.6593939999999999E-3</v>
      </c>
    </row>
    <row r="1736" spans="1:20" hidden="1" x14ac:dyDescent="0.25">
      <c r="A1736" t="s">
        <v>1744</v>
      </c>
      <c r="B1736">
        <v>4.2633100000000001E-4</v>
      </c>
      <c r="C1736">
        <v>9.27146E-4</v>
      </c>
      <c r="D1736">
        <v>6.9383200000000002E-4</v>
      </c>
      <c r="E1736">
        <v>5.6156200000000004E-4</v>
      </c>
      <c r="F1736">
        <v>3.2227800000000001E-4</v>
      </c>
      <c r="G1736">
        <v>7.3349799999999996E-4</v>
      </c>
      <c r="H1736">
        <v>2.8004199999999999E-4</v>
      </c>
      <c r="I1736">
        <v>7.6243700000000003E-4</v>
      </c>
      <c r="J1736">
        <v>6.1881200000000005E-4</v>
      </c>
      <c r="K1736">
        <v>9.0130799999999997E-4</v>
      </c>
      <c r="L1736">
        <v>7.6073000000000004E-4</v>
      </c>
      <c r="M1736">
        <v>3.5854099999999998E-4</v>
      </c>
      <c r="N1736">
        <v>2.9479300000000001E-4</v>
      </c>
      <c r="O1736">
        <v>4.2213E-4</v>
      </c>
      <c r="P1736">
        <v>2.28197E-4</v>
      </c>
      <c r="Q1736">
        <v>1.6594299999999999E-4</v>
      </c>
      <c r="R1736">
        <v>1.4462700000000001E-4</v>
      </c>
      <c r="S1736" s="1">
        <v>9.7999999999999997E-5</v>
      </c>
      <c r="T1736">
        <v>1.9177800000000001E-4</v>
      </c>
    </row>
    <row r="1737" spans="1:20" hidden="1" x14ac:dyDescent="0.25">
      <c r="A1737" t="s">
        <v>1745</v>
      </c>
      <c r="B1737">
        <v>3.8902400000000002E-4</v>
      </c>
      <c r="C1737">
        <v>5.97834E-4</v>
      </c>
      <c r="D1737">
        <v>5.0851300000000004E-4</v>
      </c>
      <c r="E1737">
        <v>5.1861500000000005E-4</v>
      </c>
      <c r="F1737">
        <v>3.7206499999999998E-4</v>
      </c>
      <c r="G1737">
        <v>5.1716900000000005E-4</v>
      </c>
      <c r="H1737">
        <v>0</v>
      </c>
      <c r="I1737">
        <v>6.5034299999999995E-4</v>
      </c>
      <c r="J1737">
        <v>4.2282499999999999E-4</v>
      </c>
      <c r="K1737">
        <v>5.9087600000000005E-4</v>
      </c>
      <c r="L1737">
        <v>5.1721199999999997E-4</v>
      </c>
      <c r="M1737">
        <v>2.79898E-4</v>
      </c>
      <c r="N1737">
        <v>0</v>
      </c>
      <c r="O1737">
        <v>3.22212E-4</v>
      </c>
      <c r="P1737">
        <v>2.2485699999999999E-4</v>
      </c>
      <c r="Q1737">
        <v>2.7943299999999999E-4</v>
      </c>
      <c r="R1737">
        <v>2.5784199999999999E-4</v>
      </c>
      <c r="S1737">
        <v>0</v>
      </c>
      <c r="T1737">
        <v>3.47249E-4</v>
      </c>
    </row>
    <row r="1738" spans="1:20" hidden="1" x14ac:dyDescent="0.25">
      <c r="A1738" t="s">
        <v>1746</v>
      </c>
      <c r="B1738">
        <v>1.837183E-3</v>
      </c>
      <c r="C1738">
        <v>3.6376210000000002E-3</v>
      </c>
      <c r="D1738">
        <v>3.7789199999999998E-3</v>
      </c>
      <c r="E1738">
        <v>4.1161890000000001E-3</v>
      </c>
      <c r="F1738">
        <v>1.3997770000000001E-3</v>
      </c>
      <c r="G1738">
        <v>3.1669659999999998E-3</v>
      </c>
      <c r="H1738">
        <v>1.7919030000000001E-3</v>
      </c>
      <c r="I1738">
        <v>4.5423859999999998E-3</v>
      </c>
      <c r="J1738">
        <v>2.4941770000000002E-3</v>
      </c>
      <c r="K1738">
        <v>4.3033580000000002E-3</v>
      </c>
      <c r="L1738">
        <v>3.4216429999999998E-3</v>
      </c>
      <c r="M1738">
        <v>1.5730850000000001E-3</v>
      </c>
      <c r="N1738">
        <v>1.392739E-3</v>
      </c>
      <c r="O1738">
        <v>2.7487340000000001E-3</v>
      </c>
      <c r="P1738">
        <v>9.7707299999999996E-4</v>
      </c>
      <c r="Q1738">
        <v>7.9386599999999995E-4</v>
      </c>
      <c r="R1738">
        <v>8.3989899999999996E-4</v>
      </c>
      <c r="S1738">
        <v>8.5244499999999996E-4</v>
      </c>
      <c r="T1738">
        <v>7.9798300000000005E-4</v>
      </c>
    </row>
    <row r="1739" spans="1:20" hidden="1" x14ac:dyDescent="0.25">
      <c r="A1739" t="s">
        <v>1747</v>
      </c>
      <c r="B1739">
        <v>8.97137E-4</v>
      </c>
      <c r="C1739">
        <v>1.616239E-3</v>
      </c>
      <c r="D1739">
        <v>1.5214219999999999E-3</v>
      </c>
      <c r="E1739">
        <v>1.7780090000000001E-3</v>
      </c>
      <c r="F1739">
        <v>5.91575E-4</v>
      </c>
      <c r="G1739">
        <v>1.303308E-3</v>
      </c>
      <c r="H1739">
        <v>5.7240700000000004E-4</v>
      </c>
      <c r="I1739">
        <v>1.5748769999999999E-3</v>
      </c>
      <c r="J1739">
        <v>1.164076E-3</v>
      </c>
      <c r="K1739">
        <v>1.890884E-3</v>
      </c>
      <c r="L1739">
        <v>1.471977E-3</v>
      </c>
      <c r="M1739">
        <v>7.2418899999999997E-4</v>
      </c>
      <c r="N1739">
        <v>7.1022200000000005E-4</v>
      </c>
      <c r="O1739">
        <v>1.4374310000000001E-3</v>
      </c>
      <c r="P1739">
        <v>5.3444899999999999E-4</v>
      </c>
      <c r="Q1739">
        <v>3.22143E-4</v>
      </c>
      <c r="R1739">
        <v>4.0493799999999998E-4</v>
      </c>
      <c r="S1739">
        <v>4.0292600000000001E-4</v>
      </c>
      <c r="T1739">
        <v>3.4087000000000001E-4</v>
      </c>
    </row>
    <row r="1740" spans="1:20" hidden="1" x14ac:dyDescent="0.25">
      <c r="A1740" t="s">
        <v>1748</v>
      </c>
      <c r="B1740">
        <v>1.2317350000000001E-3</v>
      </c>
      <c r="C1740">
        <v>3.4638149999999999E-3</v>
      </c>
      <c r="D1740">
        <v>2.0648860000000002E-3</v>
      </c>
      <c r="E1740">
        <v>2.0657539999999999E-3</v>
      </c>
      <c r="F1740">
        <v>1.4023760000000001E-3</v>
      </c>
      <c r="G1740">
        <v>3.315714E-3</v>
      </c>
      <c r="H1740">
        <v>1.350728E-3</v>
      </c>
      <c r="I1740">
        <v>3.1430379999999999E-3</v>
      </c>
      <c r="J1740">
        <v>1.7026140000000001E-3</v>
      </c>
      <c r="K1740">
        <v>3.060045E-3</v>
      </c>
      <c r="L1740">
        <v>2.8281199999999999E-3</v>
      </c>
      <c r="M1740">
        <v>1.3069970000000001E-3</v>
      </c>
      <c r="N1740">
        <v>8.8090200000000003E-4</v>
      </c>
      <c r="O1740">
        <v>1.4257300000000001E-3</v>
      </c>
      <c r="P1740">
        <v>7.2665999999999996E-4</v>
      </c>
      <c r="Q1740">
        <v>6.3413499999999997E-4</v>
      </c>
      <c r="R1740">
        <v>7.5441699999999996E-4</v>
      </c>
      <c r="S1740">
        <v>4.2766700000000001E-4</v>
      </c>
      <c r="T1740">
        <v>6.6917500000000004E-4</v>
      </c>
    </row>
    <row r="1741" spans="1:20" hidden="1" x14ac:dyDescent="0.25">
      <c r="A1741" t="s">
        <v>1749</v>
      </c>
      <c r="B1741">
        <v>9.1231019999999993E-3</v>
      </c>
      <c r="C1741">
        <v>2.0728766999999999E-2</v>
      </c>
      <c r="D1741">
        <v>1.5096818E-2</v>
      </c>
      <c r="E1741">
        <v>1.5884105999999999E-2</v>
      </c>
      <c r="F1741">
        <v>9.1469900000000007E-3</v>
      </c>
      <c r="G1741">
        <v>1.7940851000000001E-2</v>
      </c>
      <c r="H1741">
        <v>8.8945659999999996E-3</v>
      </c>
      <c r="I1741">
        <v>1.9738316999999998E-2</v>
      </c>
      <c r="J1741">
        <v>1.3031443E-2</v>
      </c>
      <c r="K1741">
        <v>1.8194469000000001E-2</v>
      </c>
      <c r="L1741">
        <v>1.7262520999999999E-2</v>
      </c>
      <c r="M1741">
        <v>8.4029680000000002E-3</v>
      </c>
      <c r="N1741">
        <v>7.144648E-3</v>
      </c>
      <c r="O1741">
        <v>1.2284794E-2</v>
      </c>
      <c r="P1741">
        <v>6.5224840000000003E-3</v>
      </c>
      <c r="Q1741">
        <v>6.3869979999999996E-3</v>
      </c>
      <c r="R1741">
        <v>6.3196240000000002E-3</v>
      </c>
      <c r="S1741">
        <v>5.4822719999999998E-3</v>
      </c>
      <c r="T1741">
        <v>5.9502899999999996E-3</v>
      </c>
    </row>
    <row r="1742" spans="1:20" hidden="1" x14ac:dyDescent="0.25">
      <c r="A1742" t="s">
        <v>1750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s="1">
        <v>4.2200000000000003E-5</v>
      </c>
      <c r="Q1742">
        <v>1.4267199999999999E-4</v>
      </c>
      <c r="R1742" s="1">
        <v>5.8300000000000001E-5</v>
      </c>
      <c r="S1742" s="1">
        <v>4.5000000000000003E-5</v>
      </c>
      <c r="T1742">
        <v>3.47614E-4</v>
      </c>
    </row>
    <row r="1743" spans="1:20" hidden="1" x14ac:dyDescent="0.25">
      <c r="A1743" t="s">
        <v>1751</v>
      </c>
      <c r="B1743" s="1">
        <v>6.4399999999999993E-5</v>
      </c>
      <c r="C1743">
        <v>1.7717899999999999E-4</v>
      </c>
      <c r="D1743">
        <v>1.5283500000000001E-4</v>
      </c>
      <c r="E1743">
        <v>1.13056E-4</v>
      </c>
      <c r="F1743" s="1">
        <v>8.1100000000000006E-5</v>
      </c>
      <c r="G1743">
        <v>1.36904E-4</v>
      </c>
      <c r="H1743" s="1">
        <v>7.6500000000000003E-5</v>
      </c>
      <c r="I1743">
        <v>1.1359899999999999E-4</v>
      </c>
      <c r="J1743" s="1">
        <v>7.0900000000000002E-5</v>
      </c>
      <c r="K1743">
        <v>1.07432E-4</v>
      </c>
      <c r="L1743">
        <v>1.28658E-4</v>
      </c>
      <c r="M1743" s="1">
        <v>3.6600000000000002E-5</v>
      </c>
      <c r="N1743" s="1">
        <v>5.7599999999999997E-5</v>
      </c>
      <c r="O1743" s="1">
        <v>7.7799999999999994E-5</v>
      </c>
      <c r="P1743" s="1">
        <v>3.8899999999999997E-5</v>
      </c>
      <c r="Q1743" s="1">
        <v>3.3800000000000002E-5</v>
      </c>
      <c r="R1743" s="1">
        <v>2.0800000000000001E-5</v>
      </c>
      <c r="S1743" s="1">
        <v>4.5300000000000003E-5</v>
      </c>
      <c r="T1743" s="1">
        <v>4.1999999999999998E-5</v>
      </c>
    </row>
    <row r="1744" spans="1:20" hidden="1" x14ac:dyDescent="0.25">
      <c r="A1744" t="s">
        <v>1752</v>
      </c>
      <c r="B1744">
        <v>1.7784109999999999E-3</v>
      </c>
      <c r="C1744">
        <v>2.2404040000000001E-3</v>
      </c>
      <c r="D1744">
        <v>2.0999130000000001E-3</v>
      </c>
      <c r="E1744">
        <v>1.931894E-3</v>
      </c>
      <c r="F1744">
        <v>1.94225E-3</v>
      </c>
      <c r="G1744">
        <v>1.542472E-3</v>
      </c>
      <c r="H1744">
        <v>1.795493E-3</v>
      </c>
      <c r="I1744">
        <v>2.3078249999999999E-3</v>
      </c>
      <c r="J1744">
        <v>2.0444819999999998E-3</v>
      </c>
      <c r="K1744">
        <v>1.8668490000000001E-3</v>
      </c>
      <c r="L1744">
        <v>1.662296E-3</v>
      </c>
      <c r="M1744">
        <v>2.1531430000000002E-3</v>
      </c>
      <c r="N1744">
        <v>3.456799E-3</v>
      </c>
      <c r="O1744">
        <v>2.505499E-3</v>
      </c>
      <c r="P1744">
        <v>1.6434469999999999E-3</v>
      </c>
      <c r="Q1744">
        <v>1.533754E-3</v>
      </c>
      <c r="R1744">
        <v>1.9758079999999999E-3</v>
      </c>
      <c r="S1744">
        <v>1.8983590000000001E-3</v>
      </c>
      <c r="T1744">
        <v>1.575389E-3</v>
      </c>
    </row>
    <row r="1745" spans="1:20" hidden="1" x14ac:dyDescent="0.25">
      <c r="A1745" t="s">
        <v>1753</v>
      </c>
      <c r="B1745">
        <v>0</v>
      </c>
      <c r="C1745">
        <v>0</v>
      </c>
      <c r="D1745">
        <v>0</v>
      </c>
      <c r="E1745">
        <v>0</v>
      </c>
      <c r="F1745">
        <v>0</v>
      </c>
      <c r="G1745" s="1">
        <v>4.2200000000000003E-5</v>
      </c>
      <c r="H1745">
        <v>0</v>
      </c>
      <c r="I1745">
        <v>0</v>
      </c>
      <c r="J1745">
        <v>0</v>
      </c>
      <c r="K1745">
        <v>0</v>
      </c>
      <c r="L1745" s="1">
        <v>2.1100000000000001E-5</v>
      </c>
      <c r="M1745">
        <v>0</v>
      </c>
      <c r="N1745" s="1">
        <v>2.8500000000000002E-5</v>
      </c>
      <c r="O1745">
        <v>0</v>
      </c>
      <c r="P1745">
        <v>0</v>
      </c>
      <c r="Q1745" s="1">
        <v>5.6400000000000002E-5</v>
      </c>
      <c r="R1745" s="1">
        <v>9.0099999999999995E-5</v>
      </c>
      <c r="S1745">
        <v>1.78524E-4</v>
      </c>
      <c r="T1745" s="1">
        <v>4.6400000000000003E-5</v>
      </c>
    </row>
    <row r="1746" spans="1:20" hidden="1" x14ac:dyDescent="0.25">
      <c r="A1746" t="s">
        <v>1754</v>
      </c>
      <c r="B1746">
        <v>0</v>
      </c>
      <c r="C1746">
        <v>1.4910100000000001E-4</v>
      </c>
      <c r="D1746">
        <v>1.66992E-4</v>
      </c>
      <c r="E1746">
        <v>1.4778400000000001E-4</v>
      </c>
      <c r="F1746">
        <v>1.17515E-4</v>
      </c>
      <c r="G1746">
        <v>0</v>
      </c>
      <c r="H1746">
        <v>1.3918099999999999E-4</v>
      </c>
      <c r="I1746">
        <v>1.6821800000000001E-4</v>
      </c>
      <c r="J1746">
        <v>1.1482899999999999E-4</v>
      </c>
      <c r="K1746" s="1">
        <v>9.8999999999999994E-5</v>
      </c>
      <c r="L1746">
        <v>1.4819599999999999E-4</v>
      </c>
      <c r="M1746">
        <v>1.41302E-4</v>
      </c>
      <c r="N1746">
        <v>1.97882E-4</v>
      </c>
      <c r="O1746">
        <v>1.5560500000000001E-4</v>
      </c>
      <c r="P1746">
        <v>1.4516299999999999E-4</v>
      </c>
      <c r="Q1746">
        <v>1.4751200000000001E-4</v>
      </c>
      <c r="R1746">
        <v>1.3742100000000001E-4</v>
      </c>
      <c r="S1746">
        <v>1.7975900000000001E-4</v>
      </c>
      <c r="T1746">
        <v>1.4136699999999999E-4</v>
      </c>
    </row>
    <row r="1747" spans="1:20" hidden="1" x14ac:dyDescent="0.25">
      <c r="A1747" t="s">
        <v>1755</v>
      </c>
      <c r="B1747">
        <v>0</v>
      </c>
      <c r="C1747">
        <v>0</v>
      </c>
      <c r="D1747">
        <v>0</v>
      </c>
      <c r="E1747">
        <v>0</v>
      </c>
      <c r="F1747">
        <v>0</v>
      </c>
      <c r="G1747" s="1">
        <v>3.6300000000000001E-5</v>
      </c>
      <c r="H1747">
        <v>0</v>
      </c>
      <c r="I1747">
        <v>0</v>
      </c>
      <c r="J1747">
        <v>0</v>
      </c>
      <c r="K1747" s="1">
        <v>2.5599999999999999E-5</v>
      </c>
      <c r="L1747">
        <v>0</v>
      </c>
      <c r="M1747" s="1">
        <v>1.5299999999999999E-5</v>
      </c>
      <c r="N1747">
        <v>0</v>
      </c>
      <c r="O1747">
        <v>0</v>
      </c>
      <c r="P1747" s="1">
        <v>3.1000000000000001E-5</v>
      </c>
      <c r="Q1747" s="1">
        <v>5.7599999999999997E-5</v>
      </c>
      <c r="R1747" s="1">
        <v>3.8300000000000003E-5</v>
      </c>
      <c r="S1747">
        <v>1.7855799999999999E-4</v>
      </c>
      <c r="T1747" s="1">
        <v>7.5500000000000006E-5</v>
      </c>
    </row>
    <row r="1748" spans="1:20" hidden="1" x14ac:dyDescent="0.25">
      <c r="A1748" t="s">
        <v>1756</v>
      </c>
      <c r="B1748">
        <v>1.8195E-4</v>
      </c>
      <c r="C1748">
        <v>1.76396E-4</v>
      </c>
      <c r="D1748">
        <v>1.7182100000000001E-4</v>
      </c>
      <c r="E1748">
        <v>1.5325000000000001E-4</v>
      </c>
      <c r="F1748">
        <v>1.10776E-4</v>
      </c>
      <c r="G1748">
        <v>1.5804600000000001E-4</v>
      </c>
      <c r="H1748" s="1">
        <v>7.6100000000000007E-5</v>
      </c>
      <c r="I1748">
        <v>1.46071E-4</v>
      </c>
      <c r="J1748">
        <v>1.2615400000000001E-4</v>
      </c>
      <c r="K1748">
        <v>1.2664299999999999E-4</v>
      </c>
      <c r="L1748">
        <v>1.7347799999999999E-4</v>
      </c>
      <c r="M1748">
        <v>1.56575E-4</v>
      </c>
      <c r="N1748">
        <v>1.6676500000000001E-4</v>
      </c>
      <c r="O1748">
        <v>1.4071799999999999E-4</v>
      </c>
      <c r="P1748" s="1">
        <v>8.3800000000000004E-5</v>
      </c>
      <c r="Q1748" s="1">
        <v>6.1600000000000007E-5</v>
      </c>
      <c r="R1748" s="1">
        <v>8.1500000000000002E-5</v>
      </c>
      <c r="S1748" s="1">
        <v>7.6199999999999995E-5</v>
      </c>
      <c r="T1748" s="1">
        <v>7.6699999999999994E-5</v>
      </c>
    </row>
    <row r="1749" spans="1:20" hidden="1" x14ac:dyDescent="0.25">
      <c r="A1749" t="s">
        <v>1757</v>
      </c>
      <c r="B1749">
        <v>0</v>
      </c>
      <c r="C1749" s="1">
        <v>3.6000000000000001E-5</v>
      </c>
      <c r="D1749" s="1">
        <v>4.85E-5</v>
      </c>
      <c r="E1749" s="1">
        <v>4.2200000000000003E-5</v>
      </c>
      <c r="F1749" s="1">
        <v>3.7100000000000001E-5</v>
      </c>
      <c r="G1749" s="1">
        <v>3.1099999999999997E-5</v>
      </c>
      <c r="H1749">
        <v>0</v>
      </c>
      <c r="I1749" s="1">
        <v>2.5599999999999999E-5</v>
      </c>
      <c r="J1749">
        <v>0</v>
      </c>
      <c r="K1749" s="1">
        <v>5.6100000000000002E-5</v>
      </c>
      <c r="L1749" s="1">
        <v>3.5599999999999998E-5</v>
      </c>
      <c r="M1749">
        <v>0</v>
      </c>
      <c r="N1749" s="1">
        <v>3.0300000000000001E-5</v>
      </c>
      <c r="O1749" s="1">
        <v>4.5800000000000002E-5</v>
      </c>
      <c r="P1749" s="1">
        <v>3.1300000000000002E-5</v>
      </c>
      <c r="Q1749" s="1">
        <v>3.26E-5</v>
      </c>
      <c r="R1749" s="1">
        <v>3.8800000000000001E-5</v>
      </c>
      <c r="S1749" s="1">
        <v>4.8300000000000002E-5</v>
      </c>
      <c r="T1749" s="1">
        <v>4.46E-5</v>
      </c>
    </row>
    <row r="1750" spans="1:20" hidden="1" x14ac:dyDescent="0.25">
      <c r="A1750" t="s">
        <v>1758</v>
      </c>
      <c r="B1750">
        <v>2.53401E-4</v>
      </c>
      <c r="C1750">
        <v>5.0574699999999997E-4</v>
      </c>
      <c r="D1750">
        <v>5.4536899999999998E-4</v>
      </c>
      <c r="E1750">
        <v>5.2962099999999998E-4</v>
      </c>
      <c r="F1750">
        <v>3.5226700000000002E-4</v>
      </c>
      <c r="G1750">
        <v>4.3070800000000002E-4</v>
      </c>
      <c r="H1750">
        <v>2.4487599999999999E-4</v>
      </c>
      <c r="I1750">
        <v>2.5447399999999998E-4</v>
      </c>
      <c r="J1750">
        <v>3.3369999999999998E-4</v>
      </c>
      <c r="K1750">
        <v>2.6659999999999998E-4</v>
      </c>
      <c r="L1750">
        <v>4.7030500000000002E-4</v>
      </c>
      <c r="M1750">
        <v>2.19099E-4</v>
      </c>
      <c r="N1750">
        <v>1.29357E-4</v>
      </c>
      <c r="O1750">
        <v>4.2137300000000001E-4</v>
      </c>
      <c r="P1750">
        <v>2.4831700000000001E-4</v>
      </c>
      <c r="Q1750">
        <v>1.8311299999999999E-4</v>
      </c>
      <c r="R1750">
        <v>2.03931E-4</v>
      </c>
      <c r="S1750">
        <v>2.1121599999999999E-4</v>
      </c>
      <c r="T1750">
        <v>1.7092299999999999E-4</v>
      </c>
    </row>
    <row r="1751" spans="1:20" hidden="1" x14ac:dyDescent="0.25">
      <c r="A1751" t="s">
        <v>1759</v>
      </c>
      <c r="B1751" s="1">
        <v>6.6299999999999999E-5</v>
      </c>
      <c r="C1751" s="1">
        <v>6.5400000000000004E-5</v>
      </c>
      <c r="D1751" s="1">
        <v>5.1900000000000001E-5</v>
      </c>
      <c r="E1751" s="1">
        <v>5.0300000000000003E-5</v>
      </c>
      <c r="F1751" s="1">
        <v>6.02E-5</v>
      </c>
      <c r="G1751" s="1">
        <v>9.7299999999999993E-5</v>
      </c>
      <c r="H1751" s="1">
        <v>4.57E-5</v>
      </c>
      <c r="I1751" s="1">
        <v>6.4999999999999994E-5</v>
      </c>
      <c r="J1751" s="1">
        <v>8.3300000000000005E-5</v>
      </c>
      <c r="K1751" s="1">
        <v>3.7100000000000001E-5</v>
      </c>
      <c r="L1751" s="1">
        <v>5.49E-5</v>
      </c>
      <c r="M1751" s="1">
        <v>4.8600000000000002E-5</v>
      </c>
      <c r="N1751">
        <v>0</v>
      </c>
      <c r="O1751" s="1">
        <v>5.94E-5</v>
      </c>
      <c r="P1751" s="1">
        <v>3.29E-5</v>
      </c>
      <c r="Q1751">
        <v>0</v>
      </c>
      <c r="R1751" s="1">
        <v>3.1900000000000003E-5</v>
      </c>
      <c r="S1751" s="1">
        <v>1.91E-5</v>
      </c>
      <c r="T1751" s="1">
        <v>7.9300000000000003E-5</v>
      </c>
    </row>
    <row r="1752" spans="1:20" hidden="1" x14ac:dyDescent="0.25">
      <c r="A1752" t="s">
        <v>1760</v>
      </c>
      <c r="B1752">
        <v>0</v>
      </c>
      <c r="C1752" s="1">
        <v>1.98E-5</v>
      </c>
      <c r="D1752" s="1">
        <v>1.17E-5</v>
      </c>
      <c r="E1752" s="1">
        <v>1.1E-5</v>
      </c>
      <c r="F1752">
        <v>0</v>
      </c>
      <c r="G1752" s="1">
        <v>2.0800000000000001E-5</v>
      </c>
      <c r="H1752" s="1">
        <v>7.7999999999999999E-6</v>
      </c>
      <c r="I1752">
        <v>0</v>
      </c>
      <c r="J1752">
        <v>0</v>
      </c>
      <c r="K1752" s="1">
        <v>6.7100000000000001E-6</v>
      </c>
      <c r="L1752" s="1">
        <v>1.2999999999999999E-5</v>
      </c>
      <c r="M1752">
        <v>0</v>
      </c>
      <c r="N1752">
        <v>0</v>
      </c>
      <c r="O1752">
        <v>0</v>
      </c>
      <c r="P1752" s="1">
        <v>9.1500000000000005E-6</v>
      </c>
      <c r="Q1752" s="1">
        <v>2.1500000000000001E-5</v>
      </c>
      <c r="R1752" s="1">
        <v>1.5999999999999999E-5</v>
      </c>
      <c r="S1752" s="1">
        <v>1.4399999999999999E-5</v>
      </c>
      <c r="T1752" s="1">
        <v>1.6699999999999999E-5</v>
      </c>
    </row>
    <row r="1753" spans="1:20" hidden="1" x14ac:dyDescent="0.25">
      <c r="A1753" t="s">
        <v>1761</v>
      </c>
      <c r="B1753" s="1">
        <v>5.2299999999999997E-5</v>
      </c>
      <c r="C1753" s="1">
        <v>5.8999999999999998E-5</v>
      </c>
      <c r="D1753" s="1">
        <v>6.4200000000000002E-5</v>
      </c>
      <c r="E1753" s="1">
        <v>7.4599999999999997E-5</v>
      </c>
      <c r="F1753" s="1">
        <v>3.2499999999999997E-5</v>
      </c>
      <c r="G1753" s="1">
        <v>4.9299999999999999E-5</v>
      </c>
      <c r="H1753" s="1">
        <v>5.0699999999999999E-5</v>
      </c>
      <c r="I1753" s="1">
        <v>5.7200000000000001E-5</v>
      </c>
      <c r="J1753" s="1">
        <v>3.4999999999999997E-5</v>
      </c>
      <c r="K1753" s="1">
        <v>4.0500000000000002E-5</v>
      </c>
      <c r="L1753" s="1">
        <v>4.2500000000000003E-5</v>
      </c>
      <c r="M1753" s="1">
        <v>4.5500000000000001E-5</v>
      </c>
      <c r="N1753" s="1">
        <v>3.4999999999999997E-5</v>
      </c>
      <c r="O1753" s="1">
        <v>8.3100000000000001E-5</v>
      </c>
      <c r="P1753" s="1">
        <v>2.4000000000000001E-5</v>
      </c>
      <c r="Q1753">
        <v>0</v>
      </c>
      <c r="R1753" s="1">
        <v>1.7099999999999999E-5</v>
      </c>
      <c r="S1753" s="1">
        <v>9.6700000000000006E-6</v>
      </c>
      <c r="T1753">
        <v>0</v>
      </c>
    </row>
    <row r="1754" spans="1:20" hidden="1" x14ac:dyDescent="0.25">
      <c r="A1754" t="s">
        <v>1762</v>
      </c>
      <c r="B1754">
        <v>6.9983700000000003E-4</v>
      </c>
      <c r="C1754">
        <v>7.3776500000000004E-4</v>
      </c>
      <c r="D1754">
        <v>5.3838300000000003E-4</v>
      </c>
      <c r="E1754">
        <v>6.1474800000000003E-4</v>
      </c>
      <c r="F1754">
        <v>8.1393700000000004E-4</v>
      </c>
      <c r="G1754">
        <v>6.7384900000000002E-4</v>
      </c>
      <c r="H1754">
        <v>6.9179500000000004E-4</v>
      </c>
      <c r="I1754">
        <v>9.7633799999999999E-4</v>
      </c>
      <c r="J1754">
        <v>8.4477100000000002E-4</v>
      </c>
      <c r="K1754">
        <v>5.3353500000000002E-4</v>
      </c>
      <c r="L1754">
        <v>6.3541499999999996E-4</v>
      </c>
      <c r="M1754">
        <v>5.8189199999999998E-4</v>
      </c>
      <c r="N1754">
        <v>1.0690389999999999E-3</v>
      </c>
      <c r="O1754">
        <v>7.8096000000000003E-4</v>
      </c>
      <c r="P1754">
        <v>7.1089700000000005E-4</v>
      </c>
      <c r="Q1754">
        <v>6.7975000000000002E-4</v>
      </c>
      <c r="R1754">
        <v>4.5149300000000002E-4</v>
      </c>
      <c r="S1754">
        <v>5.0638199999999999E-4</v>
      </c>
      <c r="T1754">
        <v>4.3344199999999997E-4</v>
      </c>
    </row>
    <row r="1755" spans="1:20" hidden="1" x14ac:dyDescent="0.25">
      <c r="A1755" t="s">
        <v>1763</v>
      </c>
      <c r="B1755">
        <v>0</v>
      </c>
      <c r="C1755">
        <v>1.26327E-4</v>
      </c>
      <c r="D1755">
        <v>1.41366E-4</v>
      </c>
      <c r="E1755" s="1">
        <v>8.6799999999999996E-5</v>
      </c>
      <c r="F1755">
        <v>1.28391E-4</v>
      </c>
      <c r="G1755">
        <v>0</v>
      </c>
      <c r="H1755">
        <v>0</v>
      </c>
      <c r="I1755">
        <v>0</v>
      </c>
      <c r="J1755" s="1">
        <v>9.5400000000000001E-5</v>
      </c>
      <c r="K1755" s="1">
        <v>9.1299999999999997E-5</v>
      </c>
      <c r="L1755" s="1">
        <v>8.81E-5</v>
      </c>
      <c r="M1755">
        <v>1.05475E-4</v>
      </c>
      <c r="N1755">
        <v>0</v>
      </c>
      <c r="O1755">
        <v>0</v>
      </c>
      <c r="P1755">
        <v>0</v>
      </c>
      <c r="Q1755">
        <v>0</v>
      </c>
      <c r="R1755" s="1">
        <v>5.7500000000000002E-5</v>
      </c>
      <c r="S1755" s="1">
        <v>5.38E-5</v>
      </c>
      <c r="T1755" s="1">
        <v>5.3300000000000001E-5</v>
      </c>
    </row>
    <row r="1756" spans="1:20" hidden="1" x14ac:dyDescent="0.25">
      <c r="A1756" t="s">
        <v>1764</v>
      </c>
      <c r="B1756">
        <v>1.059017E-3</v>
      </c>
      <c r="C1756">
        <v>1.1279650000000001E-3</v>
      </c>
      <c r="D1756">
        <v>1.067239E-3</v>
      </c>
      <c r="E1756">
        <v>1.046251E-3</v>
      </c>
      <c r="F1756">
        <v>1.01315E-3</v>
      </c>
      <c r="G1756">
        <v>1.0142770000000001E-3</v>
      </c>
      <c r="H1756">
        <v>1.2387780000000001E-3</v>
      </c>
      <c r="I1756">
        <v>1.0737190000000001E-3</v>
      </c>
      <c r="J1756">
        <v>9.821579999999999E-4</v>
      </c>
      <c r="K1756">
        <v>7.8363800000000002E-4</v>
      </c>
      <c r="L1756">
        <v>8.5048700000000003E-4</v>
      </c>
      <c r="M1756">
        <v>6.15414E-4</v>
      </c>
      <c r="N1756">
        <v>6.0083100000000002E-4</v>
      </c>
      <c r="O1756">
        <v>1.3304160000000001E-3</v>
      </c>
      <c r="P1756">
        <v>7.5750999999999998E-4</v>
      </c>
      <c r="Q1756">
        <v>4.7351099999999997E-4</v>
      </c>
      <c r="R1756">
        <v>5.5407099999999995E-4</v>
      </c>
      <c r="S1756">
        <v>3.2950299999999998E-4</v>
      </c>
      <c r="T1756">
        <v>5.1592599999999999E-4</v>
      </c>
    </row>
    <row r="1757" spans="1:20" hidden="1" x14ac:dyDescent="0.25">
      <c r="A1757" t="s">
        <v>1765</v>
      </c>
      <c r="B1757" s="1">
        <v>2.8399999999999999E-5</v>
      </c>
      <c r="C1757" s="1">
        <v>3.4600000000000001E-5</v>
      </c>
      <c r="D1757" s="1">
        <v>4.1E-5</v>
      </c>
      <c r="E1757" s="1">
        <v>3.6300000000000001E-5</v>
      </c>
      <c r="F1757" s="1">
        <v>2.8900000000000001E-5</v>
      </c>
      <c r="G1757" s="1">
        <v>2.83E-5</v>
      </c>
      <c r="H1757" s="1">
        <v>4.2400000000000001E-5</v>
      </c>
      <c r="I1757" s="1">
        <v>3.4700000000000003E-5</v>
      </c>
      <c r="J1757" s="1">
        <v>2.97E-5</v>
      </c>
      <c r="K1757" s="1">
        <v>2.9099999999999999E-5</v>
      </c>
      <c r="L1757" s="1">
        <v>3.2400000000000001E-5</v>
      </c>
      <c r="M1757" s="1">
        <v>1.7900000000000001E-5</v>
      </c>
      <c r="N1757" s="1">
        <v>1.38E-5</v>
      </c>
      <c r="O1757" s="1">
        <v>3.1699999999999998E-5</v>
      </c>
      <c r="P1757" s="1">
        <v>1.5400000000000002E-5</v>
      </c>
      <c r="Q1757" s="1">
        <v>7.79E-6</v>
      </c>
      <c r="R1757" s="1">
        <v>1.7799999999999999E-5</v>
      </c>
      <c r="S1757" s="1">
        <v>8.2300000000000008E-6</v>
      </c>
      <c r="T1757" s="1">
        <v>6.02E-6</v>
      </c>
    </row>
    <row r="1758" spans="1:20" hidden="1" x14ac:dyDescent="0.25">
      <c r="A1758" t="s">
        <v>1766</v>
      </c>
      <c r="B1758">
        <v>5.2046899999999997E-4</v>
      </c>
      <c r="C1758">
        <v>4.6308599999999998E-4</v>
      </c>
      <c r="D1758">
        <v>4.5052599999999998E-4</v>
      </c>
      <c r="E1758">
        <v>5.6746200000000002E-4</v>
      </c>
      <c r="F1758">
        <v>4.1682999999999998E-4</v>
      </c>
      <c r="G1758">
        <v>4.0683499999999998E-4</v>
      </c>
      <c r="H1758">
        <v>3.8940099999999999E-4</v>
      </c>
      <c r="I1758">
        <v>6.1111599999999998E-4</v>
      </c>
      <c r="J1758">
        <v>4.9696400000000002E-4</v>
      </c>
      <c r="K1758">
        <v>3.3041599999999999E-4</v>
      </c>
      <c r="L1758">
        <v>6.1704399999999997E-4</v>
      </c>
      <c r="M1758">
        <v>5.2610799999999996E-4</v>
      </c>
      <c r="N1758">
        <v>7.82783E-4</v>
      </c>
      <c r="O1758">
        <v>5.0016000000000004E-4</v>
      </c>
      <c r="P1758">
        <v>3.7022299999999998E-4</v>
      </c>
      <c r="Q1758">
        <v>2.4663799999999998E-4</v>
      </c>
      <c r="R1758">
        <v>2.17717E-4</v>
      </c>
      <c r="S1758">
        <v>1.5774699999999999E-4</v>
      </c>
      <c r="T1758">
        <v>3.3122499999999999E-4</v>
      </c>
    </row>
    <row r="1759" spans="1:20" hidden="1" x14ac:dyDescent="0.25">
      <c r="A1759" t="s">
        <v>1767</v>
      </c>
      <c r="B1759" s="1">
        <v>1.9300000000000002E-5</v>
      </c>
      <c r="C1759" s="1">
        <v>2.5299999999999998E-5</v>
      </c>
      <c r="D1759" s="1">
        <v>3.2100000000000001E-5</v>
      </c>
      <c r="E1759" s="1">
        <v>2.7500000000000001E-5</v>
      </c>
      <c r="F1759">
        <v>0</v>
      </c>
      <c r="G1759" s="1">
        <v>2.05E-5</v>
      </c>
      <c r="H1759">
        <v>0</v>
      </c>
      <c r="I1759" s="1">
        <v>2.3300000000000001E-5</v>
      </c>
      <c r="J1759">
        <v>0</v>
      </c>
      <c r="K1759" s="1">
        <v>3.0000000000000001E-5</v>
      </c>
      <c r="L1759" s="1">
        <v>2.1800000000000001E-5</v>
      </c>
      <c r="M1759" s="1">
        <v>2.6599999999999999E-5</v>
      </c>
      <c r="N1759" s="1">
        <v>2.05E-5</v>
      </c>
      <c r="O1759" s="1">
        <v>2.23E-5</v>
      </c>
      <c r="P1759" s="1">
        <v>2.09E-5</v>
      </c>
      <c r="Q1759">
        <v>0</v>
      </c>
      <c r="R1759" s="1">
        <v>2.3900000000000002E-5</v>
      </c>
      <c r="S1759">
        <v>0</v>
      </c>
      <c r="T1759">
        <v>0</v>
      </c>
    </row>
    <row r="1760" spans="1:20" hidden="1" x14ac:dyDescent="0.25">
      <c r="A1760" t="s">
        <v>1768</v>
      </c>
      <c r="B1760">
        <v>0</v>
      </c>
      <c r="C1760" s="1">
        <v>8.5500000000000005E-5</v>
      </c>
      <c r="D1760" s="1">
        <v>7.7899999999999996E-5</v>
      </c>
      <c r="E1760" s="1">
        <v>5.4599999999999999E-5</v>
      </c>
      <c r="F1760">
        <v>0</v>
      </c>
      <c r="G1760" s="1">
        <v>6.2000000000000003E-5</v>
      </c>
      <c r="H1760" s="1">
        <v>4.1199999999999999E-5</v>
      </c>
      <c r="I1760" s="1">
        <v>6.7199999999999994E-5</v>
      </c>
      <c r="J1760" s="1">
        <v>5.8799999999999999E-5</v>
      </c>
      <c r="K1760" s="1">
        <v>4.9299999999999999E-5</v>
      </c>
      <c r="L1760" s="1">
        <v>8.5900000000000001E-5</v>
      </c>
      <c r="M1760">
        <v>0</v>
      </c>
      <c r="N1760" s="1">
        <v>5.5300000000000002E-5</v>
      </c>
      <c r="O1760" s="1">
        <v>5.2800000000000003E-5</v>
      </c>
      <c r="P1760">
        <v>0</v>
      </c>
      <c r="Q1760">
        <v>0</v>
      </c>
      <c r="R1760" s="1">
        <v>4.85E-5</v>
      </c>
      <c r="S1760">
        <v>0</v>
      </c>
      <c r="T1760">
        <v>0</v>
      </c>
    </row>
    <row r="1761" spans="1:20" hidden="1" x14ac:dyDescent="0.25">
      <c r="A1761" t="s">
        <v>1769</v>
      </c>
      <c r="B1761" s="1">
        <v>3.4E-5</v>
      </c>
      <c r="C1761" s="1">
        <v>4.8600000000000002E-5</v>
      </c>
      <c r="D1761" s="1">
        <v>3.7499999999999997E-5</v>
      </c>
      <c r="E1761" s="1">
        <v>4.9200000000000003E-5</v>
      </c>
      <c r="F1761" s="1">
        <v>2.4600000000000002E-5</v>
      </c>
      <c r="G1761" s="1">
        <v>3.1399999999999998E-5</v>
      </c>
      <c r="H1761" s="1">
        <v>4.46E-5</v>
      </c>
      <c r="I1761" s="1">
        <v>3.4100000000000002E-5</v>
      </c>
      <c r="J1761" s="1">
        <v>2.9799999999999999E-5</v>
      </c>
      <c r="K1761" s="1">
        <v>4.88E-5</v>
      </c>
      <c r="L1761" s="1">
        <v>5.49E-5</v>
      </c>
      <c r="M1761" s="1">
        <v>3.3599999999999997E-5</v>
      </c>
      <c r="N1761" s="1">
        <v>1.19E-5</v>
      </c>
      <c r="O1761" s="1">
        <v>2.9300000000000001E-5</v>
      </c>
      <c r="P1761" s="1">
        <v>2.4700000000000001E-5</v>
      </c>
      <c r="Q1761" s="1">
        <v>3.5200000000000002E-5</v>
      </c>
      <c r="R1761" s="1">
        <v>3.65E-5</v>
      </c>
      <c r="S1761">
        <v>0</v>
      </c>
      <c r="T1761" s="1">
        <v>4.2700000000000001E-5</v>
      </c>
    </row>
    <row r="1762" spans="1:20" hidden="1" x14ac:dyDescent="0.25">
      <c r="A1762" t="s">
        <v>1770</v>
      </c>
      <c r="B1762">
        <v>5.4347459999999998E-3</v>
      </c>
      <c r="C1762">
        <v>8.6616060000000005E-3</v>
      </c>
      <c r="D1762">
        <v>8.7924600000000002E-3</v>
      </c>
      <c r="E1762">
        <v>1.0448047E-2</v>
      </c>
      <c r="F1762">
        <v>1.0440971E-2</v>
      </c>
      <c r="G1762">
        <v>8.5471579999999991E-3</v>
      </c>
      <c r="H1762">
        <v>7.8168850000000008E-3</v>
      </c>
      <c r="I1762">
        <v>9.3152500000000006E-3</v>
      </c>
      <c r="J1762">
        <v>8.0251899999999998E-3</v>
      </c>
      <c r="K1762">
        <v>9.4524369999999993E-3</v>
      </c>
      <c r="L1762">
        <v>1.1105067999999999E-2</v>
      </c>
      <c r="M1762">
        <v>4.9275940000000004E-3</v>
      </c>
      <c r="N1762">
        <v>5.3665370000000002E-3</v>
      </c>
      <c r="O1762">
        <v>1.3326872E-2</v>
      </c>
      <c r="P1762">
        <v>5.202562E-3</v>
      </c>
      <c r="Q1762">
        <v>1.928899E-3</v>
      </c>
      <c r="R1762">
        <v>3.2503660000000002E-3</v>
      </c>
      <c r="S1762">
        <v>3.4243110000000002E-3</v>
      </c>
      <c r="T1762">
        <v>1.8459940000000001E-3</v>
      </c>
    </row>
    <row r="1763" spans="1:20" hidden="1" x14ac:dyDescent="0.25">
      <c r="A1763" t="s">
        <v>1771</v>
      </c>
      <c r="B1763">
        <v>0</v>
      </c>
      <c r="C1763">
        <v>0</v>
      </c>
      <c r="D1763">
        <v>1.20102E-4</v>
      </c>
      <c r="E1763">
        <v>1.12656E-4</v>
      </c>
      <c r="F1763" s="1">
        <v>8.0599999999999994E-5</v>
      </c>
      <c r="G1763" s="1">
        <v>9.5099999999999994E-5</v>
      </c>
      <c r="H1763" s="1">
        <v>6.2199999999999994E-5</v>
      </c>
      <c r="I1763" s="1">
        <v>7.7299999999999995E-5</v>
      </c>
      <c r="J1763">
        <v>0</v>
      </c>
      <c r="K1763" s="1">
        <v>7.1099999999999994E-5</v>
      </c>
      <c r="L1763">
        <v>1.10827E-4</v>
      </c>
      <c r="M1763" s="1">
        <v>7.36E-5</v>
      </c>
      <c r="N1763" s="1">
        <v>9.7399999999999996E-5</v>
      </c>
      <c r="O1763" s="1">
        <v>7.9300000000000003E-5</v>
      </c>
      <c r="P1763">
        <v>0</v>
      </c>
      <c r="Q1763" s="1">
        <v>8.3200000000000003E-5</v>
      </c>
      <c r="R1763">
        <v>0</v>
      </c>
      <c r="S1763">
        <v>1.6311E-4</v>
      </c>
      <c r="T1763" s="1">
        <v>9.2600000000000001E-5</v>
      </c>
    </row>
    <row r="1764" spans="1:20" hidden="1" x14ac:dyDescent="0.25">
      <c r="A1764" t="s">
        <v>1772</v>
      </c>
      <c r="B1764">
        <v>0</v>
      </c>
      <c r="C1764">
        <v>0</v>
      </c>
      <c r="D1764">
        <v>0</v>
      </c>
      <c r="E1764">
        <v>0</v>
      </c>
      <c r="F1764" s="1">
        <v>5.0699999999999997E-6</v>
      </c>
      <c r="G1764" s="1">
        <v>1.34E-5</v>
      </c>
      <c r="H1764">
        <v>0</v>
      </c>
      <c r="I1764">
        <v>0</v>
      </c>
      <c r="J1764" s="1">
        <v>4.9300000000000002E-6</v>
      </c>
      <c r="K1764" s="1">
        <v>5.4299999999999997E-6</v>
      </c>
      <c r="L1764" s="1">
        <v>1.1E-5</v>
      </c>
      <c r="M1764">
        <v>0</v>
      </c>
      <c r="N1764">
        <v>0</v>
      </c>
      <c r="O1764">
        <v>0</v>
      </c>
      <c r="P1764" s="1">
        <v>1.7900000000000001E-5</v>
      </c>
      <c r="Q1764" s="1">
        <v>2.1100000000000001E-5</v>
      </c>
      <c r="R1764" s="1">
        <v>2.1500000000000001E-5</v>
      </c>
      <c r="S1764" s="1">
        <v>3.65E-5</v>
      </c>
      <c r="T1764" s="1">
        <v>2.62E-5</v>
      </c>
    </row>
    <row r="1765" spans="1:20" hidden="1" x14ac:dyDescent="0.25">
      <c r="A1765" t="s">
        <v>1773</v>
      </c>
      <c r="B1765">
        <v>2.4633199999999999E-4</v>
      </c>
      <c r="C1765">
        <v>2.00342E-4</v>
      </c>
      <c r="D1765">
        <v>2.16978E-4</v>
      </c>
      <c r="E1765">
        <v>2.4612599999999999E-4</v>
      </c>
      <c r="F1765">
        <v>3.1382300000000002E-4</v>
      </c>
      <c r="G1765">
        <v>2.0761400000000001E-4</v>
      </c>
      <c r="H1765">
        <v>2.5929799999999998E-4</v>
      </c>
      <c r="I1765">
        <v>2.6562599999999998E-4</v>
      </c>
      <c r="J1765">
        <v>3.3002200000000002E-4</v>
      </c>
      <c r="K1765">
        <v>2.31957E-4</v>
      </c>
      <c r="L1765">
        <v>1.9445199999999999E-4</v>
      </c>
      <c r="M1765">
        <v>2.4203699999999999E-4</v>
      </c>
      <c r="N1765">
        <v>2.37288E-4</v>
      </c>
      <c r="O1765">
        <v>2.4077899999999999E-4</v>
      </c>
      <c r="P1765">
        <v>2.9738799999999999E-4</v>
      </c>
      <c r="Q1765">
        <v>1.94036E-4</v>
      </c>
      <c r="R1765">
        <v>1.7513399999999999E-4</v>
      </c>
      <c r="S1765">
        <v>1.2166400000000001E-4</v>
      </c>
      <c r="T1765">
        <v>2.05644E-4</v>
      </c>
    </row>
    <row r="1766" spans="1:20" hidden="1" x14ac:dyDescent="0.25">
      <c r="A1766" t="s">
        <v>1774</v>
      </c>
      <c r="B1766">
        <v>1.4278500000000001E-4</v>
      </c>
      <c r="C1766">
        <v>0</v>
      </c>
      <c r="D1766">
        <v>0</v>
      </c>
      <c r="E1766">
        <v>0</v>
      </c>
      <c r="F1766">
        <v>2.28497E-4</v>
      </c>
      <c r="G1766">
        <v>2.1728900000000001E-4</v>
      </c>
      <c r="H1766">
        <v>1.5600499999999999E-4</v>
      </c>
      <c r="I1766">
        <v>1.14369E-4</v>
      </c>
      <c r="J1766">
        <v>1.60509E-4</v>
      </c>
      <c r="K1766">
        <v>1.61278E-4</v>
      </c>
      <c r="L1766" s="1">
        <v>5.9200000000000002E-5</v>
      </c>
      <c r="M1766">
        <v>0</v>
      </c>
      <c r="N1766">
        <v>1.19486E-4</v>
      </c>
      <c r="O1766">
        <v>0</v>
      </c>
      <c r="P1766">
        <v>4.5881699999999998E-4</v>
      </c>
      <c r="Q1766">
        <v>1.070554E-3</v>
      </c>
      <c r="R1766">
        <v>5.26228E-4</v>
      </c>
      <c r="S1766">
        <v>3.5318600000000002E-4</v>
      </c>
      <c r="T1766">
        <v>1.319347E-3</v>
      </c>
    </row>
    <row r="1767" spans="1:20" hidden="1" x14ac:dyDescent="0.25">
      <c r="A1767" t="s">
        <v>1775</v>
      </c>
      <c r="B1767">
        <v>1.07995E-4</v>
      </c>
      <c r="C1767" s="1">
        <v>2.6299999999999999E-5</v>
      </c>
      <c r="D1767" s="1">
        <v>2.4199999999999999E-5</v>
      </c>
      <c r="E1767" s="1">
        <v>3.4799999999999999E-5</v>
      </c>
      <c r="F1767">
        <v>2.01776E-4</v>
      </c>
      <c r="G1767">
        <v>2.6389799999999999E-4</v>
      </c>
      <c r="H1767">
        <v>1.3773400000000001E-4</v>
      </c>
      <c r="I1767">
        <v>1.38949E-4</v>
      </c>
      <c r="J1767">
        <v>1.3103E-4</v>
      </c>
      <c r="K1767">
        <v>1.9486899999999999E-4</v>
      </c>
      <c r="L1767" s="1">
        <v>6.0300000000000002E-5</v>
      </c>
      <c r="M1767" s="1">
        <v>7.7600000000000002E-5</v>
      </c>
      <c r="N1767" s="1">
        <v>7.0500000000000006E-5</v>
      </c>
      <c r="O1767" s="1">
        <v>3.2799999999999998E-5</v>
      </c>
      <c r="P1767">
        <v>4.1629999999999998E-4</v>
      </c>
      <c r="Q1767">
        <v>1.1349699999999999E-3</v>
      </c>
      <c r="R1767">
        <v>6.6581699999999997E-4</v>
      </c>
      <c r="S1767">
        <v>3.7123400000000002E-4</v>
      </c>
      <c r="T1767">
        <v>1.733095E-3</v>
      </c>
    </row>
    <row r="1768" spans="1:20" hidden="1" x14ac:dyDescent="0.25">
      <c r="A1768" t="s">
        <v>1776</v>
      </c>
      <c r="B1768" s="1">
        <v>7.5699999999999997E-5</v>
      </c>
      <c r="C1768" s="1">
        <v>2.5400000000000001E-5</v>
      </c>
      <c r="D1768" s="1">
        <v>1.84E-5</v>
      </c>
      <c r="E1768" s="1">
        <v>2.0400000000000001E-5</v>
      </c>
      <c r="F1768">
        <v>1.3395799999999999E-4</v>
      </c>
      <c r="G1768">
        <v>1.94895E-4</v>
      </c>
      <c r="H1768">
        <v>1.4581300000000001E-4</v>
      </c>
      <c r="I1768">
        <v>1.5102799999999999E-4</v>
      </c>
      <c r="J1768">
        <v>1.2657200000000001E-4</v>
      </c>
      <c r="K1768">
        <v>1.36441E-4</v>
      </c>
      <c r="L1768" s="1">
        <v>6.69E-5</v>
      </c>
      <c r="M1768" s="1">
        <v>7.0400000000000004E-5</v>
      </c>
      <c r="N1768" s="1">
        <v>5.5000000000000002E-5</v>
      </c>
      <c r="O1768" s="1">
        <v>3.3899999999999997E-5</v>
      </c>
      <c r="P1768">
        <v>3.4619300000000001E-4</v>
      </c>
      <c r="Q1768">
        <v>9.2403799999999996E-4</v>
      </c>
      <c r="R1768">
        <v>7.5156099999999998E-4</v>
      </c>
      <c r="S1768">
        <v>3.07421E-4</v>
      </c>
      <c r="T1768">
        <v>1.4680990000000001E-3</v>
      </c>
    </row>
    <row r="1769" spans="1:20" hidden="1" x14ac:dyDescent="0.25">
      <c r="A1769" t="s">
        <v>1777</v>
      </c>
      <c r="B1769">
        <v>0</v>
      </c>
      <c r="C1769">
        <v>0</v>
      </c>
      <c r="D1769">
        <v>0</v>
      </c>
      <c r="E1769">
        <v>0</v>
      </c>
      <c r="F1769" s="1">
        <v>5.2299999999999997E-5</v>
      </c>
      <c r="G1769" s="1">
        <v>8.2799999999999993E-5</v>
      </c>
      <c r="H1769" s="1">
        <v>4.1499999999999999E-5</v>
      </c>
      <c r="I1769" s="1">
        <v>4.3999999999999999E-5</v>
      </c>
      <c r="J1769" s="1">
        <v>6.5500000000000006E-5</v>
      </c>
      <c r="K1769" s="1">
        <v>4.3699999999999998E-5</v>
      </c>
      <c r="L1769">
        <v>0</v>
      </c>
      <c r="M1769">
        <v>0</v>
      </c>
      <c r="N1769" s="1">
        <v>3.5599999999999998E-5</v>
      </c>
      <c r="O1769">
        <v>0</v>
      </c>
      <c r="P1769">
        <v>1.5967800000000001E-4</v>
      </c>
      <c r="Q1769">
        <v>4.9234400000000003E-4</v>
      </c>
      <c r="R1769">
        <v>2.8023700000000002E-4</v>
      </c>
      <c r="S1769">
        <v>1.08115E-4</v>
      </c>
      <c r="T1769">
        <v>5.9034099999999998E-4</v>
      </c>
    </row>
    <row r="1770" spans="1:20" hidden="1" x14ac:dyDescent="0.25">
      <c r="A1770" t="s">
        <v>1778</v>
      </c>
      <c r="B1770" s="1">
        <v>1.4E-5</v>
      </c>
      <c r="C1770" s="1">
        <v>3.2299999999999999E-5</v>
      </c>
      <c r="D1770" s="1">
        <v>2.05E-5</v>
      </c>
      <c r="E1770" s="1">
        <v>2.0699999999999998E-5</v>
      </c>
      <c r="F1770" s="1">
        <v>9.4199999999999996E-6</v>
      </c>
      <c r="G1770" s="1">
        <v>2.51E-5</v>
      </c>
      <c r="H1770">
        <v>0</v>
      </c>
      <c r="I1770" s="1">
        <v>1.2799999999999999E-5</v>
      </c>
      <c r="J1770" s="1">
        <v>9.9499999999999996E-6</v>
      </c>
      <c r="K1770" s="1">
        <v>1.42E-5</v>
      </c>
      <c r="L1770" s="1">
        <v>1.9300000000000002E-5</v>
      </c>
      <c r="M1770" s="1">
        <v>1.17E-5</v>
      </c>
      <c r="N1770" s="1">
        <v>1.01E-5</v>
      </c>
      <c r="O1770" s="1">
        <v>9.1099999999999992E-6</v>
      </c>
      <c r="P1770" s="1">
        <v>1.2799999999999999E-5</v>
      </c>
      <c r="Q1770" s="1">
        <v>1.19E-5</v>
      </c>
      <c r="R1770" s="1">
        <v>1.0200000000000001E-5</v>
      </c>
      <c r="S1770" s="1">
        <v>1.03E-5</v>
      </c>
      <c r="T1770" s="1">
        <v>1.5500000000000001E-5</v>
      </c>
    </row>
    <row r="1771" spans="1:20" hidden="1" x14ac:dyDescent="0.25">
      <c r="A1771" t="s">
        <v>1779</v>
      </c>
      <c r="B1771" s="1">
        <v>7.7100000000000004E-5</v>
      </c>
      <c r="C1771">
        <v>1.74308E-4</v>
      </c>
      <c r="D1771">
        <v>1.9065099999999999E-4</v>
      </c>
      <c r="E1771">
        <v>2.0952300000000001E-4</v>
      </c>
      <c r="F1771">
        <v>1.1123E-4</v>
      </c>
      <c r="G1771">
        <v>1.2066999999999999E-4</v>
      </c>
      <c r="H1771" s="1">
        <v>8.1699999999999994E-5</v>
      </c>
      <c r="I1771" s="1">
        <v>9.4699999999999998E-5</v>
      </c>
      <c r="J1771" s="1">
        <v>8.1100000000000006E-5</v>
      </c>
      <c r="K1771">
        <v>1.4041300000000001E-4</v>
      </c>
      <c r="L1771">
        <v>1.3086E-4</v>
      </c>
      <c r="M1771" s="1">
        <v>5.6900000000000001E-5</v>
      </c>
      <c r="N1771" s="1">
        <v>4.32E-5</v>
      </c>
      <c r="O1771">
        <v>1.4016699999999999E-4</v>
      </c>
      <c r="P1771" s="1">
        <v>4.6300000000000001E-5</v>
      </c>
      <c r="Q1771" s="1">
        <v>3.4900000000000001E-5</v>
      </c>
      <c r="R1771" s="1">
        <v>3.3899999999999997E-5</v>
      </c>
      <c r="S1771" s="1">
        <v>4.0099999999999999E-5</v>
      </c>
      <c r="T1771" s="1">
        <v>3.0800000000000003E-5</v>
      </c>
    </row>
    <row r="1772" spans="1:20" hidden="1" x14ac:dyDescent="0.25">
      <c r="A1772" t="s">
        <v>1780</v>
      </c>
      <c r="B1772">
        <v>0</v>
      </c>
      <c r="C1772" s="1">
        <v>1.29E-5</v>
      </c>
      <c r="D1772" s="1">
        <v>1.2500000000000001E-5</v>
      </c>
      <c r="E1772" s="1">
        <v>4.4700000000000004E-6</v>
      </c>
      <c r="F1772">
        <v>0</v>
      </c>
      <c r="G1772">
        <v>0</v>
      </c>
      <c r="H1772">
        <v>0</v>
      </c>
      <c r="I1772" s="1">
        <v>6.8299999999999998E-6</v>
      </c>
      <c r="J1772">
        <v>0</v>
      </c>
      <c r="K1772" s="1">
        <v>6.6200000000000001E-6</v>
      </c>
      <c r="L1772" s="1">
        <v>6.4500000000000001E-6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hidden="1" x14ac:dyDescent="0.25">
      <c r="A1773" t="s">
        <v>1781</v>
      </c>
      <c r="B1773" s="1">
        <v>3.93E-5</v>
      </c>
      <c r="C1773" s="1">
        <v>7.2100000000000004E-5</v>
      </c>
      <c r="D1773" s="1">
        <v>6.5400000000000004E-5</v>
      </c>
      <c r="E1773" s="1">
        <v>7.9300000000000003E-5</v>
      </c>
      <c r="F1773" s="1">
        <v>5.41E-5</v>
      </c>
      <c r="G1773" s="1">
        <v>5.7000000000000003E-5</v>
      </c>
      <c r="H1773" s="1">
        <v>6.5699999999999998E-5</v>
      </c>
      <c r="I1773" s="1">
        <v>5.5899999999999997E-5</v>
      </c>
      <c r="J1773" s="1">
        <v>4.21E-5</v>
      </c>
      <c r="K1773" s="1">
        <v>6.1299999999999999E-5</v>
      </c>
      <c r="L1773" s="1">
        <v>5.7500000000000002E-5</v>
      </c>
      <c r="M1773" s="1">
        <v>4.3600000000000003E-5</v>
      </c>
      <c r="N1773" s="1">
        <v>3.82E-5</v>
      </c>
      <c r="O1773" s="1">
        <v>5.0699999999999999E-5</v>
      </c>
      <c r="P1773" s="1">
        <v>3.6600000000000002E-5</v>
      </c>
      <c r="Q1773" s="1">
        <v>5.0099999999999998E-5</v>
      </c>
      <c r="R1773" s="1">
        <v>3.8899999999999997E-5</v>
      </c>
      <c r="S1773" s="1">
        <v>4.1399999999999997E-5</v>
      </c>
      <c r="T1773" s="1">
        <v>3.93E-5</v>
      </c>
    </row>
    <row r="1774" spans="1:20" hidden="1" x14ac:dyDescent="0.25">
      <c r="A1774" t="s">
        <v>1782</v>
      </c>
      <c r="B1774" s="1">
        <v>1.0200000000000001E-5</v>
      </c>
      <c r="C1774" s="1">
        <v>2.3300000000000001E-5</v>
      </c>
      <c r="D1774" s="1">
        <v>2.4199999999999999E-5</v>
      </c>
      <c r="E1774" s="1">
        <v>2.4199999999999999E-5</v>
      </c>
      <c r="F1774" s="1">
        <v>1.5500000000000001E-5</v>
      </c>
      <c r="G1774" s="1">
        <v>1.5E-5</v>
      </c>
      <c r="H1774" s="1">
        <v>1.19E-5</v>
      </c>
      <c r="I1774" s="1">
        <v>1.5400000000000002E-5</v>
      </c>
      <c r="J1774" s="1">
        <v>1.1399999999999999E-5</v>
      </c>
      <c r="K1774" s="1">
        <v>1.63E-5</v>
      </c>
      <c r="L1774" s="1">
        <v>2.0599999999999999E-5</v>
      </c>
      <c r="M1774" s="1">
        <v>5.0000000000000004E-6</v>
      </c>
      <c r="N1774">
        <v>0</v>
      </c>
      <c r="O1774" s="1">
        <v>7.9699999999999999E-6</v>
      </c>
      <c r="P1774">
        <v>0</v>
      </c>
      <c r="Q1774">
        <v>0</v>
      </c>
      <c r="R1774">
        <v>0</v>
      </c>
      <c r="S1774" s="1">
        <v>3.9600000000000002E-6</v>
      </c>
      <c r="T1774">
        <v>0</v>
      </c>
    </row>
    <row r="1775" spans="1:20" hidden="1" x14ac:dyDescent="0.25">
      <c r="A1775" t="s">
        <v>1783</v>
      </c>
      <c r="B1775" s="1">
        <v>4.6E-6</v>
      </c>
      <c r="C1775" s="1">
        <v>1.56E-5</v>
      </c>
      <c r="D1775" s="1">
        <v>1.1800000000000001E-5</v>
      </c>
      <c r="E1775" s="1">
        <v>1.56E-5</v>
      </c>
      <c r="F1775" s="1">
        <v>7.0099999999999998E-6</v>
      </c>
      <c r="G1775" s="1">
        <v>1.4800000000000001E-5</v>
      </c>
      <c r="H1775" s="1">
        <v>9.9699999999999994E-6</v>
      </c>
      <c r="I1775" s="1">
        <v>9.8200000000000008E-6</v>
      </c>
      <c r="J1775" s="1">
        <v>4.8899999999999998E-6</v>
      </c>
      <c r="K1775" s="1">
        <v>8.9800000000000004E-6</v>
      </c>
      <c r="L1775" s="1">
        <v>1.1199999999999999E-5</v>
      </c>
      <c r="M1775" s="1">
        <v>3.7799999999999998E-6</v>
      </c>
      <c r="N1775">
        <v>0</v>
      </c>
      <c r="O1775" s="1">
        <v>3.7699999999999999E-6</v>
      </c>
      <c r="P1775" s="1">
        <v>5.4500000000000003E-6</v>
      </c>
      <c r="Q1775" s="1">
        <v>8.7399999999999993E-6</v>
      </c>
      <c r="R1775" s="1">
        <v>5.7799999999999997E-6</v>
      </c>
      <c r="S1775" s="1">
        <v>2.0000000000000002E-5</v>
      </c>
      <c r="T1775" s="1">
        <v>7.9799999999999998E-6</v>
      </c>
    </row>
    <row r="1776" spans="1:20" hidden="1" x14ac:dyDescent="0.25">
      <c r="A1776" t="s">
        <v>1784</v>
      </c>
      <c r="B1776" s="1">
        <v>4.8600000000000001E-6</v>
      </c>
      <c r="C1776" s="1">
        <v>9.0699999999999996E-6</v>
      </c>
      <c r="D1776">
        <v>0</v>
      </c>
      <c r="E1776" s="1">
        <v>6.3500000000000002E-6</v>
      </c>
      <c r="F1776" s="1">
        <v>1.5E-5</v>
      </c>
      <c r="G1776" s="1">
        <v>1.7099999999999999E-5</v>
      </c>
      <c r="H1776" s="1">
        <v>2.7100000000000001E-5</v>
      </c>
      <c r="I1776" s="1">
        <v>1.2799999999999999E-5</v>
      </c>
      <c r="J1776" s="1">
        <v>1.6099999999999998E-5</v>
      </c>
      <c r="K1776" s="1">
        <v>6.2099999999999998E-6</v>
      </c>
      <c r="L1776" s="1">
        <v>1.1399999999999999E-5</v>
      </c>
      <c r="M1776" s="1">
        <v>6.2999999999999998E-6</v>
      </c>
      <c r="N1776" s="1">
        <v>3.67E-6</v>
      </c>
      <c r="O1776" s="1">
        <v>4.3100000000000002E-6</v>
      </c>
      <c r="P1776" s="1">
        <v>1.3900000000000001E-5</v>
      </c>
      <c r="Q1776" s="1">
        <v>1.63E-5</v>
      </c>
      <c r="R1776" s="1">
        <v>2.4600000000000002E-5</v>
      </c>
      <c r="S1776" s="1">
        <v>6.2999999999999998E-6</v>
      </c>
      <c r="T1776" s="1">
        <v>8.7700000000000007E-6</v>
      </c>
    </row>
    <row r="1777" spans="1:20" hidden="1" x14ac:dyDescent="0.25">
      <c r="A1777" t="s">
        <v>1785</v>
      </c>
      <c r="B1777">
        <v>6.1633529999999999E-3</v>
      </c>
      <c r="C1777">
        <v>7.1245550000000003E-3</v>
      </c>
      <c r="D1777">
        <v>7.8676969999999999E-3</v>
      </c>
      <c r="E1777">
        <v>1.0714971E-2</v>
      </c>
      <c r="F1777">
        <v>6.7405829999999996E-3</v>
      </c>
      <c r="G1777">
        <v>4.5747039999999997E-3</v>
      </c>
      <c r="H1777">
        <v>6.1355999999999997E-3</v>
      </c>
      <c r="I1777">
        <v>4.9084030000000004E-3</v>
      </c>
      <c r="J1777">
        <v>5.4298580000000001E-3</v>
      </c>
      <c r="K1777">
        <v>5.9379999999999997E-3</v>
      </c>
      <c r="L1777">
        <v>5.4652379999999999E-3</v>
      </c>
      <c r="M1777">
        <v>4.3622449999999998E-3</v>
      </c>
      <c r="N1777">
        <v>4.012954E-3</v>
      </c>
      <c r="O1777">
        <v>5.2753649999999997E-3</v>
      </c>
      <c r="P1777">
        <v>2.4073979999999998E-3</v>
      </c>
      <c r="Q1777">
        <v>2.00519E-3</v>
      </c>
      <c r="R1777">
        <v>1.4863649999999999E-3</v>
      </c>
      <c r="S1777">
        <v>0</v>
      </c>
      <c r="T1777">
        <v>0</v>
      </c>
    </row>
    <row r="1778" spans="1:20" hidden="1" x14ac:dyDescent="0.25">
      <c r="A1778" t="s">
        <v>1786</v>
      </c>
      <c r="B1778">
        <v>1.4626299999999999E-4</v>
      </c>
      <c r="C1778">
        <v>1.92482E-4</v>
      </c>
      <c r="D1778">
        <v>2.0720100000000001E-4</v>
      </c>
      <c r="E1778">
        <v>1.94029E-4</v>
      </c>
      <c r="F1778">
        <v>1.5991599999999999E-4</v>
      </c>
      <c r="G1778">
        <v>1.05411E-4</v>
      </c>
      <c r="H1778">
        <v>1.1340099999999999E-4</v>
      </c>
      <c r="I1778">
        <v>1.2790100000000001E-4</v>
      </c>
      <c r="J1778">
        <v>1.08906E-4</v>
      </c>
      <c r="K1778">
        <v>2.0929999999999999E-4</v>
      </c>
      <c r="L1778">
        <v>2.0151300000000001E-4</v>
      </c>
      <c r="M1778">
        <v>1.4364600000000001E-4</v>
      </c>
      <c r="N1778">
        <v>2.1733500000000001E-4</v>
      </c>
      <c r="O1778">
        <v>1.4800100000000001E-4</v>
      </c>
      <c r="P1778" s="1">
        <v>8.4800000000000001E-5</v>
      </c>
      <c r="Q1778">
        <v>1.3851299999999999E-4</v>
      </c>
      <c r="R1778" s="1">
        <v>6.7299999999999996E-5</v>
      </c>
      <c r="S1778" s="1">
        <v>7.3800000000000005E-5</v>
      </c>
      <c r="T1778">
        <v>1.2928500000000001E-4</v>
      </c>
    </row>
    <row r="1779" spans="1:20" hidden="1" x14ac:dyDescent="0.25">
      <c r="A1779" t="s">
        <v>1787</v>
      </c>
      <c r="B1779">
        <v>1.9352200000000001E-4</v>
      </c>
      <c r="C1779">
        <v>3.5488400000000003E-4</v>
      </c>
      <c r="D1779">
        <v>3.0067800000000002E-4</v>
      </c>
      <c r="E1779">
        <v>2.8284300000000002E-4</v>
      </c>
      <c r="F1779">
        <v>2.30189E-4</v>
      </c>
      <c r="G1779">
        <v>1.39856E-4</v>
      </c>
      <c r="H1779" s="1">
        <v>9.2299999999999994E-5</v>
      </c>
      <c r="I1779">
        <v>2.0866E-4</v>
      </c>
      <c r="J1779">
        <v>1.68293E-4</v>
      </c>
      <c r="K1779">
        <v>2.6075300000000002E-4</v>
      </c>
      <c r="L1779">
        <v>3.0635699999999999E-4</v>
      </c>
      <c r="M1779">
        <v>1.7567599999999999E-4</v>
      </c>
      <c r="N1779">
        <v>2.2422800000000001E-4</v>
      </c>
      <c r="O1779">
        <v>1.8787099999999999E-4</v>
      </c>
      <c r="P1779">
        <v>1.3771599999999999E-4</v>
      </c>
      <c r="Q1779">
        <v>1.14455E-4</v>
      </c>
      <c r="R1779" s="1">
        <v>7.3399999999999995E-5</v>
      </c>
      <c r="S1779" s="1">
        <v>9.6399999999999999E-5</v>
      </c>
      <c r="T1779">
        <v>1.07581E-4</v>
      </c>
    </row>
    <row r="1780" spans="1:20" hidden="1" x14ac:dyDescent="0.25">
      <c r="A1780" t="s">
        <v>1788</v>
      </c>
      <c r="B1780">
        <v>0</v>
      </c>
      <c r="C1780" s="1">
        <v>1.4600000000000001E-5</v>
      </c>
      <c r="D1780" s="1">
        <v>9.2299999999999997E-6</v>
      </c>
      <c r="E1780" s="1">
        <v>7.5499999999999997E-6</v>
      </c>
      <c r="F1780" s="1">
        <v>9.7999999999999993E-6</v>
      </c>
      <c r="G1780" s="1">
        <v>8.6799999999999999E-6</v>
      </c>
      <c r="H1780" s="1">
        <v>1.8600000000000001E-5</v>
      </c>
      <c r="I1780" s="1">
        <v>1.22E-5</v>
      </c>
      <c r="J1780" s="1">
        <v>4.2100000000000003E-6</v>
      </c>
      <c r="K1780" s="1">
        <v>7.2200000000000003E-6</v>
      </c>
      <c r="L1780" s="1">
        <v>1.0499999999999999E-5</v>
      </c>
      <c r="M1780">
        <v>0</v>
      </c>
      <c r="N1780">
        <v>0</v>
      </c>
      <c r="O1780">
        <v>0</v>
      </c>
      <c r="P1780" s="1">
        <v>6.4799999999999998E-6</v>
      </c>
      <c r="Q1780" s="1">
        <v>5.1399999999999999E-6</v>
      </c>
      <c r="R1780" s="1">
        <v>7.3100000000000003E-6</v>
      </c>
      <c r="S1780" s="1">
        <v>6.1600000000000003E-6</v>
      </c>
      <c r="T1780" s="1">
        <v>6.7399999999999998E-6</v>
      </c>
    </row>
    <row r="1781" spans="1:20" hidden="1" x14ac:dyDescent="0.25">
      <c r="A1781" t="s">
        <v>1789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s="1">
        <v>1.13E-5</v>
      </c>
      <c r="R1781" s="1">
        <v>2.0999999999999999E-5</v>
      </c>
      <c r="S1781" s="1">
        <v>1.4800000000000001E-5</v>
      </c>
      <c r="T1781" s="1">
        <v>1.43E-5</v>
      </c>
    </row>
    <row r="1782" spans="1:20" hidden="1" x14ac:dyDescent="0.25">
      <c r="A1782" t="s">
        <v>1790</v>
      </c>
      <c r="B1782">
        <v>1.1469E-4</v>
      </c>
      <c r="C1782" s="1">
        <v>8.7600000000000002E-5</v>
      </c>
      <c r="D1782" s="1">
        <v>5.8799999999999999E-5</v>
      </c>
      <c r="E1782" s="1">
        <v>9.7100000000000002E-5</v>
      </c>
      <c r="F1782">
        <v>1.10686E-4</v>
      </c>
      <c r="G1782">
        <v>1.9026399999999999E-4</v>
      </c>
      <c r="H1782">
        <v>1.54287E-4</v>
      </c>
      <c r="I1782">
        <v>1.7895399999999999E-4</v>
      </c>
      <c r="J1782">
        <v>2.1855600000000001E-4</v>
      </c>
      <c r="K1782">
        <v>1.2695999999999999E-4</v>
      </c>
      <c r="L1782">
        <v>1.70784E-4</v>
      </c>
      <c r="M1782">
        <v>1.33829E-4</v>
      </c>
      <c r="N1782">
        <v>1.30786E-4</v>
      </c>
      <c r="O1782">
        <v>1.6576399999999999E-4</v>
      </c>
      <c r="P1782">
        <v>2.7513800000000002E-4</v>
      </c>
      <c r="Q1782">
        <v>4.1139300000000002E-4</v>
      </c>
      <c r="R1782">
        <v>3.5628299999999999E-4</v>
      </c>
      <c r="S1782">
        <v>3.4560599999999998E-4</v>
      </c>
      <c r="T1782">
        <v>4.2821599999999998E-4</v>
      </c>
    </row>
    <row r="1783" spans="1:20" hidden="1" x14ac:dyDescent="0.25">
      <c r="A1783" t="s">
        <v>1791</v>
      </c>
      <c r="B1783" s="1">
        <v>6.4900000000000005E-5</v>
      </c>
      <c r="C1783" s="1">
        <v>8.8900000000000006E-5</v>
      </c>
      <c r="D1783" s="1">
        <v>7.5799999999999999E-5</v>
      </c>
      <c r="E1783">
        <v>1.58756E-4</v>
      </c>
      <c r="F1783">
        <v>1.37188E-4</v>
      </c>
      <c r="G1783" s="1">
        <v>6.8700000000000003E-5</v>
      </c>
      <c r="H1783" s="1">
        <v>9.7499999999999998E-5</v>
      </c>
      <c r="I1783">
        <v>1.3675699999999999E-4</v>
      </c>
      <c r="J1783" s="1">
        <v>8.2799999999999993E-5</v>
      </c>
      <c r="K1783" s="1">
        <v>9.9900000000000002E-5</v>
      </c>
      <c r="L1783" s="1">
        <v>6.97E-5</v>
      </c>
      <c r="M1783" s="1">
        <v>4.0299999999999997E-5</v>
      </c>
      <c r="N1783" s="1">
        <v>6.6699999999999995E-5</v>
      </c>
      <c r="O1783" s="1">
        <v>6.8499999999999998E-5</v>
      </c>
      <c r="P1783" s="1">
        <v>4.35E-5</v>
      </c>
      <c r="Q1783" s="1">
        <v>4.1600000000000002E-5</v>
      </c>
      <c r="R1783" s="1">
        <v>1.88E-5</v>
      </c>
      <c r="S1783">
        <v>1.19894E-4</v>
      </c>
      <c r="T1783" s="1">
        <v>3.0499999999999999E-5</v>
      </c>
    </row>
    <row r="1784" spans="1:20" hidden="1" x14ac:dyDescent="0.25">
      <c r="A1784" t="s">
        <v>1792</v>
      </c>
      <c r="B1784" s="1">
        <v>4.2599999999999999E-5</v>
      </c>
      <c r="C1784" s="1">
        <v>8.2200000000000006E-5</v>
      </c>
      <c r="D1784">
        <v>0</v>
      </c>
      <c r="E1784" s="1">
        <v>6.6500000000000004E-5</v>
      </c>
      <c r="F1784">
        <v>0</v>
      </c>
      <c r="G1784" s="1">
        <v>7.0500000000000006E-5</v>
      </c>
      <c r="H1784">
        <v>0</v>
      </c>
      <c r="I1784">
        <v>0</v>
      </c>
      <c r="J1784">
        <v>0</v>
      </c>
      <c r="K1784" s="1">
        <v>6.4200000000000002E-5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s="1">
        <v>3.6300000000000001E-5</v>
      </c>
      <c r="T1784">
        <v>0</v>
      </c>
    </row>
    <row r="1785" spans="1:20" hidden="1" x14ac:dyDescent="0.25">
      <c r="A1785" t="s">
        <v>1793</v>
      </c>
      <c r="B1785">
        <v>3.863783E-3</v>
      </c>
      <c r="C1785">
        <v>3.9105720000000002E-3</v>
      </c>
      <c r="D1785">
        <v>2.6599670000000001E-3</v>
      </c>
      <c r="E1785">
        <v>2.3214160000000002E-3</v>
      </c>
      <c r="F1785">
        <v>6.0180829999999996E-3</v>
      </c>
      <c r="G1785">
        <v>7.9474699999999999E-3</v>
      </c>
      <c r="H1785">
        <v>7.618891E-3</v>
      </c>
      <c r="I1785">
        <v>5.2448080000000001E-3</v>
      </c>
      <c r="J1785">
        <v>6.3833780000000003E-3</v>
      </c>
      <c r="K1785">
        <v>4.4770959999999999E-3</v>
      </c>
      <c r="L1785">
        <v>5.6334480000000001E-3</v>
      </c>
      <c r="M1785">
        <v>1.0679289999999999E-2</v>
      </c>
      <c r="N1785">
        <v>6.9455460000000004E-3</v>
      </c>
      <c r="O1785">
        <v>7.9329169999999994E-3</v>
      </c>
      <c r="P1785">
        <v>8.0288029999999993E-3</v>
      </c>
      <c r="Q1785">
        <v>6.5284059999999996E-3</v>
      </c>
      <c r="R1785">
        <v>6.6085709999999997E-3</v>
      </c>
      <c r="S1785">
        <v>5.9047329999999997E-3</v>
      </c>
      <c r="T1785">
        <v>5.1404320000000003E-3</v>
      </c>
    </row>
    <row r="1786" spans="1:20" hidden="1" x14ac:dyDescent="0.25">
      <c r="A1786" t="s">
        <v>1794</v>
      </c>
      <c r="B1786" s="1">
        <v>2.0299999999999999E-5</v>
      </c>
      <c r="C1786" s="1">
        <v>1.3900000000000001E-5</v>
      </c>
      <c r="D1786" s="1">
        <v>1.8300000000000001E-5</v>
      </c>
      <c r="E1786" s="1">
        <v>2.83E-5</v>
      </c>
      <c r="F1786" s="1">
        <v>2.58E-5</v>
      </c>
      <c r="G1786" s="1">
        <v>2.1100000000000001E-5</v>
      </c>
      <c r="H1786" s="1">
        <v>3.01E-5</v>
      </c>
      <c r="I1786" s="1">
        <v>2.4899999999999999E-5</v>
      </c>
      <c r="J1786" s="1">
        <v>2.6599999999999999E-5</v>
      </c>
      <c r="K1786" s="1">
        <v>4.2200000000000003E-5</v>
      </c>
      <c r="L1786" s="1">
        <v>3.2299999999999999E-5</v>
      </c>
      <c r="M1786" s="1">
        <v>4.1600000000000002E-5</v>
      </c>
      <c r="N1786" s="1">
        <v>5.3699999999999997E-5</v>
      </c>
      <c r="O1786" s="1">
        <v>2.8799999999999999E-5</v>
      </c>
      <c r="P1786" s="1">
        <v>5.3300000000000001E-5</v>
      </c>
      <c r="Q1786" s="1">
        <v>9.4599999999999996E-5</v>
      </c>
      <c r="R1786" s="1">
        <v>7.6600000000000005E-5</v>
      </c>
      <c r="S1786" s="1">
        <v>8.9400000000000005E-5</v>
      </c>
      <c r="T1786">
        <v>1.0120600000000001E-4</v>
      </c>
    </row>
    <row r="1787" spans="1:20" hidden="1" x14ac:dyDescent="0.25">
      <c r="A1787" t="s">
        <v>1795</v>
      </c>
      <c r="B1787">
        <v>9.2605499999999996E-4</v>
      </c>
      <c r="C1787">
        <v>1.0335909999999999E-3</v>
      </c>
      <c r="D1787">
        <v>8.9348800000000001E-4</v>
      </c>
      <c r="E1787">
        <v>9.4796300000000002E-4</v>
      </c>
      <c r="F1787">
        <v>1.421893E-3</v>
      </c>
      <c r="G1787">
        <v>9.8817000000000002E-4</v>
      </c>
      <c r="H1787">
        <v>8.9497100000000005E-4</v>
      </c>
      <c r="I1787">
        <v>1.1860569999999999E-3</v>
      </c>
      <c r="J1787">
        <v>1.0579840000000001E-3</v>
      </c>
      <c r="K1787">
        <v>1.0667350000000001E-3</v>
      </c>
      <c r="L1787">
        <v>1.049924E-3</v>
      </c>
      <c r="M1787">
        <v>9.43266E-4</v>
      </c>
      <c r="N1787">
        <v>9.2552800000000001E-4</v>
      </c>
      <c r="O1787">
        <v>1.076331E-3</v>
      </c>
      <c r="P1787">
        <v>8.8497599999999999E-4</v>
      </c>
      <c r="Q1787">
        <v>6.1916399999999996E-4</v>
      </c>
      <c r="R1787">
        <v>7.2007400000000002E-4</v>
      </c>
      <c r="S1787">
        <v>6.9287099999999996E-4</v>
      </c>
      <c r="T1787">
        <v>6.9288399999999995E-4</v>
      </c>
    </row>
    <row r="1788" spans="1:20" hidden="1" x14ac:dyDescent="0.25">
      <c r="A1788" t="s">
        <v>1796</v>
      </c>
      <c r="B1788">
        <v>3.6469699999999998E-4</v>
      </c>
      <c r="C1788">
        <v>1.31297E-4</v>
      </c>
      <c r="D1788">
        <v>1.47897E-4</v>
      </c>
      <c r="E1788">
        <v>1.6122099999999999E-4</v>
      </c>
      <c r="F1788">
        <v>6.5813099999999995E-4</v>
      </c>
      <c r="G1788">
        <v>5.92539E-4</v>
      </c>
      <c r="H1788">
        <v>4.5727400000000003E-4</v>
      </c>
      <c r="I1788">
        <v>5.0659200000000004E-4</v>
      </c>
      <c r="J1788">
        <v>3.4601199999999998E-4</v>
      </c>
      <c r="K1788">
        <v>3.6570599999999998E-4</v>
      </c>
      <c r="L1788">
        <v>1.9306099999999999E-4</v>
      </c>
      <c r="M1788">
        <v>3.0275700000000002E-4</v>
      </c>
      <c r="N1788">
        <v>2.16739E-4</v>
      </c>
      <c r="O1788">
        <v>1.56126E-4</v>
      </c>
      <c r="P1788">
        <v>1.099002E-3</v>
      </c>
      <c r="Q1788">
        <v>1.967491E-3</v>
      </c>
      <c r="R1788">
        <v>1.568465E-3</v>
      </c>
      <c r="S1788">
        <v>7.23991E-4</v>
      </c>
      <c r="T1788">
        <v>2.3653979999999999E-3</v>
      </c>
    </row>
    <row r="1789" spans="1:20" hidden="1" x14ac:dyDescent="0.25">
      <c r="A1789" t="s">
        <v>1797</v>
      </c>
      <c r="B1789">
        <v>2.4053900000000001E-4</v>
      </c>
      <c r="C1789" s="1">
        <v>7.2999999999999999E-5</v>
      </c>
      <c r="D1789" s="1">
        <v>8.9099999999999997E-5</v>
      </c>
      <c r="E1789">
        <v>1.0094000000000001E-4</v>
      </c>
      <c r="F1789">
        <v>4.5099499999999999E-4</v>
      </c>
      <c r="G1789">
        <v>4.6391500000000002E-4</v>
      </c>
      <c r="H1789">
        <v>2.2767100000000001E-4</v>
      </c>
      <c r="I1789">
        <v>2.89559E-4</v>
      </c>
      <c r="J1789">
        <v>2.8824699999999999E-4</v>
      </c>
      <c r="K1789">
        <v>2.6749800000000002E-4</v>
      </c>
      <c r="L1789">
        <v>1.20726E-4</v>
      </c>
      <c r="M1789">
        <v>2.3745799999999999E-4</v>
      </c>
      <c r="N1789">
        <v>1.28429E-4</v>
      </c>
      <c r="O1789" s="1">
        <v>8.4300000000000003E-5</v>
      </c>
      <c r="P1789">
        <v>7.0824099999999997E-4</v>
      </c>
      <c r="Q1789">
        <v>1.171072E-3</v>
      </c>
      <c r="R1789">
        <v>1.011538E-3</v>
      </c>
      <c r="S1789">
        <v>4.8058200000000001E-4</v>
      </c>
      <c r="T1789">
        <v>1.752212E-3</v>
      </c>
    </row>
    <row r="1790" spans="1:20" hidden="1" x14ac:dyDescent="0.25">
      <c r="A1790" t="s">
        <v>1798</v>
      </c>
      <c r="B1790">
        <v>1.10542E-4</v>
      </c>
      <c r="C1790">
        <v>0</v>
      </c>
      <c r="D1790" s="1">
        <v>4.1699999999999997E-5</v>
      </c>
      <c r="E1790">
        <v>0</v>
      </c>
      <c r="F1790">
        <v>1.14201E-4</v>
      </c>
      <c r="G1790">
        <v>1.2688099999999999E-4</v>
      </c>
      <c r="H1790" s="1">
        <v>9.7100000000000002E-5</v>
      </c>
      <c r="I1790">
        <v>1.0574200000000001E-4</v>
      </c>
      <c r="J1790" s="1">
        <v>8.1799999999999996E-5</v>
      </c>
      <c r="K1790">
        <v>1.1435E-4</v>
      </c>
      <c r="L1790" s="1">
        <v>4.71E-5</v>
      </c>
      <c r="M1790" s="1">
        <v>7.2799999999999994E-5</v>
      </c>
      <c r="N1790" s="1">
        <v>6.0999999999999999E-5</v>
      </c>
      <c r="O1790">
        <v>0</v>
      </c>
      <c r="P1790">
        <v>1.7093800000000001E-4</v>
      </c>
      <c r="Q1790">
        <v>5.1542199999999997E-4</v>
      </c>
      <c r="R1790">
        <v>2.6386600000000002E-4</v>
      </c>
      <c r="S1790">
        <v>1.6048700000000001E-4</v>
      </c>
      <c r="T1790">
        <v>6.9338400000000001E-4</v>
      </c>
    </row>
    <row r="1791" spans="1:20" hidden="1" x14ac:dyDescent="0.25">
      <c r="A1791" t="s">
        <v>1799</v>
      </c>
      <c r="B1791" s="1">
        <v>7.3399999999999995E-5</v>
      </c>
      <c r="C1791">
        <v>2.43052E-4</v>
      </c>
      <c r="D1791">
        <v>4.7737399999999997E-4</v>
      </c>
      <c r="E1791">
        <v>2.3320799999999999E-4</v>
      </c>
      <c r="F1791" s="1">
        <v>3.3899999999999997E-5</v>
      </c>
      <c r="G1791">
        <v>1.2596300000000001E-4</v>
      </c>
      <c r="H1791">
        <v>2.21754E-4</v>
      </c>
      <c r="I1791">
        <v>1.8775500000000001E-4</v>
      </c>
      <c r="J1791" s="1">
        <v>8.4599999999999996E-5</v>
      </c>
      <c r="K1791">
        <v>8.4206600000000004E-4</v>
      </c>
      <c r="L1791">
        <v>5.7540200000000003E-4</v>
      </c>
      <c r="M1791" s="1">
        <v>7.5300000000000001E-5</v>
      </c>
      <c r="N1791">
        <v>6.6150699999999998E-4</v>
      </c>
      <c r="O1791" s="1">
        <v>8.5900000000000001E-5</v>
      </c>
      <c r="P1791">
        <v>4.0650799999999998E-4</v>
      </c>
      <c r="Q1791">
        <v>7.2635400000000002E-4</v>
      </c>
      <c r="R1791">
        <v>5.5140300000000001E-4</v>
      </c>
      <c r="S1791">
        <v>1.644281E-3</v>
      </c>
      <c r="T1791">
        <v>9.3882000000000004E-4</v>
      </c>
    </row>
    <row r="1792" spans="1:20" hidden="1" x14ac:dyDescent="0.25">
      <c r="A1792" t="s">
        <v>1800</v>
      </c>
      <c r="B1792" s="1">
        <v>3.18E-5</v>
      </c>
      <c r="C1792" s="1">
        <v>5.2500000000000002E-5</v>
      </c>
      <c r="D1792" s="1">
        <v>3.6399999999999997E-5</v>
      </c>
      <c r="E1792" s="1">
        <v>4.57E-5</v>
      </c>
      <c r="F1792" s="1">
        <v>3.82E-5</v>
      </c>
      <c r="G1792">
        <v>0</v>
      </c>
      <c r="H1792">
        <v>0</v>
      </c>
      <c r="I1792">
        <v>0</v>
      </c>
      <c r="J1792">
        <v>0</v>
      </c>
      <c r="K1792" s="1">
        <v>2.6100000000000001E-5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hidden="1" x14ac:dyDescent="0.25">
      <c r="A1793" t="s">
        <v>1801</v>
      </c>
      <c r="B1793" s="1">
        <v>2.6299999999999999E-5</v>
      </c>
      <c r="C1793" s="1">
        <v>3.9700000000000003E-5</v>
      </c>
      <c r="D1793" s="1">
        <v>3.8000000000000002E-5</v>
      </c>
      <c r="E1793" s="1">
        <v>4.2599999999999999E-5</v>
      </c>
      <c r="F1793">
        <v>0</v>
      </c>
      <c r="G1793" s="1">
        <v>2.97E-5</v>
      </c>
      <c r="H1793" s="1">
        <v>2.6699999999999998E-5</v>
      </c>
      <c r="I1793" s="1">
        <v>3.1399999999999998E-5</v>
      </c>
      <c r="J1793" s="1">
        <v>1.9000000000000001E-5</v>
      </c>
      <c r="K1793" s="1">
        <v>3.2299999999999999E-5</v>
      </c>
      <c r="L1793" s="1">
        <v>3.7599999999999999E-5</v>
      </c>
      <c r="M1793" s="1">
        <v>2.97E-5</v>
      </c>
      <c r="N1793" s="1">
        <v>3.1999999999999999E-5</v>
      </c>
      <c r="O1793" s="1">
        <v>1.7600000000000001E-5</v>
      </c>
      <c r="P1793" s="1">
        <v>3.3399999999999999E-5</v>
      </c>
      <c r="Q1793" s="1">
        <v>3.0000000000000001E-5</v>
      </c>
      <c r="R1793" s="1">
        <v>3.3699999999999999E-5</v>
      </c>
      <c r="S1793" s="1">
        <v>3.4499999999999998E-5</v>
      </c>
      <c r="T1793" s="1">
        <v>3.2499999999999997E-5</v>
      </c>
    </row>
    <row r="1794" spans="1:20" hidden="1" x14ac:dyDescent="0.25">
      <c r="A1794" t="s">
        <v>1802</v>
      </c>
      <c r="B1794" s="1">
        <v>4.8399999999999997E-5</v>
      </c>
      <c r="C1794" s="1">
        <v>7.5099999999999996E-5</v>
      </c>
      <c r="D1794" s="1">
        <v>4.85E-5</v>
      </c>
      <c r="E1794" s="1">
        <v>6.4700000000000001E-5</v>
      </c>
      <c r="F1794" s="1">
        <v>6.6099999999999994E-5</v>
      </c>
      <c r="G1794" s="1">
        <v>4.9499999999999997E-5</v>
      </c>
      <c r="H1794" s="1">
        <v>5.8999999999999998E-5</v>
      </c>
      <c r="I1794" s="1">
        <v>5.5300000000000002E-5</v>
      </c>
      <c r="J1794" s="1">
        <v>3.8600000000000003E-5</v>
      </c>
      <c r="K1794" s="1">
        <v>5.3900000000000002E-5</v>
      </c>
      <c r="L1794" s="1">
        <v>4.6999999999999997E-5</v>
      </c>
      <c r="M1794" s="1">
        <v>3.93E-5</v>
      </c>
      <c r="N1794" s="1">
        <v>3.4900000000000001E-5</v>
      </c>
      <c r="O1794" s="1">
        <v>2.73E-5</v>
      </c>
      <c r="P1794" s="1">
        <v>3.2400000000000001E-5</v>
      </c>
      <c r="Q1794" s="1">
        <v>4.0899999999999998E-5</v>
      </c>
      <c r="R1794" s="1">
        <v>4.2500000000000003E-5</v>
      </c>
      <c r="S1794">
        <v>0</v>
      </c>
      <c r="T1794" s="1">
        <v>3.1999999999999999E-5</v>
      </c>
    </row>
    <row r="1795" spans="1:20" hidden="1" x14ac:dyDescent="0.25">
      <c r="A1795" t="s">
        <v>1803</v>
      </c>
      <c r="B1795">
        <v>1.9031000000000001E-4</v>
      </c>
      <c r="C1795">
        <v>4.3683799999999999E-4</v>
      </c>
      <c r="D1795">
        <v>2.7908400000000003E-4</v>
      </c>
      <c r="E1795">
        <v>3.3687499999999999E-4</v>
      </c>
      <c r="F1795">
        <v>1.6489200000000001E-4</v>
      </c>
      <c r="G1795">
        <v>2.3573499999999999E-4</v>
      </c>
      <c r="H1795">
        <v>2.5321099999999999E-4</v>
      </c>
      <c r="I1795">
        <v>3.1198400000000001E-4</v>
      </c>
      <c r="J1795">
        <v>1.8021399999999999E-4</v>
      </c>
      <c r="K1795">
        <v>2.8457999999999999E-4</v>
      </c>
      <c r="L1795">
        <v>2.9049300000000001E-4</v>
      </c>
      <c r="M1795">
        <v>1.10883E-4</v>
      </c>
      <c r="N1795" s="1">
        <v>8.0000000000000007E-5</v>
      </c>
      <c r="O1795" s="1">
        <v>9.8599999999999998E-5</v>
      </c>
      <c r="P1795">
        <v>1.5838399999999999E-4</v>
      </c>
      <c r="Q1795">
        <v>2.0301800000000001E-4</v>
      </c>
      <c r="R1795">
        <v>1.22485E-4</v>
      </c>
      <c r="S1795">
        <v>1.54635E-4</v>
      </c>
      <c r="T1795">
        <v>1.5894699999999999E-4</v>
      </c>
    </row>
    <row r="1796" spans="1:20" hidden="1" x14ac:dyDescent="0.25">
      <c r="A1796" t="s">
        <v>1804</v>
      </c>
      <c r="B1796">
        <v>1.2379900000000001E-4</v>
      </c>
      <c r="C1796">
        <v>1.8853399999999999E-4</v>
      </c>
      <c r="D1796">
        <v>1.67739E-4</v>
      </c>
      <c r="E1796">
        <v>1.6671500000000001E-4</v>
      </c>
      <c r="F1796">
        <v>1.2999600000000001E-4</v>
      </c>
      <c r="G1796">
        <v>1.3321900000000001E-4</v>
      </c>
      <c r="H1796">
        <v>1.3988800000000001E-4</v>
      </c>
      <c r="I1796">
        <v>1.5060400000000001E-4</v>
      </c>
      <c r="J1796">
        <v>1.06205E-4</v>
      </c>
      <c r="K1796">
        <v>1.5779100000000001E-4</v>
      </c>
      <c r="L1796">
        <v>1.42726E-4</v>
      </c>
      <c r="M1796" s="1">
        <v>9.9599999999999995E-5</v>
      </c>
      <c r="N1796" s="1">
        <v>7.9599999999999997E-5</v>
      </c>
      <c r="O1796" s="1">
        <v>8.5699999999999996E-5</v>
      </c>
      <c r="P1796">
        <v>1.0066200000000001E-4</v>
      </c>
      <c r="Q1796">
        <v>1.3315000000000001E-4</v>
      </c>
      <c r="R1796" s="1">
        <v>8.0000000000000007E-5</v>
      </c>
      <c r="S1796" s="1">
        <v>9.8400000000000007E-5</v>
      </c>
      <c r="T1796">
        <v>1.29667E-4</v>
      </c>
    </row>
    <row r="1797" spans="1:20" hidden="1" x14ac:dyDescent="0.25">
      <c r="A1797" t="s">
        <v>1805</v>
      </c>
      <c r="B1797">
        <v>0</v>
      </c>
      <c r="C1797" s="1">
        <v>1.73E-5</v>
      </c>
      <c r="D1797" s="1">
        <v>1.43E-5</v>
      </c>
      <c r="E1797" s="1">
        <v>1.8E-5</v>
      </c>
      <c r="F1797" s="1">
        <v>1.4600000000000001E-5</v>
      </c>
      <c r="G1797">
        <v>0</v>
      </c>
      <c r="H1797">
        <v>0</v>
      </c>
      <c r="I1797" s="1">
        <v>3.0800000000000003E-5</v>
      </c>
      <c r="J1797">
        <v>0</v>
      </c>
      <c r="K1797" s="1">
        <v>1.17E-5</v>
      </c>
      <c r="L1797" s="1">
        <v>9.4499999999999993E-6</v>
      </c>
      <c r="M1797">
        <v>0</v>
      </c>
      <c r="N1797" s="1">
        <v>6.0700000000000003E-6</v>
      </c>
      <c r="O1797">
        <v>0</v>
      </c>
      <c r="P1797">
        <v>0</v>
      </c>
      <c r="Q1797" s="1">
        <v>9.0000000000000002E-6</v>
      </c>
      <c r="R1797" s="1">
        <v>9.4700000000000008E-6</v>
      </c>
      <c r="S1797">
        <v>0</v>
      </c>
      <c r="T1797" s="1">
        <v>2.3099999999999999E-5</v>
      </c>
    </row>
    <row r="1798" spans="1:20" hidden="1" x14ac:dyDescent="0.25">
      <c r="A1798" t="s">
        <v>1806</v>
      </c>
      <c r="B1798" s="1">
        <v>2.2200000000000001E-5</v>
      </c>
      <c r="C1798" s="1">
        <v>2.8799999999999999E-5</v>
      </c>
      <c r="D1798" s="1">
        <v>3.1000000000000001E-5</v>
      </c>
      <c r="E1798" s="1">
        <v>3.9400000000000002E-5</v>
      </c>
      <c r="F1798" s="1">
        <v>2.0699999999999998E-5</v>
      </c>
      <c r="G1798" s="1">
        <v>2.16E-5</v>
      </c>
      <c r="H1798" s="1">
        <v>1.4100000000000001E-5</v>
      </c>
      <c r="I1798" s="1">
        <v>1.5099999999999999E-5</v>
      </c>
      <c r="J1798">
        <v>0</v>
      </c>
      <c r="K1798" s="1">
        <v>2.5700000000000001E-5</v>
      </c>
      <c r="L1798" s="1">
        <v>2.55E-5</v>
      </c>
      <c r="M1798" s="1">
        <v>2.2099999999999998E-5</v>
      </c>
      <c r="N1798" s="1">
        <v>1.88E-5</v>
      </c>
      <c r="O1798" s="1">
        <v>2.4700000000000001E-5</v>
      </c>
      <c r="P1798" s="1">
        <v>1.6099999999999998E-5</v>
      </c>
      <c r="Q1798" s="1">
        <v>1.13E-5</v>
      </c>
      <c r="R1798" s="1">
        <v>2.4300000000000001E-5</v>
      </c>
      <c r="S1798" s="1">
        <v>3.8399999999999998E-5</v>
      </c>
      <c r="T1798" s="1">
        <v>3.43E-5</v>
      </c>
    </row>
    <row r="1799" spans="1:20" hidden="1" x14ac:dyDescent="0.25">
      <c r="A1799" t="s">
        <v>1807</v>
      </c>
      <c r="B1799">
        <v>6.1874920000000002E-3</v>
      </c>
      <c r="C1799">
        <v>7.1114139999999999E-3</v>
      </c>
      <c r="D1799">
        <v>6.934852E-3</v>
      </c>
      <c r="E1799">
        <v>5.9290599999999999E-3</v>
      </c>
      <c r="F1799">
        <v>4.9213349999999998E-3</v>
      </c>
      <c r="G1799">
        <v>4.9404920000000003E-3</v>
      </c>
      <c r="H1799">
        <v>3.333889E-3</v>
      </c>
      <c r="I1799">
        <v>4.4843859999999999E-3</v>
      </c>
      <c r="J1799">
        <v>5.4992840000000001E-3</v>
      </c>
      <c r="K1799">
        <v>5.7060009999999996E-3</v>
      </c>
      <c r="L1799">
        <v>5.6592040000000001E-3</v>
      </c>
      <c r="M1799">
        <v>4.8542619999999998E-3</v>
      </c>
      <c r="N1799">
        <v>5.1316529999999999E-3</v>
      </c>
      <c r="O1799">
        <v>5.1725449999999997E-3</v>
      </c>
      <c r="P1799">
        <v>3.8608309999999999E-3</v>
      </c>
      <c r="Q1799">
        <v>1.7673490000000001E-3</v>
      </c>
      <c r="R1799">
        <v>1.7899280000000001E-3</v>
      </c>
      <c r="S1799">
        <v>8.3568399999999995E-4</v>
      </c>
      <c r="T1799">
        <v>1.9953420000000002E-3</v>
      </c>
    </row>
    <row r="1800" spans="1:20" hidden="1" x14ac:dyDescent="0.25">
      <c r="A1800" t="s">
        <v>1808</v>
      </c>
      <c r="B1800">
        <v>0</v>
      </c>
      <c r="C1800">
        <v>1.2961299999999999E-4</v>
      </c>
      <c r="D1800" s="1">
        <v>9.9599999999999995E-5</v>
      </c>
      <c r="E1800">
        <v>1.1863500000000001E-4</v>
      </c>
      <c r="F1800" s="1">
        <v>4.3000000000000002E-5</v>
      </c>
      <c r="G1800" s="1">
        <v>6.3100000000000002E-5</v>
      </c>
      <c r="H1800" s="1">
        <v>3.8600000000000003E-5</v>
      </c>
      <c r="I1800">
        <v>0</v>
      </c>
      <c r="J1800">
        <v>0</v>
      </c>
      <c r="K1800" s="1">
        <v>7.4999999999999993E-5</v>
      </c>
      <c r="L1800" s="1">
        <v>6.3399999999999996E-5</v>
      </c>
      <c r="M1800">
        <v>0</v>
      </c>
      <c r="N1800">
        <v>0</v>
      </c>
      <c r="O1800" s="1">
        <v>3.6999999999999998E-5</v>
      </c>
      <c r="P1800">
        <v>0</v>
      </c>
      <c r="Q1800">
        <v>0</v>
      </c>
      <c r="R1800" s="1">
        <v>3.0700000000000001E-5</v>
      </c>
      <c r="S1800" s="1">
        <v>6.5500000000000006E-5</v>
      </c>
      <c r="T1800" s="1">
        <v>4.3699999999999998E-5</v>
      </c>
    </row>
    <row r="1801" spans="1:20" hidden="1" x14ac:dyDescent="0.25">
      <c r="A1801" t="s">
        <v>1809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s="1">
        <v>5.8100000000000003E-6</v>
      </c>
      <c r="R1801" s="1">
        <v>9.4099999999999997E-6</v>
      </c>
      <c r="S1801" s="1">
        <v>5.5199999999999997E-6</v>
      </c>
      <c r="T1801" s="1">
        <v>6.7900000000000002E-6</v>
      </c>
    </row>
    <row r="1802" spans="1:20" hidden="1" x14ac:dyDescent="0.25">
      <c r="A1802" t="s">
        <v>1810</v>
      </c>
      <c r="B1802">
        <v>1.3844000000000001E-4</v>
      </c>
      <c r="C1802">
        <v>1.52595E-4</v>
      </c>
      <c r="D1802">
        <v>1.25797E-4</v>
      </c>
      <c r="E1802">
        <v>1.27012E-4</v>
      </c>
      <c r="F1802">
        <v>1.3673400000000001E-4</v>
      </c>
      <c r="G1802">
        <v>1.20734E-4</v>
      </c>
      <c r="H1802" s="1">
        <v>8.6899999999999998E-5</v>
      </c>
      <c r="I1802">
        <v>1.02216E-4</v>
      </c>
      <c r="J1802">
        <v>1.44704E-4</v>
      </c>
      <c r="K1802">
        <v>1.80569E-4</v>
      </c>
      <c r="L1802">
        <v>1.53101E-4</v>
      </c>
      <c r="M1802" s="1">
        <v>9.7700000000000003E-5</v>
      </c>
      <c r="N1802">
        <v>1.2538800000000001E-4</v>
      </c>
      <c r="O1802">
        <v>1.4934099999999999E-4</v>
      </c>
      <c r="P1802">
        <v>1.3534800000000001E-4</v>
      </c>
      <c r="Q1802" s="1">
        <v>7.8300000000000006E-5</v>
      </c>
      <c r="R1802">
        <v>1.04036E-4</v>
      </c>
      <c r="S1802">
        <v>1.3177800000000001E-4</v>
      </c>
      <c r="T1802" s="1">
        <v>6.9499999999999995E-5</v>
      </c>
    </row>
    <row r="1803" spans="1:20" hidden="1" x14ac:dyDescent="0.25">
      <c r="A1803" t="s">
        <v>1811</v>
      </c>
      <c r="B1803">
        <v>1.31125E-4</v>
      </c>
      <c r="C1803">
        <v>1.4433100000000001E-4</v>
      </c>
      <c r="D1803">
        <v>2.5849100000000002E-4</v>
      </c>
      <c r="E1803">
        <v>2.2302499999999999E-4</v>
      </c>
      <c r="F1803">
        <v>2.6262099999999999E-4</v>
      </c>
      <c r="G1803" s="1">
        <v>7.3499999999999998E-5</v>
      </c>
      <c r="H1803">
        <v>1.0343100000000001E-4</v>
      </c>
      <c r="I1803">
        <v>1.4137899999999999E-4</v>
      </c>
      <c r="J1803">
        <v>1.2557900000000001E-4</v>
      </c>
      <c r="K1803">
        <v>1.43812E-4</v>
      </c>
      <c r="L1803">
        <v>1.1767700000000001E-4</v>
      </c>
      <c r="M1803" s="1">
        <v>7.4999999999999993E-5</v>
      </c>
      <c r="N1803" s="1">
        <v>7.9900000000000004E-5</v>
      </c>
      <c r="O1803">
        <v>1.1532900000000001E-4</v>
      </c>
      <c r="P1803" s="1">
        <v>4.18E-5</v>
      </c>
      <c r="Q1803">
        <v>0</v>
      </c>
      <c r="R1803" s="1">
        <v>2.37E-5</v>
      </c>
      <c r="S1803">
        <v>0</v>
      </c>
      <c r="T1803">
        <v>0</v>
      </c>
    </row>
    <row r="1804" spans="1:20" hidden="1" x14ac:dyDescent="0.25">
      <c r="A1804" t="s">
        <v>1812</v>
      </c>
      <c r="B1804" s="1">
        <v>3.5200000000000002E-5</v>
      </c>
      <c r="C1804">
        <v>0</v>
      </c>
      <c r="D1804" s="1">
        <v>2.9E-5</v>
      </c>
      <c r="E1804" s="1">
        <v>3.5899999999999998E-5</v>
      </c>
      <c r="F1804">
        <v>0</v>
      </c>
      <c r="G1804">
        <v>0</v>
      </c>
      <c r="H1804">
        <v>0</v>
      </c>
      <c r="I1804" s="1">
        <v>2.5700000000000001E-5</v>
      </c>
      <c r="J1804">
        <v>0</v>
      </c>
      <c r="K1804">
        <v>0</v>
      </c>
      <c r="L1804">
        <v>0</v>
      </c>
      <c r="M1804">
        <v>0</v>
      </c>
      <c r="N1804" s="1">
        <v>2.19E-5</v>
      </c>
      <c r="O1804" s="1">
        <v>2.3E-5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hidden="1" x14ac:dyDescent="0.25">
      <c r="A1805" t="s">
        <v>1813</v>
      </c>
      <c r="B1805" s="1">
        <v>4.7200000000000002E-5</v>
      </c>
      <c r="C1805" s="1">
        <v>3.8899999999999997E-5</v>
      </c>
      <c r="D1805" s="1">
        <v>2.62E-5</v>
      </c>
      <c r="E1805">
        <v>0</v>
      </c>
      <c r="F1805">
        <v>0</v>
      </c>
      <c r="G1805">
        <v>0</v>
      </c>
      <c r="H1805">
        <v>0</v>
      </c>
      <c r="I1805" s="1">
        <v>5.1999999999999997E-5</v>
      </c>
      <c r="J1805">
        <v>0</v>
      </c>
      <c r="K1805">
        <v>0</v>
      </c>
      <c r="L1805" s="1">
        <v>3.0700000000000001E-5</v>
      </c>
      <c r="M1805">
        <v>0</v>
      </c>
      <c r="N1805" s="1">
        <v>2.6999999999999999E-5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hidden="1" x14ac:dyDescent="0.25">
      <c r="A1806" t="s">
        <v>1814</v>
      </c>
      <c r="B1806">
        <v>1.7580699999999999E-4</v>
      </c>
      <c r="C1806">
        <v>1.57472E-4</v>
      </c>
      <c r="D1806">
        <v>1.3595100000000001E-4</v>
      </c>
      <c r="E1806">
        <v>1.3942199999999999E-4</v>
      </c>
      <c r="F1806">
        <v>1.4152500000000001E-4</v>
      </c>
      <c r="G1806">
        <v>1.7257899999999999E-4</v>
      </c>
      <c r="H1806">
        <v>0</v>
      </c>
      <c r="I1806" s="1">
        <v>7.5300000000000001E-5</v>
      </c>
      <c r="J1806">
        <v>1.6245100000000001E-4</v>
      </c>
      <c r="K1806">
        <v>1.6471500000000001E-4</v>
      </c>
      <c r="L1806">
        <v>1.7925999999999999E-4</v>
      </c>
      <c r="M1806">
        <v>1.8404399999999999E-4</v>
      </c>
      <c r="N1806">
        <v>1.6255999999999999E-4</v>
      </c>
      <c r="O1806">
        <v>1.0962E-4</v>
      </c>
      <c r="P1806">
        <v>1.9552799999999999E-4</v>
      </c>
      <c r="Q1806">
        <v>2.4706199999999999E-4</v>
      </c>
      <c r="R1806">
        <v>3.1110799999999999E-4</v>
      </c>
      <c r="S1806">
        <v>2.09108E-4</v>
      </c>
      <c r="T1806">
        <v>1.92039E-4</v>
      </c>
    </row>
    <row r="1807" spans="1:20" hidden="1" x14ac:dyDescent="0.25">
      <c r="A1807" t="s">
        <v>1815</v>
      </c>
      <c r="B1807" s="1">
        <v>9.0600000000000007E-5</v>
      </c>
      <c r="C1807">
        <v>2.4732999999999998E-4</v>
      </c>
      <c r="D1807">
        <v>2.4958000000000001E-4</v>
      </c>
      <c r="E1807">
        <v>3.4337000000000001E-4</v>
      </c>
      <c r="F1807">
        <v>1.2246199999999999E-4</v>
      </c>
      <c r="G1807">
        <v>2.8809899999999999E-4</v>
      </c>
      <c r="H1807">
        <v>1.5629700000000001E-4</v>
      </c>
      <c r="I1807">
        <v>1.2388399999999999E-4</v>
      </c>
      <c r="J1807">
        <v>1.1414E-4</v>
      </c>
      <c r="K1807">
        <v>2.4630300000000002E-4</v>
      </c>
      <c r="L1807">
        <v>2.4066800000000001E-4</v>
      </c>
      <c r="M1807">
        <v>1.7400400000000001E-4</v>
      </c>
      <c r="N1807" s="1">
        <v>9.8200000000000002E-5</v>
      </c>
      <c r="O1807">
        <v>1.7485999999999999E-4</v>
      </c>
      <c r="P1807">
        <v>1.6716999999999999E-4</v>
      </c>
      <c r="Q1807">
        <v>3.4518999999999999E-4</v>
      </c>
      <c r="R1807">
        <v>2.8711699999999998E-4</v>
      </c>
      <c r="S1807">
        <v>3.67487E-4</v>
      </c>
      <c r="T1807">
        <v>3.7443699999999998E-4</v>
      </c>
    </row>
    <row r="1808" spans="1:20" hidden="1" x14ac:dyDescent="0.25">
      <c r="A1808" t="s">
        <v>1816</v>
      </c>
      <c r="B1808" s="1">
        <v>6.7199999999999994E-5</v>
      </c>
      <c r="C1808" s="1">
        <v>5.9299999999999998E-5</v>
      </c>
      <c r="D1808" s="1">
        <v>7.2600000000000003E-5</v>
      </c>
      <c r="E1808" s="1">
        <v>6.8399999999999996E-5</v>
      </c>
      <c r="F1808">
        <v>0</v>
      </c>
      <c r="G1808">
        <v>0</v>
      </c>
      <c r="H1808">
        <v>0</v>
      </c>
      <c r="I1808" s="1">
        <v>4.1300000000000001E-5</v>
      </c>
      <c r="J1808" s="1">
        <v>6.9099999999999999E-5</v>
      </c>
      <c r="K1808" s="1">
        <v>5.1400000000000003E-5</v>
      </c>
      <c r="L1808" s="1">
        <v>4.1600000000000002E-5</v>
      </c>
      <c r="M1808">
        <v>0</v>
      </c>
      <c r="N1808">
        <v>0</v>
      </c>
      <c r="O1808" s="1">
        <v>3.93E-5</v>
      </c>
      <c r="P1808">
        <v>0</v>
      </c>
      <c r="Q1808">
        <v>0</v>
      </c>
      <c r="R1808">
        <v>0</v>
      </c>
      <c r="S1808" s="1">
        <v>2.0000000000000002E-5</v>
      </c>
      <c r="T1808" s="1">
        <v>1.36E-5</v>
      </c>
    </row>
    <row r="1809" spans="1:20" hidden="1" x14ac:dyDescent="0.25">
      <c r="A1809" t="s">
        <v>1817</v>
      </c>
      <c r="B1809">
        <v>0</v>
      </c>
      <c r="C1809" s="1">
        <v>7.4100000000000002E-6</v>
      </c>
      <c r="D1809" s="1">
        <v>5.2399999999999998E-6</v>
      </c>
      <c r="E1809" s="1">
        <v>7.8800000000000008E-6</v>
      </c>
      <c r="F1809">
        <v>0</v>
      </c>
      <c r="G1809" s="1">
        <v>6.4699999999999999E-6</v>
      </c>
      <c r="H1809" s="1">
        <v>4.8600000000000001E-6</v>
      </c>
      <c r="I1809" s="1">
        <v>5.3800000000000002E-6</v>
      </c>
      <c r="J1809" s="1">
        <v>5.9599999999999997E-6</v>
      </c>
      <c r="K1809" s="1">
        <v>4.2699999999999998E-6</v>
      </c>
      <c r="L1809" s="1">
        <v>5.5500000000000002E-6</v>
      </c>
      <c r="M1809">
        <v>0</v>
      </c>
      <c r="N1809" s="1">
        <v>6.1999999999999999E-6</v>
      </c>
      <c r="O1809" s="1">
        <v>6.5300000000000002E-6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hidden="1" x14ac:dyDescent="0.25">
      <c r="A1810" t="s">
        <v>1818</v>
      </c>
      <c r="B1810" s="1">
        <v>6.3799999999999999E-6</v>
      </c>
      <c r="C1810" s="1">
        <v>1.6399999999999999E-5</v>
      </c>
      <c r="D1810" s="1">
        <v>2.0599999999999999E-5</v>
      </c>
      <c r="E1810" s="1">
        <v>1.73E-5</v>
      </c>
      <c r="F1810" s="1">
        <v>6.1399999999999997E-6</v>
      </c>
      <c r="G1810" s="1">
        <v>6.02E-6</v>
      </c>
      <c r="H1810" s="1">
        <v>6.1999999999999999E-6</v>
      </c>
      <c r="I1810" s="1">
        <v>6.4899999999999997E-6</v>
      </c>
      <c r="J1810" s="1">
        <v>6.5200000000000003E-6</v>
      </c>
      <c r="K1810" s="1">
        <v>1.13E-5</v>
      </c>
      <c r="L1810" s="1">
        <v>1.29E-5</v>
      </c>
      <c r="M1810">
        <v>0</v>
      </c>
      <c r="N1810">
        <v>0</v>
      </c>
      <c r="O1810" s="1">
        <v>6.2899999999999999E-6</v>
      </c>
      <c r="P1810">
        <v>0</v>
      </c>
      <c r="Q1810">
        <v>0</v>
      </c>
      <c r="R1810">
        <v>0</v>
      </c>
      <c r="S1810">
        <v>0</v>
      </c>
      <c r="T1810" s="1">
        <v>3.3699999999999999E-6</v>
      </c>
    </row>
    <row r="1811" spans="1:20" hidden="1" x14ac:dyDescent="0.25">
      <c r="A1811" t="s">
        <v>1819</v>
      </c>
      <c r="B1811" s="1">
        <v>2.34E-5</v>
      </c>
      <c r="C1811" s="1">
        <v>3.1699999999999998E-5</v>
      </c>
      <c r="D1811" s="1">
        <v>2.05E-5</v>
      </c>
      <c r="E1811" s="1">
        <v>2.37E-5</v>
      </c>
      <c r="F1811" s="1">
        <v>2.27E-5</v>
      </c>
      <c r="G1811" s="1">
        <v>2.0599999999999999E-5</v>
      </c>
      <c r="H1811" s="1">
        <v>2.2900000000000001E-5</v>
      </c>
      <c r="I1811" s="1">
        <v>1.8499999999999999E-5</v>
      </c>
      <c r="J1811" s="1">
        <v>1.5400000000000002E-5</v>
      </c>
      <c r="K1811" s="1">
        <v>1.8700000000000001E-5</v>
      </c>
      <c r="L1811" s="1">
        <v>2.1399999999999998E-5</v>
      </c>
      <c r="M1811">
        <v>0</v>
      </c>
      <c r="N1811" s="1">
        <v>1.5699999999999999E-5</v>
      </c>
      <c r="O1811" s="1">
        <v>1.29E-5</v>
      </c>
      <c r="P1811">
        <v>0</v>
      </c>
      <c r="Q1811">
        <v>0</v>
      </c>
      <c r="R1811" s="1">
        <v>1.43E-5</v>
      </c>
      <c r="S1811" s="1">
        <v>1.98E-5</v>
      </c>
      <c r="T1811">
        <v>0</v>
      </c>
    </row>
    <row r="1812" spans="1:20" hidden="1" x14ac:dyDescent="0.25">
      <c r="A1812" t="s">
        <v>1820</v>
      </c>
      <c r="B1812">
        <v>0</v>
      </c>
      <c r="C1812" s="1">
        <v>1.7799999999999999E-5</v>
      </c>
      <c r="D1812" s="1">
        <v>9.2699999999999993E-6</v>
      </c>
      <c r="E1812" s="1">
        <v>1.4E-5</v>
      </c>
      <c r="F1812" s="1">
        <v>4.7199999999999997E-6</v>
      </c>
      <c r="G1812" s="1">
        <v>8.6500000000000002E-6</v>
      </c>
      <c r="H1812" s="1">
        <v>9.4399999999999994E-6</v>
      </c>
      <c r="I1812" s="1">
        <v>6.2299999999999996E-6</v>
      </c>
      <c r="J1812">
        <v>0</v>
      </c>
      <c r="K1812" s="1">
        <v>1.1199999999999999E-5</v>
      </c>
      <c r="L1812" s="1">
        <v>1.13E-5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 s="1">
        <v>3.6200000000000001E-6</v>
      </c>
    </row>
    <row r="1813" spans="1:20" hidden="1" x14ac:dyDescent="0.25">
      <c r="A1813" t="s">
        <v>1821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s="1">
        <v>2.52E-6</v>
      </c>
      <c r="O1813">
        <v>0</v>
      </c>
      <c r="P1813">
        <v>0</v>
      </c>
      <c r="Q1813" s="1">
        <v>1.9700000000000001E-5</v>
      </c>
      <c r="R1813" s="1">
        <v>1.7E-5</v>
      </c>
      <c r="S1813" s="1">
        <v>3.3699999999999999E-5</v>
      </c>
      <c r="T1813" s="1">
        <v>2.5199999999999999E-5</v>
      </c>
    </row>
    <row r="1814" spans="1:20" hidden="1" x14ac:dyDescent="0.25">
      <c r="A1814" t="s">
        <v>1822</v>
      </c>
      <c r="B1814" s="1">
        <v>3.6199999999999999E-5</v>
      </c>
      <c r="C1814" s="1">
        <v>2.7100000000000001E-5</v>
      </c>
      <c r="D1814" s="1">
        <v>4.7299999999999998E-5</v>
      </c>
      <c r="E1814" s="1">
        <v>4.4799999999999998E-5</v>
      </c>
      <c r="F1814" s="1">
        <v>4.8199999999999999E-5</v>
      </c>
      <c r="G1814" s="1">
        <v>2.6299999999999999E-5</v>
      </c>
      <c r="H1814" s="1">
        <v>1.8600000000000001E-5</v>
      </c>
      <c r="I1814" s="1">
        <v>3.2499999999999997E-5</v>
      </c>
      <c r="J1814" s="1">
        <v>3.57E-5</v>
      </c>
      <c r="K1814" s="1">
        <v>3.5500000000000002E-5</v>
      </c>
      <c r="L1814" s="1">
        <v>2.44E-5</v>
      </c>
      <c r="M1814" s="1">
        <v>2.7699999999999999E-5</v>
      </c>
      <c r="N1814" s="1">
        <v>3.4E-5</v>
      </c>
      <c r="O1814" s="1">
        <v>4.2200000000000003E-5</v>
      </c>
      <c r="P1814" s="1">
        <v>2.6699999999999998E-5</v>
      </c>
      <c r="Q1814" s="1">
        <v>3.3500000000000001E-5</v>
      </c>
      <c r="R1814" s="1">
        <v>5.1999999999999997E-5</v>
      </c>
      <c r="S1814" s="1">
        <v>2.8200000000000001E-5</v>
      </c>
      <c r="T1814" s="1">
        <v>3.1399999999999998E-5</v>
      </c>
    </row>
    <row r="1815" spans="1:20" hidden="1" x14ac:dyDescent="0.25">
      <c r="A1815" t="s">
        <v>1823</v>
      </c>
      <c r="B1815" s="1">
        <v>8.3999999999999992E-6</v>
      </c>
      <c r="C1815" s="1">
        <v>2.19E-5</v>
      </c>
      <c r="D1815" s="1">
        <v>1.2300000000000001E-5</v>
      </c>
      <c r="E1815" s="1">
        <v>1.33E-5</v>
      </c>
      <c r="F1815" s="1">
        <v>9.7899999999999994E-6</v>
      </c>
      <c r="G1815" s="1">
        <v>2.1500000000000001E-5</v>
      </c>
      <c r="H1815" s="1">
        <v>2.16E-5</v>
      </c>
      <c r="I1815" s="1">
        <v>2.0699999999999998E-5</v>
      </c>
      <c r="J1815" s="1">
        <v>9.1800000000000002E-6</v>
      </c>
      <c r="K1815" s="1">
        <v>8.1100000000000003E-6</v>
      </c>
      <c r="L1815" s="1">
        <v>1.06E-5</v>
      </c>
      <c r="M1815" s="1">
        <v>1.06E-5</v>
      </c>
      <c r="N1815" s="1">
        <v>1.0200000000000001E-5</v>
      </c>
      <c r="O1815" s="1">
        <v>7.9999999999999996E-6</v>
      </c>
      <c r="P1815" s="1">
        <v>1.1E-5</v>
      </c>
      <c r="Q1815" s="1">
        <v>3.0599999999999998E-5</v>
      </c>
      <c r="R1815" s="1">
        <v>1.6099999999999998E-5</v>
      </c>
      <c r="S1815" s="1">
        <v>2.6599999999999999E-5</v>
      </c>
      <c r="T1815" s="1">
        <v>2.3900000000000002E-5</v>
      </c>
    </row>
    <row r="1816" spans="1:20" hidden="1" x14ac:dyDescent="0.25">
      <c r="A1816" t="s">
        <v>1824</v>
      </c>
      <c r="B1816" s="1">
        <v>1.01E-5</v>
      </c>
      <c r="C1816" s="1">
        <v>2.26E-5</v>
      </c>
      <c r="D1816" s="1">
        <v>1.8E-5</v>
      </c>
      <c r="E1816" s="1">
        <v>2.3099999999999999E-5</v>
      </c>
      <c r="F1816" s="1">
        <v>1.5999999999999999E-5</v>
      </c>
      <c r="G1816" s="1">
        <v>2.02E-5</v>
      </c>
      <c r="H1816" s="1">
        <v>2.4300000000000001E-5</v>
      </c>
      <c r="I1816" s="1">
        <v>1.84E-5</v>
      </c>
      <c r="J1816" s="1">
        <v>1.7399999999999999E-5</v>
      </c>
      <c r="K1816" s="1">
        <v>1.56E-5</v>
      </c>
      <c r="L1816" s="1">
        <v>1.7200000000000001E-5</v>
      </c>
      <c r="M1816" s="1">
        <v>8.7600000000000008E-6</v>
      </c>
      <c r="N1816" s="1">
        <v>4.8600000000000001E-6</v>
      </c>
      <c r="O1816" s="1">
        <v>1.7799999999999999E-5</v>
      </c>
      <c r="P1816" s="1">
        <v>9.6600000000000007E-6</v>
      </c>
      <c r="Q1816" s="1">
        <v>8.67E-6</v>
      </c>
      <c r="R1816" s="1">
        <v>1.06E-5</v>
      </c>
      <c r="S1816" s="1">
        <v>7.96E-6</v>
      </c>
      <c r="T1816" s="1">
        <v>1.4100000000000001E-5</v>
      </c>
    </row>
    <row r="1817" spans="1:20" hidden="1" x14ac:dyDescent="0.25">
      <c r="A1817" t="s">
        <v>1825</v>
      </c>
      <c r="B1817" s="1">
        <v>5.75E-6</v>
      </c>
      <c r="C1817">
        <v>0</v>
      </c>
      <c r="D1817">
        <v>0</v>
      </c>
      <c r="E1817" s="1">
        <v>4.2100000000000003E-6</v>
      </c>
      <c r="F1817" s="1">
        <v>5.3199999999999999E-6</v>
      </c>
      <c r="G1817">
        <v>0</v>
      </c>
      <c r="H1817" s="1">
        <v>5.7599999999999999E-6</v>
      </c>
      <c r="I1817" s="1">
        <v>5.9399999999999999E-6</v>
      </c>
      <c r="J1817" s="1">
        <v>5.8100000000000003E-6</v>
      </c>
      <c r="K1817" s="1">
        <v>4.42E-6</v>
      </c>
      <c r="L1817">
        <v>0</v>
      </c>
      <c r="M1817">
        <v>0</v>
      </c>
      <c r="N1817">
        <v>0</v>
      </c>
      <c r="O1817" s="1">
        <v>6.3099999999999997E-6</v>
      </c>
      <c r="P1817" s="1">
        <v>4.7899999999999999E-6</v>
      </c>
      <c r="Q1817" s="1">
        <v>6.6699999999999997E-6</v>
      </c>
      <c r="R1817" s="1">
        <v>9.4099999999999997E-6</v>
      </c>
      <c r="S1817" s="1">
        <v>5.6899999999999997E-6</v>
      </c>
      <c r="T1817" s="1">
        <v>4.4900000000000002E-6</v>
      </c>
    </row>
    <row r="1818" spans="1:20" hidden="1" x14ac:dyDescent="0.25">
      <c r="A1818" t="s">
        <v>1826</v>
      </c>
      <c r="B1818">
        <v>0</v>
      </c>
      <c r="C1818" s="1">
        <v>3.1399999999999998E-5</v>
      </c>
      <c r="D1818" s="1">
        <v>2.3499999999999999E-5</v>
      </c>
      <c r="E1818" s="1">
        <v>1.7200000000000001E-5</v>
      </c>
      <c r="F1818" s="1">
        <v>1.29E-5</v>
      </c>
      <c r="G1818">
        <v>1.99199E-4</v>
      </c>
      <c r="H1818" s="1">
        <v>6.41E-5</v>
      </c>
      <c r="I1818" s="1">
        <v>2.5000000000000001E-5</v>
      </c>
      <c r="J1818" s="1">
        <v>3.82E-5</v>
      </c>
      <c r="K1818" s="1">
        <v>5.4400000000000001E-5</v>
      </c>
      <c r="L1818" s="1">
        <v>7.75E-5</v>
      </c>
      <c r="M1818">
        <v>0</v>
      </c>
      <c r="N1818">
        <v>0</v>
      </c>
      <c r="O1818" s="1">
        <v>1.5E-5</v>
      </c>
      <c r="P1818" s="1">
        <v>4.5300000000000003E-5</v>
      </c>
      <c r="Q1818" s="1">
        <v>3.3000000000000003E-5</v>
      </c>
      <c r="R1818" s="1">
        <v>7.4499999999999995E-5</v>
      </c>
      <c r="S1818">
        <v>2.01471E-4</v>
      </c>
      <c r="T1818" s="1">
        <v>4.6E-5</v>
      </c>
    </row>
    <row r="1819" spans="1:20" hidden="1" x14ac:dyDescent="0.25">
      <c r="A1819" t="s">
        <v>1827</v>
      </c>
      <c r="B1819" s="1">
        <v>1.73E-5</v>
      </c>
      <c r="C1819" s="1">
        <v>5.8699999999999997E-5</v>
      </c>
      <c r="D1819" s="1">
        <v>5.4299999999999998E-5</v>
      </c>
      <c r="E1819" s="1">
        <v>4.2400000000000001E-5</v>
      </c>
      <c r="F1819" s="1">
        <v>2.7699999999999999E-5</v>
      </c>
      <c r="G1819">
        <v>2.9280899999999999E-4</v>
      </c>
      <c r="H1819" s="1">
        <v>9.4500000000000007E-5</v>
      </c>
      <c r="I1819" s="1">
        <v>3.0499999999999999E-5</v>
      </c>
      <c r="J1819" s="1">
        <v>4.6400000000000003E-5</v>
      </c>
      <c r="K1819" s="1">
        <v>7.1000000000000005E-5</v>
      </c>
      <c r="L1819">
        <v>1.11773E-4</v>
      </c>
      <c r="M1819">
        <v>0</v>
      </c>
      <c r="N1819">
        <v>0</v>
      </c>
      <c r="O1819" s="1">
        <v>1.8600000000000001E-5</v>
      </c>
      <c r="P1819" s="1">
        <v>6.3399999999999996E-5</v>
      </c>
      <c r="Q1819" s="1">
        <v>5.0099999999999998E-5</v>
      </c>
      <c r="R1819">
        <v>1.11817E-4</v>
      </c>
      <c r="S1819">
        <v>2.84777E-4</v>
      </c>
      <c r="T1819" s="1">
        <v>6.1500000000000004E-5</v>
      </c>
    </row>
    <row r="1820" spans="1:20" hidden="1" x14ac:dyDescent="0.25">
      <c r="A1820" t="s">
        <v>1828</v>
      </c>
      <c r="B1820" s="1">
        <v>6.2199999999999994E-5</v>
      </c>
      <c r="C1820" s="1">
        <v>6.8999999999999997E-5</v>
      </c>
      <c r="D1820" s="1">
        <v>8.0199999999999998E-5</v>
      </c>
      <c r="E1820" s="1">
        <v>8.2600000000000002E-5</v>
      </c>
      <c r="F1820" s="1">
        <v>6.7600000000000003E-5</v>
      </c>
      <c r="G1820" s="1">
        <v>6.7799999999999995E-5</v>
      </c>
      <c r="H1820" s="1">
        <v>5.6100000000000002E-5</v>
      </c>
      <c r="I1820" s="1">
        <v>5.9899999999999999E-5</v>
      </c>
      <c r="J1820" s="1">
        <v>6.1500000000000004E-5</v>
      </c>
      <c r="K1820" s="1">
        <v>4.7899999999999999E-5</v>
      </c>
      <c r="L1820" s="1">
        <v>5.91E-5</v>
      </c>
      <c r="M1820" s="1">
        <v>3.0599999999999998E-5</v>
      </c>
      <c r="N1820" s="1">
        <v>2.0999999999999999E-5</v>
      </c>
      <c r="O1820" s="1">
        <v>6.6000000000000005E-5</v>
      </c>
      <c r="P1820" s="1">
        <v>4.1600000000000002E-5</v>
      </c>
      <c r="Q1820" s="1">
        <v>2.6400000000000001E-5</v>
      </c>
      <c r="R1820" s="1">
        <v>4.8300000000000002E-5</v>
      </c>
      <c r="S1820" s="1">
        <v>3.8300000000000003E-5</v>
      </c>
      <c r="T1820" s="1">
        <v>2.8600000000000001E-5</v>
      </c>
    </row>
    <row r="1821" spans="1:20" hidden="1" x14ac:dyDescent="0.25">
      <c r="A1821" t="s">
        <v>1829</v>
      </c>
      <c r="B1821" s="1">
        <v>6.9499999999999995E-5</v>
      </c>
      <c r="C1821">
        <v>1.07934E-4</v>
      </c>
      <c r="D1821" s="1">
        <v>8.7800000000000006E-5</v>
      </c>
      <c r="E1821">
        <v>1.10956E-4</v>
      </c>
      <c r="F1821" s="1">
        <v>6.8700000000000003E-5</v>
      </c>
      <c r="G1821" s="1">
        <v>6.2500000000000001E-5</v>
      </c>
      <c r="H1821" s="1">
        <v>8.4099999999999998E-5</v>
      </c>
      <c r="I1821" s="1">
        <v>9.2700000000000004E-5</v>
      </c>
      <c r="J1821" s="1">
        <v>3.8300000000000003E-5</v>
      </c>
      <c r="K1821" s="1">
        <v>7.7399999999999998E-5</v>
      </c>
      <c r="L1821" s="1">
        <v>7.7899999999999996E-5</v>
      </c>
      <c r="M1821" s="1">
        <v>7.0400000000000004E-5</v>
      </c>
      <c r="N1821" s="1">
        <v>5.38E-5</v>
      </c>
      <c r="O1821" s="1">
        <v>5.0399999999999999E-5</v>
      </c>
      <c r="P1821" s="1">
        <v>4.6799999999999999E-5</v>
      </c>
      <c r="Q1821" s="1">
        <v>5.7200000000000001E-5</v>
      </c>
      <c r="R1821" s="1">
        <v>6.7899999999999997E-5</v>
      </c>
      <c r="S1821" s="1">
        <v>6.8399999999999996E-5</v>
      </c>
      <c r="T1821" s="1">
        <v>4.99E-5</v>
      </c>
    </row>
    <row r="1822" spans="1:20" hidden="1" x14ac:dyDescent="0.25">
      <c r="A1822" t="s">
        <v>1830</v>
      </c>
      <c r="B1822">
        <v>1.4667200000000001E-4</v>
      </c>
      <c r="C1822">
        <v>1.7232700000000001E-4</v>
      </c>
      <c r="D1822">
        <v>1.95961E-4</v>
      </c>
      <c r="E1822">
        <v>2.16214E-4</v>
      </c>
      <c r="F1822">
        <v>1.9350699999999999E-4</v>
      </c>
      <c r="G1822">
        <v>1.4869800000000001E-4</v>
      </c>
      <c r="H1822">
        <v>1.4778099999999999E-4</v>
      </c>
      <c r="I1822">
        <v>1.5394399999999999E-4</v>
      </c>
      <c r="J1822">
        <v>1.4647799999999999E-4</v>
      </c>
      <c r="K1822">
        <v>1.4245699999999999E-4</v>
      </c>
      <c r="L1822">
        <v>1.3789600000000001E-4</v>
      </c>
      <c r="M1822">
        <v>1.1725100000000001E-4</v>
      </c>
      <c r="N1822" s="1">
        <v>9.1899999999999998E-5</v>
      </c>
      <c r="O1822">
        <v>1.186E-4</v>
      </c>
      <c r="P1822">
        <v>1.19658E-4</v>
      </c>
      <c r="Q1822">
        <v>1.0184899999999999E-4</v>
      </c>
      <c r="R1822">
        <v>1.5766200000000001E-4</v>
      </c>
      <c r="S1822">
        <v>1.10624E-4</v>
      </c>
      <c r="T1822">
        <v>1.3306099999999999E-4</v>
      </c>
    </row>
    <row r="1823" spans="1:20" hidden="1" x14ac:dyDescent="0.25">
      <c r="A1823" t="s">
        <v>1831</v>
      </c>
      <c r="B1823">
        <v>3.96339E-4</v>
      </c>
      <c r="C1823">
        <v>9.4101799999999995E-4</v>
      </c>
      <c r="D1823">
        <v>1.0554990000000001E-3</v>
      </c>
      <c r="E1823">
        <v>1.2301199999999999E-3</v>
      </c>
      <c r="F1823">
        <v>5.7053200000000001E-4</v>
      </c>
      <c r="G1823">
        <v>1.0538290000000001E-3</v>
      </c>
      <c r="H1823">
        <v>5.0719800000000005E-4</v>
      </c>
      <c r="I1823">
        <v>6.8468499999999998E-4</v>
      </c>
      <c r="J1823">
        <v>5.7585500000000001E-4</v>
      </c>
      <c r="K1823">
        <v>9.4050299999999998E-4</v>
      </c>
      <c r="L1823">
        <v>1.0390519999999999E-3</v>
      </c>
      <c r="M1823">
        <v>4.1587900000000002E-4</v>
      </c>
      <c r="N1823">
        <v>4.5207999999999999E-4</v>
      </c>
      <c r="O1823">
        <v>6.0055099999999995E-4</v>
      </c>
      <c r="P1823">
        <v>4.4523400000000003E-4</v>
      </c>
      <c r="Q1823">
        <v>3.53106E-4</v>
      </c>
      <c r="R1823">
        <v>3.1624000000000002E-4</v>
      </c>
      <c r="S1823">
        <v>4.0361200000000002E-4</v>
      </c>
      <c r="T1823">
        <v>2.9908000000000002E-4</v>
      </c>
    </row>
    <row r="1824" spans="1:20" hidden="1" x14ac:dyDescent="0.25">
      <c r="A1824" t="s">
        <v>1832</v>
      </c>
      <c r="B1824">
        <v>3.9558070000000004E-3</v>
      </c>
      <c r="C1824">
        <v>8.0356890000000004E-3</v>
      </c>
      <c r="D1824">
        <v>7.3078359999999998E-3</v>
      </c>
      <c r="E1824">
        <v>8.4888080000000005E-3</v>
      </c>
      <c r="F1824">
        <v>5.4387619999999998E-3</v>
      </c>
      <c r="G1824">
        <v>7.7155619999999996E-3</v>
      </c>
      <c r="H1824">
        <v>5.4805540000000003E-3</v>
      </c>
      <c r="I1824">
        <v>6.9506450000000001E-3</v>
      </c>
      <c r="J1824">
        <v>4.8399009999999998E-3</v>
      </c>
      <c r="K1824">
        <v>6.6304459999999999E-3</v>
      </c>
      <c r="L1824">
        <v>6.4603680000000002E-3</v>
      </c>
      <c r="M1824">
        <v>4.6783550000000004E-3</v>
      </c>
      <c r="N1824">
        <v>5.5301120000000002E-3</v>
      </c>
      <c r="O1824">
        <v>5.0179990000000004E-3</v>
      </c>
      <c r="P1824">
        <v>4.1587619999999999E-3</v>
      </c>
      <c r="Q1824">
        <v>3.7752520000000002E-3</v>
      </c>
      <c r="R1824">
        <v>3.608712E-3</v>
      </c>
      <c r="S1824">
        <v>4.9222320000000003E-3</v>
      </c>
      <c r="T1824">
        <v>3.0699640000000001E-3</v>
      </c>
    </row>
    <row r="1825" spans="1:20" hidden="1" x14ac:dyDescent="0.25">
      <c r="A1825" t="s">
        <v>1833</v>
      </c>
      <c r="B1825">
        <v>9.5827300000000005E-4</v>
      </c>
      <c r="C1825">
        <v>2.9808949999999999E-3</v>
      </c>
      <c r="D1825">
        <v>2.4732819999999998E-3</v>
      </c>
      <c r="E1825">
        <v>2.5672360000000001E-3</v>
      </c>
      <c r="F1825">
        <v>9.3029600000000005E-4</v>
      </c>
      <c r="G1825">
        <v>2.0299770000000001E-3</v>
      </c>
      <c r="H1825">
        <v>1.1350799999999999E-3</v>
      </c>
      <c r="I1825">
        <v>1.4817700000000001E-3</v>
      </c>
      <c r="J1825">
        <v>8.7845399999999998E-4</v>
      </c>
      <c r="K1825">
        <v>2.6373939999999999E-3</v>
      </c>
      <c r="L1825">
        <v>2.5024130000000002E-3</v>
      </c>
      <c r="M1825">
        <v>9.2323100000000005E-4</v>
      </c>
      <c r="N1825">
        <v>7.47052E-4</v>
      </c>
      <c r="O1825">
        <v>9.7647599999999999E-4</v>
      </c>
      <c r="P1825">
        <v>6.9795800000000004E-4</v>
      </c>
      <c r="Q1825">
        <v>6.8750599999999995E-4</v>
      </c>
      <c r="R1825">
        <v>6.0599899999999997E-4</v>
      </c>
      <c r="S1825">
        <v>6.7124700000000003E-4</v>
      </c>
      <c r="T1825">
        <v>8.3222199999999997E-4</v>
      </c>
    </row>
    <row r="1826" spans="1:20" hidden="1" x14ac:dyDescent="0.25">
      <c r="A1826" t="s">
        <v>1834</v>
      </c>
      <c r="B1826">
        <v>3.61131E-4</v>
      </c>
      <c r="C1826">
        <v>1.013003E-3</v>
      </c>
      <c r="D1826">
        <v>1.134061E-3</v>
      </c>
      <c r="E1826">
        <v>1.233041E-3</v>
      </c>
      <c r="F1826">
        <v>5.53985E-4</v>
      </c>
      <c r="G1826">
        <v>9.5850500000000001E-4</v>
      </c>
      <c r="H1826">
        <v>3.9713599999999997E-4</v>
      </c>
      <c r="I1826">
        <v>5.3351699999999995E-4</v>
      </c>
      <c r="J1826">
        <v>3.9656799999999997E-4</v>
      </c>
      <c r="K1826">
        <v>9.7347600000000003E-4</v>
      </c>
      <c r="L1826">
        <v>8.7665400000000004E-4</v>
      </c>
      <c r="M1826">
        <v>3.2607099999999999E-4</v>
      </c>
      <c r="N1826">
        <v>2.4599399999999998E-4</v>
      </c>
      <c r="O1826">
        <v>4.4023400000000001E-4</v>
      </c>
      <c r="P1826">
        <v>2.7097900000000002E-4</v>
      </c>
      <c r="Q1826">
        <v>2.7439899999999999E-4</v>
      </c>
      <c r="R1826">
        <v>2.24236E-4</v>
      </c>
      <c r="S1826">
        <v>2.7375899999999999E-4</v>
      </c>
      <c r="T1826">
        <v>2.8363299999999999E-4</v>
      </c>
    </row>
    <row r="1827" spans="1:20" hidden="1" x14ac:dyDescent="0.25">
      <c r="A1827" t="s">
        <v>1835</v>
      </c>
      <c r="B1827">
        <v>2.75846E-4</v>
      </c>
      <c r="C1827">
        <v>6.1632899999999999E-4</v>
      </c>
      <c r="D1827">
        <v>7.3299699999999999E-4</v>
      </c>
      <c r="E1827">
        <v>7.51018E-4</v>
      </c>
      <c r="F1827">
        <v>5.2064600000000004E-4</v>
      </c>
      <c r="G1827">
        <v>7.0408199999999997E-4</v>
      </c>
      <c r="H1827">
        <v>5.1030699999999999E-4</v>
      </c>
      <c r="I1827">
        <v>6.4338299999999998E-4</v>
      </c>
      <c r="J1827">
        <v>3.7857100000000002E-4</v>
      </c>
      <c r="K1827">
        <v>7.1036299999999999E-4</v>
      </c>
      <c r="L1827">
        <v>6.4979800000000004E-4</v>
      </c>
      <c r="M1827">
        <v>2.5094499999999998E-4</v>
      </c>
      <c r="N1827">
        <v>3.3144400000000002E-4</v>
      </c>
      <c r="O1827">
        <v>5.1227100000000002E-4</v>
      </c>
      <c r="P1827">
        <v>3.03744E-4</v>
      </c>
      <c r="Q1827">
        <v>3.7835499999999998E-4</v>
      </c>
      <c r="R1827">
        <v>3.1089000000000003E-4</v>
      </c>
      <c r="S1827">
        <v>4.9814399999999995E-4</v>
      </c>
      <c r="T1827">
        <v>3.84485E-4</v>
      </c>
    </row>
    <row r="1828" spans="1:20" hidden="1" x14ac:dyDescent="0.25">
      <c r="A1828" t="s">
        <v>1836</v>
      </c>
      <c r="B1828">
        <v>2.8364919999999999E-3</v>
      </c>
      <c r="C1828">
        <v>5.5169310000000001E-3</v>
      </c>
      <c r="D1828">
        <v>7.0551379999999999E-3</v>
      </c>
      <c r="E1828">
        <v>7.8366730000000006E-3</v>
      </c>
      <c r="F1828">
        <v>4.2999270000000003E-3</v>
      </c>
      <c r="G1828">
        <v>5.0172489999999997E-3</v>
      </c>
      <c r="H1828">
        <v>3.980239E-3</v>
      </c>
      <c r="I1828">
        <v>5.1471219999999996E-3</v>
      </c>
      <c r="J1828">
        <v>3.6450720000000001E-3</v>
      </c>
      <c r="K1828">
        <v>6.4575429999999996E-3</v>
      </c>
      <c r="L1828">
        <v>5.329393E-3</v>
      </c>
      <c r="M1828">
        <v>2.584051E-3</v>
      </c>
      <c r="N1828">
        <v>3.0363600000000001E-3</v>
      </c>
      <c r="O1828">
        <v>4.1806150000000004E-3</v>
      </c>
      <c r="P1828">
        <v>2.4151950000000002E-3</v>
      </c>
      <c r="Q1828">
        <v>2.2318260000000001E-3</v>
      </c>
      <c r="R1828">
        <v>2.3438109999999999E-3</v>
      </c>
      <c r="S1828">
        <v>2.6481199999999999E-3</v>
      </c>
      <c r="T1828">
        <v>2.436105E-3</v>
      </c>
    </row>
    <row r="1829" spans="1:20" hidden="1" x14ac:dyDescent="0.25">
      <c r="A1829" t="s">
        <v>1837</v>
      </c>
      <c r="B1829">
        <v>0</v>
      </c>
      <c r="C1829">
        <v>0</v>
      </c>
      <c r="D1829">
        <v>0</v>
      </c>
      <c r="E1829">
        <v>0</v>
      </c>
      <c r="F1829">
        <v>0</v>
      </c>
      <c r="G1829" s="1">
        <v>1.5E-5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s="1">
        <v>1.11E-5</v>
      </c>
      <c r="Q1829" s="1">
        <v>1.6799999999999998E-5</v>
      </c>
      <c r="R1829" s="1">
        <v>1.52E-5</v>
      </c>
      <c r="S1829" s="1">
        <v>2.65E-5</v>
      </c>
      <c r="T1829" s="1">
        <v>9.8099999999999992E-6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C7A7-2AE7-774D-B195-6F89BCABDEA2}">
  <dimension ref="A1:T1829"/>
  <sheetViews>
    <sheetView workbookViewId="0"/>
  </sheetViews>
  <sheetFormatPr defaultColWidth="11" defaultRowHeight="15.75" x14ac:dyDescent="0.25"/>
  <sheetData>
    <row r="1" spans="1:2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7" t="s">
        <v>19</v>
      </c>
    </row>
    <row r="2" spans="1:20" x14ac:dyDescent="0.25">
      <c r="A2" s="5" t="s">
        <v>20</v>
      </c>
      <c r="B2" cm="1">
        <f t="array" ref="B2:B1829">-IFERROR(LOG(Table1[riBAQ 17], 2), 0)</f>
        <v>14.005569150767952</v>
      </c>
      <c r="C2" cm="1">
        <f t="array" ref="C2:C1829">-IFERROR(LOG(Table1[riBAQ 18], 2), 0)</f>
        <v>16.823880700009802</v>
      </c>
      <c r="D2" cm="1">
        <f t="array" ref="D2:D1829">-IFERROR(LOG(Table1[riBAQ 35], 2), 0)</f>
        <v>15.761643567881864</v>
      </c>
      <c r="E2" cm="1">
        <f t="array" ref="E2:E1829">-IFERROR(LOG(Table1[riBAQ 36], 2), 0)</f>
        <v>17.329872052843218</v>
      </c>
      <c r="F2" cm="1">
        <f t="array" ref="F2:F1829">-IFERROR(LOG(Table1[riBAQ 19], 2), 0)</f>
        <v>12.835855085072909</v>
      </c>
      <c r="G2" cm="1">
        <f t="array" ref="G2:G1829">-IFERROR(LOG(Table1[riBAQ 20], 2), 0)</f>
        <v>13.340607327981576</v>
      </c>
      <c r="H2" cm="1">
        <f t="array" ref="H2:H1829">-IFERROR(LOG(Table1[riBAQ 21], 2), 0)</f>
        <v>12.58865831386726</v>
      </c>
      <c r="I2" cm="1">
        <f t="array" ref="I2:I1829">-IFERROR(LOG(Table1[riBAQ 22], 2), 0)</f>
        <v>13.1492910691292</v>
      </c>
      <c r="J2" cm="1">
        <f t="array" ref="J2:J1829">-IFERROR(LOG(Table1[riBAQ 23], 2), 0)</f>
        <v>13.767667355509634</v>
      </c>
      <c r="K2" cm="1">
        <f t="array" ref="K2:K1829">-IFERROR(LOG(Table1[riBAQ 37], 2), 0)</f>
        <v>13.904768509980459</v>
      </c>
      <c r="L2" cm="1">
        <f t="array" ref="L2:L1829">-IFERROR(LOG(Table1[riBAQ 38], 2), 0)</f>
        <v>13.706602204323898</v>
      </c>
      <c r="M2" cm="1">
        <f t="array" ref="M2:M1829">-IFERROR(LOG(Table1[riBAQ 39], 2), 0)</f>
        <v>13.268921554039393</v>
      </c>
      <c r="N2" cm="1">
        <f t="array" ref="N2:N1829">-IFERROR(LOG(Table1[riBAQ 40], 2), 0)</f>
        <v>13.158693193820122</v>
      </c>
      <c r="O2" cm="1">
        <f t="array" ref="O2:O1829">-IFERROR(LOG(Table1[riBAQ 41], 2), 0)</f>
        <v>13.293494732143458</v>
      </c>
      <c r="P2" cm="1">
        <f t="array" ref="P2:P1829">-IFERROR(LOG(Table1[riBAQ 24], 2), 0)</f>
        <v>12.028861838921074</v>
      </c>
      <c r="Q2" cm="1">
        <f t="array" ref="Q2:Q1829">-IFERROR(LOG(Table1[riBAQ 25], 2), 0)</f>
        <v>13.137386672492253</v>
      </c>
      <c r="R2" cm="1">
        <f t="array" ref="R2:R1829">-IFERROR(LOG(Table1[riBAQ 26], 2), 0)</f>
        <v>12.27690390197295</v>
      </c>
      <c r="S2" cm="1">
        <f t="array" ref="S2:S1829">-IFERROR(LOG(Table1[riBAQ 42], 2), 0)</f>
        <v>12.377071807503111</v>
      </c>
      <c r="T2" cm="1">
        <f t="array" ref="T2:T1829">-IFERROR(LOG(Table1[riBAQ 43], 2), 0)</f>
        <v>13.406439318120201</v>
      </c>
    </row>
    <row r="3" spans="1:20" x14ac:dyDescent="0.25">
      <c r="A3" s="6" t="s">
        <v>21</v>
      </c>
      <c r="B3">
        <v>15.401747622795478</v>
      </c>
      <c r="C3">
        <v>13.712400048862014</v>
      </c>
      <c r="D3">
        <v>14.401747622795481</v>
      </c>
      <c r="E3">
        <v>13.906982931045901</v>
      </c>
      <c r="F3">
        <v>15.370853614849695</v>
      </c>
      <c r="G3">
        <v>14.683641055880589</v>
      </c>
      <c r="H3">
        <v>14.627787821147072</v>
      </c>
      <c r="I3">
        <v>15.7066022043239</v>
      </c>
      <c r="J3">
        <v>15.595285181459742</v>
      </c>
      <c r="K3">
        <v>14.718221287590733</v>
      </c>
      <c r="L3">
        <v>14.325718702129196</v>
      </c>
      <c r="M3">
        <v>0</v>
      </c>
      <c r="N3">
        <v>0</v>
      </c>
      <c r="O3">
        <v>15.242269408788282</v>
      </c>
      <c r="P3">
        <v>16.103749544706854</v>
      </c>
      <c r="Q3">
        <v>0</v>
      </c>
      <c r="R3">
        <v>0</v>
      </c>
      <c r="S3">
        <v>0</v>
      </c>
      <c r="T3">
        <v>16.485312339434611</v>
      </c>
    </row>
    <row r="4" spans="1:20" x14ac:dyDescent="0.25">
      <c r="A4" s="5" t="s">
        <v>22</v>
      </c>
      <c r="B4">
        <v>14.958875915319911</v>
      </c>
      <c r="C4">
        <v>13.414292876114592</v>
      </c>
      <c r="D4">
        <v>13.43331770179635</v>
      </c>
      <c r="E4">
        <v>13.551323978845989</v>
      </c>
      <c r="F4">
        <v>14.584611679945288</v>
      </c>
      <c r="G4">
        <v>13.378515316557763</v>
      </c>
      <c r="H4">
        <v>14.176681067160706</v>
      </c>
      <c r="I4">
        <v>14.256317183273916</v>
      </c>
      <c r="J4">
        <v>14.442925029470389</v>
      </c>
      <c r="K4">
        <v>14.015091924886457</v>
      </c>
      <c r="L4">
        <v>13.383131944628133</v>
      </c>
      <c r="M4">
        <v>14.096149728848694</v>
      </c>
      <c r="N4">
        <v>14.287712379549449</v>
      </c>
      <c r="O4">
        <v>14.220073662674087</v>
      </c>
      <c r="P4">
        <v>14.308052827833627</v>
      </c>
      <c r="Q4">
        <v>13.757641637324365</v>
      </c>
      <c r="R4">
        <v>13.693163829999097</v>
      </c>
      <c r="S4">
        <v>13.61687204366789</v>
      </c>
      <c r="T4">
        <v>14.222829527964596</v>
      </c>
    </row>
    <row r="5" spans="1:20" x14ac:dyDescent="0.25">
      <c r="A5" s="6" t="s">
        <v>23</v>
      </c>
      <c r="B5">
        <v>14.726019658151142</v>
      </c>
      <c r="C5">
        <v>14.281953110260764</v>
      </c>
      <c r="D5">
        <v>13.808481818343115</v>
      </c>
      <c r="E5">
        <v>14.003198246305205</v>
      </c>
      <c r="F5">
        <v>14.45908079786143</v>
      </c>
      <c r="G5">
        <v>14.43331770179635</v>
      </c>
      <c r="H5">
        <v>15.119070343990609</v>
      </c>
      <c r="I5">
        <v>14.45908079786143</v>
      </c>
      <c r="J5">
        <v>15.358678900903593</v>
      </c>
      <c r="K5">
        <v>14.991401818841357</v>
      </c>
      <c r="L5">
        <v>14.209102544853085</v>
      </c>
      <c r="M5">
        <v>0</v>
      </c>
      <c r="N5">
        <v>0</v>
      </c>
      <c r="O5">
        <v>14.417446309153467</v>
      </c>
      <c r="P5">
        <v>15.247872115017659</v>
      </c>
      <c r="Q5">
        <v>15.61687204366789</v>
      </c>
      <c r="R5">
        <v>15.214577674919234</v>
      </c>
      <c r="S5">
        <v>15.737796825927495</v>
      </c>
      <c r="T5">
        <v>15.340607327981576</v>
      </c>
    </row>
    <row r="6" spans="1:20" x14ac:dyDescent="0.25">
      <c r="A6" s="5" t="s">
        <v>24</v>
      </c>
      <c r="B6">
        <v>12.428474300166837</v>
      </c>
      <c r="C6">
        <v>14.606038237756618</v>
      </c>
      <c r="D6">
        <v>13.563498692792091</v>
      </c>
      <c r="E6">
        <v>13.769680886947281</v>
      </c>
      <c r="F6">
        <v>13.387763393359778</v>
      </c>
      <c r="G6">
        <v>14.373913414598753</v>
      </c>
      <c r="H6">
        <v>12.639909762081889</v>
      </c>
      <c r="I6">
        <v>13.505303814622076</v>
      </c>
      <c r="J6">
        <v>13.020212536945355</v>
      </c>
      <c r="K6">
        <v>13.547864276850122</v>
      </c>
      <c r="L6">
        <v>14.239476193896602</v>
      </c>
      <c r="M6">
        <v>13.240187950167035</v>
      </c>
      <c r="N6">
        <v>13.027012218054745</v>
      </c>
      <c r="O6">
        <v>13.457457055381768</v>
      </c>
      <c r="P6">
        <v>12.61254682370247</v>
      </c>
      <c r="Q6">
        <v>12.574227706259396</v>
      </c>
      <c r="R6">
        <v>12.494657187169894</v>
      </c>
      <c r="S6">
        <v>13.586385122136509</v>
      </c>
      <c r="T6">
        <v>11.929169829880802</v>
      </c>
    </row>
    <row r="7" spans="1:20" x14ac:dyDescent="0.25">
      <c r="A7" s="6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17.107819209015901</v>
      </c>
      <c r="I7">
        <v>0</v>
      </c>
      <c r="J7">
        <v>17.187407473753765</v>
      </c>
      <c r="K7">
        <v>0</v>
      </c>
      <c r="L7">
        <v>16.740953709114677</v>
      </c>
      <c r="M7">
        <v>0</v>
      </c>
      <c r="N7">
        <v>0</v>
      </c>
      <c r="O7">
        <v>0</v>
      </c>
      <c r="P7">
        <v>0</v>
      </c>
      <c r="Q7">
        <v>17.242269408788282</v>
      </c>
      <c r="R7">
        <v>17.269363069670558</v>
      </c>
      <c r="S7">
        <v>16.792426550178487</v>
      </c>
      <c r="T7">
        <v>16.753650777128332</v>
      </c>
    </row>
    <row r="8" spans="1:20" x14ac:dyDescent="0.25">
      <c r="A8" s="5" t="s">
        <v>26</v>
      </c>
      <c r="B8">
        <v>16.134555591488027</v>
      </c>
      <c r="C8">
        <v>0</v>
      </c>
      <c r="D8">
        <v>17.44872028625571</v>
      </c>
      <c r="E8">
        <v>18.196046392027636</v>
      </c>
      <c r="F8">
        <v>0</v>
      </c>
      <c r="G8">
        <v>16.635845544784207</v>
      </c>
      <c r="H8">
        <v>17.344203578387713</v>
      </c>
      <c r="I8">
        <v>0</v>
      </c>
      <c r="J8">
        <v>17.332250775625948</v>
      </c>
      <c r="K8">
        <v>17.771293737915581</v>
      </c>
      <c r="L8">
        <v>16.113945311812746</v>
      </c>
      <c r="M8">
        <v>16.718999230473369</v>
      </c>
      <c r="N8">
        <v>17.761643567881862</v>
      </c>
      <c r="O8">
        <v>17.385600200218882</v>
      </c>
      <c r="P8">
        <v>15.532397475504352</v>
      </c>
      <c r="Q8">
        <v>15.861179241432778</v>
      </c>
      <c r="R8">
        <v>16.322759326648651</v>
      </c>
      <c r="S8">
        <v>17.428219834156671</v>
      </c>
      <c r="T8">
        <v>16.807240434321972</v>
      </c>
    </row>
    <row r="9" spans="1:20" x14ac:dyDescent="0.25">
      <c r="A9" s="6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17.113945311812746</v>
      </c>
      <c r="I9">
        <v>0</v>
      </c>
      <c r="J9">
        <v>16.737796825927497</v>
      </c>
      <c r="K9">
        <v>0</v>
      </c>
      <c r="L9">
        <v>17.271644010921797</v>
      </c>
      <c r="M9">
        <v>0</v>
      </c>
      <c r="N9">
        <v>0</v>
      </c>
      <c r="O9">
        <v>0</v>
      </c>
      <c r="P9">
        <v>16.383131944628133</v>
      </c>
      <c r="Q9">
        <v>16.015091924886459</v>
      </c>
      <c r="R9">
        <v>16.198214228710349</v>
      </c>
      <c r="S9">
        <v>16.015091924886459</v>
      </c>
      <c r="T9">
        <v>15.602444973032609</v>
      </c>
    </row>
    <row r="10" spans="1:20" x14ac:dyDescent="0.25">
      <c r="A10" s="5" t="s">
        <v>28</v>
      </c>
      <c r="B10">
        <v>14.887174449965721</v>
      </c>
      <c r="C10">
        <v>0</v>
      </c>
      <c r="D10">
        <v>16.861179241432779</v>
      </c>
      <c r="E10">
        <v>0</v>
      </c>
      <c r="F10">
        <v>0</v>
      </c>
      <c r="G10">
        <v>0</v>
      </c>
      <c r="H10">
        <v>0</v>
      </c>
      <c r="I10">
        <v>0</v>
      </c>
      <c r="J10">
        <v>15.810553168362809</v>
      </c>
      <c r="K10">
        <v>16.459080797861432</v>
      </c>
      <c r="L10">
        <v>0</v>
      </c>
      <c r="M10">
        <v>16.124213647266568</v>
      </c>
      <c r="N10">
        <v>15.322759326648649</v>
      </c>
      <c r="O10">
        <v>0</v>
      </c>
      <c r="P10">
        <v>14.785891114128539</v>
      </c>
      <c r="Q10">
        <v>0</v>
      </c>
      <c r="R10">
        <v>13.989054063984934</v>
      </c>
      <c r="S10">
        <v>14.741744010444156</v>
      </c>
      <c r="T10">
        <v>13.625962779738746</v>
      </c>
    </row>
    <row r="11" spans="1:20" x14ac:dyDescent="0.25">
      <c r="A11" s="6" t="s">
        <v>29</v>
      </c>
      <c r="B11">
        <v>0</v>
      </c>
      <c r="C11">
        <v>15.861179241432778</v>
      </c>
      <c r="D11">
        <v>0</v>
      </c>
      <c r="E11">
        <v>0</v>
      </c>
      <c r="F11">
        <v>0</v>
      </c>
      <c r="G11">
        <v>15.27621674071162</v>
      </c>
      <c r="H11">
        <v>0</v>
      </c>
      <c r="I11">
        <v>0</v>
      </c>
      <c r="J11">
        <v>0</v>
      </c>
      <c r="K11">
        <v>15.182034301654912</v>
      </c>
      <c r="L11">
        <v>0</v>
      </c>
      <c r="M11">
        <v>0</v>
      </c>
      <c r="N11">
        <v>0</v>
      </c>
      <c r="O11">
        <v>0</v>
      </c>
      <c r="P11">
        <v>15.67606783617579</v>
      </c>
      <c r="Q11">
        <v>15.370853614849695</v>
      </c>
      <c r="R11">
        <v>16.034328143749374</v>
      </c>
      <c r="S11">
        <v>15.176681067160706</v>
      </c>
      <c r="T11">
        <v>15.044043298582586</v>
      </c>
    </row>
    <row r="12" spans="1:20" x14ac:dyDescent="0.25">
      <c r="A12" s="5" t="s">
        <v>30</v>
      </c>
      <c r="B12">
        <v>13.537534673956392</v>
      </c>
      <c r="C12">
        <v>13.528982811091586</v>
      </c>
      <c r="D12">
        <v>13.681744020707992</v>
      </c>
      <c r="E12">
        <v>13.420606650046794</v>
      </c>
      <c r="F12">
        <v>13.472136950686879</v>
      </c>
      <c r="G12">
        <v>13.007991493995691</v>
      </c>
      <c r="H12">
        <v>13.342104676368077</v>
      </c>
      <c r="I12">
        <v>13.011513514517207</v>
      </c>
      <c r="J12">
        <v>13.241123536513005</v>
      </c>
      <c r="K12">
        <v>13.152702938198289</v>
      </c>
      <c r="L12">
        <v>13.034860780498777</v>
      </c>
      <c r="M12">
        <v>13.056341415980681</v>
      </c>
      <c r="N12">
        <v>13.058222895649624</v>
      </c>
      <c r="O12">
        <v>13.251441161673295</v>
      </c>
      <c r="P12">
        <v>12.482774965553695</v>
      </c>
      <c r="Q12">
        <v>12.129116828048554</v>
      </c>
      <c r="R12">
        <v>12.411327061889812</v>
      </c>
      <c r="S12">
        <v>11.767385685231465</v>
      </c>
      <c r="T12">
        <v>12.223367535597442</v>
      </c>
    </row>
    <row r="13" spans="1:20" x14ac:dyDescent="0.25">
      <c r="A13" s="6" t="s">
        <v>31</v>
      </c>
      <c r="B13">
        <v>14.38005255169616</v>
      </c>
      <c r="C13">
        <v>13.902557482665108</v>
      </c>
      <c r="D13">
        <v>14.386217924501876</v>
      </c>
      <c r="E13">
        <v>14.264811977439372</v>
      </c>
      <c r="F13">
        <v>13.409575612922502</v>
      </c>
      <c r="G13">
        <v>14.887174449965721</v>
      </c>
      <c r="H13">
        <v>0</v>
      </c>
      <c r="I13">
        <v>14.068621321303253</v>
      </c>
      <c r="J13">
        <v>14.927067177089235</v>
      </c>
      <c r="K13">
        <v>14.814704811633275</v>
      </c>
      <c r="L13">
        <v>14.361712960993227</v>
      </c>
      <c r="M13">
        <v>15.996108821518886</v>
      </c>
      <c r="N13">
        <v>15.370853614849695</v>
      </c>
      <c r="O13">
        <v>15.187407473753764</v>
      </c>
      <c r="P13">
        <v>0</v>
      </c>
      <c r="Q13">
        <v>14.75365077712833</v>
      </c>
      <c r="R13">
        <v>15.124213647266568</v>
      </c>
      <c r="S13">
        <v>14.852617227929352</v>
      </c>
      <c r="T13">
        <v>14.53582024114514</v>
      </c>
    </row>
    <row r="14" spans="1:20" x14ac:dyDescent="0.25">
      <c r="A14" s="5" t="s">
        <v>32</v>
      </c>
      <c r="B14">
        <v>13.106673455117782</v>
      </c>
      <c r="C14">
        <v>12.54281074706469</v>
      </c>
      <c r="D14">
        <v>12.285614783896007</v>
      </c>
      <c r="E14">
        <v>12.494590579981855</v>
      </c>
      <c r="F14">
        <v>12.194463220845122</v>
      </c>
      <c r="G14">
        <v>13.27628830474055</v>
      </c>
      <c r="H14">
        <v>13.270089728225397</v>
      </c>
      <c r="I14">
        <v>12.790922820992083</v>
      </c>
      <c r="J14">
        <v>13.406439318120201</v>
      </c>
      <c r="K14">
        <v>12.853150867676842</v>
      </c>
      <c r="L14">
        <v>13.117261691700385</v>
      </c>
      <c r="M14">
        <v>13.963477817278919</v>
      </c>
      <c r="N14">
        <v>13.485312339434611</v>
      </c>
      <c r="O14">
        <v>13.470498455291123</v>
      </c>
      <c r="P14">
        <v>14.017482472311452</v>
      </c>
      <c r="Q14">
        <v>13.965784284662087</v>
      </c>
      <c r="R14">
        <v>14.528982811091586</v>
      </c>
      <c r="S14">
        <v>14.124213647266572</v>
      </c>
      <c r="T14">
        <v>14.4397154729945</v>
      </c>
    </row>
    <row r="15" spans="1:20" x14ac:dyDescent="0.25">
      <c r="A15" s="6" t="s">
        <v>33</v>
      </c>
      <c r="B15">
        <v>0</v>
      </c>
      <c r="C15">
        <v>16.581071322240042</v>
      </c>
      <c r="D15">
        <v>17.420606650046796</v>
      </c>
      <c r="E15">
        <v>16.59528518145974</v>
      </c>
      <c r="F15">
        <v>17.083571662769224</v>
      </c>
      <c r="G15">
        <v>0</v>
      </c>
      <c r="H15">
        <v>0</v>
      </c>
      <c r="I15">
        <v>17.196046392027636</v>
      </c>
      <c r="J15">
        <v>0</v>
      </c>
      <c r="K15">
        <v>16.383131944628133</v>
      </c>
      <c r="L15">
        <v>16.67455795111815</v>
      </c>
      <c r="M15">
        <v>16.472136950686878</v>
      </c>
      <c r="N15">
        <v>16.34660606860302</v>
      </c>
      <c r="O15">
        <v>17.4747624200937</v>
      </c>
      <c r="P15">
        <v>17.375752414262536</v>
      </c>
      <c r="Q15">
        <v>17.017004045830234</v>
      </c>
      <c r="R15">
        <v>15.745702024012841</v>
      </c>
      <c r="S15">
        <v>16.113945311812746</v>
      </c>
      <c r="T15">
        <v>16.383131944628133</v>
      </c>
    </row>
    <row r="16" spans="1:20" x14ac:dyDescent="0.25">
      <c r="A16" s="5" t="s">
        <v>34</v>
      </c>
      <c r="B16">
        <v>15.869792371737484</v>
      </c>
      <c r="C16">
        <v>14.986710123516636</v>
      </c>
      <c r="D16">
        <v>14.827231909509438</v>
      </c>
      <c r="E16">
        <v>15.15546458125101</v>
      </c>
      <c r="F16">
        <v>14.940613708927183</v>
      </c>
      <c r="G16">
        <v>15.63144484475516</v>
      </c>
      <c r="H16">
        <v>15.401747622795478</v>
      </c>
      <c r="I16">
        <v>15.827231909509438</v>
      </c>
      <c r="J16">
        <v>15.777763233245141</v>
      </c>
      <c r="K16">
        <v>15.024677973715658</v>
      </c>
      <c r="L16">
        <v>15.015091924886457</v>
      </c>
      <c r="M16">
        <v>16.05382431937517</v>
      </c>
      <c r="N16">
        <v>15.986710123516636</v>
      </c>
      <c r="O16">
        <v>15.818868436574812</v>
      </c>
      <c r="P16">
        <v>15.777763233245141</v>
      </c>
      <c r="Q16">
        <v>14.729934708154525</v>
      </c>
      <c r="R16">
        <v>14.67606783617579</v>
      </c>
      <c r="S16">
        <v>15.546137532130656</v>
      </c>
      <c r="T16">
        <v>15.376979717646538</v>
      </c>
    </row>
    <row r="17" spans="1:20" x14ac:dyDescent="0.25">
      <c r="A17" s="6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15.785891114128539</v>
      </c>
      <c r="R17">
        <v>15.182034301654912</v>
      </c>
      <c r="S17">
        <v>14.358678900903593</v>
      </c>
      <c r="T17">
        <v>15.316858725208965</v>
      </c>
    </row>
    <row r="18" spans="1:20" x14ac:dyDescent="0.25">
      <c r="A18" s="5" t="s">
        <v>36</v>
      </c>
      <c r="B18">
        <v>14.865479378866404</v>
      </c>
      <c r="C18">
        <v>0</v>
      </c>
      <c r="D18">
        <v>15.039177543410771</v>
      </c>
      <c r="E18">
        <v>14.839868735187364</v>
      </c>
      <c r="F18">
        <v>15.818868436574812</v>
      </c>
      <c r="G18">
        <v>0</v>
      </c>
      <c r="H18">
        <v>14.168688276407176</v>
      </c>
      <c r="I18">
        <v>15.370853614849695</v>
      </c>
      <c r="J18">
        <v>14.012705332049579</v>
      </c>
      <c r="K18">
        <v>14.355651208206025</v>
      </c>
      <c r="L18">
        <v>14.852617227929352</v>
      </c>
      <c r="M18">
        <v>14.806413438001886</v>
      </c>
      <c r="N18">
        <v>13.593500771781558</v>
      </c>
      <c r="O18">
        <v>14.745702024012841</v>
      </c>
      <c r="P18">
        <v>13.648017146149867</v>
      </c>
      <c r="Q18">
        <v>13.187245987078496</v>
      </c>
      <c r="R18">
        <v>12.822782778419597</v>
      </c>
      <c r="S18">
        <v>13.913646661326911</v>
      </c>
      <c r="T18">
        <v>12.698313207074909</v>
      </c>
    </row>
    <row r="19" spans="1:20" x14ac:dyDescent="0.25">
      <c r="A19" s="6" t="s">
        <v>37</v>
      </c>
      <c r="B19">
        <v>15.878457232864612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15.83564414932564</v>
      </c>
      <c r="O19">
        <v>0</v>
      </c>
      <c r="P19">
        <v>15.852617227929352</v>
      </c>
      <c r="Q19">
        <v>14.900349838713455</v>
      </c>
      <c r="R19">
        <v>14.823044112546006</v>
      </c>
      <c r="S19">
        <v>0</v>
      </c>
      <c r="T19">
        <v>14.192800732523983</v>
      </c>
    </row>
    <row r="20" spans="1:20" x14ac:dyDescent="0.25">
      <c r="A20" s="5" t="s">
        <v>38</v>
      </c>
      <c r="B20">
        <v>15.986710123516636</v>
      </c>
      <c r="C20">
        <v>0</v>
      </c>
      <c r="D20">
        <v>0</v>
      </c>
      <c r="E20">
        <v>0</v>
      </c>
      <c r="F20">
        <v>15.485312339434612</v>
      </c>
      <c r="G20">
        <v>0</v>
      </c>
      <c r="H20">
        <v>16.242269408788282</v>
      </c>
      <c r="I20">
        <v>0</v>
      </c>
      <c r="J20">
        <v>15.683641055880589</v>
      </c>
      <c r="K20">
        <v>16.953372939642524</v>
      </c>
      <c r="L20">
        <v>0</v>
      </c>
      <c r="M20">
        <v>0</v>
      </c>
      <c r="N20">
        <v>15.7066022043239</v>
      </c>
      <c r="O20">
        <v>17.717443763971328</v>
      </c>
      <c r="P20">
        <v>14.918106309517611</v>
      </c>
      <c r="Q20">
        <v>13.611444971283561</v>
      </c>
      <c r="R20">
        <v>13.661039626943458</v>
      </c>
      <c r="S20">
        <v>15.231128851183083</v>
      </c>
      <c r="T20">
        <v>13.229742310912121</v>
      </c>
    </row>
    <row r="21" spans="1:20" x14ac:dyDescent="0.25">
      <c r="A21" s="6" t="s">
        <v>39</v>
      </c>
      <c r="B21">
        <v>10.149169833838721</v>
      </c>
      <c r="C21">
        <v>10.963947460988392</v>
      </c>
      <c r="D21">
        <v>12.03912289690631</v>
      </c>
      <c r="E21">
        <v>12.575380732212071</v>
      </c>
      <c r="F21">
        <v>11.133200458060546</v>
      </c>
      <c r="G21">
        <v>10.457177144523474</v>
      </c>
      <c r="H21">
        <v>10.040681134001158</v>
      </c>
      <c r="I21">
        <v>10.921468510143358</v>
      </c>
      <c r="J21">
        <v>10.568616576963501</v>
      </c>
      <c r="K21">
        <v>10.997220148198602</v>
      </c>
      <c r="L21">
        <v>10.488958838950648</v>
      </c>
      <c r="M21">
        <v>10.303367296403474</v>
      </c>
      <c r="N21">
        <v>10.198295585987786</v>
      </c>
      <c r="O21">
        <v>10.847036525266748</v>
      </c>
      <c r="P21">
        <v>9.7810190468881366</v>
      </c>
      <c r="Q21">
        <v>10.062422023168679</v>
      </c>
      <c r="R21">
        <v>9.9160698848664577</v>
      </c>
      <c r="S21">
        <v>11.90030020556353</v>
      </c>
      <c r="T21">
        <v>10.985100870654978</v>
      </c>
    </row>
    <row r="22" spans="1:20" x14ac:dyDescent="0.25">
      <c r="A22" s="5" t="s">
        <v>40</v>
      </c>
      <c r="B22">
        <v>13.657306908067127</v>
      </c>
      <c r="C22">
        <v>0</v>
      </c>
      <c r="D22">
        <v>14.777763233245141</v>
      </c>
      <c r="E22">
        <v>15.171347622857667</v>
      </c>
      <c r="F22">
        <v>14.570502080529854</v>
      </c>
      <c r="G22">
        <v>15.581071322240042</v>
      </c>
      <c r="H22">
        <v>13.624140044131927</v>
      </c>
      <c r="I22">
        <v>14.198214228710349</v>
      </c>
      <c r="J22">
        <v>13.483658820582097</v>
      </c>
      <c r="K22">
        <v>14.613251727989191</v>
      </c>
      <c r="L22">
        <v>15.43331770179635</v>
      </c>
      <c r="M22">
        <v>14.081069155566054</v>
      </c>
      <c r="N22">
        <v>13.444532489292275</v>
      </c>
      <c r="O22">
        <v>14.184718386226123</v>
      </c>
      <c r="P22">
        <v>13.355651208206025</v>
      </c>
      <c r="Q22">
        <v>12.913134684497356</v>
      </c>
      <c r="R22">
        <v>12.946979218961717</v>
      </c>
      <c r="S22">
        <v>13.933824543264544</v>
      </c>
      <c r="T22">
        <v>12.737580043780255</v>
      </c>
    </row>
    <row r="23" spans="1:20" x14ac:dyDescent="0.25">
      <c r="A23" s="6" t="s">
        <v>41</v>
      </c>
      <c r="B23">
        <v>12.683849882117718</v>
      </c>
      <c r="C23">
        <v>12.412034527379655</v>
      </c>
      <c r="D23">
        <v>12.411350638484308</v>
      </c>
      <c r="E23">
        <v>12.264712582582991</v>
      </c>
      <c r="F23">
        <v>12.915807869100268</v>
      </c>
      <c r="G23">
        <v>12.709256657769878</v>
      </c>
      <c r="H23">
        <v>12.674812633416897</v>
      </c>
      <c r="I23">
        <v>12.356793415749122</v>
      </c>
      <c r="J23">
        <v>12.459787696629251</v>
      </c>
      <c r="K23">
        <v>12.188423908926529</v>
      </c>
      <c r="L23">
        <v>12.780125756093161</v>
      </c>
      <c r="M23">
        <v>13.100514730000164</v>
      </c>
      <c r="N23">
        <v>12.505463190900445</v>
      </c>
      <c r="O23">
        <v>12.028855810246258</v>
      </c>
      <c r="P23">
        <v>13.152558426308227</v>
      </c>
      <c r="Q23">
        <v>13.449365643028219</v>
      </c>
      <c r="R23">
        <v>12.879609241440775</v>
      </c>
      <c r="S23">
        <v>13.575777022570529</v>
      </c>
      <c r="T23">
        <v>13.191221117082563</v>
      </c>
    </row>
    <row r="24" spans="1:20" x14ac:dyDescent="0.25">
      <c r="A24" s="5" t="s">
        <v>42</v>
      </c>
      <c r="B24">
        <v>11.744231343833436</v>
      </c>
      <c r="C24">
        <v>11.749382813414895</v>
      </c>
      <c r="D24">
        <v>11.898817513538104</v>
      </c>
      <c r="E24">
        <v>11.359918302031401</v>
      </c>
      <c r="F24">
        <v>12.117928448519136</v>
      </c>
      <c r="G24">
        <v>12.515700069115267</v>
      </c>
      <c r="H24">
        <v>12.259737400590048</v>
      </c>
      <c r="I24">
        <v>0</v>
      </c>
      <c r="J24">
        <v>12.231572825656778</v>
      </c>
      <c r="K24">
        <v>11.984954663911415</v>
      </c>
      <c r="L24">
        <v>0</v>
      </c>
      <c r="M24">
        <v>12.604204554513029</v>
      </c>
      <c r="N24">
        <v>11.725511481116595</v>
      </c>
      <c r="O24">
        <v>11.637329220168789</v>
      </c>
      <c r="P24">
        <v>13.166803111782245</v>
      </c>
      <c r="Q24">
        <v>12.983306477241532</v>
      </c>
      <c r="R24">
        <v>12.777621402221463</v>
      </c>
      <c r="S24">
        <v>11.961836705966505</v>
      </c>
      <c r="T24">
        <v>13.054818354760958</v>
      </c>
    </row>
    <row r="25" spans="1:20" x14ac:dyDescent="0.25">
      <c r="A25" s="6" t="s">
        <v>43</v>
      </c>
      <c r="B25">
        <v>14.646166350461927</v>
      </c>
      <c r="C25">
        <v>13.470498455291123</v>
      </c>
      <c r="D25">
        <v>14.061203849740769</v>
      </c>
      <c r="E25">
        <v>13.761643567881864</v>
      </c>
      <c r="F25">
        <v>14.270503089517227</v>
      </c>
      <c r="G25">
        <v>13.783854846972021</v>
      </c>
      <c r="H25">
        <v>14.190101582923029</v>
      </c>
      <c r="I25">
        <v>13.911421996212397</v>
      </c>
      <c r="J25">
        <v>14.765656630388486</v>
      </c>
      <c r="K25">
        <v>13.535820241145142</v>
      </c>
      <c r="L25">
        <v>13.624140044131927</v>
      </c>
      <c r="M25">
        <v>15.171347622857667</v>
      </c>
      <c r="N25">
        <v>15.968094445349289</v>
      </c>
      <c r="O25">
        <v>14.553056946070445</v>
      </c>
      <c r="P25">
        <v>14.83564414932564</v>
      </c>
      <c r="Q25">
        <v>15.722115203695225</v>
      </c>
      <c r="R25">
        <v>15.124213647266568</v>
      </c>
      <c r="S25">
        <v>15.264811977439372</v>
      </c>
      <c r="T25">
        <v>15.389310519557258</v>
      </c>
    </row>
    <row r="26" spans="1:20" x14ac:dyDescent="0.25">
      <c r="A26" s="5" t="s">
        <v>44</v>
      </c>
      <c r="B26">
        <v>13.611444971283561</v>
      </c>
      <c r="C26">
        <v>14.206372752097511</v>
      </c>
      <c r="D26">
        <v>14.261974818135842</v>
      </c>
      <c r="E26">
        <v>14.228357101933028</v>
      </c>
      <c r="F26">
        <v>14.06367210533152</v>
      </c>
      <c r="G26">
        <v>14.233905935853656</v>
      </c>
      <c r="H26">
        <v>14.302211949244565</v>
      </c>
      <c r="I26">
        <v>13.986710123516636</v>
      </c>
      <c r="J26">
        <v>14.179355201459032</v>
      </c>
      <c r="K26">
        <v>13.88063160409895</v>
      </c>
      <c r="L26">
        <v>14.316858725208965</v>
      </c>
      <c r="M26">
        <v>14.15809964141898</v>
      </c>
      <c r="N26">
        <v>14.392409758216143</v>
      </c>
      <c r="O26">
        <v>14.299300353824661</v>
      </c>
      <c r="P26">
        <v>14.261974818135842</v>
      </c>
      <c r="Q26">
        <v>13.848355201075194</v>
      </c>
      <c r="R26">
        <v>14.031909542946732</v>
      </c>
      <c r="S26">
        <v>14.14758815564038</v>
      </c>
      <c r="T26">
        <v>14.078570981710859</v>
      </c>
    </row>
    <row r="27" spans="1:20" x14ac:dyDescent="0.25">
      <c r="A27" s="6" t="s">
        <v>45</v>
      </c>
      <c r="B27">
        <v>10.918868615651732</v>
      </c>
      <c r="C27">
        <v>12.698533757927216</v>
      </c>
      <c r="D27">
        <v>11.603836301245332</v>
      </c>
      <c r="E27">
        <v>12.370517432720037</v>
      </c>
      <c r="F27">
        <v>11.419780342692984</v>
      </c>
      <c r="G27">
        <v>12.022947777576773</v>
      </c>
      <c r="H27">
        <v>11.022131461234366</v>
      </c>
      <c r="I27">
        <v>11.644267127842729</v>
      </c>
      <c r="J27">
        <v>11.129821415768555</v>
      </c>
      <c r="K27">
        <v>11.819786048878424</v>
      </c>
      <c r="L27">
        <v>12.221003178798112</v>
      </c>
      <c r="M27">
        <v>11.5004178385903</v>
      </c>
      <c r="N27">
        <v>10.811960793433849</v>
      </c>
      <c r="O27">
        <v>11.576587555120897</v>
      </c>
      <c r="P27">
        <v>10.76994537169792</v>
      </c>
      <c r="Q27">
        <v>10.379887220320356</v>
      </c>
      <c r="R27">
        <v>10.265932418034309</v>
      </c>
      <c r="S27">
        <v>11.252827600486858</v>
      </c>
      <c r="T27">
        <v>10.186852439018882</v>
      </c>
    </row>
    <row r="28" spans="1:20" x14ac:dyDescent="0.25">
      <c r="A28" s="5" t="s">
        <v>46</v>
      </c>
      <c r="B28">
        <v>15.408006613267162</v>
      </c>
      <c r="C28">
        <v>0</v>
      </c>
      <c r="D28">
        <v>14.649870319225345</v>
      </c>
      <c r="E28">
        <v>15.420606650046794</v>
      </c>
      <c r="F28">
        <v>15.259143227352677</v>
      </c>
      <c r="G28">
        <v>0</v>
      </c>
      <c r="H28">
        <v>0</v>
      </c>
      <c r="I28">
        <v>0</v>
      </c>
      <c r="J28">
        <v>14.683641055880589</v>
      </c>
      <c r="K28">
        <v>0</v>
      </c>
      <c r="L28">
        <v>15.098678555159433</v>
      </c>
      <c r="M28">
        <v>15.389310519557258</v>
      </c>
      <c r="N28">
        <v>14.553056946070445</v>
      </c>
      <c r="O28">
        <v>15.134555591488031</v>
      </c>
      <c r="P28">
        <v>0</v>
      </c>
      <c r="Q28">
        <v>14.0860785183798</v>
      </c>
      <c r="R28">
        <v>12.770860107014009</v>
      </c>
      <c r="S28">
        <v>13.869792371737484</v>
      </c>
      <c r="T28">
        <v>15.745702024012841</v>
      </c>
    </row>
    <row r="29" spans="1:20" x14ac:dyDescent="0.25">
      <c r="A29" s="6" t="s">
        <v>47</v>
      </c>
      <c r="B29">
        <v>11.290842814886783</v>
      </c>
      <c r="C29">
        <v>11.063943871431009</v>
      </c>
      <c r="D29">
        <v>11.042514900461105</v>
      </c>
      <c r="E29">
        <v>10.965435194700374</v>
      </c>
      <c r="F29">
        <v>11.287344539211674</v>
      </c>
      <c r="G29">
        <v>11.670573787026647</v>
      </c>
      <c r="H29">
        <v>11.653309624476597</v>
      </c>
      <c r="I29">
        <v>11.199543639096817</v>
      </c>
      <c r="J29">
        <v>11.494178516372047</v>
      </c>
      <c r="K29">
        <v>11.437016952606472</v>
      </c>
      <c r="L29">
        <v>11.475177188837879</v>
      </c>
      <c r="M29">
        <v>12.039116825200249</v>
      </c>
      <c r="N29">
        <v>11.838314761767505</v>
      </c>
      <c r="O29">
        <v>10.866357105857702</v>
      </c>
      <c r="P29">
        <v>12.142752374828593</v>
      </c>
      <c r="Q29">
        <v>13.733860411368322</v>
      </c>
      <c r="R29">
        <v>13.363232387190427</v>
      </c>
      <c r="S29">
        <v>13.716278263672942</v>
      </c>
      <c r="T29">
        <v>14.061203849740769</v>
      </c>
    </row>
    <row r="30" spans="1:20" x14ac:dyDescent="0.25">
      <c r="A30" s="5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15.602444973032609</v>
      </c>
      <c r="R30">
        <v>15.737796825927495</v>
      </c>
      <c r="S30">
        <v>14.869792371737484</v>
      </c>
      <c r="T30">
        <v>14.595285181459742</v>
      </c>
    </row>
    <row r="31" spans="1:20" x14ac:dyDescent="0.25">
      <c r="A31" s="6" t="s">
        <v>49</v>
      </c>
      <c r="B31">
        <v>13.204110940231201</v>
      </c>
      <c r="C31">
        <v>12.316961778535262</v>
      </c>
      <c r="D31">
        <v>12.735906006468253</v>
      </c>
      <c r="E31">
        <v>12.528709986763827</v>
      </c>
      <c r="F31">
        <v>12.438281505808297</v>
      </c>
      <c r="G31">
        <v>12.844328514361887</v>
      </c>
      <c r="H31">
        <v>12.843458781992117</v>
      </c>
      <c r="I31">
        <v>12.497515866628213</v>
      </c>
      <c r="J31">
        <v>13.278508552219609</v>
      </c>
      <c r="K31">
        <v>12.54776061386497</v>
      </c>
      <c r="L31">
        <v>12.383031760951074</v>
      </c>
      <c r="M31">
        <v>12.307767536030441</v>
      </c>
      <c r="N31">
        <v>12.335841146128715</v>
      </c>
      <c r="O31">
        <v>12.163251893275113</v>
      </c>
      <c r="P31">
        <v>12.619402602918038</v>
      </c>
      <c r="Q31">
        <v>13.579304396065853</v>
      </c>
      <c r="R31">
        <v>13.274857698206652</v>
      </c>
      <c r="S31">
        <v>12.734676334749835</v>
      </c>
      <c r="T31">
        <v>13.19185545563462</v>
      </c>
    </row>
    <row r="32" spans="1:20" x14ac:dyDescent="0.25">
      <c r="A32" s="5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15.270503089517227</v>
      </c>
      <c r="H32">
        <v>15.048925519962333</v>
      </c>
      <c r="I32">
        <v>15.472136950686876</v>
      </c>
      <c r="J32">
        <v>0</v>
      </c>
      <c r="K32">
        <v>0</v>
      </c>
      <c r="L32">
        <v>0</v>
      </c>
      <c r="M32">
        <v>15.401747622795478</v>
      </c>
      <c r="N32">
        <v>0</v>
      </c>
      <c r="O32">
        <v>0</v>
      </c>
      <c r="P32">
        <v>14.831431898038725</v>
      </c>
      <c r="Q32">
        <v>14.039177543410771</v>
      </c>
      <c r="R32">
        <v>15.000831231761289</v>
      </c>
      <c r="S32">
        <v>15.340607327981576</v>
      </c>
      <c r="T32">
        <v>14.395515669083965</v>
      </c>
    </row>
    <row r="33" spans="1:20" x14ac:dyDescent="0.25">
      <c r="A33" s="6" t="s">
        <v>51</v>
      </c>
      <c r="B33">
        <v>15.986710123516636</v>
      </c>
      <c r="C33">
        <v>16.59528518145974</v>
      </c>
      <c r="D33">
        <v>16.322759326648651</v>
      </c>
      <c r="E33">
        <v>15.328684160605755</v>
      </c>
      <c r="F33">
        <v>16.837332499478411</v>
      </c>
      <c r="G33">
        <v>0</v>
      </c>
      <c r="H33">
        <v>15.646166350461927</v>
      </c>
      <c r="I33">
        <v>0</v>
      </c>
      <c r="J33">
        <v>0</v>
      </c>
      <c r="K33">
        <v>16.472136950686878</v>
      </c>
      <c r="L33">
        <v>16.113945311812746</v>
      </c>
      <c r="M33">
        <v>17.193881807914313</v>
      </c>
      <c r="N33">
        <v>15.95887591531991</v>
      </c>
      <c r="O33">
        <v>16.566996137028319</v>
      </c>
      <c r="P33">
        <v>16.664032771255442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s="5" t="s">
        <v>52</v>
      </c>
      <c r="B34">
        <v>15.887174449965721</v>
      </c>
      <c r="C34">
        <v>14.749670926215785</v>
      </c>
      <c r="D34">
        <v>15.019876987451834</v>
      </c>
      <c r="E34">
        <v>15.802285552379209</v>
      </c>
      <c r="F34">
        <v>16.242269408788282</v>
      </c>
      <c r="G34">
        <v>14.364753415313277</v>
      </c>
      <c r="H34">
        <v>15.986710123516636</v>
      </c>
      <c r="I34">
        <v>16.433317701796351</v>
      </c>
      <c r="J34">
        <v>16.566996137028319</v>
      </c>
      <c r="K34">
        <v>15.053824319375174</v>
      </c>
      <c r="L34">
        <v>14.927067177089235</v>
      </c>
      <c r="M34">
        <v>0</v>
      </c>
      <c r="N34">
        <v>16.810553168362809</v>
      </c>
      <c r="O34">
        <v>0</v>
      </c>
      <c r="P34">
        <v>15.171347622857667</v>
      </c>
      <c r="Q34">
        <v>15.198214228710349</v>
      </c>
      <c r="R34">
        <v>15.395515669083965</v>
      </c>
      <c r="S34">
        <v>14.426948176920622</v>
      </c>
      <c r="T34">
        <v>14.411146320797728</v>
      </c>
    </row>
    <row r="35" spans="1:20" x14ac:dyDescent="0.25">
      <c r="A35" s="6" t="s">
        <v>53</v>
      </c>
      <c r="B35">
        <v>0</v>
      </c>
      <c r="C35">
        <v>0</v>
      </c>
      <c r="D35">
        <v>0</v>
      </c>
      <c r="E35">
        <v>0</v>
      </c>
      <c r="F35">
        <v>16.446141742153934</v>
      </c>
      <c r="G35">
        <v>0</v>
      </c>
      <c r="H35">
        <v>0</v>
      </c>
      <c r="I35">
        <v>0</v>
      </c>
      <c r="J35">
        <v>0</v>
      </c>
      <c r="K35">
        <v>16.96624602095692</v>
      </c>
      <c r="L35">
        <v>16.566996137028319</v>
      </c>
      <c r="M35">
        <v>0</v>
      </c>
      <c r="N35">
        <v>0</v>
      </c>
      <c r="O35">
        <v>0</v>
      </c>
      <c r="P35">
        <v>0</v>
      </c>
      <c r="Q35">
        <v>15.818868436574812</v>
      </c>
      <c r="R35">
        <v>16.370853614849693</v>
      </c>
      <c r="S35">
        <v>16.709691488247142</v>
      </c>
      <c r="T35">
        <v>14.553056946070445</v>
      </c>
    </row>
    <row r="36" spans="1:20" x14ac:dyDescent="0.25">
      <c r="A36" s="5" t="s">
        <v>54</v>
      </c>
      <c r="B36">
        <v>0</v>
      </c>
      <c r="C36">
        <v>0</v>
      </c>
      <c r="D36">
        <v>0</v>
      </c>
      <c r="E36">
        <v>0</v>
      </c>
      <c r="F36">
        <v>18.170283295962555</v>
      </c>
      <c r="G36">
        <v>0</v>
      </c>
      <c r="H36">
        <v>18.472136950686878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17.723675717682841</v>
      </c>
      <c r="Q36">
        <v>17.986710123516637</v>
      </c>
      <c r="R36">
        <v>16.908313217023871</v>
      </c>
      <c r="S36">
        <v>0</v>
      </c>
      <c r="T36">
        <v>16.876720092328554</v>
      </c>
    </row>
    <row r="37" spans="1:20" x14ac:dyDescent="0.25">
      <c r="A37" s="6" t="s">
        <v>55</v>
      </c>
      <c r="B37">
        <v>9.0851206987184359</v>
      </c>
      <c r="C37">
        <v>8.9948540811870465</v>
      </c>
      <c r="D37">
        <v>8.8946614298023743</v>
      </c>
      <c r="E37">
        <v>8.8511294157907123</v>
      </c>
      <c r="F37">
        <v>9.1560759804105736</v>
      </c>
      <c r="G37">
        <v>8.7432764523387458</v>
      </c>
      <c r="H37">
        <v>8.1430504662613554</v>
      </c>
      <c r="I37">
        <v>8.6941596092667535</v>
      </c>
      <c r="J37">
        <v>9.055112247920313</v>
      </c>
      <c r="K37">
        <v>8.918448320143554</v>
      </c>
      <c r="L37">
        <v>8.2857174302240821</v>
      </c>
      <c r="M37">
        <v>8.5388631524007099</v>
      </c>
      <c r="N37">
        <v>8.4435909033333321</v>
      </c>
      <c r="O37">
        <v>8.534187531695439</v>
      </c>
      <c r="P37">
        <v>8.5945276530142269</v>
      </c>
      <c r="Q37">
        <v>8.3629592473316023</v>
      </c>
      <c r="R37">
        <v>9.6029990994537737</v>
      </c>
      <c r="S37">
        <v>8.8566731675626453</v>
      </c>
      <c r="T37">
        <v>8.7595330419101991</v>
      </c>
    </row>
    <row r="38" spans="1:20" x14ac:dyDescent="0.25">
      <c r="A38" s="5" t="s">
        <v>56</v>
      </c>
      <c r="B38">
        <v>6.0539048291573234</v>
      </c>
      <c r="C38">
        <v>6.0099154179230245</v>
      </c>
      <c r="D38">
        <v>6.1535590163527232</v>
      </c>
      <c r="E38">
        <v>6.0712842887138745</v>
      </c>
      <c r="F38">
        <v>6.0748937615759493</v>
      </c>
      <c r="G38">
        <v>5.6895024015307305</v>
      </c>
      <c r="H38">
        <v>5.5405910785442432</v>
      </c>
      <c r="I38">
        <v>6.0710461506191304</v>
      </c>
      <c r="J38">
        <v>5.973095331179719</v>
      </c>
      <c r="K38">
        <v>6.030204788708895</v>
      </c>
      <c r="L38">
        <v>6.254301822687018</v>
      </c>
      <c r="M38">
        <v>5.9982480396766036</v>
      </c>
      <c r="N38">
        <v>6.2484685735922776</v>
      </c>
      <c r="O38">
        <v>6.0947920182650259</v>
      </c>
      <c r="P38">
        <v>5.6536119273129088</v>
      </c>
      <c r="Q38">
        <v>5.9467225636289394</v>
      </c>
      <c r="R38">
        <v>5.6714902650841745</v>
      </c>
      <c r="S38">
        <v>5.8365040706702089</v>
      </c>
      <c r="T38">
        <v>6.2004500444101351</v>
      </c>
    </row>
    <row r="39" spans="1:20" x14ac:dyDescent="0.25">
      <c r="A39" s="6" t="s">
        <v>57</v>
      </c>
      <c r="B39">
        <v>13.230449279944473</v>
      </c>
      <c r="C39">
        <v>14.14236099397683</v>
      </c>
      <c r="D39">
        <v>13.579304396065853</v>
      </c>
      <c r="E39">
        <v>13.771697232545785</v>
      </c>
      <c r="F39">
        <v>13.449365643028219</v>
      </c>
      <c r="G39">
        <v>14.337617285375762</v>
      </c>
      <c r="H39">
        <v>12.720390849321744</v>
      </c>
      <c r="I39">
        <v>13.829330375393436</v>
      </c>
      <c r="J39">
        <v>14.113945311812744</v>
      </c>
      <c r="K39">
        <v>13.61687204366789</v>
      </c>
      <c r="L39">
        <v>13.918106309517611</v>
      </c>
      <c r="M39">
        <v>13.383131944628133</v>
      </c>
      <c r="N39">
        <v>13.308052827833626</v>
      </c>
      <c r="O39">
        <v>14.245068042140955</v>
      </c>
      <c r="P39">
        <v>13.850484640636539</v>
      </c>
      <c r="Q39">
        <v>14.111389606908986</v>
      </c>
      <c r="R39">
        <v>13.867634263570075</v>
      </c>
      <c r="S39">
        <v>14.264811977439372</v>
      </c>
      <c r="T39">
        <v>13.73189622448781</v>
      </c>
    </row>
    <row r="40" spans="1:20" x14ac:dyDescent="0.25">
      <c r="A40" s="5" t="s">
        <v>58</v>
      </c>
      <c r="B40">
        <v>12.190533107652451</v>
      </c>
      <c r="C40">
        <v>12.672446763266494</v>
      </c>
      <c r="D40">
        <v>12.491471813564578</v>
      </c>
      <c r="E40">
        <v>12.683403790023483</v>
      </c>
      <c r="F40">
        <v>12.21814768445609</v>
      </c>
      <c r="G40">
        <v>12.990016181420319</v>
      </c>
      <c r="H40">
        <v>11.692815141219768</v>
      </c>
      <c r="I40">
        <v>12.695286439048477</v>
      </c>
      <c r="J40">
        <v>12.703654251120176</v>
      </c>
      <c r="K40">
        <v>12.186035412838134</v>
      </c>
      <c r="L40">
        <v>12.424677878384545</v>
      </c>
      <c r="M40">
        <v>11.96554193225225</v>
      </c>
      <c r="N40">
        <v>12.083427650920996</v>
      </c>
      <c r="O40">
        <v>12.94332698292598</v>
      </c>
      <c r="P40">
        <v>12.337998171297626</v>
      </c>
      <c r="Q40">
        <v>12.098722849108187</v>
      </c>
      <c r="R40">
        <v>12.145155169492552</v>
      </c>
      <c r="S40">
        <v>12.325415086765849</v>
      </c>
      <c r="T40">
        <v>11.841313210810487</v>
      </c>
    </row>
    <row r="41" spans="1:20" x14ac:dyDescent="0.25">
      <c r="A41" s="6" t="s">
        <v>59</v>
      </c>
      <c r="B41">
        <v>12.740459990537294</v>
      </c>
      <c r="C41">
        <v>11.820412028426096</v>
      </c>
      <c r="D41">
        <v>12.162001772903523</v>
      </c>
      <c r="E41">
        <v>11.535867360814409</v>
      </c>
      <c r="F41">
        <v>12.375254120342266</v>
      </c>
      <c r="G41">
        <v>11.75407428223304</v>
      </c>
      <c r="H41">
        <v>11.090108005024218</v>
      </c>
      <c r="I41">
        <v>11.815188216238361</v>
      </c>
      <c r="J41">
        <v>12.39758480778065</v>
      </c>
      <c r="K41">
        <v>11.353845189649508</v>
      </c>
      <c r="L41">
        <v>11.434930463508412</v>
      </c>
      <c r="M41">
        <v>12.478956662585261</v>
      </c>
      <c r="N41">
        <v>13.186479172122704</v>
      </c>
      <c r="O41">
        <v>11.776937769681938</v>
      </c>
      <c r="P41">
        <v>12.599084396062597</v>
      </c>
      <c r="Q41">
        <v>12.565683601646606</v>
      </c>
      <c r="R41">
        <v>12.491098014254913</v>
      </c>
      <c r="S41">
        <v>12.402356681064598</v>
      </c>
      <c r="T41">
        <v>12.492568850591692</v>
      </c>
    </row>
    <row r="42" spans="1:20" x14ac:dyDescent="0.25">
      <c r="A42" s="5" t="s">
        <v>60</v>
      </c>
      <c r="B42">
        <v>14.904768509980459</v>
      </c>
      <c r="C42">
        <v>14.187407473753764</v>
      </c>
      <c r="D42">
        <v>14.305129432626858</v>
      </c>
      <c r="E42">
        <v>13.986710123516636</v>
      </c>
      <c r="F42">
        <v>14.726019658151142</v>
      </c>
      <c r="G42">
        <v>14.293494732143458</v>
      </c>
      <c r="H42">
        <v>13.180975462535946</v>
      </c>
      <c r="I42">
        <v>13.887174449965721</v>
      </c>
      <c r="J42">
        <v>14.522177633186471</v>
      </c>
      <c r="K42">
        <v>13.520481342525573</v>
      </c>
      <c r="L42">
        <v>13.352629856230788</v>
      </c>
      <c r="M42">
        <v>15.053824319375174</v>
      </c>
      <c r="N42">
        <v>15.818868436574812</v>
      </c>
      <c r="O42">
        <v>13.947434974783196</v>
      </c>
      <c r="P42">
        <v>15.192800732523983</v>
      </c>
      <c r="Q42">
        <v>14.945157634072132</v>
      </c>
      <c r="R42">
        <v>14.874118297140276</v>
      </c>
      <c r="S42">
        <v>14.737796825927495</v>
      </c>
      <c r="T42">
        <v>14.865479378866404</v>
      </c>
    </row>
    <row r="43" spans="1:20" x14ac:dyDescent="0.25">
      <c r="A43" s="6" t="s">
        <v>61</v>
      </c>
      <c r="B43">
        <v>11.978996204499049</v>
      </c>
      <c r="C43">
        <v>11.83748032416637</v>
      </c>
      <c r="D43">
        <v>11.617642532532003</v>
      </c>
      <c r="E43">
        <v>11.442816590433097</v>
      </c>
      <c r="F43">
        <v>11.444902458531612</v>
      </c>
      <c r="G43">
        <v>11.813156927884183</v>
      </c>
      <c r="H43">
        <v>10.87851155222458</v>
      </c>
      <c r="I43">
        <v>11.361143588477427</v>
      </c>
      <c r="J43">
        <v>11.793353095523727</v>
      </c>
      <c r="K43">
        <v>11.510879856500805</v>
      </c>
      <c r="L43">
        <v>11.58191579346455</v>
      </c>
      <c r="M43">
        <v>12.006672949879844</v>
      </c>
      <c r="N43">
        <v>12.052383570757728</v>
      </c>
      <c r="O43">
        <v>11.72187639894371</v>
      </c>
      <c r="P43">
        <v>11.702975918758289</v>
      </c>
      <c r="Q43">
        <v>11.607752681262706</v>
      </c>
      <c r="R43">
        <v>10.881758129302556</v>
      </c>
      <c r="S43">
        <v>11.137250185662094</v>
      </c>
      <c r="T43">
        <v>11.772398572957643</v>
      </c>
    </row>
    <row r="44" spans="1:20" x14ac:dyDescent="0.25">
      <c r="A44" s="5" t="s">
        <v>62</v>
      </c>
      <c r="B44">
        <v>12.031553142217989</v>
      </c>
      <c r="C44">
        <v>11.996374047191273</v>
      </c>
      <c r="D44">
        <v>11.976465042522323</v>
      </c>
      <c r="E44">
        <v>11.781389721893598</v>
      </c>
      <c r="F44">
        <v>11.82311729458532</v>
      </c>
      <c r="G44">
        <v>11.716739494960082</v>
      </c>
      <c r="H44">
        <v>11.159366181882991</v>
      </c>
      <c r="I44">
        <v>11.698226913744689</v>
      </c>
      <c r="J44">
        <v>11.79530026705962</v>
      </c>
      <c r="K44">
        <v>11.740129293590003</v>
      </c>
      <c r="L44">
        <v>11.92524249079924</v>
      </c>
      <c r="M44">
        <v>11.930830504046039</v>
      </c>
      <c r="N44">
        <v>12.189724104636305</v>
      </c>
      <c r="O44">
        <v>11.895653291010527</v>
      </c>
      <c r="P44">
        <v>11.620097242032481</v>
      </c>
      <c r="Q44">
        <v>11.562198059145329</v>
      </c>
      <c r="R44">
        <v>10.817347320577595</v>
      </c>
      <c r="S44">
        <v>11.213491262958023</v>
      </c>
      <c r="T44">
        <v>11.778421917139193</v>
      </c>
    </row>
    <row r="45" spans="1:20" x14ac:dyDescent="0.25">
      <c r="A45" s="6" t="s">
        <v>63</v>
      </c>
      <c r="B45">
        <v>14.267654727208196</v>
      </c>
      <c r="C45">
        <v>13.952000469228988</v>
      </c>
      <c r="D45">
        <v>13.228315566205398</v>
      </c>
      <c r="E45">
        <v>13.568748043789912</v>
      </c>
      <c r="F45">
        <v>13.810553168362809</v>
      </c>
      <c r="G45">
        <v>13.958875915319911</v>
      </c>
      <c r="H45">
        <v>13.785891114128539</v>
      </c>
      <c r="I45">
        <v>14.121639703602744</v>
      </c>
      <c r="J45">
        <v>14.827231909509438</v>
      </c>
      <c r="K45">
        <v>14.546137532130656</v>
      </c>
      <c r="L45">
        <v>14.549593090766873</v>
      </c>
      <c r="M45">
        <v>0</v>
      </c>
      <c r="N45">
        <v>0</v>
      </c>
      <c r="O45">
        <v>14.827231909509438</v>
      </c>
      <c r="P45">
        <v>15.818868436574812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s="5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16.946068139019292</v>
      </c>
      <c r="I46">
        <v>0</v>
      </c>
      <c r="J46">
        <v>16.609640474436812</v>
      </c>
      <c r="K46">
        <v>0</v>
      </c>
      <c r="L46">
        <v>0</v>
      </c>
      <c r="M46">
        <v>0</v>
      </c>
      <c r="N46">
        <v>15.058739809789289</v>
      </c>
      <c r="O46">
        <v>0</v>
      </c>
      <c r="P46">
        <v>0</v>
      </c>
      <c r="Q46">
        <v>15.668534163490381</v>
      </c>
      <c r="R46">
        <v>15.426948176920622</v>
      </c>
      <c r="S46">
        <v>16.446141742153934</v>
      </c>
      <c r="T46">
        <v>15.231128851183083</v>
      </c>
    </row>
    <row r="47" spans="1:20" x14ac:dyDescent="0.25">
      <c r="A47" s="6" t="s">
        <v>65</v>
      </c>
      <c r="B47">
        <v>13.23989483152808</v>
      </c>
      <c r="C47">
        <v>0</v>
      </c>
      <c r="D47">
        <v>13.194639042984841</v>
      </c>
      <c r="E47">
        <v>12.915529181152763</v>
      </c>
      <c r="F47">
        <v>13.386217924501876</v>
      </c>
      <c r="G47">
        <v>0</v>
      </c>
      <c r="H47">
        <v>0</v>
      </c>
      <c r="I47">
        <v>0</v>
      </c>
      <c r="J47">
        <v>13.449365643028219</v>
      </c>
      <c r="K47">
        <v>13.534107843269455</v>
      </c>
      <c r="L47">
        <v>13.297846756683162</v>
      </c>
      <c r="M47">
        <v>0</v>
      </c>
      <c r="N47">
        <v>12.252285534307072</v>
      </c>
      <c r="O47">
        <v>12.824529389129616</v>
      </c>
      <c r="P47">
        <v>0</v>
      </c>
      <c r="Q47">
        <v>0</v>
      </c>
      <c r="R47">
        <v>0</v>
      </c>
      <c r="S47">
        <v>14.414292876114592</v>
      </c>
      <c r="T47">
        <v>0</v>
      </c>
    </row>
    <row r="48" spans="1:20" x14ac:dyDescent="0.25">
      <c r="A48" s="5" t="s">
        <v>66</v>
      </c>
      <c r="B48">
        <v>10.811509581703049</v>
      </c>
      <c r="C48">
        <v>10.737395311976339</v>
      </c>
      <c r="D48">
        <v>10.908285490217722</v>
      </c>
      <c r="E48">
        <v>10.947625865309879</v>
      </c>
      <c r="F48">
        <v>11.104079776786467</v>
      </c>
      <c r="G48">
        <v>11.004024656838217</v>
      </c>
      <c r="H48">
        <v>11.21602864196597</v>
      </c>
      <c r="I48">
        <v>10.727914683794578</v>
      </c>
      <c r="J48">
        <v>10.577555063603681</v>
      </c>
      <c r="K48">
        <v>11.344417387952642</v>
      </c>
      <c r="L48">
        <v>10.688092270547854</v>
      </c>
      <c r="M48">
        <v>10.554358038935623</v>
      </c>
      <c r="N48">
        <v>9.9739121981487653</v>
      </c>
      <c r="O48">
        <v>10.732210314739067</v>
      </c>
      <c r="P48">
        <v>12.214584531851123</v>
      </c>
      <c r="Q48">
        <v>10.508685947010086</v>
      </c>
      <c r="R48">
        <v>11.199730261548599</v>
      </c>
      <c r="S48">
        <v>10.533449111603327</v>
      </c>
      <c r="T48">
        <v>11.208006594970414</v>
      </c>
    </row>
    <row r="49" spans="1:20" x14ac:dyDescent="0.25">
      <c r="A49" s="6" t="s">
        <v>67</v>
      </c>
      <c r="B49">
        <v>14.449365643028219</v>
      </c>
      <c r="C49">
        <v>14.635111161952929</v>
      </c>
      <c r="D49">
        <v>15.015091924886457</v>
      </c>
      <c r="E49">
        <v>14.823044112546006</v>
      </c>
      <c r="F49">
        <v>13.747685110291943</v>
      </c>
      <c r="G49">
        <v>13.312449057870957</v>
      </c>
      <c r="H49">
        <v>13.500279915032584</v>
      </c>
      <c r="I49">
        <v>13.572258252433731</v>
      </c>
      <c r="J49">
        <v>13.954288645824258</v>
      </c>
      <c r="K49">
        <v>13.714337853103505</v>
      </c>
      <c r="L49">
        <v>13.349614818475358</v>
      </c>
      <c r="M49">
        <v>13.249852267093742</v>
      </c>
      <c r="N49">
        <v>13.367800290872143</v>
      </c>
      <c r="O49">
        <v>13.741744010444156</v>
      </c>
      <c r="P49">
        <v>13.787930259402136</v>
      </c>
      <c r="Q49">
        <v>13.554791997441193</v>
      </c>
      <c r="R49">
        <v>13.201648782176003</v>
      </c>
      <c r="S49">
        <v>13.02289974618027</v>
      </c>
      <c r="T49">
        <v>13.240299630077363</v>
      </c>
    </row>
    <row r="50" spans="1:20" x14ac:dyDescent="0.25">
      <c r="A50" s="5" t="s">
        <v>68</v>
      </c>
      <c r="B50">
        <v>15.414292876114592</v>
      </c>
      <c r="C50">
        <v>14.757641637324365</v>
      </c>
      <c r="D50">
        <v>14.518787043985698</v>
      </c>
      <c r="E50">
        <v>14.982033636307161</v>
      </c>
      <c r="F50">
        <v>14.92257978609692</v>
      </c>
      <c r="G50">
        <v>15.334633426936943</v>
      </c>
      <c r="H50">
        <v>15.977372258937301</v>
      </c>
      <c r="I50">
        <v>15.878457232864612</v>
      </c>
      <c r="J50">
        <v>15.785891114128539</v>
      </c>
      <c r="K50">
        <v>14.844105728073835</v>
      </c>
      <c r="L50">
        <v>14.602444973032609</v>
      </c>
      <c r="M50">
        <v>15.581071322240042</v>
      </c>
      <c r="N50">
        <v>15.683641055880589</v>
      </c>
      <c r="O50">
        <v>15.518787043985698</v>
      </c>
      <c r="P50">
        <v>0</v>
      </c>
      <c r="Q50">
        <v>17.128341532889248</v>
      </c>
      <c r="R50">
        <v>0</v>
      </c>
      <c r="S50">
        <v>0</v>
      </c>
      <c r="T50">
        <v>0</v>
      </c>
    </row>
    <row r="51" spans="1:20" x14ac:dyDescent="0.25">
      <c r="A51" s="6" t="s">
        <v>69</v>
      </c>
      <c r="B51">
        <v>15.683641055880589</v>
      </c>
      <c r="C51">
        <v>15.722115203695225</v>
      </c>
      <c r="D51">
        <v>16.553056946070445</v>
      </c>
      <c r="E51">
        <v>0</v>
      </c>
      <c r="F51">
        <v>0</v>
      </c>
      <c r="G51">
        <v>16.525576209648339</v>
      </c>
      <c r="H51">
        <v>14.373913414598753</v>
      </c>
      <c r="I51">
        <v>0</v>
      </c>
      <c r="J51">
        <v>0</v>
      </c>
      <c r="K51">
        <v>16.771293737915581</v>
      </c>
      <c r="L51">
        <v>15.661039626943458</v>
      </c>
      <c r="M51">
        <v>16.776143137576977</v>
      </c>
      <c r="N51">
        <v>16.67003775408077</v>
      </c>
      <c r="O51">
        <v>0</v>
      </c>
      <c r="P51">
        <v>16.957039256840293</v>
      </c>
      <c r="Q51">
        <v>16.59528518145974</v>
      </c>
      <c r="R51">
        <v>15.878457232864612</v>
      </c>
      <c r="S51">
        <v>0</v>
      </c>
      <c r="T51">
        <v>15.913646661326911</v>
      </c>
    </row>
    <row r="52" spans="1:20" x14ac:dyDescent="0.25">
      <c r="A52" s="5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17.095644495069799</v>
      </c>
      <c r="M52">
        <v>0</v>
      </c>
      <c r="N52">
        <v>0</v>
      </c>
      <c r="O52">
        <v>0</v>
      </c>
      <c r="P52">
        <v>17.047947753038503</v>
      </c>
      <c r="Q52">
        <v>16.59528518145974</v>
      </c>
      <c r="R52">
        <v>16.113945311812746</v>
      </c>
      <c r="S52">
        <v>16.59528518145974</v>
      </c>
      <c r="T52">
        <v>16.512029677810389</v>
      </c>
    </row>
    <row r="53" spans="1:20" x14ac:dyDescent="0.25">
      <c r="A53" s="6" t="s">
        <v>71</v>
      </c>
      <c r="B53">
        <v>0</v>
      </c>
      <c r="C53">
        <v>14.977372258937299</v>
      </c>
      <c r="D53">
        <v>14.982033636307161</v>
      </c>
      <c r="E53">
        <v>14.67606783617579</v>
      </c>
      <c r="F53">
        <v>15.209102544853085</v>
      </c>
      <c r="G53">
        <v>0</v>
      </c>
      <c r="H53">
        <v>0</v>
      </c>
      <c r="I53">
        <v>0</v>
      </c>
      <c r="J53">
        <v>15.67606783617579</v>
      </c>
      <c r="K53">
        <v>0</v>
      </c>
      <c r="L53">
        <v>16.566996137028319</v>
      </c>
      <c r="M53">
        <v>0</v>
      </c>
      <c r="N53">
        <v>0</v>
      </c>
      <c r="O53">
        <v>16.242269408788282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 s="5" t="s">
        <v>72</v>
      </c>
      <c r="B54">
        <v>16.024677973715658</v>
      </c>
      <c r="C54">
        <v>16.299300353824663</v>
      </c>
      <c r="D54">
        <v>15.408006613267162</v>
      </c>
      <c r="E54">
        <v>15.913646661326911</v>
      </c>
      <c r="F54">
        <v>0</v>
      </c>
      <c r="G54">
        <v>17.320396189280171</v>
      </c>
      <c r="H54">
        <v>0</v>
      </c>
      <c r="I54">
        <v>17.332250775625948</v>
      </c>
      <c r="J54">
        <v>16.242269408788282</v>
      </c>
      <c r="K54">
        <v>15.395515669083965</v>
      </c>
      <c r="L54">
        <v>16.276216740711622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 s="6" t="s">
        <v>73</v>
      </c>
      <c r="B55">
        <v>16.187407473753765</v>
      </c>
      <c r="C55">
        <v>16.525576209648339</v>
      </c>
      <c r="D55">
        <v>16.310982158872296</v>
      </c>
      <c r="E55">
        <v>16.34660606860302</v>
      </c>
      <c r="F55">
        <v>16.408006613267162</v>
      </c>
      <c r="G55">
        <v>16.944247703394922</v>
      </c>
      <c r="H55">
        <v>16.073587574196605</v>
      </c>
      <c r="I55">
        <v>16.65805267962206</v>
      </c>
      <c r="J55">
        <v>17.168156994854169</v>
      </c>
      <c r="K55">
        <v>16.334633426936943</v>
      </c>
      <c r="L55">
        <v>16.59528518145974</v>
      </c>
      <c r="M55">
        <v>16.861179241432779</v>
      </c>
      <c r="N55">
        <v>17.067630118900205</v>
      </c>
      <c r="O55">
        <v>17.075578872015694</v>
      </c>
      <c r="P55">
        <v>16.817201544372175</v>
      </c>
      <c r="Q55">
        <v>16.566996137028319</v>
      </c>
      <c r="R55">
        <v>16.936988845108427</v>
      </c>
      <c r="S55">
        <v>16.566996137028319</v>
      </c>
      <c r="T55">
        <v>16.05382431937517</v>
      </c>
    </row>
    <row r="56" spans="1:20" x14ac:dyDescent="0.25">
      <c r="A56" s="5" t="s">
        <v>74</v>
      </c>
      <c r="B56">
        <v>11.357478417506188</v>
      </c>
      <c r="C56">
        <v>11.596875164453289</v>
      </c>
      <c r="D56">
        <v>11.261758713503063</v>
      </c>
      <c r="E56">
        <v>11.309399581424552</v>
      </c>
      <c r="F56">
        <v>11.530061825150801</v>
      </c>
      <c r="G56">
        <v>12.011972247714203</v>
      </c>
      <c r="H56">
        <v>11.223926448269166</v>
      </c>
      <c r="I56">
        <v>11.36021788897272</v>
      </c>
      <c r="J56">
        <v>11.236228903981983</v>
      </c>
      <c r="K56">
        <v>10.878639210771478</v>
      </c>
      <c r="L56">
        <v>11.240201909683048</v>
      </c>
      <c r="M56">
        <v>11.340869251789856</v>
      </c>
      <c r="N56">
        <v>10.849432837026534</v>
      </c>
      <c r="O56">
        <v>11.195332396782369</v>
      </c>
      <c r="P56">
        <v>11.416949185908974</v>
      </c>
      <c r="Q56">
        <v>11.301487140656885</v>
      </c>
      <c r="R56">
        <v>11.606973954382406</v>
      </c>
      <c r="S56">
        <v>11.766520898778234</v>
      </c>
      <c r="T56">
        <v>11.36095005299922</v>
      </c>
    </row>
    <row r="57" spans="1:20" x14ac:dyDescent="0.25">
      <c r="A57" s="6" t="s">
        <v>75</v>
      </c>
      <c r="B57">
        <v>12.522856708294745</v>
      </c>
      <c r="C57">
        <v>11.617710536603424</v>
      </c>
      <c r="D57">
        <v>11.841138527002553</v>
      </c>
      <c r="E57">
        <v>11.768910379256413</v>
      </c>
      <c r="F57">
        <v>12.400194907180511</v>
      </c>
      <c r="G57">
        <v>12.332511186536422</v>
      </c>
      <c r="H57">
        <v>12.422197338625731</v>
      </c>
      <c r="I57">
        <v>12.131018063871311</v>
      </c>
      <c r="J57">
        <v>12.251427092982107</v>
      </c>
      <c r="K57">
        <v>11.754318476972321</v>
      </c>
      <c r="L57">
        <v>11.878316012099466</v>
      </c>
      <c r="M57">
        <v>12.62056506333983</v>
      </c>
      <c r="N57">
        <v>12.40233325099142</v>
      </c>
      <c r="O57">
        <v>12.315129999444181</v>
      </c>
      <c r="P57">
        <v>13.113600027194416</v>
      </c>
      <c r="Q57">
        <v>13.192935822653851</v>
      </c>
      <c r="R57">
        <v>13.600651691209556</v>
      </c>
      <c r="S57">
        <v>13.447752792059918</v>
      </c>
      <c r="T57">
        <v>13.275687277199347</v>
      </c>
    </row>
    <row r="58" spans="1:20" x14ac:dyDescent="0.25">
      <c r="A58" s="5" t="s">
        <v>76</v>
      </c>
      <c r="B58">
        <v>12.160250780843992</v>
      </c>
      <c r="C58">
        <v>12.68062593886491</v>
      </c>
      <c r="D58">
        <v>12.878250837946903</v>
      </c>
      <c r="E58">
        <v>12.690987098976667</v>
      </c>
      <c r="F58">
        <v>13.103762244543043</v>
      </c>
      <c r="G58">
        <v>12.914459519429473</v>
      </c>
      <c r="H58">
        <v>12.208098745609135</v>
      </c>
      <c r="I58">
        <v>12.195450807569655</v>
      </c>
      <c r="J58">
        <v>12.20787349888278</v>
      </c>
      <c r="K58">
        <v>12.446922876681887</v>
      </c>
      <c r="L58">
        <v>12.5133280132258</v>
      </c>
      <c r="M58">
        <v>12.111753518365816</v>
      </c>
      <c r="N58">
        <v>11.766033427946251</v>
      </c>
      <c r="O58">
        <v>12.235226926080013</v>
      </c>
      <c r="P58">
        <v>12.16425806759101</v>
      </c>
      <c r="Q58">
        <v>11.889148576180901</v>
      </c>
      <c r="R58">
        <v>11.63835904347588</v>
      </c>
      <c r="S58">
        <v>12.29614790515774</v>
      </c>
      <c r="T58">
        <v>12.005753058649942</v>
      </c>
    </row>
    <row r="59" spans="1:20" x14ac:dyDescent="0.25">
      <c r="A59" s="6" t="s">
        <v>77</v>
      </c>
      <c r="B59">
        <v>0</v>
      </c>
      <c r="C59">
        <v>17.854325570391715</v>
      </c>
      <c r="D59">
        <v>17.509335568641127</v>
      </c>
      <c r="E59">
        <v>17.013182334877825</v>
      </c>
      <c r="F59">
        <v>0</v>
      </c>
      <c r="G59">
        <v>0</v>
      </c>
      <c r="H59">
        <v>17.885426787679453</v>
      </c>
      <c r="I59">
        <v>17.566996137028319</v>
      </c>
      <c r="J59">
        <v>0</v>
      </c>
      <c r="K59">
        <v>17.813873526654422</v>
      </c>
      <c r="L59">
        <v>0</v>
      </c>
      <c r="M59">
        <v>18.166033822961197</v>
      </c>
      <c r="N59">
        <v>18.028530299211262</v>
      </c>
      <c r="O59">
        <v>18.638786820096328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 s="5" t="s">
        <v>78</v>
      </c>
      <c r="B60">
        <v>13.43172268224097</v>
      </c>
      <c r="C60">
        <v>12.986511064070786</v>
      </c>
      <c r="D60">
        <v>12.461153723518754</v>
      </c>
      <c r="E60">
        <v>12.420662017695228</v>
      </c>
      <c r="F60">
        <v>11.871348211007319</v>
      </c>
      <c r="G60">
        <v>12.562110810270713</v>
      </c>
      <c r="H60">
        <v>12.269591001583645</v>
      </c>
      <c r="I60">
        <v>12.167280807801031</v>
      </c>
      <c r="J60">
        <v>11.877262724087645</v>
      </c>
      <c r="K60">
        <v>12.14384227756064</v>
      </c>
      <c r="L60">
        <v>12.492377640177807</v>
      </c>
      <c r="M60">
        <v>12.18633796118027</v>
      </c>
      <c r="N60">
        <v>12.446705405001849</v>
      </c>
      <c r="O60">
        <v>11.986569608115564</v>
      </c>
      <c r="P60">
        <v>11.649230705518541</v>
      </c>
      <c r="Q60">
        <v>11.619629572375914</v>
      </c>
      <c r="R60">
        <v>11.205861490486507</v>
      </c>
      <c r="S60">
        <v>11.410804546282607</v>
      </c>
      <c r="T60">
        <v>11.555973025397988</v>
      </c>
    </row>
    <row r="61" spans="1:20" x14ac:dyDescent="0.25">
      <c r="A61" s="6" t="s">
        <v>79</v>
      </c>
      <c r="B61">
        <v>15.668534163490381</v>
      </c>
      <c r="C61">
        <v>0</v>
      </c>
      <c r="D61">
        <v>15.683641055880589</v>
      </c>
      <c r="E61">
        <v>15.566996137028319</v>
      </c>
      <c r="F61">
        <v>15.802285552379209</v>
      </c>
      <c r="G61">
        <v>0</v>
      </c>
      <c r="H61">
        <v>0</v>
      </c>
      <c r="I61">
        <v>15.539251146545414</v>
      </c>
      <c r="J61">
        <v>15.305129432626858</v>
      </c>
      <c r="K61">
        <v>0</v>
      </c>
      <c r="L61">
        <v>15.566996137028319</v>
      </c>
      <c r="M61">
        <v>15.389310519557258</v>
      </c>
      <c r="N61">
        <v>14.856891883029679</v>
      </c>
      <c r="O61">
        <v>15.691254239990466</v>
      </c>
      <c r="P61">
        <v>15.588160747026361</v>
      </c>
      <c r="Q61">
        <v>15.305129432626858</v>
      </c>
      <c r="R61">
        <v>15.472136950686876</v>
      </c>
      <c r="S61">
        <v>15.478709604610364</v>
      </c>
      <c r="T61">
        <v>15.75365077712833</v>
      </c>
    </row>
    <row r="62" spans="1:20" x14ac:dyDescent="0.25">
      <c r="A62" s="5" t="s">
        <v>80</v>
      </c>
      <c r="B62">
        <v>16.936988845108427</v>
      </c>
      <c r="C62">
        <v>16.093625327433145</v>
      </c>
      <c r="D62">
        <v>16.459080797861432</v>
      </c>
      <c r="E62">
        <v>16.34660606860302</v>
      </c>
      <c r="F62">
        <v>0</v>
      </c>
      <c r="G62">
        <v>0</v>
      </c>
      <c r="H62">
        <v>0</v>
      </c>
      <c r="I62">
        <v>0</v>
      </c>
      <c r="J62">
        <v>0</v>
      </c>
      <c r="K62">
        <v>16.874985040957807</v>
      </c>
      <c r="L62">
        <v>16.955204933591414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s="6" t="s">
        <v>81</v>
      </c>
      <c r="B63">
        <v>15.389310519557258</v>
      </c>
      <c r="C63">
        <v>13.681744020707992</v>
      </c>
      <c r="D63">
        <v>13.523875920658497</v>
      </c>
      <c r="E63">
        <v>13.741744010444156</v>
      </c>
      <c r="F63">
        <v>14.495273449484813</v>
      </c>
      <c r="G63">
        <v>14.426948176920622</v>
      </c>
      <c r="H63">
        <v>13.852617227929352</v>
      </c>
      <c r="I63">
        <v>14.012705332049579</v>
      </c>
      <c r="J63">
        <v>14.211837512574323</v>
      </c>
      <c r="K63">
        <v>13.825136491507246</v>
      </c>
      <c r="L63">
        <v>13.757641637324365</v>
      </c>
      <c r="M63">
        <v>15.281953110260764</v>
      </c>
      <c r="N63">
        <v>15.904768509980459</v>
      </c>
      <c r="O63">
        <v>13.644317926069556</v>
      </c>
      <c r="P63">
        <v>15.668534163490381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 s="5" t="s">
        <v>82</v>
      </c>
      <c r="B64">
        <v>14.646166350461927</v>
      </c>
      <c r="C64">
        <v>14.53582024114514</v>
      </c>
      <c r="D64">
        <v>14.865479378866404</v>
      </c>
      <c r="E64">
        <v>14.446141742153932</v>
      </c>
      <c r="F64">
        <v>14.900349838713455</v>
      </c>
      <c r="G64">
        <v>14.757641637324365</v>
      </c>
      <c r="H64">
        <v>14.386217924501876</v>
      </c>
      <c r="I64">
        <v>15.691254239990466</v>
      </c>
      <c r="J64">
        <v>14.126792191368347</v>
      </c>
      <c r="K64">
        <v>14.449365643028219</v>
      </c>
      <c r="L64">
        <v>15.039177543410771</v>
      </c>
      <c r="M64">
        <v>14.27335708657238</v>
      </c>
      <c r="N64">
        <v>15.093625327433148</v>
      </c>
      <c r="O64">
        <v>14.781821449819493</v>
      </c>
      <c r="P64">
        <v>14.577539631269786</v>
      </c>
      <c r="Q64">
        <v>15.166033822961197</v>
      </c>
      <c r="R64">
        <v>15.588160747026361</v>
      </c>
      <c r="S64">
        <v>15.176681067160706</v>
      </c>
      <c r="T64">
        <v>13.968094445349287</v>
      </c>
    </row>
    <row r="65" spans="1:20" x14ac:dyDescent="0.25">
      <c r="A65" s="6" t="s">
        <v>83</v>
      </c>
      <c r="B65">
        <v>16.833957772697751</v>
      </c>
      <c r="C65">
        <v>0</v>
      </c>
      <c r="D65">
        <v>0</v>
      </c>
      <c r="E65">
        <v>0</v>
      </c>
      <c r="F65">
        <v>16.83902282778061</v>
      </c>
      <c r="G65">
        <v>16.92796633264398</v>
      </c>
      <c r="H65">
        <v>14.761643567881864</v>
      </c>
      <c r="I65">
        <v>17.917213276347105</v>
      </c>
      <c r="J65">
        <v>17.157572244213</v>
      </c>
      <c r="K65">
        <v>16.310982158872296</v>
      </c>
      <c r="L65">
        <v>16.553056946070445</v>
      </c>
      <c r="M65">
        <v>15.844105728073835</v>
      </c>
      <c r="N65">
        <v>15.505303814622076</v>
      </c>
      <c r="O65">
        <v>17.161796830074728</v>
      </c>
      <c r="P65">
        <v>14.67229608228658</v>
      </c>
      <c r="Q65">
        <v>15.253496664211537</v>
      </c>
      <c r="R65">
        <v>15.287712379549449</v>
      </c>
      <c r="S65">
        <v>14.913646661326911</v>
      </c>
      <c r="T65">
        <v>14.729934708154525</v>
      </c>
    </row>
    <row r="66" spans="1:20" x14ac:dyDescent="0.25">
      <c r="A66" s="5" t="s">
        <v>84</v>
      </c>
      <c r="B66">
        <v>0</v>
      </c>
      <c r="C66">
        <v>0</v>
      </c>
      <c r="D66">
        <v>0</v>
      </c>
      <c r="E66">
        <v>0</v>
      </c>
      <c r="F66">
        <v>15.389310519557258</v>
      </c>
      <c r="G66">
        <v>14.449365643028219</v>
      </c>
      <c r="H66">
        <v>15.485312339434612</v>
      </c>
      <c r="I66">
        <v>14.810553168362809</v>
      </c>
      <c r="J66">
        <v>14.498609162048069</v>
      </c>
      <c r="K66">
        <v>16.005569150767954</v>
      </c>
      <c r="L66">
        <v>15.714337853103507</v>
      </c>
      <c r="M66">
        <v>14.646166350461927</v>
      </c>
      <c r="N66">
        <v>14.574016564706092</v>
      </c>
      <c r="O66">
        <v>14.741744010444156</v>
      </c>
      <c r="P66">
        <v>14.236688376524981</v>
      </c>
      <c r="Q66">
        <v>13.802285552379209</v>
      </c>
      <c r="R66">
        <v>14.209102544853085</v>
      </c>
      <c r="S66">
        <v>14.687442626040445</v>
      </c>
      <c r="T66">
        <v>14.015091924886457</v>
      </c>
    </row>
    <row r="67" spans="1:20" x14ac:dyDescent="0.25">
      <c r="A67" s="6" t="s">
        <v>85</v>
      </c>
      <c r="B67">
        <v>11.508234117413975</v>
      </c>
      <c r="C67">
        <v>11.911233057770538</v>
      </c>
      <c r="D67">
        <v>11.724271108363029</v>
      </c>
      <c r="E67">
        <v>11.676129208670734</v>
      </c>
      <c r="F67">
        <v>11.787369207073214</v>
      </c>
      <c r="G67">
        <v>11.728426155858235</v>
      </c>
      <c r="H67">
        <v>11.630923152179092</v>
      </c>
      <c r="I67">
        <v>11.471870568526354</v>
      </c>
      <c r="J67">
        <v>11.468142286302506</v>
      </c>
      <c r="K67">
        <v>11.803218453232876</v>
      </c>
      <c r="L67">
        <v>11.710232793711976</v>
      </c>
      <c r="M67">
        <v>11.572214322072107</v>
      </c>
      <c r="N67">
        <v>11.573145932284884</v>
      </c>
      <c r="O67">
        <v>11.485572941489622</v>
      </c>
      <c r="P67">
        <v>11.600830919117223</v>
      </c>
      <c r="Q67">
        <v>11.907326470764369</v>
      </c>
      <c r="R67">
        <v>11.814242350249245</v>
      </c>
      <c r="S67">
        <v>12.187643007561531</v>
      </c>
      <c r="T67">
        <v>12.042934896362336</v>
      </c>
    </row>
    <row r="68" spans="1:20" x14ac:dyDescent="0.25">
      <c r="A68" s="5" t="s">
        <v>86</v>
      </c>
      <c r="B68">
        <v>11.427142826772032</v>
      </c>
      <c r="C68">
        <v>11.458820876224678</v>
      </c>
      <c r="D68">
        <v>11.235613022649257</v>
      </c>
      <c r="E68">
        <v>11.231860788393497</v>
      </c>
      <c r="F68">
        <v>11.649165833011914</v>
      </c>
      <c r="G68">
        <v>11.439382889975809</v>
      </c>
      <c r="H68">
        <v>11.408026215235124</v>
      </c>
      <c r="I68">
        <v>11.618141303510484</v>
      </c>
      <c r="J68">
        <v>11.699699401609092</v>
      </c>
      <c r="K68">
        <v>11.274761183356642</v>
      </c>
      <c r="L68">
        <v>11.52237707834527</v>
      </c>
      <c r="M68">
        <v>11.023326080715698</v>
      </c>
      <c r="N68">
        <v>11.93087556591116</v>
      </c>
      <c r="O68">
        <v>11.496706860805942</v>
      </c>
      <c r="P68">
        <v>11.276105823481778</v>
      </c>
      <c r="Q68">
        <v>11.313862358215509</v>
      </c>
      <c r="R68">
        <v>10.704590488643689</v>
      </c>
      <c r="S68">
        <v>10.943989046632252</v>
      </c>
      <c r="T68">
        <v>11.588809394904478</v>
      </c>
    </row>
    <row r="69" spans="1:20" x14ac:dyDescent="0.25">
      <c r="A69" s="6" t="s">
        <v>87</v>
      </c>
      <c r="B69">
        <v>14.602444973032609</v>
      </c>
      <c r="C69">
        <v>14.59886063568357</v>
      </c>
      <c r="D69">
        <v>14.75365077712833</v>
      </c>
      <c r="E69">
        <v>14.566996137028319</v>
      </c>
      <c r="F69">
        <v>0</v>
      </c>
      <c r="G69">
        <v>15.310982158872298</v>
      </c>
      <c r="H69">
        <v>14.495273449484813</v>
      </c>
      <c r="I69">
        <v>14.553056946070445</v>
      </c>
      <c r="J69">
        <v>14.878457232864612</v>
      </c>
      <c r="K69">
        <v>14.67229608228658</v>
      </c>
      <c r="L69">
        <v>15.113945311812744</v>
      </c>
      <c r="M69">
        <v>14.343603580441494</v>
      </c>
      <c r="N69">
        <v>15.316858725208965</v>
      </c>
      <c r="O69">
        <v>15.124213647266568</v>
      </c>
      <c r="P69">
        <v>14.761643567881864</v>
      </c>
      <c r="Q69">
        <v>14.986710123516636</v>
      </c>
      <c r="R69">
        <v>14.401747622795481</v>
      </c>
      <c r="S69">
        <v>14.281953110260764</v>
      </c>
      <c r="T69">
        <v>14.861179241432778</v>
      </c>
    </row>
    <row r="70" spans="1:20" x14ac:dyDescent="0.25">
      <c r="A70" s="5" t="s">
        <v>88</v>
      </c>
      <c r="B70">
        <v>13.818868436574812</v>
      </c>
      <c r="C70">
        <v>15.340607327981576</v>
      </c>
      <c r="D70">
        <v>15.661039626943458</v>
      </c>
      <c r="E70">
        <v>15.452596764291233</v>
      </c>
      <c r="F70">
        <v>13.808481818343115</v>
      </c>
      <c r="G70">
        <v>13.17685473534957</v>
      </c>
      <c r="H70">
        <v>14.13715270297407</v>
      </c>
      <c r="I70">
        <v>13.975047205991057</v>
      </c>
      <c r="J70">
        <v>12.926280875416309</v>
      </c>
      <c r="K70">
        <v>13.771697232545785</v>
      </c>
      <c r="L70">
        <v>14.383131944628133</v>
      </c>
      <c r="M70">
        <v>12.669454926746928</v>
      </c>
      <c r="N70">
        <v>13.570502080529854</v>
      </c>
      <c r="O70">
        <v>13.749670926215785</v>
      </c>
      <c r="P70">
        <v>12.076899622056844</v>
      </c>
      <c r="Q70">
        <v>12.262612692694535</v>
      </c>
      <c r="R70">
        <v>11.553091626656531</v>
      </c>
      <c r="S70">
        <v>11.053474729007792</v>
      </c>
      <c r="T70">
        <v>12.040830059556487</v>
      </c>
    </row>
    <row r="71" spans="1:20" x14ac:dyDescent="0.25">
      <c r="A71" s="6" t="s">
        <v>89</v>
      </c>
      <c r="B71">
        <v>18.299300353824663</v>
      </c>
      <c r="C71">
        <v>18.456483686375392</v>
      </c>
      <c r="D71">
        <v>18.531030639740447</v>
      </c>
      <c r="E71">
        <v>18.794065045574239</v>
      </c>
      <c r="F71">
        <v>0</v>
      </c>
      <c r="G71">
        <v>17.986710123516637</v>
      </c>
      <c r="H71">
        <v>0</v>
      </c>
      <c r="I71">
        <v>17.680606995790956</v>
      </c>
      <c r="J71">
        <v>17.200385327751974</v>
      </c>
      <c r="K71">
        <v>0</v>
      </c>
      <c r="L71">
        <v>18.493275717745028</v>
      </c>
      <c r="M71">
        <v>17.833957772697751</v>
      </c>
      <c r="N71">
        <v>18.07159902110315</v>
      </c>
      <c r="O71">
        <v>17.787522199707468</v>
      </c>
      <c r="P71">
        <v>18.067630118900205</v>
      </c>
      <c r="Q71">
        <v>17.82723190950944</v>
      </c>
      <c r="R71">
        <v>18.294653988968296</v>
      </c>
      <c r="S71">
        <v>18.217872754480815</v>
      </c>
      <c r="T71">
        <v>0</v>
      </c>
    </row>
    <row r="72" spans="1:20" x14ac:dyDescent="0.25">
      <c r="A72" s="5" t="s">
        <v>90</v>
      </c>
      <c r="B72">
        <v>14.741744010444156</v>
      </c>
      <c r="C72">
        <v>13.248967182393338</v>
      </c>
      <c r="D72">
        <v>13.755644827260419</v>
      </c>
      <c r="E72">
        <v>13.506982343073073</v>
      </c>
      <c r="F72">
        <v>14.041608369665534</v>
      </c>
      <c r="G72">
        <v>13.283951850850706</v>
      </c>
      <c r="H72">
        <v>14.566996137028319</v>
      </c>
      <c r="I72">
        <v>15.214577674919234</v>
      </c>
      <c r="J72">
        <v>0</v>
      </c>
      <c r="K72">
        <v>13.812627496600667</v>
      </c>
      <c r="L72">
        <v>13.325718702129196</v>
      </c>
      <c r="M72">
        <v>14.722115203695225</v>
      </c>
      <c r="N72">
        <v>14.996108821518886</v>
      </c>
      <c r="O72">
        <v>14.426948176920622</v>
      </c>
      <c r="P72">
        <v>14.566996137028319</v>
      </c>
      <c r="Q72">
        <v>15.113945311812744</v>
      </c>
      <c r="R72">
        <v>14.92257978609692</v>
      </c>
      <c r="S72">
        <v>14.722115203695225</v>
      </c>
      <c r="T72">
        <v>14.501952605122439</v>
      </c>
    </row>
    <row r="73" spans="1:20" x14ac:dyDescent="0.25">
      <c r="A73" s="6" t="s">
        <v>91</v>
      </c>
      <c r="B73">
        <v>15.802285552379209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16.862897758659074</v>
      </c>
      <c r="Q73">
        <v>14.452596764291233</v>
      </c>
      <c r="R73">
        <v>15.134555591488031</v>
      </c>
      <c r="S73">
        <v>14.904768509980459</v>
      </c>
      <c r="T73">
        <v>14.53582024114514</v>
      </c>
    </row>
    <row r="74" spans="1:20" x14ac:dyDescent="0.25">
      <c r="A74" s="5" t="s">
        <v>92</v>
      </c>
      <c r="B74">
        <v>15.465594104820106</v>
      </c>
      <c r="C74">
        <v>15.334633426936943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15.968094445349289</v>
      </c>
      <c r="O74">
        <v>0</v>
      </c>
      <c r="P74">
        <v>15.144972207433367</v>
      </c>
      <c r="Q74">
        <v>15.225590667641651</v>
      </c>
      <c r="R74">
        <v>15.887174449965721</v>
      </c>
      <c r="S74">
        <v>14.991401818841357</v>
      </c>
      <c r="T74">
        <v>14.7066022043239</v>
      </c>
    </row>
    <row r="75" spans="1:20" x14ac:dyDescent="0.25">
      <c r="A75" s="6" t="s">
        <v>93</v>
      </c>
      <c r="B75">
        <v>10.347036311349902</v>
      </c>
      <c r="C75">
        <v>10.127907226663039</v>
      </c>
      <c r="D75">
        <v>10.026383164559444</v>
      </c>
      <c r="E75">
        <v>9.9916940881765743</v>
      </c>
      <c r="F75">
        <v>9.7215414078807818</v>
      </c>
      <c r="G75">
        <v>9.6677500990099947</v>
      </c>
      <c r="H75">
        <v>9.9744055701043273</v>
      </c>
      <c r="I75">
        <v>10.024255746646405</v>
      </c>
      <c r="J75">
        <v>9.839466867325056</v>
      </c>
      <c r="K75">
        <v>10.107293958858685</v>
      </c>
      <c r="L75">
        <v>10.024907921562253</v>
      </c>
      <c r="M75">
        <v>10.27165114451855</v>
      </c>
      <c r="N75">
        <v>10.283829546185281</v>
      </c>
      <c r="O75">
        <v>9.8957481167787087</v>
      </c>
      <c r="P75">
        <v>9.9012849154173601</v>
      </c>
      <c r="Q75">
        <v>8.9027204302425496</v>
      </c>
      <c r="R75">
        <v>9.0093930252987846</v>
      </c>
      <c r="S75">
        <v>8.2079165831311993</v>
      </c>
      <c r="T75">
        <v>9.0001809830174224</v>
      </c>
    </row>
    <row r="76" spans="1:20" x14ac:dyDescent="0.25">
      <c r="A76" s="5" t="s">
        <v>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15.844105728073835</v>
      </c>
      <c r="J76">
        <v>15.214577674919234</v>
      </c>
      <c r="K76">
        <v>0</v>
      </c>
      <c r="L76">
        <v>16.15546458125101</v>
      </c>
      <c r="M76">
        <v>0</v>
      </c>
      <c r="N76">
        <v>14.741744010444156</v>
      </c>
      <c r="O76">
        <v>15.498609162048069</v>
      </c>
      <c r="P76">
        <v>14.606038237756618</v>
      </c>
      <c r="Q76">
        <v>13.635111161952929</v>
      </c>
      <c r="R76">
        <v>13.823044112546006</v>
      </c>
      <c r="S76">
        <v>13.113727900751151</v>
      </c>
      <c r="T76">
        <v>13.607838231802827</v>
      </c>
    </row>
    <row r="77" spans="1:20" x14ac:dyDescent="0.25">
      <c r="A77" s="6" t="s">
        <v>95</v>
      </c>
      <c r="B77">
        <v>13.3693261451031</v>
      </c>
      <c r="C77">
        <v>14.679849476718214</v>
      </c>
      <c r="D77">
        <v>0</v>
      </c>
      <c r="E77">
        <v>14.222829527964596</v>
      </c>
      <c r="F77">
        <v>13.938347101955237</v>
      </c>
      <c r="G77">
        <v>14.749670926215785</v>
      </c>
      <c r="H77">
        <v>13.095025824720857</v>
      </c>
      <c r="I77">
        <v>14.361712960993227</v>
      </c>
      <c r="J77">
        <v>13.012681486047629</v>
      </c>
      <c r="K77">
        <v>14.14758815564038</v>
      </c>
      <c r="L77">
        <v>14.056279971101485</v>
      </c>
      <c r="M77">
        <v>13.537534673956392</v>
      </c>
      <c r="N77">
        <v>12.693431374415537</v>
      </c>
      <c r="O77">
        <v>13.558268372715785</v>
      </c>
      <c r="P77">
        <v>13.207777950289065</v>
      </c>
      <c r="Q77">
        <v>11.935513190836085</v>
      </c>
      <c r="R77">
        <v>12.430081653597231</v>
      </c>
      <c r="S77">
        <v>12.935575352705184</v>
      </c>
      <c r="T77">
        <v>11.622501548736174</v>
      </c>
    </row>
    <row r="78" spans="1:20" x14ac:dyDescent="0.25">
      <c r="A78" s="5" t="s">
        <v>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13.771697232545785</v>
      </c>
      <c r="R78">
        <v>14.737796825927495</v>
      </c>
      <c r="S78">
        <v>14.253496664211537</v>
      </c>
      <c r="T78">
        <v>12.459787696629251</v>
      </c>
    </row>
    <row r="79" spans="1:20" x14ac:dyDescent="0.25">
      <c r="A79" s="6" t="s">
        <v>97</v>
      </c>
      <c r="B79">
        <v>13.624140044131927</v>
      </c>
      <c r="C79">
        <v>12.854849155148868</v>
      </c>
      <c r="D79">
        <v>13.138544079730798</v>
      </c>
      <c r="E79">
        <v>13.316858725208968</v>
      </c>
      <c r="F79">
        <v>13.285233075669751</v>
      </c>
      <c r="G79">
        <v>12.707885384702127</v>
      </c>
      <c r="H79">
        <v>13.747685110291943</v>
      </c>
      <c r="I79">
        <v>13.063647401860814</v>
      </c>
      <c r="J79">
        <v>12.988514620363384</v>
      </c>
      <c r="K79">
        <v>12.675463692514995</v>
      </c>
      <c r="L79">
        <v>12.833315360275369</v>
      </c>
      <c r="M79">
        <v>13.289155796419118</v>
      </c>
      <c r="N79">
        <v>13.006209963559352</v>
      </c>
      <c r="O79">
        <v>12.95604155428385</v>
      </c>
      <c r="P79">
        <v>13.649870319225345</v>
      </c>
      <c r="Q79">
        <v>14.13715270297407</v>
      </c>
      <c r="R79">
        <v>14.542690230512186</v>
      </c>
      <c r="S79">
        <v>13.510345270099036</v>
      </c>
      <c r="T79">
        <v>14.525576209648337</v>
      </c>
    </row>
    <row r="80" spans="1:20" x14ac:dyDescent="0.25">
      <c r="A80" s="5" t="s">
        <v>98</v>
      </c>
      <c r="B80">
        <v>12.61081314061771</v>
      </c>
      <c r="C80">
        <v>12.093379434461916</v>
      </c>
      <c r="D80">
        <v>12.16978466289469</v>
      </c>
      <c r="E80">
        <v>12.113414630667014</v>
      </c>
      <c r="F80">
        <v>12.058069087912381</v>
      </c>
      <c r="G80">
        <v>12.296184184495795</v>
      </c>
      <c r="H80">
        <v>12.183751540412507</v>
      </c>
      <c r="I80">
        <v>12.197373805383828</v>
      </c>
      <c r="J80">
        <v>12.203920347055563</v>
      </c>
      <c r="K80">
        <v>12.670225813136096</v>
      </c>
      <c r="L80">
        <v>11.785427610737134</v>
      </c>
      <c r="M80">
        <v>12.783681896720628</v>
      </c>
      <c r="N80">
        <v>12.994424303779773</v>
      </c>
      <c r="O80">
        <v>12.0249244551727</v>
      </c>
      <c r="P80">
        <v>12.205398103178345</v>
      </c>
      <c r="Q80">
        <v>12.290716310406737</v>
      </c>
      <c r="R80">
        <v>12.023944790071598</v>
      </c>
      <c r="S80">
        <v>11.709995947579879</v>
      </c>
      <c r="T80">
        <v>12.20387950893643</v>
      </c>
    </row>
    <row r="81" spans="1:20" x14ac:dyDescent="0.25">
      <c r="A81" s="6" t="s">
        <v>99</v>
      </c>
      <c r="B81">
        <v>10.832870578308071</v>
      </c>
      <c r="C81">
        <v>10.868702123619713</v>
      </c>
      <c r="D81">
        <v>10.962104338820716</v>
      </c>
      <c r="E81">
        <v>10.808580140222041</v>
      </c>
      <c r="F81">
        <v>10.467380218715533</v>
      </c>
      <c r="G81">
        <v>10.803566512738273</v>
      </c>
      <c r="H81">
        <v>10.821361949402778</v>
      </c>
      <c r="I81">
        <v>10.133398137459974</v>
      </c>
      <c r="J81">
        <v>10.462345988138011</v>
      </c>
      <c r="K81">
        <v>10.803329307517531</v>
      </c>
      <c r="L81">
        <v>10.664524427514243</v>
      </c>
      <c r="M81">
        <v>10.466020529915076</v>
      </c>
      <c r="N81">
        <v>9.8822890438933584</v>
      </c>
      <c r="O81">
        <v>10.276420707553195</v>
      </c>
      <c r="P81">
        <v>10.862508227704804</v>
      </c>
      <c r="Q81">
        <v>11.226745008983531</v>
      </c>
      <c r="R81">
        <v>11.121196162353046</v>
      </c>
      <c r="S81">
        <v>11.110725864553693</v>
      </c>
      <c r="T81">
        <v>11.411476386829147</v>
      </c>
    </row>
    <row r="82" spans="1:20" x14ac:dyDescent="0.25">
      <c r="A82" s="5" t="s">
        <v>100</v>
      </c>
      <c r="B82">
        <v>15.247872115017659</v>
      </c>
      <c r="C82">
        <v>14.749670926215785</v>
      </c>
      <c r="D82">
        <v>0</v>
      </c>
      <c r="E82">
        <v>15.566996137028319</v>
      </c>
      <c r="F82">
        <v>0</v>
      </c>
      <c r="G82">
        <v>14.827231909509438</v>
      </c>
      <c r="H82">
        <v>14.46233377565652</v>
      </c>
      <c r="I82">
        <v>14.279082074406009</v>
      </c>
      <c r="J82">
        <v>15.401747622795478</v>
      </c>
      <c r="K82">
        <v>0</v>
      </c>
      <c r="L82">
        <v>14.355651208206025</v>
      </c>
      <c r="M82">
        <v>14.664782028629272</v>
      </c>
      <c r="N82">
        <v>14.488625073475445</v>
      </c>
      <c r="O82">
        <v>15.078570981710859</v>
      </c>
      <c r="P82">
        <v>14.401747622795481</v>
      </c>
      <c r="Q82">
        <v>12.94448650465076</v>
      </c>
      <c r="R82">
        <v>13.184785552363193</v>
      </c>
      <c r="S82">
        <v>13.092667211884663</v>
      </c>
      <c r="T82">
        <v>12.984814319376051</v>
      </c>
    </row>
    <row r="83" spans="1:20" x14ac:dyDescent="0.25">
      <c r="A83" s="6" t="s">
        <v>101</v>
      </c>
      <c r="B83">
        <v>12.719933315997027</v>
      </c>
      <c r="C83">
        <v>13.030013777984736</v>
      </c>
      <c r="D83">
        <v>12.709449899579884</v>
      </c>
      <c r="E83">
        <v>13.066231204805531</v>
      </c>
      <c r="F83">
        <v>12.491172766369196</v>
      </c>
      <c r="G83">
        <v>12.936411972948564</v>
      </c>
      <c r="H83">
        <v>12.723051309518631</v>
      </c>
      <c r="I83">
        <v>12.62628199537029</v>
      </c>
      <c r="J83">
        <v>12.731807898923817</v>
      </c>
      <c r="K83">
        <v>12.757961383567007</v>
      </c>
      <c r="L83">
        <v>12.63152723451484</v>
      </c>
      <c r="M83">
        <v>12.367441949190107</v>
      </c>
      <c r="N83">
        <v>12.141995800950987</v>
      </c>
      <c r="O83">
        <v>12.878848377912812</v>
      </c>
      <c r="P83">
        <v>12.169432399423062</v>
      </c>
      <c r="Q83">
        <v>11.587912027942753</v>
      </c>
      <c r="R83">
        <v>11.789139814129697</v>
      </c>
      <c r="S83">
        <v>11.333378321631674</v>
      </c>
      <c r="T83">
        <v>11.261241610884021</v>
      </c>
    </row>
    <row r="84" spans="1:20" x14ac:dyDescent="0.25">
      <c r="A84" s="5" t="s">
        <v>102</v>
      </c>
      <c r="B84">
        <v>12.590507923147383</v>
      </c>
      <c r="C84">
        <v>13.63144484475516</v>
      </c>
      <c r="D84">
        <v>13.409575612922502</v>
      </c>
      <c r="E84">
        <v>13.325718702129196</v>
      </c>
      <c r="F84">
        <v>12.289394099064019</v>
      </c>
      <c r="G84">
        <v>12.960427416718279</v>
      </c>
      <c r="H84">
        <v>12.818753776063069</v>
      </c>
      <c r="I84">
        <v>12.866136277630783</v>
      </c>
      <c r="J84">
        <v>12.088526903754307</v>
      </c>
      <c r="K84">
        <v>12.676842265153418</v>
      </c>
      <c r="L84">
        <v>12.63505609830754</v>
      </c>
      <c r="M84">
        <v>12.409748307104078</v>
      </c>
      <c r="N84">
        <v>11.932318289250469</v>
      </c>
      <c r="O84">
        <v>12.167771938032461</v>
      </c>
      <c r="P84">
        <v>12.435769492914091</v>
      </c>
      <c r="Q84">
        <v>11.129756760354766</v>
      </c>
      <c r="R84">
        <v>10.88626758589392</v>
      </c>
      <c r="S84">
        <v>11.068283616502429</v>
      </c>
      <c r="T84">
        <v>11.185171818346216</v>
      </c>
    </row>
    <row r="85" spans="1:20" x14ac:dyDescent="0.25">
      <c r="A85" s="6" t="s">
        <v>103</v>
      </c>
      <c r="B85">
        <v>12.482444691458175</v>
      </c>
      <c r="C85">
        <v>12.497524209257424</v>
      </c>
      <c r="D85">
        <v>12.383663805248538</v>
      </c>
      <c r="E85">
        <v>12.415845080495615</v>
      </c>
      <c r="F85">
        <v>12.088596021064518</v>
      </c>
      <c r="G85">
        <v>11.855426387101444</v>
      </c>
      <c r="H85">
        <v>11.510282143050718</v>
      </c>
      <c r="I85">
        <v>11.967025536211954</v>
      </c>
      <c r="J85">
        <v>12.475698899031176</v>
      </c>
      <c r="K85">
        <v>12.642914705719006</v>
      </c>
      <c r="L85">
        <v>12.252602301496553</v>
      </c>
      <c r="M85">
        <v>12.211440620719316</v>
      </c>
      <c r="N85">
        <v>12.183382429959812</v>
      </c>
      <c r="O85">
        <v>12.628372322336427</v>
      </c>
      <c r="P85">
        <v>11.419448371587661</v>
      </c>
      <c r="Q85">
        <v>10.685326766444437</v>
      </c>
      <c r="R85">
        <v>11.255625645938373</v>
      </c>
      <c r="S85">
        <v>11.266588039513843</v>
      </c>
      <c r="T85">
        <v>10.886723678194866</v>
      </c>
    </row>
    <row r="86" spans="1:20" x14ac:dyDescent="0.25">
      <c r="A86" s="5" t="s">
        <v>104</v>
      </c>
      <c r="B86">
        <v>12.595561962626281</v>
      </c>
      <c r="C86">
        <v>12.848568003648172</v>
      </c>
      <c r="D86">
        <v>12.236820676055107</v>
      </c>
      <c r="E86">
        <v>12.671345271656898</v>
      </c>
      <c r="F86">
        <v>12.684799473432667</v>
      </c>
      <c r="G86">
        <v>12.301250473007121</v>
      </c>
      <c r="H86">
        <v>12.932436701703839</v>
      </c>
      <c r="I86">
        <v>12.798714153827834</v>
      </c>
      <c r="J86">
        <v>11.940693104706853</v>
      </c>
      <c r="K86">
        <v>12.74085495188146</v>
      </c>
      <c r="L86">
        <v>11.953916570087291</v>
      </c>
      <c r="M86">
        <v>12.286875858993254</v>
      </c>
      <c r="N86">
        <v>11.307606627077678</v>
      </c>
      <c r="O86">
        <v>12.137334675986775</v>
      </c>
      <c r="P86">
        <v>11.243643559017098</v>
      </c>
      <c r="Q86">
        <v>11.281403582608725</v>
      </c>
      <c r="R86">
        <v>11.702889346089938</v>
      </c>
      <c r="S86">
        <v>11.869436061427072</v>
      </c>
      <c r="T86">
        <v>11.473182463625591</v>
      </c>
    </row>
    <row r="87" spans="1:20" x14ac:dyDescent="0.25">
      <c r="A87" s="6" t="s">
        <v>105</v>
      </c>
      <c r="B87">
        <v>13.241137505084733</v>
      </c>
      <c r="C87">
        <v>13.613251727989191</v>
      </c>
      <c r="D87">
        <v>13.495273449484813</v>
      </c>
      <c r="E87">
        <v>13.052953567340177</v>
      </c>
      <c r="F87">
        <v>12.16877462814209</v>
      </c>
      <c r="G87">
        <v>12.983259747628001</v>
      </c>
      <c r="H87">
        <v>12.617053298149047</v>
      </c>
      <c r="I87">
        <v>12.608405695372429</v>
      </c>
      <c r="J87">
        <v>12.288607127875453</v>
      </c>
      <c r="K87">
        <v>12.769006040842827</v>
      </c>
      <c r="L87">
        <v>13.414292876114592</v>
      </c>
      <c r="M87">
        <v>12.396619877621752</v>
      </c>
      <c r="N87">
        <v>12.858466006843853</v>
      </c>
      <c r="O87">
        <v>12.938245188322881</v>
      </c>
      <c r="P87">
        <v>12.244654902236261</v>
      </c>
      <c r="Q87">
        <v>13.067964573582694</v>
      </c>
      <c r="R87">
        <v>12.277526924702011</v>
      </c>
      <c r="S87">
        <v>12.081475517719641</v>
      </c>
      <c r="T87">
        <v>12.749174215919645</v>
      </c>
    </row>
    <row r="88" spans="1:20" x14ac:dyDescent="0.25">
      <c r="A88" s="5" t="s">
        <v>106</v>
      </c>
      <c r="B88">
        <v>11.265426247567842</v>
      </c>
      <c r="C88">
        <v>12.868022484868796</v>
      </c>
      <c r="D88">
        <v>11.603320006793146</v>
      </c>
      <c r="E88">
        <v>11.37722914127462</v>
      </c>
      <c r="F88">
        <v>11.259595908574118</v>
      </c>
      <c r="G88">
        <v>11.964238543947328</v>
      </c>
      <c r="H88">
        <v>11.185615312035994</v>
      </c>
      <c r="I88">
        <v>12.134990281823447</v>
      </c>
      <c r="J88">
        <v>11.03208777633326</v>
      </c>
      <c r="K88">
        <v>11.696880447789619</v>
      </c>
      <c r="L88">
        <v>12.160092305330613</v>
      </c>
      <c r="M88">
        <v>11.194091359987045</v>
      </c>
      <c r="N88">
        <v>10.26224765217953</v>
      </c>
      <c r="O88">
        <v>11.657032002066019</v>
      </c>
      <c r="P88">
        <v>10.452693809822456</v>
      </c>
      <c r="Q88">
        <v>10.591531562536092</v>
      </c>
      <c r="R88">
        <v>10.470152561087067</v>
      </c>
      <c r="S88">
        <v>10.996049889101611</v>
      </c>
      <c r="T88">
        <v>10.500950848985902</v>
      </c>
    </row>
    <row r="89" spans="1:20" x14ac:dyDescent="0.25">
      <c r="A89" s="6" t="s">
        <v>107</v>
      </c>
      <c r="B89">
        <v>0</v>
      </c>
      <c r="C89">
        <v>0</v>
      </c>
      <c r="D89">
        <v>0</v>
      </c>
      <c r="E89">
        <v>0</v>
      </c>
      <c r="F89">
        <v>15.581071322240042</v>
      </c>
      <c r="G89">
        <v>13.517094732893247</v>
      </c>
      <c r="H89">
        <v>15.668534163490381</v>
      </c>
      <c r="I89">
        <v>0</v>
      </c>
      <c r="J89">
        <v>14.62050146706858</v>
      </c>
      <c r="K89">
        <v>14.718221287590733</v>
      </c>
      <c r="L89">
        <v>14.958875915319911</v>
      </c>
      <c r="M89">
        <v>15.861179241432778</v>
      </c>
      <c r="N89">
        <v>0</v>
      </c>
      <c r="O89">
        <v>0</v>
      </c>
      <c r="P89">
        <v>14.505303814622076</v>
      </c>
      <c r="Q89">
        <v>13.312449057870957</v>
      </c>
      <c r="R89">
        <v>13.228911025933263</v>
      </c>
      <c r="S89">
        <v>12.240550941489138</v>
      </c>
      <c r="T89">
        <v>13.787930259402136</v>
      </c>
    </row>
    <row r="90" spans="1:20" x14ac:dyDescent="0.25">
      <c r="A90" s="5" t="s">
        <v>108</v>
      </c>
      <c r="B90">
        <v>12.689290001182693</v>
      </c>
      <c r="C90">
        <v>14.15809964141898</v>
      </c>
      <c r="D90">
        <v>13.904768509980459</v>
      </c>
      <c r="E90">
        <v>14.401747622795481</v>
      </c>
      <c r="F90">
        <v>13.506982343073073</v>
      </c>
      <c r="G90">
        <v>13.331655727137047</v>
      </c>
      <c r="H90">
        <v>12.115634560550076</v>
      </c>
      <c r="I90">
        <v>13.664782028629272</v>
      </c>
      <c r="J90">
        <v>12.774100361717075</v>
      </c>
      <c r="K90">
        <v>13.933824543264544</v>
      </c>
      <c r="L90">
        <v>14.139754498162349</v>
      </c>
      <c r="M90">
        <v>13.724066110065387</v>
      </c>
      <c r="N90">
        <v>12.843320945730367</v>
      </c>
      <c r="O90">
        <v>13.572258252433731</v>
      </c>
      <c r="P90">
        <v>12.236799785849019</v>
      </c>
      <c r="Q90">
        <v>13.207887149198479</v>
      </c>
      <c r="R90">
        <v>12.169698250685336</v>
      </c>
      <c r="S90">
        <v>14.370853614849695</v>
      </c>
      <c r="T90">
        <v>12.362556044915614</v>
      </c>
    </row>
    <row r="91" spans="1:20" x14ac:dyDescent="0.25">
      <c r="A91" s="6" t="s">
        <v>109</v>
      </c>
      <c r="B91">
        <v>13.094621938262609</v>
      </c>
      <c r="C91">
        <v>0</v>
      </c>
      <c r="D91">
        <v>14.242269408788282</v>
      </c>
      <c r="E91">
        <v>14.856891883029679</v>
      </c>
      <c r="F91">
        <v>14.106291739269308</v>
      </c>
      <c r="G91">
        <v>15.108838421379655</v>
      </c>
      <c r="H91">
        <v>13.3693261451031</v>
      </c>
      <c r="I91">
        <v>14.691254239990466</v>
      </c>
      <c r="J91">
        <v>14.346606068603018</v>
      </c>
      <c r="K91">
        <v>14.096149728848694</v>
      </c>
      <c r="L91">
        <v>14.45908079786143</v>
      </c>
      <c r="M91">
        <v>13.722115203695225</v>
      </c>
      <c r="N91">
        <v>13.625962779738746</v>
      </c>
      <c r="O91">
        <v>14.200928613407385</v>
      </c>
      <c r="P91">
        <v>13.522177633186471</v>
      </c>
      <c r="Q91">
        <v>12.788695682556119</v>
      </c>
      <c r="R91">
        <v>12.885383123236091</v>
      </c>
      <c r="S91">
        <v>13.940613708927183</v>
      </c>
      <c r="T91">
        <v>12.46284678890963</v>
      </c>
    </row>
    <row r="92" spans="1:20" x14ac:dyDescent="0.25">
      <c r="A92" s="5" t="s">
        <v>110</v>
      </c>
      <c r="B92">
        <v>11.459523584721158</v>
      </c>
      <c r="C92">
        <v>12.753810199753046</v>
      </c>
      <c r="D92">
        <v>12.071145766131366</v>
      </c>
      <c r="E92">
        <v>12.119140940226075</v>
      </c>
      <c r="F92">
        <v>11.945032484567891</v>
      </c>
      <c r="G92">
        <v>12.147372160302288</v>
      </c>
      <c r="H92">
        <v>11.45281916996265</v>
      </c>
      <c r="I92">
        <v>12.290933182021606</v>
      </c>
      <c r="J92">
        <v>11.767783057450114</v>
      </c>
      <c r="K92">
        <v>12.325940900200465</v>
      </c>
      <c r="L92">
        <v>12.473547546584882</v>
      </c>
      <c r="M92">
        <v>11.409238133971231</v>
      </c>
      <c r="N92">
        <v>12.527065608097296</v>
      </c>
      <c r="O92">
        <v>11.665419203488495</v>
      </c>
      <c r="P92">
        <v>10.988259627562526</v>
      </c>
      <c r="Q92">
        <v>11.367239944708734</v>
      </c>
      <c r="R92">
        <v>11.084595813695566</v>
      </c>
      <c r="S92">
        <v>11.856308715451915</v>
      </c>
      <c r="T92">
        <v>10.64473823456407</v>
      </c>
    </row>
    <row r="93" spans="1:20" x14ac:dyDescent="0.25">
      <c r="A93" s="6" t="s">
        <v>111</v>
      </c>
      <c r="B93">
        <v>11.391250638452634</v>
      </c>
      <c r="C93">
        <v>12.116793863694658</v>
      </c>
      <c r="D93">
        <v>11.776203858343035</v>
      </c>
      <c r="E93">
        <v>11.882133833265192</v>
      </c>
      <c r="F93">
        <v>11.115128858247044</v>
      </c>
      <c r="G93">
        <v>10.755652310137922</v>
      </c>
      <c r="H93">
        <v>11.099798977055967</v>
      </c>
      <c r="I93">
        <v>11.198614279506664</v>
      </c>
      <c r="J93">
        <v>10.6109417408593</v>
      </c>
      <c r="K93">
        <v>11.680673297638016</v>
      </c>
      <c r="L93">
        <v>11.637715317768656</v>
      </c>
      <c r="M93">
        <v>10.363572577997319</v>
      </c>
      <c r="N93">
        <v>10.062020991765074</v>
      </c>
      <c r="O93">
        <v>10.613608830164466</v>
      </c>
      <c r="P93">
        <v>10.341484959983323</v>
      </c>
      <c r="Q93">
        <v>9.8029864602047514</v>
      </c>
      <c r="R93">
        <v>10.214209162775196</v>
      </c>
      <c r="S93">
        <v>10.281455653049035</v>
      </c>
      <c r="T93">
        <v>10.52182760994236</v>
      </c>
    </row>
    <row r="94" spans="1:20" x14ac:dyDescent="0.25">
      <c r="A94" s="5" t="s">
        <v>112</v>
      </c>
      <c r="B94">
        <v>11.603562417699901</v>
      </c>
      <c r="C94">
        <v>12.227768790623315</v>
      </c>
      <c r="D94">
        <v>12.082538852504179</v>
      </c>
      <c r="E94">
        <v>11.930222306584346</v>
      </c>
      <c r="F94">
        <v>11.045658705116141</v>
      </c>
      <c r="G94">
        <v>11.714013089365057</v>
      </c>
      <c r="H94">
        <v>12.002742294068291</v>
      </c>
      <c r="I94">
        <v>11.75622860828835</v>
      </c>
      <c r="J94">
        <v>11.226223021705605</v>
      </c>
      <c r="K94">
        <v>11.938692529480567</v>
      </c>
      <c r="L94">
        <v>11.856811616621588</v>
      </c>
      <c r="M94">
        <v>11.420567103027402</v>
      </c>
      <c r="N94">
        <v>10.790314614014068</v>
      </c>
      <c r="O94">
        <v>11.578258512337445</v>
      </c>
      <c r="P94">
        <v>10.668949843522423</v>
      </c>
      <c r="Q94">
        <v>10.360807764062159</v>
      </c>
      <c r="R94">
        <v>10.527325346387837</v>
      </c>
      <c r="S94">
        <v>10.333696650036538</v>
      </c>
      <c r="T94">
        <v>10.183013413919085</v>
      </c>
    </row>
    <row r="95" spans="1:20" x14ac:dyDescent="0.25">
      <c r="A95" s="6" t="s">
        <v>113</v>
      </c>
      <c r="B95">
        <v>6.1551142544057571</v>
      </c>
      <c r="C95">
        <v>6.0583210527831168</v>
      </c>
      <c r="D95">
        <v>6.1323682130061048</v>
      </c>
      <c r="E95">
        <v>5.993612105551442</v>
      </c>
      <c r="F95">
        <v>6.1998994090002171</v>
      </c>
      <c r="G95">
        <v>6.3633750342535436</v>
      </c>
      <c r="H95">
        <v>6.4320968550599176</v>
      </c>
      <c r="I95">
        <v>5.9562637736545589</v>
      </c>
      <c r="J95">
        <v>6.0450535730306356</v>
      </c>
      <c r="K95">
        <v>6.3050176390443431</v>
      </c>
      <c r="L95">
        <v>6.2425021661118754</v>
      </c>
      <c r="M95">
        <v>6.1380035630905816</v>
      </c>
      <c r="N95">
        <v>5.780382568127866</v>
      </c>
      <c r="O95">
        <v>6.0836703857172605</v>
      </c>
      <c r="P95">
        <v>6.5300108950285063</v>
      </c>
      <c r="Q95">
        <v>7.3129534196736374</v>
      </c>
      <c r="R95">
        <v>7.2538029083830207</v>
      </c>
      <c r="S95">
        <v>7.5427443003095567</v>
      </c>
      <c r="T95">
        <v>7.4365242870637429</v>
      </c>
    </row>
    <row r="96" spans="1:20" x14ac:dyDescent="0.25">
      <c r="A96" s="5" t="s">
        <v>114</v>
      </c>
      <c r="B96">
        <v>7.8244201639886901</v>
      </c>
      <c r="C96">
        <v>7.9057735742818425</v>
      </c>
      <c r="D96">
        <v>8.1128861416013454</v>
      </c>
      <c r="E96">
        <v>8.1971455692763957</v>
      </c>
      <c r="F96">
        <v>8.2457821252703614</v>
      </c>
      <c r="G96">
        <v>8.2179810019053257</v>
      </c>
      <c r="H96">
        <v>8.319752997091129</v>
      </c>
      <c r="I96">
        <v>8.0066829680530134</v>
      </c>
      <c r="J96">
        <v>7.8945972296027689</v>
      </c>
      <c r="K96">
        <v>8.0348392139697395</v>
      </c>
      <c r="L96">
        <v>7.9516696990063496</v>
      </c>
      <c r="M96">
        <v>7.9956742515217387</v>
      </c>
      <c r="N96">
        <v>7.454220861652308</v>
      </c>
      <c r="O96">
        <v>8.055826895918381</v>
      </c>
      <c r="P96">
        <v>8.0719165396156747</v>
      </c>
      <c r="Q96">
        <v>8.7616241567510471</v>
      </c>
      <c r="R96">
        <v>8.4585681067375518</v>
      </c>
      <c r="S96">
        <v>8.664042719780662</v>
      </c>
      <c r="T96">
        <v>8.6813222694214556</v>
      </c>
    </row>
    <row r="97" spans="1:20" x14ac:dyDescent="0.25">
      <c r="A97" s="6" t="s">
        <v>115</v>
      </c>
      <c r="B97">
        <v>14.525576209648337</v>
      </c>
      <c r="C97">
        <v>0</v>
      </c>
      <c r="D97">
        <v>16.953372939642524</v>
      </c>
      <c r="E97">
        <v>16.198214228710349</v>
      </c>
      <c r="F97">
        <v>0</v>
      </c>
      <c r="G97">
        <v>15.364753415313277</v>
      </c>
      <c r="H97">
        <v>14.334633426936943</v>
      </c>
      <c r="I97">
        <v>16.15546458125101</v>
      </c>
      <c r="J97">
        <v>15.491945431767057</v>
      </c>
      <c r="K97">
        <v>15.518787043985698</v>
      </c>
      <c r="L97">
        <v>15.553056946070447</v>
      </c>
      <c r="M97">
        <v>0</v>
      </c>
      <c r="N97">
        <v>15.103749544706854</v>
      </c>
      <c r="O97">
        <v>15.299300353824661</v>
      </c>
      <c r="P97">
        <v>13.929316117592796</v>
      </c>
      <c r="Q97">
        <v>14.124213647266572</v>
      </c>
      <c r="R97">
        <v>13.891552890476294</v>
      </c>
      <c r="S97">
        <v>13.664782028629272</v>
      </c>
      <c r="T97">
        <v>14.891552890476294</v>
      </c>
    </row>
    <row r="98" spans="1:20" x14ac:dyDescent="0.25">
      <c r="A98" s="5" t="s">
        <v>116</v>
      </c>
      <c r="B98">
        <v>0</v>
      </c>
      <c r="C98">
        <v>0</v>
      </c>
      <c r="D98">
        <v>15.63144484475516</v>
      </c>
      <c r="E98">
        <v>15.209102544853085</v>
      </c>
      <c r="F98">
        <v>15.683641055880589</v>
      </c>
      <c r="G98">
        <v>0</v>
      </c>
      <c r="H98">
        <v>15.139754498162349</v>
      </c>
      <c r="I98">
        <v>15.034328143749375</v>
      </c>
      <c r="J98">
        <v>16.242269408788282</v>
      </c>
      <c r="K98">
        <v>16.093625327433145</v>
      </c>
      <c r="L98">
        <v>15.887174449965721</v>
      </c>
      <c r="M98">
        <v>0</v>
      </c>
      <c r="N98">
        <v>16.712787401540105</v>
      </c>
      <c r="O98">
        <v>17.005569150767954</v>
      </c>
      <c r="P98">
        <v>15.904768509980459</v>
      </c>
      <c r="Q98">
        <v>16.113945311812746</v>
      </c>
      <c r="R98">
        <v>15.352629856230788</v>
      </c>
      <c r="S98">
        <v>14.588160747026361</v>
      </c>
      <c r="T98">
        <v>15.986710123516636</v>
      </c>
    </row>
    <row r="99" spans="1:20" x14ac:dyDescent="0.25">
      <c r="A99" s="6" t="s">
        <v>117</v>
      </c>
      <c r="B99">
        <v>10.963584410107401</v>
      </c>
      <c r="C99">
        <v>10.513958633207826</v>
      </c>
      <c r="D99">
        <v>10.269003437861519</v>
      </c>
      <c r="E99">
        <v>10.373425324090002</v>
      </c>
      <c r="F99">
        <v>10.557537638727862</v>
      </c>
      <c r="G99">
        <v>10.849507370010446</v>
      </c>
      <c r="H99">
        <v>11.021576509871661</v>
      </c>
      <c r="I99">
        <v>10.644267127842728</v>
      </c>
      <c r="J99">
        <v>10.689659283694537</v>
      </c>
      <c r="K99">
        <v>10.172759066520451</v>
      </c>
      <c r="L99">
        <v>10.213604321328587</v>
      </c>
      <c r="M99">
        <v>10.890202366534529</v>
      </c>
      <c r="N99">
        <v>10.633781045144543</v>
      </c>
      <c r="O99">
        <v>10.663585743633625</v>
      </c>
      <c r="P99">
        <v>11.689504411778037</v>
      </c>
      <c r="Q99">
        <v>12.904215435394084</v>
      </c>
      <c r="R99">
        <v>13.053873391469631</v>
      </c>
      <c r="S99">
        <v>13.098729176926167</v>
      </c>
      <c r="T99">
        <v>12.923644278321168</v>
      </c>
    </row>
    <row r="100" spans="1:20" x14ac:dyDescent="0.25">
      <c r="A100" s="5" t="s">
        <v>118</v>
      </c>
      <c r="B100">
        <v>12.722768463516813</v>
      </c>
      <c r="C100">
        <v>12.121633274494783</v>
      </c>
      <c r="D100">
        <v>12.318847481355924</v>
      </c>
      <c r="E100">
        <v>12.089054792592414</v>
      </c>
      <c r="F100">
        <v>12.875028391820681</v>
      </c>
      <c r="G100">
        <v>13.181524889635442</v>
      </c>
      <c r="H100">
        <v>12.670667848433197</v>
      </c>
      <c r="I100">
        <v>12.860975303423762</v>
      </c>
      <c r="J100">
        <v>12.888825750330382</v>
      </c>
      <c r="K100">
        <v>12.335744193072211</v>
      </c>
      <c r="L100">
        <v>12.545697542729183</v>
      </c>
      <c r="M100">
        <v>12.922523781941681</v>
      </c>
      <c r="N100">
        <v>12.849078857927482</v>
      </c>
      <c r="O100">
        <v>13.299300353824661</v>
      </c>
      <c r="P100">
        <v>13.345104043437788</v>
      </c>
      <c r="Q100">
        <v>12.729101870611824</v>
      </c>
      <c r="R100">
        <v>13.023079872163112</v>
      </c>
      <c r="S100">
        <v>12.901674019660835</v>
      </c>
      <c r="T100">
        <v>13.150051479469971</v>
      </c>
    </row>
    <row r="101" spans="1:20" x14ac:dyDescent="0.25">
      <c r="A101" s="6" t="s">
        <v>119</v>
      </c>
      <c r="B101">
        <v>17.924373067919969</v>
      </c>
      <c r="C101">
        <v>16.96994524103723</v>
      </c>
      <c r="D101">
        <v>17.240034404404977</v>
      </c>
      <c r="E101">
        <v>17.632910253759658</v>
      </c>
      <c r="F101">
        <v>17.924373067919969</v>
      </c>
      <c r="G101">
        <v>17.857748336032504</v>
      </c>
      <c r="H101">
        <v>18.095644495069799</v>
      </c>
      <c r="I101">
        <v>18.040149382478095</v>
      </c>
      <c r="J101">
        <v>17.917213276347105</v>
      </c>
      <c r="K101">
        <v>17.320396189280171</v>
      </c>
      <c r="L101">
        <v>17.358678900903595</v>
      </c>
      <c r="M101">
        <v>18.308638218403999</v>
      </c>
      <c r="N101">
        <v>18.895944659593454</v>
      </c>
      <c r="O101">
        <v>18.400499076598219</v>
      </c>
      <c r="P101">
        <v>0</v>
      </c>
      <c r="Q101">
        <v>0</v>
      </c>
      <c r="R101">
        <v>0</v>
      </c>
      <c r="S101">
        <v>0</v>
      </c>
      <c r="T101">
        <v>19.609640474436812</v>
      </c>
    </row>
    <row r="102" spans="1:20" x14ac:dyDescent="0.25">
      <c r="A102" s="5" t="s">
        <v>120</v>
      </c>
      <c r="B102">
        <v>16.103749544706854</v>
      </c>
      <c r="C102">
        <v>16.566996137028319</v>
      </c>
      <c r="D102">
        <v>16.512029677810389</v>
      </c>
      <c r="E102">
        <v>15.996108821518886</v>
      </c>
      <c r="F102">
        <v>17.267085728959493</v>
      </c>
      <c r="G102">
        <v>0</v>
      </c>
      <c r="H102">
        <v>16.253496664211536</v>
      </c>
      <c r="I102">
        <v>16.083571662769224</v>
      </c>
      <c r="J102">
        <v>16.124213647266568</v>
      </c>
      <c r="K102">
        <v>16.264811977439372</v>
      </c>
      <c r="L102">
        <v>16.742534744934158</v>
      </c>
      <c r="M102">
        <v>15.745702024012841</v>
      </c>
      <c r="N102">
        <v>17.168156994854169</v>
      </c>
      <c r="O102">
        <v>16.712787401540105</v>
      </c>
      <c r="P102">
        <v>16.383131944628133</v>
      </c>
      <c r="Q102">
        <v>15.068621321303253</v>
      </c>
      <c r="R102">
        <v>15.45908079786143</v>
      </c>
      <c r="S102">
        <v>15.505303814622076</v>
      </c>
      <c r="T102">
        <v>14.856891883029679</v>
      </c>
    </row>
    <row r="103" spans="1:20" x14ac:dyDescent="0.25">
      <c r="A103" s="6" t="s">
        <v>121</v>
      </c>
      <c r="B103">
        <v>15.310982158872298</v>
      </c>
      <c r="C103">
        <v>15.895944659593452</v>
      </c>
      <c r="D103">
        <v>0</v>
      </c>
      <c r="E103">
        <v>0</v>
      </c>
      <c r="F103">
        <v>14.532397475504352</v>
      </c>
      <c r="G103">
        <v>14.878457232864612</v>
      </c>
      <c r="H103">
        <v>14.904768509980459</v>
      </c>
      <c r="I103">
        <v>14.577539631269786</v>
      </c>
      <c r="J103">
        <v>14.364753415313277</v>
      </c>
      <c r="K103">
        <v>14.802285552379209</v>
      </c>
      <c r="L103">
        <v>15.053824319375174</v>
      </c>
      <c r="M103">
        <v>14.814704811633275</v>
      </c>
      <c r="N103">
        <v>15.714337853103507</v>
      </c>
      <c r="O103">
        <v>16.276216740711622</v>
      </c>
      <c r="P103">
        <v>13.627787821147072</v>
      </c>
      <c r="Q103">
        <v>12.799752755684779</v>
      </c>
      <c r="R103">
        <v>12.47730218145467</v>
      </c>
      <c r="S103">
        <v>13.296394622649251</v>
      </c>
      <c r="T103">
        <v>13.202423704732462</v>
      </c>
    </row>
    <row r="104" spans="1:20" x14ac:dyDescent="0.25">
      <c r="A104" s="5" t="s">
        <v>122</v>
      </c>
      <c r="B104">
        <v>13.116928428811196</v>
      </c>
      <c r="C104">
        <v>12.392045252294672</v>
      </c>
      <c r="D104">
        <v>12.435242046043504</v>
      </c>
      <c r="E104">
        <v>13.075006092329749</v>
      </c>
      <c r="F104">
        <v>12.523858927884124</v>
      </c>
      <c r="G104">
        <v>12.194071079423891</v>
      </c>
      <c r="H104">
        <v>12.349870851795218</v>
      </c>
      <c r="I104">
        <v>11.975936096282304</v>
      </c>
      <c r="J104">
        <v>12.049726560315532</v>
      </c>
      <c r="K104">
        <v>12.701586573965216</v>
      </c>
      <c r="L104">
        <v>12.216986462082433</v>
      </c>
      <c r="M104">
        <v>13.109603303455124</v>
      </c>
      <c r="N104">
        <v>11.495823311028012</v>
      </c>
      <c r="O104">
        <v>12.494315857831962</v>
      </c>
      <c r="P104">
        <v>12.311942809176841</v>
      </c>
      <c r="Q104">
        <v>12.669266968145266</v>
      </c>
      <c r="R104">
        <v>12.207068358775027</v>
      </c>
      <c r="S104">
        <v>12.343483610790194</v>
      </c>
      <c r="T104">
        <v>12.632406351506459</v>
      </c>
    </row>
    <row r="105" spans="1:20" x14ac:dyDescent="0.25">
      <c r="A105" s="6" t="s">
        <v>123</v>
      </c>
      <c r="B105">
        <v>16.144972207433366</v>
      </c>
      <c r="C105">
        <v>0</v>
      </c>
      <c r="D105">
        <v>16.124213647266568</v>
      </c>
      <c r="E105">
        <v>0</v>
      </c>
      <c r="F105">
        <v>15.852617227929352</v>
      </c>
      <c r="G105">
        <v>0</v>
      </c>
      <c r="H105">
        <v>0</v>
      </c>
      <c r="I105">
        <v>0</v>
      </c>
      <c r="J105">
        <v>16.287712379549451</v>
      </c>
      <c r="K105">
        <v>16.176681067160704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14.991401818841357</v>
      </c>
      <c r="R105">
        <v>14.737796825927495</v>
      </c>
      <c r="S105">
        <v>15.352629856230788</v>
      </c>
      <c r="T105">
        <v>14.802285552379209</v>
      </c>
    </row>
    <row r="106" spans="1:20" x14ac:dyDescent="0.25">
      <c r="A106" s="5" t="s">
        <v>124</v>
      </c>
      <c r="B106">
        <v>10.510242164015409</v>
      </c>
      <c r="C106">
        <v>11.551510172993703</v>
      </c>
      <c r="D106">
        <v>11.210459124527562</v>
      </c>
      <c r="E106">
        <v>11.634941389129212</v>
      </c>
      <c r="F106">
        <v>9.6500186759575328</v>
      </c>
      <c r="G106">
        <v>9.7204565708125141</v>
      </c>
      <c r="H106">
        <v>10.654239318856856</v>
      </c>
      <c r="I106">
        <v>10.554433972251827</v>
      </c>
      <c r="J106">
        <v>9.2351356345640916</v>
      </c>
      <c r="K106">
        <v>9.9554040167863818</v>
      </c>
      <c r="L106">
        <v>10.520489819019575</v>
      </c>
      <c r="M106">
        <v>10.053858056260809</v>
      </c>
      <c r="N106">
        <v>9.5786059528884877</v>
      </c>
      <c r="O106">
        <v>10.834766460494786</v>
      </c>
      <c r="P106">
        <v>7.9812343059207276</v>
      </c>
      <c r="Q106">
        <v>7.4466686595527403</v>
      </c>
      <c r="R106">
        <v>6.6852593595787582</v>
      </c>
      <c r="S106">
        <v>6.3054580190150897</v>
      </c>
      <c r="T106">
        <v>7.0785659116950228</v>
      </c>
    </row>
    <row r="107" spans="1:20" x14ac:dyDescent="0.25">
      <c r="A107" s="6" t="s">
        <v>125</v>
      </c>
      <c r="B107">
        <v>10.653541991911222</v>
      </c>
      <c r="C107">
        <v>10.333609149264603</v>
      </c>
      <c r="D107">
        <v>10.708759179214583</v>
      </c>
      <c r="E107">
        <v>10.655851433840162</v>
      </c>
      <c r="F107">
        <v>10.304795446500934</v>
      </c>
      <c r="G107">
        <v>9.6830230598774314</v>
      </c>
      <c r="H107">
        <v>9.8237787149497855</v>
      </c>
      <c r="I107">
        <v>9.9891874901228448</v>
      </c>
      <c r="J107">
        <v>10.547030864495804</v>
      </c>
      <c r="K107">
        <v>10.354832930150138</v>
      </c>
      <c r="L107">
        <v>10.275553153442067</v>
      </c>
      <c r="M107">
        <v>10.525482641659945</v>
      </c>
      <c r="N107">
        <v>10.672734042485608</v>
      </c>
      <c r="O107">
        <v>11.372799661343311</v>
      </c>
      <c r="P107">
        <v>10.779801060162541</v>
      </c>
      <c r="Q107">
        <v>9.3408421217592466</v>
      </c>
      <c r="R107">
        <v>9.9710481713677375</v>
      </c>
      <c r="S107">
        <v>8.5547203852950453</v>
      </c>
      <c r="T107">
        <v>9.2651750043302634</v>
      </c>
    </row>
    <row r="108" spans="1:20" x14ac:dyDescent="0.25">
      <c r="A108" s="5" t="s">
        <v>126</v>
      </c>
      <c r="B108">
        <v>9.1578317984315767</v>
      </c>
      <c r="C108">
        <v>10.370129774457464</v>
      </c>
      <c r="D108">
        <v>10.182827264372388</v>
      </c>
      <c r="E108">
        <v>10.692898723316036</v>
      </c>
      <c r="F108">
        <v>8.4583478577920612</v>
      </c>
      <c r="G108">
        <v>8.4620900564989654</v>
      </c>
      <c r="H108">
        <v>9.3467187835560726</v>
      </c>
      <c r="I108">
        <v>9.5168135785200345</v>
      </c>
      <c r="J108">
        <v>8.3544036615422925</v>
      </c>
      <c r="K108">
        <v>8.5522367764932348</v>
      </c>
      <c r="L108">
        <v>9.608312228677061</v>
      </c>
      <c r="M108">
        <v>8.4019945336994741</v>
      </c>
      <c r="N108">
        <v>8.6822304909510208</v>
      </c>
      <c r="O108">
        <v>9.5725987580999394</v>
      </c>
      <c r="P108">
        <v>7.009859079654488</v>
      </c>
      <c r="Q108">
        <v>6.5638977378634387</v>
      </c>
      <c r="R108">
        <v>6.1294306987678366</v>
      </c>
      <c r="S108">
        <v>6.1105831041229441</v>
      </c>
      <c r="T108">
        <v>6.3647522263839145</v>
      </c>
    </row>
    <row r="109" spans="1:20" x14ac:dyDescent="0.25">
      <c r="A109" s="6" t="s">
        <v>127</v>
      </c>
      <c r="B109">
        <v>12.830202135728891</v>
      </c>
      <c r="C109">
        <v>13.486967755612673</v>
      </c>
      <c r="D109">
        <v>16.144972207433366</v>
      </c>
      <c r="E109">
        <v>14.570502080529854</v>
      </c>
      <c r="F109">
        <v>13.261181412350339</v>
      </c>
      <c r="G109">
        <v>12.406972007454252</v>
      </c>
      <c r="H109">
        <v>13.420606650046794</v>
      </c>
      <c r="I109">
        <v>13.250161472251376</v>
      </c>
      <c r="J109">
        <v>13.086517666309449</v>
      </c>
      <c r="K109">
        <v>12.499577963098373</v>
      </c>
      <c r="L109">
        <v>13.150772928664198</v>
      </c>
      <c r="M109">
        <v>12.025766416710979</v>
      </c>
      <c r="N109">
        <v>11.505870099672256</v>
      </c>
      <c r="O109">
        <v>14.068621321303253</v>
      </c>
      <c r="P109">
        <v>12.051213638337465</v>
      </c>
      <c r="Q109">
        <v>11.911522032464603</v>
      </c>
      <c r="R109">
        <v>13.25565386546425</v>
      </c>
      <c r="S109">
        <v>11.987512494409909</v>
      </c>
      <c r="T109">
        <v>11.297410962980743</v>
      </c>
    </row>
    <row r="110" spans="1:20" x14ac:dyDescent="0.25">
      <c r="A110" s="5" t="s">
        <v>128</v>
      </c>
      <c r="B110">
        <v>11.284059775343065</v>
      </c>
      <c r="C110">
        <v>11.415135744385436</v>
      </c>
      <c r="D110">
        <v>12.312478411069687</v>
      </c>
      <c r="E110">
        <v>12.316189057957853</v>
      </c>
      <c r="F110">
        <v>10.9230447045113</v>
      </c>
      <c r="G110">
        <v>10.713562419039748</v>
      </c>
      <c r="H110">
        <v>11.285899330251512</v>
      </c>
      <c r="I110">
        <v>11.473994796555989</v>
      </c>
      <c r="J110">
        <v>10.735217261184095</v>
      </c>
      <c r="K110">
        <v>10.967175713457991</v>
      </c>
      <c r="L110">
        <v>11.109055096799109</v>
      </c>
      <c r="M110">
        <v>10.427784562780271</v>
      </c>
      <c r="N110">
        <v>10.64153359010909</v>
      </c>
      <c r="O110">
        <v>11.717055159244159</v>
      </c>
      <c r="P110">
        <v>9.8169620868645584</v>
      </c>
      <c r="Q110">
        <v>9.613620132309201</v>
      </c>
      <c r="R110">
        <v>9.4366709943202114</v>
      </c>
      <c r="S110">
        <v>8.9205433333094977</v>
      </c>
      <c r="T110">
        <v>9.0354700735503375</v>
      </c>
    </row>
    <row r="111" spans="1:20" x14ac:dyDescent="0.25">
      <c r="A111" s="6" t="s">
        <v>129</v>
      </c>
      <c r="B111">
        <v>8.092473459946973</v>
      </c>
      <c r="C111">
        <v>8.9562901986298709</v>
      </c>
      <c r="D111">
        <v>9.1014939229869984</v>
      </c>
      <c r="E111">
        <v>8.9745470829029284</v>
      </c>
      <c r="F111">
        <v>7.2874881029883589</v>
      </c>
      <c r="G111">
        <v>7.5306112381493513</v>
      </c>
      <c r="H111">
        <v>8.6017727915911646</v>
      </c>
      <c r="I111">
        <v>9.0430893821322922</v>
      </c>
      <c r="J111">
        <v>7.8948392827076654</v>
      </c>
      <c r="K111">
        <v>8.1403690439449381</v>
      </c>
      <c r="L111">
        <v>8.3122293864840593</v>
      </c>
      <c r="M111">
        <v>7.6311765384978987</v>
      </c>
      <c r="N111">
        <v>8.3115595723460878</v>
      </c>
      <c r="O111">
        <v>8.3700567421357839</v>
      </c>
      <c r="P111">
        <v>6.8100488120451033</v>
      </c>
      <c r="Q111">
        <v>6.7969309623772753</v>
      </c>
      <c r="R111">
        <v>6.686263959020339</v>
      </c>
      <c r="S111">
        <v>6.3384367113874589</v>
      </c>
      <c r="T111">
        <v>6.652899006549851</v>
      </c>
    </row>
    <row r="112" spans="1:20" x14ac:dyDescent="0.25">
      <c r="A112" s="5" t="s">
        <v>130</v>
      </c>
      <c r="B112">
        <v>6.6869239236394353</v>
      </c>
      <c r="C112">
        <v>6.8686856008253336</v>
      </c>
      <c r="D112">
        <v>7.1816815481926461</v>
      </c>
      <c r="E112">
        <v>7.3036079582837194</v>
      </c>
      <c r="F112">
        <v>6.8989886480843179</v>
      </c>
      <c r="G112">
        <v>7.3965206975944353</v>
      </c>
      <c r="H112">
        <v>7.9177912429119299</v>
      </c>
      <c r="I112">
        <v>7.6261773874678065</v>
      </c>
      <c r="J112">
        <v>7.0299423204530518</v>
      </c>
      <c r="K112">
        <v>7.2500529793722261</v>
      </c>
      <c r="L112">
        <v>6.9406004176499554</v>
      </c>
      <c r="M112">
        <v>7.2260983862867976</v>
      </c>
      <c r="N112">
        <v>7.6094536687947461</v>
      </c>
      <c r="O112">
        <v>7.5272880859732609</v>
      </c>
      <c r="P112">
        <v>7.1687304137475101</v>
      </c>
      <c r="Q112">
        <v>7.3177942960408098</v>
      </c>
      <c r="R112">
        <v>7.026690508704232</v>
      </c>
      <c r="S112">
        <v>7.2689778486678556</v>
      </c>
      <c r="T112">
        <v>7.349053022250069</v>
      </c>
    </row>
    <row r="113" spans="1:20" x14ac:dyDescent="0.25">
      <c r="A113" s="6" t="s">
        <v>131</v>
      </c>
      <c r="B113">
        <v>10.330195180224608</v>
      </c>
      <c r="C113">
        <v>9.9834349914837741</v>
      </c>
      <c r="D113">
        <v>10.535068676312635</v>
      </c>
      <c r="E113">
        <v>9.9042748807417684</v>
      </c>
      <c r="F113">
        <v>9.5220026109491904</v>
      </c>
      <c r="G113">
        <v>9.2880776079578453</v>
      </c>
      <c r="H113">
        <v>9.4070963952364774</v>
      </c>
      <c r="I113">
        <v>10.073755483821291</v>
      </c>
      <c r="J113">
        <v>10.382253647743418</v>
      </c>
      <c r="K113">
        <v>9.9105247589061545</v>
      </c>
      <c r="L113">
        <v>9.8450594418902799</v>
      </c>
      <c r="M113">
        <v>9.9656429074754502</v>
      </c>
      <c r="N113">
        <v>10.091487775859843</v>
      </c>
      <c r="O113">
        <v>10.460545763139926</v>
      </c>
      <c r="P113">
        <v>10.079084315531007</v>
      </c>
      <c r="Q113">
        <v>9.6575760405285376</v>
      </c>
      <c r="R113">
        <v>9.5588699836284761</v>
      </c>
      <c r="S113">
        <v>8.580474190418764</v>
      </c>
      <c r="T113">
        <v>9.0694829815353444</v>
      </c>
    </row>
    <row r="114" spans="1:20" x14ac:dyDescent="0.25">
      <c r="A114" s="5" t="s">
        <v>132</v>
      </c>
      <c r="B114">
        <v>15.949715916034434</v>
      </c>
      <c r="C114">
        <v>0</v>
      </c>
      <c r="D114">
        <v>16.581071322240042</v>
      </c>
      <c r="E114">
        <v>16.034328143749374</v>
      </c>
      <c r="F114">
        <v>0</v>
      </c>
      <c r="G114">
        <v>15.653583822024411</v>
      </c>
      <c r="H114">
        <v>14.781821449819493</v>
      </c>
      <c r="I114">
        <v>0</v>
      </c>
      <c r="J114">
        <v>0</v>
      </c>
      <c r="K114">
        <v>14.53582024114514</v>
      </c>
      <c r="L114">
        <v>0</v>
      </c>
      <c r="M114">
        <v>0</v>
      </c>
      <c r="N114">
        <v>0</v>
      </c>
      <c r="O114">
        <v>0</v>
      </c>
      <c r="P114">
        <v>14.349614818475356</v>
      </c>
      <c r="Q114">
        <v>13.009680038971521</v>
      </c>
      <c r="R114">
        <v>14.874118297140276</v>
      </c>
      <c r="S114">
        <v>14.687442626040445</v>
      </c>
      <c r="T114">
        <v>12.066880974065866</v>
      </c>
    </row>
    <row r="115" spans="1:20" x14ac:dyDescent="0.25">
      <c r="A115" s="6" t="s">
        <v>133</v>
      </c>
      <c r="B115">
        <v>14.865479378866404</v>
      </c>
      <c r="C115">
        <v>13.949715916034434</v>
      </c>
      <c r="D115">
        <v>14.184718386226123</v>
      </c>
      <c r="E115">
        <v>14.203648114760977</v>
      </c>
      <c r="F115">
        <v>15.214577674919234</v>
      </c>
      <c r="G115">
        <v>14.392409758216143</v>
      </c>
      <c r="H115">
        <v>14.423773929125478</v>
      </c>
      <c r="I115">
        <v>14.508662826711991</v>
      </c>
      <c r="J115">
        <v>14.729934708154525</v>
      </c>
      <c r="K115">
        <v>14.539251146545414</v>
      </c>
      <c r="L115">
        <v>14.113945311812744</v>
      </c>
      <c r="M115">
        <v>14.904768509980459</v>
      </c>
      <c r="N115">
        <v>15.024677973715658</v>
      </c>
      <c r="O115">
        <v>14.560009706712211</v>
      </c>
      <c r="P115">
        <v>15.352629856230788</v>
      </c>
      <c r="Q115">
        <v>15.827231909509438</v>
      </c>
      <c r="R115">
        <v>15.95887591531991</v>
      </c>
      <c r="S115">
        <v>15.638786820096328</v>
      </c>
      <c r="T115">
        <v>15.553056946070447</v>
      </c>
    </row>
    <row r="116" spans="1:20" x14ac:dyDescent="0.25">
      <c r="A116" s="5" t="s">
        <v>134</v>
      </c>
      <c r="B116">
        <v>15.505303814622076</v>
      </c>
      <c r="C116">
        <v>14.414292876114592</v>
      </c>
      <c r="D116">
        <v>14.710464843956299</v>
      </c>
      <c r="E116">
        <v>14.485312339434612</v>
      </c>
      <c r="F116">
        <v>15.220073662674086</v>
      </c>
      <c r="G116">
        <v>14.642471866904184</v>
      </c>
      <c r="H116">
        <v>14.83564414932564</v>
      </c>
      <c r="I116">
        <v>15.236688376524983</v>
      </c>
      <c r="J116">
        <v>15.182034301654912</v>
      </c>
      <c r="K116">
        <v>14.887174449965721</v>
      </c>
      <c r="L116">
        <v>15.134555591488031</v>
      </c>
      <c r="M116">
        <v>15.913646661326911</v>
      </c>
      <c r="N116">
        <v>0</v>
      </c>
      <c r="O116">
        <v>15.340607327981576</v>
      </c>
      <c r="P116">
        <v>16.124213647266568</v>
      </c>
      <c r="Q116">
        <v>15.532397475504352</v>
      </c>
      <c r="R116">
        <v>15.334633426936943</v>
      </c>
      <c r="S116">
        <v>0</v>
      </c>
      <c r="T116">
        <v>15.518787043985698</v>
      </c>
    </row>
    <row r="117" spans="1:20" x14ac:dyDescent="0.25">
      <c r="A117" s="6" t="s">
        <v>135</v>
      </c>
      <c r="B117">
        <v>11.73815163062844</v>
      </c>
      <c r="C117">
        <v>10.926019805712434</v>
      </c>
      <c r="D117">
        <v>10.988488239707662</v>
      </c>
      <c r="E117">
        <v>10.951834717434888</v>
      </c>
      <c r="F117">
        <v>11.65927937988608</v>
      </c>
      <c r="G117">
        <v>11.529072342817212</v>
      </c>
      <c r="H117">
        <v>11.764767778136083</v>
      </c>
      <c r="I117">
        <v>11.618417969033125</v>
      </c>
      <c r="J117">
        <v>11.845129768421172</v>
      </c>
      <c r="K117">
        <v>11.202127961485772</v>
      </c>
      <c r="L117">
        <v>11.40127538921492</v>
      </c>
      <c r="M117">
        <v>12.41665730446282</v>
      </c>
      <c r="N117">
        <v>12.747248597368978</v>
      </c>
      <c r="O117">
        <v>11.967141055782902</v>
      </c>
      <c r="P117">
        <v>12.68740456071041</v>
      </c>
      <c r="Q117">
        <v>12.721092032957529</v>
      </c>
      <c r="R117">
        <v>12.924384282943667</v>
      </c>
      <c r="S117">
        <v>13.495273449484813</v>
      </c>
      <c r="T117">
        <v>13.09055152743716</v>
      </c>
    </row>
    <row r="118" spans="1:20" x14ac:dyDescent="0.25">
      <c r="A118" s="5" t="s">
        <v>136</v>
      </c>
      <c r="B118">
        <v>12.582902372652233</v>
      </c>
      <c r="C118">
        <v>11.65807599119614</v>
      </c>
      <c r="D118">
        <v>12.001410791246219</v>
      </c>
      <c r="E118">
        <v>12.037648223166673</v>
      </c>
      <c r="F118">
        <v>12.488948472401361</v>
      </c>
      <c r="G118">
        <v>12.543060420525215</v>
      </c>
      <c r="H118">
        <v>12.397071135586005</v>
      </c>
      <c r="I118">
        <v>12.292705521544054</v>
      </c>
      <c r="J118">
        <v>12.536882949465063</v>
      </c>
      <c r="K118">
        <v>12.142478397084325</v>
      </c>
      <c r="L118">
        <v>12.255752638151904</v>
      </c>
      <c r="M118">
        <v>13.174211898183072</v>
      </c>
      <c r="N118">
        <v>13.452596764291233</v>
      </c>
      <c r="O118">
        <v>12.58095640625605</v>
      </c>
      <c r="P118">
        <v>13.472136950686879</v>
      </c>
      <c r="Q118">
        <v>13.381591426552351</v>
      </c>
      <c r="R118">
        <v>13.602444973032609</v>
      </c>
      <c r="S118">
        <v>14.005569150767952</v>
      </c>
      <c r="T118">
        <v>13.549593090766873</v>
      </c>
    </row>
    <row r="119" spans="1:20" x14ac:dyDescent="0.25">
      <c r="A119" s="6" t="s">
        <v>137</v>
      </c>
      <c r="B119">
        <v>11.135499749866911</v>
      </c>
      <c r="C119">
        <v>10.204548378701078</v>
      </c>
      <c r="D119">
        <v>10.45369294957149</v>
      </c>
      <c r="E119">
        <v>10.40559368617258</v>
      </c>
      <c r="F119">
        <v>10.924316994109175</v>
      </c>
      <c r="G119">
        <v>10.904807233143105</v>
      </c>
      <c r="H119">
        <v>10.994636232801781</v>
      </c>
      <c r="I119">
        <v>10.767209669229659</v>
      </c>
      <c r="J119">
        <v>11.11733860945481</v>
      </c>
      <c r="K119">
        <v>10.689699791400153</v>
      </c>
      <c r="L119">
        <v>10.652248181381566</v>
      </c>
      <c r="M119">
        <v>11.531863401148536</v>
      </c>
      <c r="N119">
        <v>11.484898782017163</v>
      </c>
      <c r="O119">
        <v>11.213909280504906</v>
      </c>
      <c r="P119">
        <v>11.938907755656977</v>
      </c>
      <c r="Q119">
        <v>12.16978466289469</v>
      </c>
      <c r="R119">
        <v>12.506814402319623</v>
      </c>
      <c r="S119">
        <v>12.69451161168233</v>
      </c>
      <c r="T119">
        <v>12.330934559893391</v>
      </c>
    </row>
    <row r="120" spans="1:20" x14ac:dyDescent="0.25">
      <c r="A120" s="5" t="s">
        <v>138</v>
      </c>
      <c r="B120">
        <v>11.906866589362769</v>
      </c>
      <c r="C120">
        <v>10.885473182598593</v>
      </c>
      <c r="D120">
        <v>11.238294198495252</v>
      </c>
      <c r="E120">
        <v>11.074082030711773</v>
      </c>
      <c r="F120">
        <v>12.050974868207236</v>
      </c>
      <c r="G120">
        <v>11.488786763876643</v>
      </c>
      <c r="H120">
        <v>11.420397063195781</v>
      </c>
      <c r="I120">
        <v>11.762625736254904</v>
      </c>
      <c r="J120">
        <v>12.150221971268595</v>
      </c>
      <c r="K120">
        <v>11.400319686876111</v>
      </c>
      <c r="L120">
        <v>11.530817188580713</v>
      </c>
      <c r="M120">
        <v>12.452879832005795</v>
      </c>
      <c r="N120">
        <v>12.72933697603548</v>
      </c>
      <c r="O120">
        <v>12.194098120238115</v>
      </c>
      <c r="P120">
        <v>12.872029418651078</v>
      </c>
      <c r="Q120">
        <v>12.624987329747078</v>
      </c>
      <c r="R120">
        <v>13.051703546924481</v>
      </c>
      <c r="S120">
        <v>12.67516171552993</v>
      </c>
      <c r="T120">
        <v>12.107647287912373</v>
      </c>
    </row>
    <row r="121" spans="1:20" x14ac:dyDescent="0.25">
      <c r="A121" s="6" t="s">
        <v>139</v>
      </c>
      <c r="B121">
        <v>15.737796825927495</v>
      </c>
      <c r="C121">
        <v>14.176681067160706</v>
      </c>
      <c r="D121">
        <v>14.228357101933028</v>
      </c>
      <c r="E121">
        <v>13.837754895921446</v>
      </c>
      <c r="F121">
        <v>15.560009706712211</v>
      </c>
      <c r="G121">
        <v>15.182034301654912</v>
      </c>
      <c r="H121">
        <v>15.068621321303253</v>
      </c>
      <c r="I121">
        <v>15.691254239990466</v>
      </c>
      <c r="J121">
        <v>15.75365077712833</v>
      </c>
      <c r="K121">
        <v>14.749670926215785</v>
      </c>
      <c r="L121">
        <v>14.927067177089235</v>
      </c>
      <c r="M121">
        <v>16.299300353824663</v>
      </c>
      <c r="N121">
        <v>0</v>
      </c>
      <c r="O121">
        <v>15.745702024012841</v>
      </c>
      <c r="P121">
        <v>16.922579786096922</v>
      </c>
      <c r="Q121">
        <v>0</v>
      </c>
      <c r="R121">
        <v>0</v>
      </c>
      <c r="S121">
        <v>0</v>
      </c>
      <c r="T121">
        <v>16.78426187054388</v>
      </c>
    </row>
    <row r="122" spans="1:20" x14ac:dyDescent="0.25">
      <c r="A122" s="5" t="s">
        <v>140</v>
      </c>
      <c r="B122">
        <v>15.913646661326911</v>
      </c>
      <c r="C122">
        <v>14.392409758216143</v>
      </c>
      <c r="D122">
        <v>14.308052827833627</v>
      </c>
      <c r="E122">
        <v>14.0860785183798</v>
      </c>
      <c r="F122">
        <v>15.75365077712833</v>
      </c>
      <c r="G122">
        <v>15.242269408788282</v>
      </c>
      <c r="H122">
        <v>15.539251146545414</v>
      </c>
      <c r="I122">
        <v>15.638786820096328</v>
      </c>
      <c r="J122">
        <v>15.968094445349289</v>
      </c>
      <c r="K122">
        <v>14.83564414932564</v>
      </c>
      <c r="L122">
        <v>14.773716400182437</v>
      </c>
      <c r="M122">
        <v>15.878457232864612</v>
      </c>
      <c r="N122">
        <v>16.708146019389236</v>
      </c>
      <c r="O122">
        <v>15.769680886947281</v>
      </c>
      <c r="P122">
        <v>16.823880700009802</v>
      </c>
      <c r="Q122">
        <v>16.679092355188956</v>
      </c>
      <c r="R122">
        <v>16.383131944628133</v>
      </c>
      <c r="S122">
        <v>17.081569309858075</v>
      </c>
      <c r="T122">
        <v>16.711238614444618</v>
      </c>
    </row>
    <row r="123" spans="1:20" x14ac:dyDescent="0.25">
      <c r="A123" s="6" t="s">
        <v>141</v>
      </c>
      <c r="B123">
        <v>0</v>
      </c>
      <c r="C123">
        <v>14.211837512574323</v>
      </c>
      <c r="D123">
        <v>14.349614818475356</v>
      </c>
      <c r="E123">
        <v>13.720166931905704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15.083571662769224</v>
      </c>
      <c r="L123">
        <v>14.602444973032609</v>
      </c>
      <c r="M123">
        <v>15.67606783617579</v>
      </c>
      <c r="N123">
        <v>0</v>
      </c>
      <c r="O123">
        <v>15.242269408788282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25">
      <c r="A124" s="5" t="s">
        <v>142</v>
      </c>
      <c r="B124">
        <v>0</v>
      </c>
      <c r="C124">
        <v>16.722115203695225</v>
      </c>
      <c r="D124">
        <v>18.157572244213</v>
      </c>
      <c r="E124">
        <v>17.512029677810389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25">
      <c r="A125" s="6" t="s">
        <v>143</v>
      </c>
      <c r="B125">
        <v>13.501952605122439</v>
      </c>
      <c r="C125">
        <v>14.171347622857667</v>
      </c>
      <c r="D125">
        <v>13.59528518145974</v>
      </c>
      <c r="E125">
        <v>14.017482472311452</v>
      </c>
      <c r="F125">
        <v>13.800226030200914</v>
      </c>
      <c r="G125">
        <v>13.787930259402136</v>
      </c>
      <c r="H125">
        <v>14.313917449896843</v>
      </c>
      <c r="I125">
        <v>13.293494732143458</v>
      </c>
      <c r="J125">
        <v>13.554791997441193</v>
      </c>
      <c r="K125">
        <v>13.915874762219028</v>
      </c>
      <c r="L125">
        <v>13.970408311187535</v>
      </c>
      <c r="M125">
        <v>13.783854846972021</v>
      </c>
      <c r="N125">
        <v>13.444532489292275</v>
      </c>
      <c r="O125">
        <v>13.636947820432548</v>
      </c>
      <c r="P125">
        <v>13.749670926215785</v>
      </c>
      <c r="Q125">
        <v>14.679849476718214</v>
      </c>
      <c r="R125">
        <v>14.051372840381076</v>
      </c>
      <c r="S125">
        <v>14.642471866904184</v>
      </c>
      <c r="T125">
        <v>13.846228899966805</v>
      </c>
    </row>
    <row r="126" spans="1:20" x14ac:dyDescent="0.25">
      <c r="A126" s="5" t="s">
        <v>144</v>
      </c>
      <c r="B126">
        <v>14.386217924501876</v>
      </c>
      <c r="C126">
        <v>13.837754895921446</v>
      </c>
      <c r="D126">
        <v>14.646166350461927</v>
      </c>
      <c r="E126">
        <v>15.242269408788282</v>
      </c>
      <c r="F126">
        <v>13.706602204323898</v>
      </c>
      <c r="G126">
        <v>13.716278263672942</v>
      </c>
      <c r="H126">
        <v>14.220073662674087</v>
      </c>
      <c r="I126">
        <v>13.117543743517686</v>
      </c>
      <c r="J126">
        <v>13.691254239990464</v>
      </c>
      <c r="K126">
        <v>14.426948176920622</v>
      </c>
      <c r="L126">
        <v>14.198214228710349</v>
      </c>
      <c r="M126">
        <v>13.814704811633275</v>
      </c>
      <c r="N126">
        <v>13.156333619150905</v>
      </c>
      <c r="O126">
        <v>13.800226030200914</v>
      </c>
      <c r="P126">
        <v>13.520481342525573</v>
      </c>
      <c r="Q126">
        <v>13.706602204323898</v>
      </c>
      <c r="R126">
        <v>13.972725894080934</v>
      </c>
      <c r="S126">
        <v>13.48200719471094</v>
      </c>
      <c r="T126">
        <v>14.281953110260764</v>
      </c>
    </row>
    <row r="127" spans="1:20" x14ac:dyDescent="0.25">
      <c r="A127" s="6" t="s">
        <v>145</v>
      </c>
      <c r="B127">
        <v>15.270503089517227</v>
      </c>
      <c r="C127">
        <v>14.423773929125478</v>
      </c>
      <c r="D127">
        <v>15.088589737535848</v>
      </c>
      <c r="E127">
        <v>14.977372258937299</v>
      </c>
      <c r="F127">
        <v>14.468861818654016</v>
      </c>
      <c r="G127">
        <v>12.997960525042096</v>
      </c>
      <c r="H127">
        <v>13.444532489292275</v>
      </c>
      <c r="I127">
        <v>13.825136491507246</v>
      </c>
      <c r="J127">
        <v>14.134555591488031</v>
      </c>
      <c r="K127">
        <v>13.92257978609692</v>
      </c>
      <c r="L127">
        <v>13.865479378866404</v>
      </c>
      <c r="M127">
        <v>14.789972290940359</v>
      </c>
      <c r="N127">
        <v>15.242269408788282</v>
      </c>
      <c r="O127">
        <v>16.015091924886459</v>
      </c>
      <c r="P127">
        <v>13.622319608507558</v>
      </c>
      <c r="Q127">
        <v>12.946888085071988</v>
      </c>
      <c r="R127">
        <v>13.500279915032584</v>
      </c>
      <c r="S127">
        <v>12.241430876337539</v>
      </c>
      <c r="T127">
        <v>12.489537410477293</v>
      </c>
    </row>
    <row r="128" spans="1:20" x14ac:dyDescent="0.25">
      <c r="A128" s="5" t="s">
        <v>146</v>
      </c>
      <c r="B128">
        <v>12.325918678853283</v>
      </c>
      <c r="C128">
        <v>0</v>
      </c>
      <c r="D128">
        <v>12.066726240553102</v>
      </c>
      <c r="E128">
        <v>12.160283798767175</v>
      </c>
      <c r="F128">
        <v>13.428537923683015</v>
      </c>
      <c r="G128">
        <v>11.814928301157439</v>
      </c>
      <c r="H128">
        <v>11.408951731212817</v>
      </c>
      <c r="I128">
        <v>13.528982811091586</v>
      </c>
      <c r="J128">
        <v>13.071350644578324</v>
      </c>
      <c r="K128">
        <v>12.179174541314119</v>
      </c>
      <c r="L128">
        <v>11.835264542681983</v>
      </c>
      <c r="M128">
        <v>12.866287083491899</v>
      </c>
      <c r="N128">
        <v>13.733860411368322</v>
      </c>
      <c r="O128">
        <v>11.858192821392818</v>
      </c>
      <c r="P128">
        <v>13.102086831999165</v>
      </c>
      <c r="Q128">
        <v>13.330169178792346</v>
      </c>
      <c r="R128">
        <v>14.316858725208965</v>
      </c>
      <c r="S128">
        <v>11.430487753853997</v>
      </c>
      <c r="T128">
        <v>13.677957417377007</v>
      </c>
    </row>
    <row r="129" spans="1:20" x14ac:dyDescent="0.25">
      <c r="A129" s="6" t="s">
        <v>147</v>
      </c>
      <c r="B129">
        <v>12.270474578039259</v>
      </c>
      <c r="C129">
        <v>13.281953110260766</v>
      </c>
      <c r="D129">
        <v>12.97886226169395</v>
      </c>
      <c r="E129">
        <v>12.885765231931563</v>
      </c>
      <c r="F129">
        <v>12.715462973333334</v>
      </c>
      <c r="G129">
        <v>12.85227580205132</v>
      </c>
      <c r="H129">
        <v>13.113548880945098</v>
      </c>
      <c r="I129">
        <v>12.762274885072957</v>
      </c>
      <c r="J129">
        <v>12.780968276906082</v>
      </c>
      <c r="K129">
        <v>12.86782836116091</v>
      </c>
      <c r="L129">
        <v>12.594669310718452</v>
      </c>
      <c r="M129">
        <v>13.434914486730678</v>
      </c>
      <c r="N129">
        <v>12.309641251766156</v>
      </c>
      <c r="O129">
        <v>12.444339499519947</v>
      </c>
      <c r="P129">
        <v>12.47778762847215</v>
      </c>
      <c r="Q129">
        <v>12.556303191387887</v>
      </c>
      <c r="R129">
        <v>12.611959666446358</v>
      </c>
      <c r="S129">
        <v>12.885132078329702</v>
      </c>
      <c r="T129">
        <v>12.657838230812336</v>
      </c>
    </row>
    <row r="130" spans="1:20" x14ac:dyDescent="0.25">
      <c r="A130" s="5" t="s">
        <v>148</v>
      </c>
      <c r="B130">
        <v>16.322759326648651</v>
      </c>
      <c r="C130">
        <v>17.12009753879434</v>
      </c>
      <c r="D130">
        <v>0</v>
      </c>
      <c r="E130">
        <v>0</v>
      </c>
      <c r="F130">
        <v>17.748876271807987</v>
      </c>
      <c r="G130">
        <v>17.144972207433366</v>
      </c>
      <c r="H130">
        <v>14.848355201075194</v>
      </c>
      <c r="I130">
        <v>16.931568569324174</v>
      </c>
      <c r="J130">
        <v>18.12009753879434</v>
      </c>
      <c r="K130">
        <v>18.196046392027636</v>
      </c>
      <c r="L130">
        <v>17.018918704426969</v>
      </c>
      <c r="M130">
        <v>17.170283295962555</v>
      </c>
      <c r="N130">
        <v>17.341805082339199</v>
      </c>
      <c r="O130">
        <v>0</v>
      </c>
      <c r="P130">
        <v>15.15546458125101</v>
      </c>
      <c r="Q130">
        <v>18.051862803041885</v>
      </c>
      <c r="R130">
        <v>17.493275717745028</v>
      </c>
      <c r="S130">
        <v>14.48200719471094</v>
      </c>
      <c r="T130">
        <v>16.67003775408077</v>
      </c>
    </row>
    <row r="131" spans="1:20" x14ac:dyDescent="0.25">
      <c r="A131" s="6" t="s">
        <v>149</v>
      </c>
      <c r="B131">
        <v>11.920878230557987</v>
      </c>
      <c r="C131">
        <v>11.936966218324747</v>
      </c>
      <c r="D131">
        <v>12.167353803067746</v>
      </c>
      <c r="E131">
        <v>13.016286703456515</v>
      </c>
      <c r="F131">
        <v>11.611350179041535</v>
      </c>
      <c r="G131">
        <v>10.695513705002893</v>
      </c>
      <c r="H131">
        <v>10.537037278660693</v>
      </c>
      <c r="I131">
        <v>11.187478129858601</v>
      </c>
      <c r="J131">
        <v>11.253165614955863</v>
      </c>
      <c r="K131">
        <v>11.104438672348085</v>
      </c>
      <c r="L131">
        <v>11.578792391995279</v>
      </c>
      <c r="M131">
        <v>10.412769873026226</v>
      </c>
      <c r="N131">
        <v>10.930878382324465</v>
      </c>
      <c r="O131">
        <v>11.325789061149196</v>
      </c>
      <c r="P131">
        <v>9.3756776592018358</v>
      </c>
      <c r="Q131">
        <v>8.6150460427713043</v>
      </c>
      <c r="R131">
        <v>8.8162485049802104</v>
      </c>
      <c r="S131">
        <v>11.266588039513843</v>
      </c>
      <c r="T131">
        <v>8.834235625691381</v>
      </c>
    </row>
    <row r="132" spans="1:20" x14ac:dyDescent="0.25">
      <c r="A132" s="5" t="s">
        <v>150</v>
      </c>
      <c r="B132">
        <v>12.040386367518229</v>
      </c>
      <c r="C132">
        <v>12.216162492573215</v>
      </c>
      <c r="D132">
        <v>12.106457137070347</v>
      </c>
      <c r="E132">
        <v>12.113779053347564</v>
      </c>
      <c r="F132">
        <v>10.811431800837992</v>
      </c>
      <c r="G132">
        <v>11.472505868742843</v>
      </c>
      <c r="H132">
        <v>10.277125867724623</v>
      </c>
      <c r="I132">
        <v>11.650765327323363</v>
      </c>
      <c r="J132">
        <v>12.376626760975215</v>
      </c>
      <c r="K132">
        <v>11.798061554081372</v>
      </c>
      <c r="L132">
        <v>12.347229868488199</v>
      </c>
      <c r="M132">
        <v>11.297283881276993</v>
      </c>
      <c r="N132">
        <v>11.224613310323344</v>
      </c>
      <c r="O132">
        <v>11.648799821387184</v>
      </c>
      <c r="P132">
        <v>11.554835400471953</v>
      </c>
      <c r="Q132">
        <v>12.247773880373019</v>
      </c>
      <c r="R132">
        <v>12.260961886040178</v>
      </c>
      <c r="S132">
        <v>10.91549295567342</v>
      </c>
      <c r="T132">
        <v>11.386028718341398</v>
      </c>
    </row>
    <row r="133" spans="1:20" x14ac:dyDescent="0.25">
      <c r="A133" s="6" t="s">
        <v>151</v>
      </c>
      <c r="B133">
        <v>14.472136950686876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15.395515669083965</v>
      </c>
      <c r="I133">
        <v>14.63144484475516</v>
      </c>
      <c r="J133">
        <v>15.281953110260764</v>
      </c>
      <c r="K133">
        <v>15.395515669083965</v>
      </c>
      <c r="L133">
        <v>15.518787043985698</v>
      </c>
      <c r="M133">
        <v>14.187407473753764</v>
      </c>
      <c r="N133">
        <v>15.4397154729945</v>
      </c>
      <c r="O133">
        <v>14.687442626040445</v>
      </c>
      <c r="P133">
        <v>14.270503089517227</v>
      </c>
      <c r="Q133">
        <v>14.103749544706854</v>
      </c>
      <c r="R133">
        <v>0</v>
      </c>
      <c r="S133">
        <v>12.45560011168142</v>
      </c>
      <c r="T133">
        <v>14.475419534676179</v>
      </c>
    </row>
    <row r="134" spans="1:20" x14ac:dyDescent="0.25">
      <c r="A134" s="5" t="s">
        <v>152</v>
      </c>
      <c r="B134">
        <v>0</v>
      </c>
      <c r="C134">
        <v>16.176681067160704</v>
      </c>
      <c r="D134">
        <v>0</v>
      </c>
      <c r="E134">
        <v>0</v>
      </c>
      <c r="F134">
        <v>10.736191440155704</v>
      </c>
      <c r="G134">
        <v>14.068621321303253</v>
      </c>
      <c r="H134">
        <v>14.814704811633275</v>
      </c>
      <c r="I134">
        <v>12.636699734973654</v>
      </c>
      <c r="J134">
        <v>13.25942613647034</v>
      </c>
      <c r="K134">
        <v>0</v>
      </c>
      <c r="L134">
        <v>15.61687204366789</v>
      </c>
      <c r="M134">
        <v>13.871953713026953</v>
      </c>
      <c r="N134">
        <v>15.242269408788282</v>
      </c>
      <c r="O134">
        <v>0</v>
      </c>
      <c r="P134">
        <v>15.574016564706092</v>
      </c>
      <c r="Q134">
        <v>15.209102544853085</v>
      </c>
      <c r="R134">
        <v>15.691254239990466</v>
      </c>
      <c r="S134">
        <v>13.340607327981576</v>
      </c>
      <c r="T134">
        <v>13.46233377565652</v>
      </c>
    </row>
    <row r="135" spans="1:20" x14ac:dyDescent="0.25">
      <c r="A135" s="6" t="s">
        <v>153</v>
      </c>
      <c r="B135">
        <v>14.814704811633275</v>
      </c>
      <c r="C135">
        <v>15.048925519962333</v>
      </c>
      <c r="D135">
        <v>14.231128851183081</v>
      </c>
      <c r="E135">
        <v>14.687442626040445</v>
      </c>
      <c r="F135">
        <v>14.878457232864612</v>
      </c>
      <c r="G135">
        <v>14.553056946070445</v>
      </c>
      <c r="H135">
        <v>15.103749544706854</v>
      </c>
      <c r="I135">
        <v>15.478709604610364</v>
      </c>
      <c r="J135">
        <v>15.029494990013431</v>
      </c>
      <c r="K135">
        <v>14.798169443906975</v>
      </c>
      <c r="L135">
        <v>14.745702024012841</v>
      </c>
      <c r="M135">
        <v>14.931568569324176</v>
      </c>
      <c r="N135">
        <v>16.253496664211536</v>
      </c>
      <c r="O135">
        <v>14.718221287590733</v>
      </c>
      <c r="P135">
        <v>15.316858725208965</v>
      </c>
      <c r="Q135">
        <v>15.43331770179635</v>
      </c>
      <c r="R135">
        <v>15.06367210533152</v>
      </c>
      <c r="S135">
        <v>15.358678900903593</v>
      </c>
      <c r="T135">
        <v>15.370853614849695</v>
      </c>
    </row>
    <row r="136" spans="1:20" x14ac:dyDescent="0.25">
      <c r="A136" s="5" t="s">
        <v>154</v>
      </c>
      <c r="B136">
        <v>16.34660606860302</v>
      </c>
      <c r="C136">
        <v>0</v>
      </c>
      <c r="D136">
        <v>16.876720092328554</v>
      </c>
      <c r="E136">
        <v>0</v>
      </c>
      <c r="F136">
        <v>0</v>
      </c>
      <c r="G136">
        <v>0</v>
      </c>
      <c r="H136">
        <v>16.856035938156815</v>
      </c>
      <c r="I136">
        <v>0</v>
      </c>
      <c r="J136">
        <v>16.761643567881862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16.334633426936943</v>
      </c>
      <c r="R136">
        <v>16.198214228710349</v>
      </c>
      <c r="S136">
        <v>16.209102544853081</v>
      </c>
      <c r="T136">
        <v>15.6989078125339</v>
      </c>
    </row>
    <row r="137" spans="1:20" x14ac:dyDescent="0.25">
      <c r="A137" s="6" t="s">
        <v>155</v>
      </c>
      <c r="B137">
        <v>0</v>
      </c>
      <c r="C137">
        <v>13.214591388815602</v>
      </c>
      <c r="D137">
        <v>13.913646661326911</v>
      </c>
      <c r="E137">
        <v>13.798169443906975</v>
      </c>
      <c r="F137">
        <v>13.687442626040445</v>
      </c>
      <c r="G137">
        <v>13.931568569324176</v>
      </c>
      <c r="H137">
        <v>14.239476193896602</v>
      </c>
      <c r="I137">
        <v>13.856891883029679</v>
      </c>
      <c r="J137">
        <v>13.423773929125478</v>
      </c>
      <c r="K137">
        <v>14.287712379549449</v>
      </c>
      <c r="L137">
        <v>14.113945311812744</v>
      </c>
      <c r="M137">
        <v>14.414292876114592</v>
      </c>
      <c r="N137">
        <v>13.666656876249709</v>
      </c>
      <c r="O137">
        <v>13.876286133822985</v>
      </c>
      <c r="P137">
        <v>13.140145172454817</v>
      </c>
      <c r="Q137">
        <v>13.011275269113167</v>
      </c>
      <c r="R137">
        <v>13.3693261451031</v>
      </c>
      <c r="S137">
        <v>13.058321341207648</v>
      </c>
      <c r="T137">
        <v>12.977674791228592</v>
      </c>
    </row>
    <row r="138" spans="1:20" x14ac:dyDescent="0.25">
      <c r="A138" s="5" t="s">
        <v>156</v>
      </c>
      <c r="B138">
        <v>9.3733793946608266</v>
      </c>
      <c r="C138">
        <v>9.2678094624148759</v>
      </c>
      <c r="D138">
        <v>9.7983839631240581</v>
      </c>
      <c r="E138">
        <v>9.6431315617974924</v>
      </c>
      <c r="F138">
        <v>7.4840578168730865</v>
      </c>
      <c r="G138">
        <v>6.9603862732154278</v>
      </c>
      <c r="H138">
        <v>8.5056488025735533</v>
      </c>
      <c r="I138">
        <v>7.3612009900204907</v>
      </c>
      <c r="J138">
        <v>7.5855748873661293</v>
      </c>
      <c r="K138">
        <v>8.7882261748696546</v>
      </c>
      <c r="L138">
        <v>8.0416889609101094</v>
      </c>
      <c r="M138">
        <v>7.9856313600129258</v>
      </c>
      <c r="N138">
        <v>8.2880870780722482</v>
      </c>
      <c r="O138">
        <v>8.860508501246402</v>
      </c>
      <c r="P138">
        <v>6.9372354647078174</v>
      </c>
      <c r="Q138">
        <v>6.9184547772463869</v>
      </c>
      <c r="R138">
        <v>7.0414679159689664</v>
      </c>
      <c r="S138">
        <v>6.9765753246332789</v>
      </c>
      <c r="T138">
        <v>7.2783257899313911</v>
      </c>
    </row>
    <row r="139" spans="1:20" x14ac:dyDescent="0.25">
      <c r="A139" s="6" t="s">
        <v>157</v>
      </c>
      <c r="B139">
        <v>8.551352122931327</v>
      </c>
      <c r="C139">
        <v>8.6728971342183137</v>
      </c>
      <c r="D139">
        <v>8.4023415490988196</v>
      </c>
      <c r="E139">
        <v>8.2619965189550566</v>
      </c>
      <c r="F139">
        <v>8.5057049102370694</v>
      </c>
      <c r="G139">
        <v>9.1906477531080739</v>
      </c>
      <c r="H139">
        <v>9.037647464977411</v>
      </c>
      <c r="I139">
        <v>9.0506603947810458</v>
      </c>
      <c r="J139">
        <v>9.0522434044870597</v>
      </c>
      <c r="K139">
        <v>8.6570570443000445</v>
      </c>
      <c r="L139">
        <v>8.6635108624989492</v>
      </c>
      <c r="M139">
        <v>9.0865906091782982</v>
      </c>
      <c r="N139">
        <v>9.2949965102357162</v>
      </c>
      <c r="O139">
        <v>8.6060371134622908</v>
      </c>
      <c r="P139">
        <v>9.3165827257742269</v>
      </c>
      <c r="Q139">
        <v>9.931864464859995</v>
      </c>
      <c r="R139">
        <v>9.8783363796259582</v>
      </c>
      <c r="S139">
        <v>9.6614332915842347</v>
      </c>
      <c r="T139">
        <v>9.4284703237902345</v>
      </c>
    </row>
    <row r="140" spans="1:20" x14ac:dyDescent="0.25">
      <c r="A140" s="5" t="s">
        <v>158</v>
      </c>
      <c r="B140">
        <v>0</v>
      </c>
      <c r="C140">
        <v>13.010358391453842</v>
      </c>
      <c r="D140">
        <v>13.757641637324365</v>
      </c>
      <c r="E140">
        <v>13.475419534676179</v>
      </c>
      <c r="F140">
        <v>0</v>
      </c>
      <c r="G140">
        <v>13.328684160605755</v>
      </c>
      <c r="H140">
        <v>13.034776029679168</v>
      </c>
      <c r="I140">
        <v>13.450980299090315</v>
      </c>
      <c r="J140">
        <v>13.800226030200914</v>
      </c>
      <c r="K140">
        <v>0</v>
      </c>
      <c r="L140">
        <v>13.644317926069556</v>
      </c>
      <c r="M140">
        <v>0</v>
      </c>
      <c r="N140">
        <v>14.068621321303253</v>
      </c>
      <c r="O140">
        <v>0</v>
      </c>
      <c r="P140">
        <v>13.850484640636539</v>
      </c>
      <c r="Q140">
        <v>12.875386086151563</v>
      </c>
      <c r="R140">
        <v>13.308052827833626</v>
      </c>
      <c r="S140">
        <v>13.544412851661193</v>
      </c>
      <c r="T140">
        <v>13.330169178792346</v>
      </c>
    </row>
    <row r="141" spans="1:20" x14ac:dyDescent="0.25">
      <c r="A141" s="6" t="s">
        <v>159</v>
      </c>
      <c r="B141">
        <v>12.697479254348583</v>
      </c>
      <c r="C141">
        <v>12.946330015578727</v>
      </c>
      <c r="D141">
        <v>12.740864827300577</v>
      </c>
      <c r="E141">
        <v>12.682654286287937</v>
      </c>
      <c r="F141">
        <v>12.916030858225708</v>
      </c>
      <c r="G141">
        <v>13.275172309949102</v>
      </c>
      <c r="H141">
        <v>14.015091924886457</v>
      </c>
      <c r="I141">
        <v>14.4397154729945</v>
      </c>
      <c r="J141">
        <v>0</v>
      </c>
      <c r="K141">
        <v>13.035914527789256</v>
      </c>
      <c r="L141">
        <v>13.071536922962997</v>
      </c>
      <c r="M141">
        <v>13.812627496600667</v>
      </c>
      <c r="N141">
        <v>0</v>
      </c>
      <c r="O141">
        <v>13.501952605122439</v>
      </c>
      <c r="P141">
        <v>0</v>
      </c>
      <c r="Q141">
        <v>14.887174449965721</v>
      </c>
      <c r="R141">
        <v>13.49694034168745</v>
      </c>
      <c r="S141">
        <v>13.859033969601219</v>
      </c>
      <c r="T141">
        <v>0</v>
      </c>
    </row>
    <row r="142" spans="1:20" x14ac:dyDescent="0.25">
      <c r="A142" s="5" t="s">
        <v>160</v>
      </c>
      <c r="B142">
        <v>14.007943957955854</v>
      </c>
      <c r="C142">
        <v>13.401747622795481</v>
      </c>
      <c r="D142">
        <v>13.751659479309239</v>
      </c>
      <c r="E142">
        <v>13.363232387190427</v>
      </c>
      <c r="F142">
        <v>13.698907812533898</v>
      </c>
      <c r="G142">
        <v>13.270303521003145</v>
      </c>
      <c r="H142">
        <v>13.17626701967146</v>
      </c>
      <c r="I142">
        <v>14.081069155566054</v>
      </c>
      <c r="J142">
        <v>13.825136491507246</v>
      </c>
      <c r="K142">
        <v>13.622319608507558</v>
      </c>
      <c r="L142">
        <v>13.447752792059918</v>
      </c>
      <c r="M142">
        <v>14.765656630388486</v>
      </c>
      <c r="N142">
        <v>15.134555591488031</v>
      </c>
      <c r="O142">
        <v>14.131963146871506</v>
      </c>
      <c r="P142">
        <v>14.113945311812744</v>
      </c>
      <c r="Q142">
        <v>13.958875915319911</v>
      </c>
      <c r="R142">
        <v>14.053824319375174</v>
      </c>
      <c r="S142">
        <v>13.704674755752785</v>
      </c>
      <c r="T142">
        <v>13.911421996212397</v>
      </c>
    </row>
    <row r="143" spans="1:20" x14ac:dyDescent="0.25">
      <c r="A143" s="6" t="s">
        <v>161</v>
      </c>
      <c r="B143">
        <v>0</v>
      </c>
      <c r="C143">
        <v>17.451303447269712</v>
      </c>
      <c r="D143">
        <v>17.861179241432779</v>
      </c>
      <c r="E143">
        <v>17.005569150767954</v>
      </c>
      <c r="F143">
        <v>0</v>
      </c>
      <c r="G143">
        <v>0</v>
      </c>
      <c r="H143">
        <v>18.318036916406246</v>
      </c>
      <c r="I143">
        <v>17.159682990808811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25">
      <c r="A144" s="5" t="s">
        <v>162</v>
      </c>
      <c r="B144">
        <v>15.287712379549449</v>
      </c>
      <c r="C144">
        <v>15.922579786096922</v>
      </c>
      <c r="D144">
        <v>16.005569150767954</v>
      </c>
      <c r="E144">
        <v>16.276216740711622</v>
      </c>
      <c r="F144">
        <v>0</v>
      </c>
      <c r="G144">
        <v>0</v>
      </c>
      <c r="H144">
        <v>15.452596764291233</v>
      </c>
      <c r="I144">
        <v>17.248995271976597</v>
      </c>
      <c r="J144">
        <v>0</v>
      </c>
      <c r="K144">
        <v>17.868065627018016</v>
      </c>
      <c r="L144">
        <v>18.187407473753765</v>
      </c>
      <c r="M144">
        <v>16.358678900903591</v>
      </c>
      <c r="N144">
        <v>16.134555591488027</v>
      </c>
      <c r="O144">
        <v>0</v>
      </c>
      <c r="P144">
        <v>14.878457232864612</v>
      </c>
      <c r="Q144">
        <v>18.303961731194526</v>
      </c>
      <c r="R144">
        <v>16.093625327433145</v>
      </c>
      <c r="S144">
        <v>16.832273364986399</v>
      </c>
      <c r="T144">
        <v>16.198214228710349</v>
      </c>
    </row>
    <row r="145" spans="1:20" x14ac:dyDescent="0.25">
      <c r="A145" s="6" t="s">
        <v>163</v>
      </c>
      <c r="B145">
        <v>9.5462950119244674</v>
      </c>
      <c r="C145">
        <v>9.0329679376538241</v>
      </c>
      <c r="D145">
        <v>9.1434310199247477</v>
      </c>
      <c r="E145">
        <v>9.3150188066314392</v>
      </c>
      <c r="F145">
        <v>9.32875002588748</v>
      </c>
      <c r="G145">
        <v>9.6314002189331465</v>
      </c>
      <c r="H145">
        <v>9.787511999693745</v>
      </c>
      <c r="I145">
        <v>9.5802284493911465</v>
      </c>
      <c r="J145">
        <v>9.6890136967436398</v>
      </c>
      <c r="K145">
        <v>9.6845335248556559</v>
      </c>
      <c r="L145">
        <v>9.4554674195644353</v>
      </c>
      <c r="M145">
        <v>9.8173733535929362</v>
      </c>
      <c r="N145">
        <v>9.7366369279683216</v>
      </c>
      <c r="O145">
        <v>9.2955077249496458</v>
      </c>
      <c r="P145">
        <v>10.187262807763812</v>
      </c>
      <c r="Q145">
        <v>10.212302973149706</v>
      </c>
      <c r="R145">
        <v>10.147270719107125</v>
      </c>
      <c r="S145">
        <v>10.446751715668007</v>
      </c>
      <c r="T145">
        <v>10.619879280028739</v>
      </c>
    </row>
    <row r="146" spans="1:20" x14ac:dyDescent="0.25">
      <c r="A146" s="5" t="s">
        <v>164</v>
      </c>
      <c r="B146">
        <v>0</v>
      </c>
      <c r="C146">
        <v>0</v>
      </c>
      <c r="D146">
        <v>0</v>
      </c>
      <c r="E146">
        <v>14.532397475504352</v>
      </c>
      <c r="F146">
        <v>0</v>
      </c>
      <c r="G146">
        <v>14.761643567881864</v>
      </c>
      <c r="H146">
        <v>0</v>
      </c>
      <c r="I146">
        <v>0</v>
      </c>
      <c r="J146">
        <v>0</v>
      </c>
      <c r="K146">
        <v>0</v>
      </c>
      <c r="L146">
        <v>14.546137532130656</v>
      </c>
      <c r="M146">
        <v>0</v>
      </c>
      <c r="N146">
        <v>14.498609162048069</v>
      </c>
      <c r="O146">
        <v>14.053824319375174</v>
      </c>
      <c r="P146">
        <v>14.056279971101485</v>
      </c>
      <c r="Q146">
        <v>14.126792191368347</v>
      </c>
      <c r="R146">
        <v>14.058739809789287</v>
      </c>
      <c r="S146">
        <v>13.837754895921446</v>
      </c>
      <c r="T146">
        <v>14.211837512574323</v>
      </c>
    </row>
    <row r="147" spans="1:20" x14ac:dyDescent="0.25">
      <c r="A147" s="6" t="s">
        <v>165</v>
      </c>
      <c r="B147">
        <v>18.009370720927805</v>
      </c>
      <c r="C147">
        <v>17.553056946070445</v>
      </c>
      <c r="D147">
        <v>17.726801818669564</v>
      </c>
      <c r="E147">
        <v>17.813873526654422</v>
      </c>
      <c r="F147">
        <v>0</v>
      </c>
      <c r="G147">
        <v>0</v>
      </c>
      <c r="H147">
        <v>18.41555342232051</v>
      </c>
      <c r="I147">
        <v>0</v>
      </c>
      <c r="J147">
        <v>0</v>
      </c>
      <c r="K147">
        <v>0</v>
      </c>
      <c r="L147">
        <v>0</v>
      </c>
      <c r="M147">
        <v>18.430766516267017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25">
      <c r="A148" s="5" t="s">
        <v>166</v>
      </c>
      <c r="B148">
        <v>0</v>
      </c>
      <c r="C148">
        <v>16.842409437412936</v>
      </c>
      <c r="D148">
        <v>16.910088841913723</v>
      </c>
      <c r="E148">
        <v>17.206918297591208</v>
      </c>
      <c r="F148">
        <v>0</v>
      </c>
      <c r="G148">
        <v>17.339410567198815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s="6" t="s">
        <v>167</v>
      </c>
      <c r="B149">
        <v>0</v>
      </c>
      <c r="C149">
        <v>15.259143227352677</v>
      </c>
      <c r="D149">
        <v>15.15546458125101</v>
      </c>
      <c r="E149">
        <v>15.334633426936943</v>
      </c>
      <c r="F149">
        <v>0</v>
      </c>
      <c r="G149">
        <v>0</v>
      </c>
      <c r="H149">
        <v>0</v>
      </c>
      <c r="I149">
        <v>17.237802857106391</v>
      </c>
      <c r="J149">
        <v>17.06367210533152</v>
      </c>
      <c r="K149">
        <v>15.895944659593452</v>
      </c>
      <c r="L149">
        <v>15.722115203695225</v>
      </c>
      <c r="M149">
        <v>0</v>
      </c>
      <c r="N149">
        <v>0</v>
      </c>
      <c r="O149">
        <v>17.446141742153934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25">
      <c r="A150" s="5" t="s">
        <v>168</v>
      </c>
      <c r="B150">
        <v>12.607397025510691</v>
      </c>
      <c r="C150">
        <v>12.236688376524985</v>
      </c>
      <c r="D150">
        <v>12.332526068579716</v>
      </c>
      <c r="E150">
        <v>12.240907040944222</v>
      </c>
      <c r="F150">
        <v>12.552536837295639</v>
      </c>
      <c r="G150">
        <v>12.256020769539854</v>
      </c>
      <c r="H150">
        <v>12.282571129933373</v>
      </c>
      <c r="I150">
        <v>13.278981691563562</v>
      </c>
      <c r="J150">
        <v>12.536882949465063</v>
      </c>
      <c r="K150">
        <v>12.202695706060736</v>
      </c>
      <c r="L150">
        <v>12.363703734424858</v>
      </c>
      <c r="M150">
        <v>12.809444626193525</v>
      </c>
      <c r="N150">
        <v>12.840291874958952</v>
      </c>
      <c r="O150">
        <v>12.504247343543021</v>
      </c>
      <c r="P150">
        <v>12.504205436042493</v>
      </c>
      <c r="Q150">
        <v>12.324023716879937</v>
      </c>
      <c r="R150">
        <v>12.308206469867747</v>
      </c>
      <c r="S150">
        <v>12.439723487989212</v>
      </c>
      <c r="T150">
        <v>12.541296413593136</v>
      </c>
    </row>
    <row r="151" spans="1:20" x14ac:dyDescent="0.25">
      <c r="A151" s="6" t="s">
        <v>169</v>
      </c>
      <c r="B151">
        <v>12.354479683308508</v>
      </c>
      <c r="C151">
        <v>11.688742207721496</v>
      </c>
      <c r="D151">
        <v>12.226537574206773</v>
      </c>
      <c r="E151">
        <v>12.162233194964143</v>
      </c>
      <c r="F151">
        <v>11.769655700452034</v>
      </c>
      <c r="G151">
        <v>11.831326749170861</v>
      </c>
      <c r="H151">
        <v>11.409434333057225</v>
      </c>
      <c r="I151">
        <v>12.019960867508887</v>
      </c>
      <c r="J151">
        <v>12.295988286907685</v>
      </c>
      <c r="K151">
        <v>11.816306384978098</v>
      </c>
      <c r="L151">
        <v>11.901524988614696</v>
      </c>
      <c r="M151">
        <v>12.17957603902982</v>
      </c>
      <c r="N151">
        <v>12.551315319237881</v>
      </c>
      <c r="O151">
        <v>12.483121834747614</v>
      </c>
      <c r="P151">
        <v>12.050240438644629</v>
      </c>
      <c r="Q151">
        <v>11.819316742397302</v>
      </c>
      <c r="R151">
        <v>12.073363725091895</v>
      </c>
      <c r="S151">
        <v>11.602148927934522</v>
      </c>
      <c r="T151">
        <v>11.811413652572854</v>
      </c>
    </row>
    <row r="152" spans="1:20" x14ac:dyDescent="0.25">
      <c r="A152" s="5" t="s">
        <v>170</v>
      </c>
      <c r="B152">
        <v>15.15546458125101</v>
      </c>
      <c r="C152">
        <v>14.401747622795481</v>
      </c>
      <c r="D152">
        <v>14.88280925740432</v>
      </c>
      <c r="E152">
        <v>15.098678555159433</v>
      </c>
      <c r="F152">
        <v>14.844105728073835</v>
      </c>
      <c r="G152">
        <v>14.765656630388486</v>
      </c>
      <c r="H152">
        <v>15.293494732143458</v>
      </c>
      <c r="I152">
        <v>15.653583822024411</v>
      </c>
      <c r="J152">
        <v>14.88280925740432</v>
      </c>
      <c r="K152">
        <v>15.083571662769224</v>
      </c>
      <c r="L152">
        <v>14.668534163490381</v>
      </c>
      <c r="M152">
        <v>15.472136950686876</v>
      </c>
      <c r="N152">
        <v>16.981100155174051</v>
      </c>
      <c r="O152">
        <v>15.010322680738586</v>
      </c>
      <c r="P152">
        <v>15.358678900903593</v>
      </c>
      <c r="Q152">
        <v>15.95887591531991</v>
      </c>
      <c r="R152">
        <v>15.761643567881864</v>
      </c>
      <c r="S152">
        <v>16.044043298582586</v>
      </c>
      <c r="T152">
        <v>16.083571662769224</v>
      </c>
    </row>
    <row r="153" spans="1:20" x14ac:dyDescent="0.25">
      <c r="A153" s="6" t="s">
        <v>171</v>
      </c>
      <c r="B153">
        <v>12.098545681472125</v>
      </c>
      <c r="C153">
        <v>12.11632618734405</v>
      </c>
      <c r="D153">
        <v>12.134146972258364</v>
      </c>
      <c r="E153">
        <v>12.265152811801132</v>
      </c>
      <c r="F153">
        <v>11.934230993483004</v>
      </c>
      <c r="G153">
        <v>12.102086831999166</v>
      </c>
      <c r="H153">
        <v>11.256472471919245</v>
      </c>
      <c r="I153">
        <v>12.04532938116493</v>
      </c>
      <c r="J153">
        <v>12.266197118215993</v>
      </c>
      <c r="K153">
        <v>12.203831865925116</v>
      </c>
      <c r="L153">
        <v>12.310872201550428</v>
      </c>
      <c r="M153">
        <v>12.76108262887481</v>
      </c>
      <c r="N153">
        <v>12.677380832758168</v>
      </c>
      <c r="O153">
        <v>12.298711470507321</v>
      </c>
      <c r="P153">
        <v>12.502982273464461</v>
      </c>
      <c r="Q153">
        <v>12.402536324268333</v>
      </c>
      <c r="R153">
        <v>11.922019842351919</v>
      </c>
      <c r="S153">
        <v>12.237440556475093</v>
      </c>
      <c r="T153">
        <v>12.626035737084884</v>
      </c>
    </row>
    <row r="154" spans="1:20" x14ac:dyDescent="0.25">
      <c r="A154" s="5" t="s">
        <v>172</v>
      </c>
      <c r="B154">
        <v>11.800467871678643</v>
      </c>
      <c r="C154">
        <v>11.67602534905479</v>
      </c>
      <c r="D154">
        <v>11.592217362052954</v>
      </c>
      <c r="E154">
        <v>11.842610767601377</v>
      </c>
      <c r="F154">
        <v>11.290174273956055</v>
      </c>
      <c r="G154">
        <v>11.806966439279943</v>
      </c>
      <c r="H154">
        <v>10.688899379349408</v>
      </c>
      <c r="I154">
        <v>11.313065600495927</v>
      </c>
      <c r="J154">
        <v>11.634831276897982</v>
      </c>
      <c r="K154">
        <v>11.83985815828302</v>
      </c>
      <c r="L154">
        <v>11.709019971821926</v>
      </c>
      <c r="M154">
        <v>12.238576534137167</v>
      </c>
      <c r="N154">
        <v>12.286284817985406</v>
      </c>
      <c r="O154">
        <v>12.036575026153081</v>
      </c>
      <c r="P154">
        <v>12.054499207029137</v>
      </c>
      <c r="Q154">
        <v>11.773312340512835</v>
      </c>
      <c r="R154">
        <v>11.356343232623685</v>
      </c>
      <c r="S154">
        <v>11.17186343860822</v>
      </c>
      <c r="T154">
        <v>11.742643504827502</v>
      </c>
    </row>
    <row r="155" spans="1:20" x14ac:dyDescent="0.25">
      <c r="A155" s="6" t="s">
        <v>173</v>
      </c>
      <c r="B155">
        <v>11.731876596117377</v>
      </c>
      <c r="C155">
        <v>12.024034915514335</v>
      </c>
      <c r="D155">
        <v>11.37873043089653</v>
      </c>
      <c r="E155">
        <v>11.801754944291458</v>
      </c>
      <c r="F155">
        <v>11.758911047917071</v>
      </c>
      <c r="G155">
        <v>12.022647607580542</v>
      </c>
      <c r="H155">
        <v>11.176070054918094</v>
      </c>
      <c r="I155">
        <v>11.847642541078178</v>
      </c>
      <c r="J155">
        <v>11.981216807289814</v>
      </c>
      <c r="K155">
        <v>11.448256614324821</v>
      </c>
      <c r="L155">
        <v>11.815926630504279</v>
      </c>
      <c r="M155">
        <v>12.048846051661519</v>
      </c>
      <c r="N155">
        <v>12.072375473465135</v>
      </c>
      <c r="O155">
        <v>11.777768298896731</v>
      </c>
      <c r="P155">
        <v>11.875510758046875</v>
      </c>
      <c r="Q155">
        <v>12.426217481245523</v>
      </c>
      <c r="R155">
        <v>11.159989965812576</v>
      </c>
      <c r="S155">
        <v>11.296478080762224</v>
      </c>
      <c r="T155">
        <v>12.27628830474055</v>
      </c>
    </row>
    <row r="156" spans="1:20" x14ac:dyDescent="0.25">
      <c r="A156" s="5" t="s">
        <v>174</v>
      </c>
      <c r="B156">
        <v>11.933801966054022</v>
      </c>
      <c r="C156">
        <v>12.127056752729484</v>
      </c>
      <c r="D156">
        <v>11.91716863919604</v>
      </c>
      <c r="E156">
        <v>11.907692264249738</v>
      </c>
      <c r="F156">
        <v>12.02449764810566</v>
      </c>
      <c r="G156">
        <v>11.10199803866654</v>
      </c>
      <c r="H156">
        <v>10.092845234568577</v>
      </c>
      <c r="I156">
        <v>12.072580526630823</v>
      </c>
      <c r="J156">
        <v>11.609550308814402</v>
      </c>
      <c r="K156">
        <v>12.517737577283683</v>
      </c>
      <c r="L156">
        <v>12.216224273965267</v>
      </c>
      <c r="M156">
        <v>12.606326085930135</v>
      </c>
      <c r="N156">
        <v>12.56291369901623</v>
      </c>
      <c r="O156">
        <v>12.007207349557024</v>
      </c>
      <c r="P156">
        <v>12.337281293050165</v>
      </c>
      <c r="Q156">
        <v>12.582194444775135</v>
      </c>
      <c r="R156">
        <v>0</v>
      </c>
      <c r="S156">
        <v>12.670207006127395</v>
      </c>
      <c r="T156">
        <v>0</v>
      </c>
    </row>
    <row r="157" spans="1:20" x14ac:dyDescent="0.25">
      <c r="A157" s="6" t="s">
        <v>175</v>
      </c>
      <c r="B157">
        <v>0</v>
      </c>
      <c r="C157">
        <v>13.56524635507836</v>
      </c>
      <c r="D157">
        <v>13.222760567134733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13.367800290872143</v>
      </c>
      <c r="L157">
        <v>0</v>
      </c>
      <c r="M157">
        <v>0</v>
      </c>
      <c r="N157">
        <v>13.074408651531265</v>
      </c>
      <c r="O157">
        <v>0</v>
      </c>
      <c r="P157">
        <v>13.535820241145142</v>
      </c>
      <c r="Q157">
        <v>13.014244232355288</v>
      </c>
      <c r="R157">
        <v>12.083840940878677</v>
      </c>
      <c r="S157">
        <v>11.923952567453298</v>
      </c>
      <c r="T157">
        <v>12.450665299290078</v>
      </c>
    </row>
    <row r="158" spans="1:20" x14ac:dyDescent="0.25">
      <c r="A158" s="5" t="s">
        <v>176</v>
      </c>
      <c r="B158">
        <v>12.579198449279945</v>
      </c>
      <c r="C158">
        <v>0</v>
      </c>
      <c r="D158">
        <v>11.774939370070948</v>
      </c>
      <c r="E158">
        <v>12.405992950603848</v>
      </c>
      <c r="F158">
        <v>12.715744390546133</v>
      </c>
      <c r="G158">
        <v>0</v>
      </c>
      <c r="H158">
        <v>12.397530318725346</v>
      </c>
      <c r="I158">
        <v>0</v>
      </c>
      <c r="J158">
        <v>0</v>
      </c>
      <c r="K158">
        <v>11.945447795138536</v>
      </c>
      <c r="L158">
        <v>0</v>
      </c>
      <c r="M158">
        <v>0</v>
      </c>
      <c r="N158">
        <v>12.695162056001523</v>
      </c>
      <c r="O158">
        <v>0</v>
      </c>
      <c r="P158">
        <v>0</v>
      </c>
      <c r="Q158">
        <v>0</v>
      </c>
      <c r="R158">
        <v>12.695468248947845</v>
      </c>
      <c r="S158">
        <v>12.934863477070902</v>
      </c>
      <c r="T158">
        <v>0</v>
      </c>
    </row>
    <row r="159" spans="1:20" x14ac:dyDescent="0.25">
      <c r="A159" s="6" t="s">
        <v>177</v>
      </c>
      <c r="B159">
        <v>12.887207238861981</v>
      </c>
      <c r="C159">
        <v>0</v>
      </c>
      <c r="D159">
        <v>13.355651208206025</v>
      </c>
      <c r="E159">
        <v>12.567985702905043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12.669934332048474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 s="5" t="s">
        <v>178</v>
      </c>
      <c r="B160">
        <v>14.769680886947281</v>
      </c>
      <c r="C160">
        <v>0</v>
      </c>
      <c r="D160">
        <v>15.729934708154525</v>
      </c>
      <c r="E160">
        <v>14.560009706712211</v>
      </c>
      <c r="F160">
        <v>14.113945311812744</v>
      </c>
      <c r="G160">
        <v>14.190101582923029</v>
      </c>
      <c r="H160">
        <v>14.45908079786143</v>
      </c>
      <c r="I160">
        <v>13.655444164049936</v>
      </c>
      <c r="J160">
        <v>14.245068042140955</v>
      </c>
      <c r="K160">
        <v>14.931568569324176</v>
      </c>
      <c r="L160">
        <v>15.139754498162349</v>
      </c>
      <c r="M160">
        <v>15.236688376524983</v>
      </c>
      <c r="N160">
        <v>15.192800732523983</v>
      </c>
      <c r="O160">
        <v>15.340607327981576</v>
      </c>
      <c r="P160">
        <v>14.525576209648337</v>
      </c>
      <c r="Q160">
        <v>14.331655727137047</v>
      </c>
      <c r="R160">
        <v>14.726019658151142</v>
      </c>
      <c r="S160">
        <v>14.239476193896602</v>
      </c>
      <c r="T160">
        <v>14.012705332049579</v>
      </c>
    </row>
    <row r="161" spans="1:20" x14ac:dyDescent="0.25">
      <c r="A161" s="6" t="s">
        <v>179</v>
      </c>
      <c r="B161">
        <v>17.705060039515494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17.94242956195594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17.752057519052663</v>
      </c>
      <c r="Q161">
        <v>16.566996137028319</v>
      </c>
      <c r="R161">
        <v>16.334633426936943</v>
      </c>
      <c r="S161">
        <v>16.701980646583522</v>
      </c>
      <c r="T161">
        <v>16.665531675328857</v>
      </c>
    </row>
    <row r="162" spans="1:20" x14ac:dyDescent="0.25">
      <c r="A162" s="5" t="s">
        <v>180</v>
      </c>
      <c r="B162">
        <v>12.682312869387591</v>
      </c>
      <c r="C162">
        <v>13.802285552379209</v>
      </c>
      <c r="D162">
        <v>14.606038237756618</v>
      </c>
      <c r="E162">
        <v>15.160739523291683</v>
      </c>
      <c r="F162">
        <v>12.311466070674538</v>
      </c>
      <c r="G162">
        <v>12.358148595791617</v>
      </c>
      <c r="H162">
        <v>12.283923072349557</v>
      </c>
      <c r="I162">
        <v>12.611977729260657</v>
      </c>
      <c r="J162">
        <v>12.505647753852953</v>
      </c>
      <c r="K162">
        <v>13.395515669083965</v>
      </c>
      <c r="L162">
        <v>14.024677973715656</v>
      </c>
      <c r="M162">
        <v>12.162239807568517</v>
      </c>
      <c r="N162">
        <v>12.339186285031104</v>
      </c>
      <c r="O162">
        <v>13.221147824035548</v>
      </c>
      <c r="P162">
        <v>11.555547396546404</v>
      </c>
      <c r="Q162">
        <v>10.14021517944218</v>
      </c>
      <c r="R162">
        <v>10.8256862442037</v>
      </c>
      <c r="S162">
        <v>11.847525570833962</v>
      </c>
      <c r="T162">
        <v>10.482549958117142</v>
      </c>
    </row>
    <row r="163" spans="1:20" x14ac:dyDescent="0.25">
      <c r="A163" s="6" t="s">
        <v>181</v>
      </c>
      <c r="B163">
        <v>0</v>
      </c>
      <c r="C163">
        <v>0</v>
      </c>
      <c r="D163">
        <v>0</v>
      </c>
      <c r="E163">
        <v>15.214577674919234</v>
      </c>
      <c r="F163">
        <v>0</v>
      </c>
      <c r="G163">
        <v>14.741744010444156</v>
      </c>
      <c r="H163">
        <v>15.019876987451834</v>
      </c>
      <c r="I163">
        <v>15.668534163490381</v>
      </c>
      <c r="J163">
        <v>16.322759326648651</v>
      </c>
      <c r="K163">
        <v>16.15546458125101</v>
      </c>
      <c r="L163">
        <v>16.287712379549451</v>
      </c>
      <c r="M163">
        <v>0</v>
      </c>
      <c r="N163">
        <v>16.242269408788282</v>
      </c>
      <c r="O163">
        <v>15.737796825927495</v>
      </c>
      <c r="P163">
        <v>0</v>
      </c>
      <c r="Q163">
        <v>0</v>
      </c>
      <c r="R163">
        <v>16.113945311812746</v>
      </c>
      <c r="S163">
        <v>15.714337853103507</v>
      </c>
      <c r="T163">
        <v>0</v>
      </c>
    </row>
    <row r="164" spans="1:20" x14ac:dyDescent="0.25">
      <c r="A164" s="5" t="s">
        <v>182</v>
      </c>
      <c r="B164">
        <v>14.270503089517227</v>
      </c>
      <c r="C164">
        <v>13.393961877828884</v>
      </c>
      <c r="D164">
        <v>13.490284297397135</v>
      </c>
      <c r="E164">
        <v>13.480357457491845</v>
      </c>
      <c r="F164">
        <v>13.800226030200914</v>
      </c>
      <c r="G164">
        <v>13.011799460945381</v>
      </c>
      <c r="H164">
        <v>13.1664184160957</v>
      </c>
      <c r="I164">
        <v>13.918106309517611</v>
      </c>
      <c r="J164">
        <v>14.003198246305205</v>
      </c>
      <c r="K164">
        <v>13.363232387190427</v>
      </c>
      <c r="L164">
        <v>13.17599995530793</v>
      </c>
      <c r="M164">
        <v>14.228357101933028</v>
      </c>
      <c r="N164">
        <v>14.668534163490381</v>
      </c>
      <c r="O164">
        <v>14.62050146706858</v>
      </c>
      <c r="P164">
        <v>13.972725894080934</v>
      </c>
      <c r="Q164">
        <v>13.454215042689613</v>
      </c>
      <c r="R164">
        <v>13.972725894080934</v>
      </c>
      <c r="S164">
        <v>12.579295566869853</v>
      </c>
      <c r="T164">
        <v>13.107959308027262</v>
      </c>
    </row>
    <row r="165" spans="1:20" x14ac:dyDescent="0.25">
      <c r="A165" s="6" t="s">
        <v>183</v>
      </c>
      <c r="B165">
        <v>15.15546458125101</v>
      </c>
      <c r="C165">
        <v>14.310982158872298</v>
      </c>
      <c r="D165">
        <v>15.316858725208965</v>
      </c>
      <c r="E165">
        <v>0</v>
      </c>
      <c r="F165">
        <v>14.505303814622076</v>
      </c>
      <c r="G165">
        <v>13.936084050446667</v>
      </c>
      <c r="H165">
        <v>13.073512953969132</v>
      </c>
      <c r="I165">
        <v>14.024677973715656</v>
      </c>
      <c r="J165">
        <v>0</v>
      </c>
      <c r="K165">
        <v>14.308052827833627</v>
      </c>
      <c r="L165">
        <v>14.071102310807008</v>
      </c>
      <c r="M165">
        <v>14.823044112546006</v>
      </c>
      <c r="N165">
        <v>12.91595280811122</v>
      </c>
      <c r="O165">
        <v>13.61687204366789</v>
      </c>
      <c r="P165">
        <v>13.712400048862014</v>
      </c>
      <c r="Q165">
        <v>13.450980299090315</v>
      </c>
      <c r="R165">
        <v>13.958875915319911</v>
      </c>
      <c r="S165">
        <v>13.846228899966805</v>
      </c>
      <c r="T165">
        <v>13.483658820582097</v>
      </c>
    </row>
    <row r="166" spans="1:20" x14ac:dyDescent="0.25">
      <c r="A166" s="5" t="s">
        <v>184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15.322759326648649</v>
      </c>
      <c r="H166">
        <v>0</v>
      </c>
      <c r="I166">
        <v>0</v>
      </c>
      <c r="J166">
        <v>0</v>
      </c>
      <c r="K166">
        <v>16.771293737915581</v>
      </c>
      <c r="L166">
        <v>0</v>
      </c>
      <c r="M166">
        <v>0</v>
      </c>
      <c r="N166">
        <v>0</v>
      </c>
      <c r="O166">
        <v>0</v>
      </c>
      <c r="P166">
        <v>16.358678900903591</v>
      </c>
      <c r="Q166">
        <v>14.386217924501876</v>
      </c>
      <c r="R166">
        <v>14.664782028629272</v>
      </c>
      <c r="S166">
        <v>12.838504954320301</v>
      </c>
      <c r="T166">
        <v>13.556529137977249</v>
      </c>
    </row>
    <row r="167" spans="1:20" x14ac:dyDescent="0.25">
      <c r="A167" s="6" t="s">
        <v>185</v>
      </c>
      <c r="B167">
        <v>12.213131590711866</v>
      </c>
      <c r="C167">
        <v>12.240592830980898</v>
      </c>
      <c r="D167">
        <v>12.437785156585626</v>
      </c>
      <c r="E167">
        <v>12.516029595262893</v>
      </c>
      <c r="F167">
        <v>13.305129432626858</v>
      </c>
      <c r="G167">
        <v>13.584611679945288</v>
      </c>
      <c r="H167">
        <v>12.53228637175218</v>
      </c>
      <c r="I167">
        <v>12.498225162393666</v>
      </c>
      <c r="J167">
        <v>12.339410567198815</v>
      </c>
      <c r="K167">
        <v>13.255428124711218</v>
      </c>
      <c r="L167">
        <v>13.155991208393521</v>
      </c>
      <c r="M167">
        <v>12.750495843059486</v>
      </c>
      <c r="N167">
        <v>12.19291555832795</v>
      </c>
      <c r="O167">
        <v>12.575257464076286</v>
      </c>
      <c r="P167">
        <v>12.062116612209133</v>
      </c>
      <c r="Q167">
        <v>12.957245764230137</v>
      </c>
      <c r="R167">
        <v>12.568467595707988</v>
      </c>
      <c r="S167">
        <v>12.549601740043645</v>
      </c>
      <c r="T167">
        <v>12.347673456570188</v>
      </c>
    </row>
    <row r="168" spans="1:20" x14ac:dyDescent="0.25">
      <c r="A168" s="5" t="s">
        <v>186</v>
      </c>
      <c r="B168">
        <v>14.528982811091586</v>
      </c>
      <c r="C168">
        <v>13.757641637324365</v>
      </c>
      <c r="D168">
        <v>14.468861818654016</v>
      </c>
      <c r="E168">
        <v>14.152834325206339</v>
      </c>
      <c r="F168">
        <v>0</v>
      </c>
      <c r="G168">
        <v>13.606038237756618</v>
      </c>
      <c r="H168">
        <v>13.116672125117779</v>
      </c>
      <c r="I168">
        <v>14.319806009259304</v>
      </c>
      <c r="J168">
        <v>12.855672315306421</v>
      </c>
      <c r="K168">
        <v>13.579304396065853</v>
      </c>
      <c r="L168">
        <v>14.789972290940359</v>
      </c>
      <c r="M168">
        <v>13.991401818841355</v>
      </c>
      <c r="N168">
        <v>13.693163829999097</v>
      </c>
      <c r="O168">
        <v>13.898145567786724</v>
      </c>
      <c r="P168">
        <v>12.815994250698125</v>
      </c>
      <c r="Q168">
        <v>12.59490134708669</v>
      </c>
      <c r="R168">
        <v>12.883332383671327</v>
      </c>
      <c r="S168">
        <v>12.627906528787211</v>
      </c>
      <c r="T168">
        <v>13.136554953203028</v>
      </c>
    </row>
    <row r="169" spans="1:20" x14ac:dyDescent="0.25">
      <c r="A169" s="6" t="s">
        <v>187</v>
      </c>
      <c r="B169">
        <v>0</v>
      </c>
      <c r="C169">
        <v>13.62050146706858</v>
      </c>
      <c r="D169">
        <v>14.179355201459032</v>
      </c>
      <c r="E169">
        <v>13.515404404591045</v>
      </c>
      <c r="F169">
        <v>0</v>
      </c>
      <c r="G169">
        <v>0</v>
      </c>
      <c r="H169">
        <v>0</v>
      </c>
      <c r="I169">
        <v>14.745702024012841</v>
      </c>
      <c r="J169">
        <v>0</v>
      </c>
      <c r="K169">
        <v>13.737796825927495</v>
      </c>
      <c r="L169">
        <v>14.370853614849695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25">
      <c r="A170" s="5" t="s">
        <v>188</v>
      </c>
      <c r="B170">
        <v>15.745702024012841</v>
      </c>
      <c r="C170">
        <v>15.574016564706092</v>
      </c>
      <c r="D170">
        <v>15.683641055880589</v>
      </c>
      <c r="E170">
        <v>15.395515669083965</v>
      </c>
      <c r="F170">
        <v>15.827231909509438</v>
      </c>
      <c r="G170">
        <v>16.144972207433366</v>
      </c>
      <c r="H170">
        <v>15.931568569324174</v>
      </c>
      <c r="I170">
        <v>15.869792371737484</v>
      </c>
      <c r="J170">
        <v>15.364753415313277</v>
      </c>
      <c r="K170">
        <v>15.346606068603018</v>
      </c>
      <c r="L170">
        <v>15.518787043985698</v>
      </c>
      <c r="M170">
        <v>16.166033822961197</v>
      </c>
      <c r="N170">
        <v>16.322759326648651</v>
      </c>
      <c r="O170">
        <v>15.61687204366789</v>
      </c>
      <c r="P170">
        <v>16.06367210533152</v>
      </c>
      <c r="Q170">
        <v>16.433317701796351</v>
      </c>
      <c r="R170">
        <v>16.144972207433366</v>
      </c>
      <c r="S170">
        <v>16.15546458125101</v>
      </c>
      <c r="T170">
        <v>16.103749544706854</v>
      </c>
    </row>
    <row r="171" spans="1:20" x14ac:dyDescent="0.25">
      <c r="A171" s="6" t="s">
        <v>189</v>
      </c>
      <c r="B171">
        <v>14.649870319225345</v>
      </c>
      <c r="C171">
        <v>13.800226030200914</v>
      </c>
      <c r="D171">
        <v>14.071102310807008</v>
      </c>
      <c r="E171">
        <v>13.327200669430427</v>
      </c>
      <c r="F171">
        <v>14.468861818654016</v>
      </c>
      <c r="G171">
        <v>13.542690230512186</v>
      </c>
      <c r="H171">
        <v>13.693163829999097</v>
      </c>
      <c r="I171">
        <v>13.920341313900922</v>
      </c>
      <c r="J171">
        <v>14.765656630388486</v>
      </c>
      <c r="K171">
        <v>13.940613708927183</v>
      </c>
      <c r="L171">
        <v>13.933824543264544</v>
      </c>
      <c r="M171">
        <v>14.259143227352677</v>
      </c>
      <c r="N171">
        <v>14.452596764291233</v>
      </c>
      <c r="O171">
        <v>14.245068042140955</v>
      </c>
      <c r="P171">
        <v>14.581071322240041</v>
      </c>
      <c r="Q171">
        <v>13.942883882552009</v>
      </c>
      <c r="R171">
        <v>14.024677973715656</v>
      </c>
      <c r="S171">
        <v>13.546137532130654</v>
      </c>
      <c r="T171">
        <v>13.940613708927183</v>
      </c>
    </row>
    <row r="172" spans="1:20" x14ac:dyDescent="0.25">
      <c r="A172" s="5" t="s">
        <v>190</v>
      </c>
      <c r="B172">
        <v>13.986710123516636</v>
      </c>
      <c r="C172">
        <v>11.975442200730242</v>
      </c>
      <c r="D172">
        <v>12.39335635253634</v>
      </c>
      <c r="E172">
        <v>12.326155724204218</v>
      </c>
      <c r="F172">
        <v>13.512029677810389</v>
      </c>
      <c r="G172">
        <v>12.619529701415248</v>
      </c>
      <c r="H172">
        <v>13.020823916987039</v>
      </c>
      <c r="I172">
        <v>13.370853614849695</v>
      </c>
      <c r="J172">
        <v>13.651725875803827</v>
      </c>
      <c r="K172">
        <v>12.308762644506535</v>
      </c>
      <c r="L172">
        <v>12.42516973779672</v>
      </c>
      <c r="M172">
        <v>14.861179241432778</v>
      </c>
      <c r="N172">
        <v>14.337617285375762</v>
      </c>
      <c r="O172">
        <v>13.982033636307161</v>
      </c>
      <c r="P172">
        <v>14.668534163490381</v>
      </c>
      <c r="Q172">
        <v>14.187407473753764</v>
      </c>
      <c r="R172">
        <v>15.024677973715658</v>
      </c>
      <c r="S172">
        <v>14.729934708154525</v>
      </c>
      <c r="T172">
        <v>14.325718702129196</v>
      </c>
    </row>
    <row r="173" spans="1:20" x14ac:dyDescent="0.25">
      <c r="A173" s="6" t="s">
        <v>191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15.661039626943458</v>
      </c>
      <c r="H173">
        <v>0</v>
      </c>
      <c r="I173">
        <v>0</v>
      </c>
      <c r="J173">
        <v>0</v>
      </c>
      <c r="K173">
        <v>15.683641055880589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15.683641055880589</v>
      </c>
      <c r="R173">
        <v>16.395515669083963</v>
      </c>
      <c r="S173">
        <v>14.729934708154525</v>
      </c>
      <c r="T173">
        <v>15.370853614849695</v>
      </c>
    </row>
    <row r="174" spans="1:20" x14ac:dyDescent="0.25">
      <c r="A174" s="5" t="s">
        <v>192</v>
      </c>
      <c r="B174">
        <v>0</v>
      </c>
      <c r="C174">
        <v>10.374225496243175</v>
      </c>
      <c r="D174">
        <v>10.296639567775991</v>
      </c>
      <c r="E174">
        <v>10.090855151529617</v>
      </c>
      <c r="F174">
        <v>10.372627508193354</v>
      </c>
      <c r="G174">
        <v>10.546586286977288</v>
      </c>
      <c r="H174">
        <v>0</v>
      </c>
      <c r="I174">
        <v>10.691917536000016</v>
      </c>
      <c r="J174">
        <v>0</v>
      </c>
      <c r="K174">
        <v>10.719714335434153</v>
      </c>
      <c r="L174">
        <v>10.517354796616033</v>
      </c>
      <c r="M174">
        <v>10.958359118746571</v>
      </c>
      <c r="N174">
        <v>10.096525611238885</v>
      </c>
      <c r="O174">
        <v>10.208354750493362</v>
      </c>
      <c r="P174">
        <v>0</v>
      </c>
      <c r="Q174">
        <v>0</v>
      </c>
      <c r="R174">
        <v>11.002452217654147</v>
      </c>
      <c r="S174">
        <v>10.552968080873692</v>
      </c>
      <c r="T174">
        <v>11.429635871222331</v>
      </c>
    </row>
    <row r="175" spans="1:20" x14ac:dyDescent="0.25">
      <c r="A175" s="6" t="s">
        <v>193</v>
      </c>
      <c r="B175">
        <v>8.0225553178602969</v>
      </c>
      <c r="C175">
        <v>8.4239790521366036</v>
      </c>
      <c r="D175">
        <v>8.178701670135764</v>
      </c>
      <c r="E175">
        <v>8.6259889983603113</v>
      </c>
      <c r="F175">
        <v>8.9444111642722053</v>
      </c>
      <c r="G175">
        <v>8.6499966532908683</v>
      </c>
      <c r="H175">
        <v>8.569386375950657</v>
      </c>
      <c r="I175">
        <v>9.025792735928297</v>
      </c>
      <c r="J175">
        <v>8.4429631858850112</v>
      </c>
      <c r="K175">
        <v>8.3633003239160466</v>
      </c>
      <c r="L175">
        <v>8.2252279666400021</v>
      </c>
      <c r="M175">
        <v>8.549229327516974</v>
      </c>
      <c r="N175">
        <v>8.879264085756116</v>
      </c>
      <c r="O175">
        <v>8.940094199750547</v>
      </c>
      <c r="P175">
        <v>8.8679213755115409</v>
      </c>
      <c r="Q175">
        <v>8.9676140604919716</v>
      </c>
      <c r="R175">
        <v>9.1338397733037269</v>
      </c>
      <c r="S175">
        <v>10.071300974404251</v>
      </c>
      <c r="T175">
        <v>8.9619417387484113</v>
      </c>
    </row>
    <row r="176" spans="1:20" x14ac:dyDescent="0.25">
      <c r="A176" s="5" t="s">
        <v>194</v>
      </c>
      <c r="B176">
        <v>6.638465975740238</v>
      </c>
      <c r="C176">
        <v>6.8987014841565557</v>
      </c>
      <c r="D176">
        <v>7.1303634228989985</v>
      </c>
      <c r="E176">
        <v>7.0176439770645977</v>
      </c>
      <c r="F176">
        <v>7.3988096516599038</v>
      </c>
      <c r="G176">
        <v>6.9448773071487189</v>
      </c>
      <c r="H176">
        <v>7.3499727600500915</v>
      </c>
      <c r="I176">
        <v>7.1489400881452845</v>
      </c>
      <c r="J176">
        <v>7.0035965822500419</v>
      </c>
      <c r="K176">
        <v>7.1629436032552842</v>
      </c>
      <c r="L176">
        <v>6.9744803161606646</v>
      </c>
      <c r="M176">
        <v>7.0206410752118336</v>
      </c>
      <c r="N176">
        <v>7.5018801688380012</v>
      </c>
      <c r="O176">
        <v>7.5020755197748779</v>
      </c>
      <c r="P176">
        <v>6.9962664775688514</v>
      </c>
      <c r="Q176">
        <v>7.1432725456715946</v>
      </c>
      <c r="R176">
        <v>6.9498901642267921</v>
      </c>
      <c r="S176">
        <v>7.3180454341812959</v>
      </c>
      <c r="T176">
        <v>7.079090557795662</v>
      </c>
    </row>
    <row r="177" spans="1:20" x14ac:dyDescent="0.25">
      <c r="A177" s="6" t="s">
        <v>195</v>
      </c>
      <c r="B177">
        <v>7.6831211979902516</v>
      </c>
      <c r="C177">
        <v>8.0570954809282096</v>
      </c>
      <c r="D177">
        <v>8.0788549310379327</v>
      </c>
      <c r="E177">
        <v>8.1086373087979684</v>
      </c>
      <c r="F177">
        <v>8.213953402127931</v>
      </c>
      <c r="G177">
        <v>7.9713682079102064</v>
      </c>
      <c r="H177">
        <v>7.8859952282723498</v>
      </c>
      <c r="I177">
        <v>8.2203046947801024</v>
      </c>
      <c r="J177">
        <v>8.1318538804581681</v>
      </c>
      <c r="K177">
        <v>8.1586758784172773</v>
      </c>
      <c r="L177">
        <v>7.8957034516911353</v>
      </c>
      <c r="M177">
        <v>8.1659368619963359</v>
      </c>
      <c r="N177">
        <v>8.3443803441139242</v>
      </c>
      <c r="O177">
        <v>8.4437642014530905</v>
      </c>
      <c r="P177">
        <v>8.4009413090284557</v>
      </c>
      <c r="Q177">
        <v>8.2147362498069558</v>
      </c>
      <c r="R177">
        <v>8.4217045124963068</v>
      </c>
      <c r="S177">
        <v>9.3482271932302208</v>
      </c>
      <c r="T177">
        <v>8.4164492763687857</v>
      </c>
    </row>
    <row r="178" spans="1:20" x14ac:dyDescent="0.25">
      <c r="A178" s="5" t="s">
        <v>196</v>
      </c>
      <c r="B178">
        <v>6.2679011775366922</v>
      </c>
      <c r="C178">
        <v>6.5540134061552546</v>
      </c>
      <c r="D178">
        <v>6.367467201739144</v>
      </c>
      <c r="E178">
        <v>6.8401912027235143</v>
      </c>
      <c r="F178">
        <v>6.7881915738608631</v>
      </c>
      <c r="G178">
        <v>6.4274747107046259</v>
      </c>
      <c r="H178">
        <v>6.7761151499593355</v>
      </c>
      <c r="I178">
        <v>7.175751504656505</v>
      </c>
      <c r="J178">
        <v>6.4297216835740452</v>
      </c>
      <c r="K178">
        <v>6.5418978428220598</v>
      </c>
      <c r="L178">
        <v>6.3102188156031307</v>
      </c>
      <c r="M178">
        <v>6.5238468472053164</v>
      </c>
      <c r="N178">
        <v>6.9765931304432618</v>
      </c>
      <c r="O178">
        <v>6.8819117681476252</v>
      </c>
      <c r="P178">
        <v>7.0134354340072989</v>
      </c>
      <c r="Q178">
        <v>6.741823373206083</v>
      </c>
      <c r="R178">
        <v>7.2927957792167994</v>
      </c>
      <c r="S178">
        <v>8.2682141645449398</v>
      </c>
      <c r="T178">
        <v>7.127803714780887</v>
      </c>
    </row>
    <row r="179" spans="1:20" x14ac:dyDescent="0.25">
      <c r="A179" s="6" t="s">
        <v>197</v>
      </c>
      <c r="B179">
        <v>8.4528833707037165</v>
      </c>
      <c r="C179">
        <v>8.4536069639825726</v>
      </c>
      <c r="D179">
        <v>8.9465954987612335</v>
      </c>
      <c r="E179">
        <v>8.895634738871836</v>
      </c>
      <c r="F179">
        <v>8.849971957009334</v>
      </c>
      <c r="G179">
        <v>8.5220217032523795</v>
      </c>
      <c r="H179">
        <v>8.8698693139251734</v>
      </c>
      <c r="I179">
        <v>8.5076952592457591</v>
      </c>
      <c r="J179">
        <v>8.5630113633841081</v>
      </c>
      <c r="K179">
        <v>8.6329371716726317</v>
      </c>
      <c r="L179">
        <v>8.5398921289016734</v>
      </c>
      <c r="M179">
        <v>8.5916239483398193</v>
      </c>
      <c r="N179">
        <v>9.1991407865685257</v>
      </c>
      <c r="O179">
        <v>9.111394394621712</v>
      </c>
      <c r="P179">
        <v>8.7541266061977101</v>
      </c>
      <c r="Q179">
        <v>8.6719294517342398</v>
      </c>
      <c r="R179">
        <v>8.4526877442855035</v>
      </c>
      <c r="S179">
        <v>9.1695578418831563</v>
      </c>
      <c r="T179">
        <v>8.8837868673448526</v>
      </c>
    </row>
    <row r="180" spans="1:20" x14ac:dyDescent="0.25">
      <c r="A180" s="5" t="s">
        <v>198</v>
      </c>
      <c r="B180">
        <v>10.452135887144195</v>
      </c>
      <c r="C180">
        <v>11.496811088673358</v>
      </c>
      <c r="D180">
        <v>11.835043151591103</v>
      </c>
      <c r="E180">
        <v>12.543490993505779</v>
      </c>
      <c r="F180">
        <v>11.091423241767869</v>
      </c>
      <c r="G180">
        <v>10.235536490794255</v>
      </c>
      <c r="H180">
        <v>10.590450086949382</v>
      </c>
      <c r="I180">
        <v>10.6016937649756</v>
      </c>
      <c r="J180">
        <v>10.460470548394875</v>
      </c>
      <c r="K180">
        <v>10.32041094687448</v>
      </c>
      <c r="L180">
        <v>11.237423140467559</v>
      </c>
      <c r="M180">
        <v>10.500271556452851</v>
      </c>
      <c r="N180">
        <v>12.369707860951575</v>
      </c>
      <c r="O180">
        <v>11.603804869344945</v>
      </c>
      <c r="P180">
        <v>9.9056566381770192</v>
      </c>
      <c r="Q180">
        <v>9.3411106379726654</v>
      </c>
      <c r="R180">
        <v>10.313564899483925</v>
      </c>
      <c r="S180">
        <v>9.5332342333830482</v>
      </c>
      <c r="T180">
        <v>9.4575260272657964</v>
      </c>
    </row>
    <row r="181" spans="1:20" x14ac:dyDescent="0.25">
      <c r="A181" s="6" t="s">
        <v>199</v>
      </c>
      <c r="B181">
        <v>13.831431898038725</v>
      </c>
      <c r="C181">
        <v>12.915183682846656</v>
      </c>
      <c r="D181">
        <v>13.299300353824661</v>
      </c>
      <c r="E181">
        <v>13.498609162048069</v>
      </c>
      <c r="F181">
        <v>13.490284297397135</v>
      </c>
      <c r="G181">
        <v>11.901287674652455</v>
      </c>
      <c r="H181">
        <v>12.846367014350378</v>
      </c>
      <c r="I181">
        <v>13.331655727137047</v>
      </c>
      <c r="J181">
        <v>13.755644827260419</v>
      </c>
      <c r="K181">
        <v>13.171507339636346</v>
      </c>
      <c r="L181">
        <v>12.729797501835614</v>
      </c>
      <c r="M181">
        <v>14.034328143749375</v>
      </c>
      <c r="N181">
        <v>14.495273449484813</v>
      </c>
      <c r="O181">
        <v>14.977372258937299</v>
      </c>
      <c r="P181">
        <v>13.38005255169616</v>
      </c>
      <c r="Q181">
        <v>12.997771707603489</v>
      </c>
      <c r="R181">
        <v>13.187865117520047</v>
      </c>
      <c r="S181">
        <v>12.157598609494864</v>
      </c>
      <c r="T181">
        <v>12.879446165472258</v>
      </c>
    </row>
    <row r="182" spans="1:20" x14ac:dyDescent="0.25">
      <c r="A182" s="5" t="s">
        <v>200</v>
      </c>
      <c r="B182">
        <v>11.50798619665045</v>
      </c>
      <c r="C182">
        <v>11.545891639159422</v>
      </c>
      <c r="D182">
        <v>10.987304537945427</v>
      </c>
      <c r="E182">
        <v>11.490412966961795</v>
      </c>
      <c r="F182">
        <v>11.87794130092343</v>
      </c>
      <c r="G182">
        <v>11.830732801995334</v>
      </c>
      <c r="H182">
        <v>12.16791798197052</v>
      </c>
      <c r="I182">
        <v>12.016998066503099</v>
      </c>
      <c r="J182">
        <v>11.453648438744484</v>
      </c>
      <c r="K182">
        <v>11.770749199111155</v>
      </c>
      <c r="L182">
        <v>11.452148013604106</v>
      </c>
      <c r="M182">
        <v>11.733069504558371</v>
      </c>
      <c r="N182">
        <v>12.758371162032683</v>
      </c>
      <c r="O182">
        <v>11.827871618158056</v>
      </c>
      <c r="P182">
        <v>12.631252620278342</v>
      </c>
      <c r="Q182">
        <v>13.361712960993227</v>
      </c>
      <c r="R182">
        <v>12.991484059502035</v>
      </c>
      <c r="S182">
        <v>13.106202686768375</v>
      </c>
      <c r="T182">
        <v>13.523875920658497</v>
      </c>
    </row>
    <row r="183" spans="1:20" x14ac:dyDescent="0.25">
      <c r="A183" s="6" t="s">
        <v>201</v>
      </c>
      <c r="B183">
        <v>10.663419606370635</v>
      </c>
      <c r="C183">
        <v>10.882953643098148</v>
      </c>
      <c r="D183">
        <v>10.303606134936734</v>
      </c>
      <c r="E183">
        <v>10.885844395673191</v>
      </c>
      <c r="F183">
        <v>11.859880970849758</v>
      </c>
      <c r="G183">
        <v>11.418105458811606</v>
      </c>
      <c r="H183">
        <v>11.938233865030341</v>
      </c>
      <c r="I183">
        <v>11.658145928178527</v>
      </c>
      <c r="J183">
        <v>11.214625674126859</v>
      </c>
      <c r="K183">
        <v>11.30279861876901</v>
      </c>
      <c r="L183">
        <v>10.763999889255038</v>
      </c>
      <c r="M183">
        <v>11.41793176141555</v>
      </c>
      <c r="N183">
        <v>11.531944567709692</v>
      </c>
      <c r="O183">
        <v>11.42351632801045</v>
      </c>
      <c r="P183">
        <v>12.003642494204293</v>
      </c>
      <c r="Q183">
        <v>12.331105525709898</v>
      </c>
      <c r="R183">
        <v>12.777236502571249</v>
      </c>
      <c r="S183">
        <v>12.771273566146075</v>
      </c>
      <c r="T183">
        <v>12.109239933905304</v>
      </c>
    </row>
    <row r="184" spans="1:20" x14ac:dyDescent="0.25">
      <c r="A184" s="5" t="s">
        <v>202</v>
      </c>
      <c r="B184">
        <v>12.321946561502072</v>
      </c>
      <c r="C184">
        <v>12.602211720303384</v>
      </c>
      <c r="D184">
        <v>12.082776646313995</v>
      </c>
      <c r="E184">
        <v>12.290868117113972</v>
      </c>
      <c r="F184">
        <v>12.878077054599524</v>
      </c>
      <c r="G184">
        <v>13.373913414598753</v>
      </c>
      <c r="H184">
        <v>13.691254239990464</v>
      </c>
      <c r="I184">
        <v>13.271815226980017</v>
      </c>
      <c r="J184">
        <v>12.518126806509807</v>
      </c>
      <c r="K184">
        <v>12.385121645755232</v>
      </c>
      <c r="L184">
        <v>12.363148777150389</v>
      </c>
      <c r="M184">
        <v>12.80096711953361</v>
      </c>
      <c r="N184">
        <v>13.831431898038725</v>
      </c>
      <c r="O184">
        <v>12.858905354676907</v>
      </c>
      <c r="P184">
        <v>13.588160747026361</v>
      </c>
      <c r="Q184">
        <v>14.638786820096328</v>
      </c>
      <c r="R184">
        <v>14.404873723782199</v>
      </c>
      <c r="S184">
        <v>15.236688376524983</v>
      </c>
      <c r="T184">
        <v>14.361712960993227</v>
      </c>
    </row>
    <row r="185" spans="1:20" x14ac:dyDescent="0.25">
      <c r="A185" s="6" t="s">
        <v>203</v>
      </c>
      <c r="B185">
        <v>10.337901073179587</v>
      </c>
      <c r="C185">
        <v>10.288737056831977</v>
      </c>
      <c r="D185">
        <v>10.003486991878486</v>
      </c>
      <c r="E185">
        <v>10.011707117882006</v>
      </c>
      <c r="F185">
        <v>9.9587940768595615</v>
      </c>
      <c r="G185">
        <v>10.49816465003185</v>
      </c>
      <c r="H185">
        <v>10.432842999178515</v>
      </c>
      <c r="I185">
        <v>10.245800080412836</v>
      </c>
      <c r="J185">
        <v>9.9843656008658606</v>
      </c>
      <c r="K185">
        <v>10.320835292281959</v>
      </c>
      <c r="L185">
        <v>10.225837701949967</v>
      </c>
      <c r="M185">
        <v>10.278125136436772</v>
      </c>
      <c r="N185">
        <v>10.762184679987058</v>
      </c>
      <c r="O185">
        <v>10.206740972676842</v>
      </c>
      <c r="P185">
        <v>10.931788371639989</v>
      </c>
      <c r="Q185">
        <v>10.910744155496133</v>
      </c>
      <c r="R185">
        <v>10.925054538885799</v>
      </c>
      <c r="S185">
        <v>11.024218187945838</v>
      </c>
      <c r="T185">
        <v>10.709821962950848</v>
      </c>
    </row>
    <row r="186" spans="1:20" x14ac:dyDescent="0.25">
      <c r="A186" s="5" t="s">
        <v>204</v>
      </c>
      <c r="B186">
        <v>12.59996187156851</v>
      </c>
      <c r="C186">
        <v>13.655444164049936</v>
      </c>
      <c r="D186">
        <v>13.597071800933756</v>
      </c>
      <c r="E186">
        <v>13.45908079786143</v>
      </c>
      <c r="F186">
        <v>12.170994977597294</v>
      </c>
      <c r="G186">
        <v>11.559600304257991</v>
      </c>
      <c r="H186">
        <v>12.092578996393772</v>
      </c>
      <c r="I186">
        <v>12.013319502385231</v>
      </c>
      <c r="J186">
        <v>12.3028095527637</v>
      </c>
      <c r="K186">
        <v>12.327311878370258</v>
      </c>
      <c r="L186">
        <v>12.677078454263192</v>
      </c>
      <c r="M186">
        <v>12.540806316608377</v>
      </c>
      <c r="N186">
        <v>12.641660348616837</v>
      </c>
      <c r="O186">
        <v>13.294943948780526</v>
      </c>
      <c r="P186">
        <v>11.087025990089009</v>
      </c>
      <c r="Q186">
        <v>9.8619308408459148</v>
      </c>
      <c r="R186">
        <v>10.388971943902824</v>
      </c>
      <c r="S186">
        <v>10.728778663200165</v>
      </c>
      <c r="T186">
        <v>9.0681132449997861</v>
      </c>
    </row>
    <row r="187" spans="1:20" x14ac:dyDescent="0.25">
      <c r="A187" s="6" t="s">
        <v>205</v>
      </c>
      <c r="B187">
        <v>12.130914530762849</v>
      </c>
      <c r="C187">
        <v>13.042460127400073</v>
      </c>
      <c r="D187">
        <v>13.009442096128769</v>
      </c>
      <c r="E187">
        <v>13.19057356971415</v>
      </c>
      <c r="F187">
        <v>11.320115823666525</v>
      </c>
      <c r="G187">
        <v>10.950278151609703</v>
      </c>
      <c r="H187">
        <v>11.24023680906404</v>
      </c>
      <c r="I187">
        <v>11.415324866582884</v>
      </c>
      <c r="J187">
        <v>11.659984154710875</v>
      </c>
      <c r="K187">
        <v>11.53642434623168</v>
      </c>
      <c r="L187">
        <v>12.18906375519806</v>
      </c>
      <c r="M187">
        <v>12.396752128265254</v>
      </c>
      <c r="N187">
        <v>11.406932832420759</v>
      </c>
      <c r="O187">
        <v>12.789829254613622</v>
      </c>
      <c r="P187">
        <v>10.485858416810693</v>
      </c>
      <c r="Q187">
        <v>9.0204200474478071</v>
      </c>
      <c r="R187">
        <v>9.3863936381579958</v>
      </c>
      <c r="S187">
        <v>9.4751053144252122</v>
      </c>
      <c r="T187">
        <v>8.1811931982463566</v>
      </c>
    </row>
    <row r="188" spans="1:20" x14ac:dyDescent="0.25">
      <c r="A188" s="5" t="s">
        <v>206</v>
      </c>
      <c r="B188">
        <v>15.048925519962333</v>
      </c>
      <c r="C188">
        <v>0</v>
      </c>
      <c r="D188">
        <v>0</v>
      </c>
      <c r="E188">
        <v>0</v>
      </c>
      <c r="F188">
        <v>14.184718386226123</v>
      </c>
      <c r="G188">
        <v>13.139806581955957</v>
      </c>
      <c r="H188">
        <v>0</v>
      </c>
      <c r="I188">
        <v>13.984369985062118</v>
      </c>
      <c r="J188">
        <v>14.334633426936943</v>
      </c>
      <c r="K188">
        <v>13.982033636307161</v>
      </c>
      <c r="L188">
        <v>0</v>
      </c>
      <c r="M188">
        <v>0</v>
      </c>
      <c r="N188">
        <v>0</v>
      </c>
      <c r="O188">
        <v>0</v>
      </c>
      <c r="P188">
        <v>12.942077561873383</v>
      </c>
      <c r="Q188">
        <v>11.442655954988139</v>
      </c>
      <c r="R188">
        <v>12.419531357202878</v>
      </c>
      <c r="S188">
        <v>12.378761164134874</v>
      </c>
      <c r="T188">
        <v>10.722834293410777</v>
      </c>
    </row>
    <row r="189" spans="1:20" x14ac:dyDescent="0.25">
      <c r="A189" s="6" t="s">
        <v>207</v>
      </c>
      <c r="B189">
        <v>14.296394622649251</v>
      </c>
      <c r="C189">
        <v>14.358678900903593</v>
      </c>
      <c r="D189">
        <v>15.073587574196603</v>
      </c>
      <c r="E189">
        <v>15.000831231761289</v>
      </c>
      <c r="F189">
        <v>13.105337891273644</v>
      </c>
      <c r="G189">
        <v>12.412050252776043</v>
      </c>
      <c r="H189">
        <v>13.586385122136509</v>
      </c>
      <c r="I189">
        <v>13.327200669430427</v>
      </c>
      <c r="J189">
        <v>13.61687204366789</v>
      </c>
      <c r="K189">
        <v>13.387763393359778</v>
      </c>
      <c r="L189">
        <v>13.833536486363649</v>
      </c>
      <c r="M189">
        <v>13.902557482665108</v>
      </c>
      <c r="N189">
        <v>14.512029677810389</v>
      </c>
      <c r="O189">
        <v>14.376979717646538</v>
      </c>
      <c r="P189">
        <v>12.465520666330866</v>
      </c>
      <c r="Q189">
        <v>10.997712707221474</v>
      </c>
      <c r="R189">
        <v>11.793081725049369</v>
      </c>
      <c r="S189">
        <v>12.289625218014148</v>
      </c>
      <c r="T189">
        <v>10.874494725018575</v>
      </c>
    </row>
    <row r="190" spans="1:20" x14ac:dyDescent="0.25">
      <c r="A190" s="5" t="s">
        <v>208</v>
      </c>
      <c r="B190">
        <v>12.903563079975321</v>
      </c>
      <c r="C190">
        <v>0</v>
      </c>
      <c r="D190">
        <v>0</v>
      </c>
      <c r="E190">
        <v>0</v>
      </c>
      <c r="F190">
        <v>12.311862119278283</v>
      </c>
      <c r="G190">
        <v>11.47525112054106</v>
      </c>
      <c r="H190">
        <v>0</v>
      </c>
      <c r="I190">
        <v>11.979007852287205</v>
      </c>
      <c r="J190">
        <v>12.304786322281979</v>
      </c>
      <c r="K190">
        <v>12.262960098565449</v>
      </c>
      <c r="L190">
        <v>13.269790471552186</v>
      </c>
      <c r="M190">
        <v>12.898475993800512</v>
      </c>
      <c r="N190">
        <v>12.703404048869912</v>
      </c>
      <c r="O190">
        <v>13.755644827260419</v>
      </c>
      <c r="P190">
        <v>11.233204217331416</v>
      </c>
      <c r="Q190">
        <v>9.7980988008473417</v>
      </c>
      <c r="R190">
        <v>10.24361382435819</v>
      </c>
      <c r="S190">
        <v>10.668031749780088</v>
      </c>
      <c r="T190">
        <v>8.9626332755419185</v>
      </c>
    </row>
    <row r="191" spans="1:20" x14ac:dyDescent="0.25">
      <c r="A191" s="6" t="s">
        <v>209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13.287438293529028</v>
      </c>
      <c r="H191">
        <v>0</v>
      </c>
      <c r="I191">
        <v>13.346606068603018</v>
      </c>
      <c r="J191">
        <v>13.859033969601219</v>
      </c>
      <c r="K191">
        <v>14.113945311812744</v>
      </c>
      <c r="L191">
        <v>0</v>
      </c>
      <c r="M191">
        <v>0</v>
      </c>
      <c r="N191">
        <v>0</v>
      </c>
      <c r="O191">
        <v>0</v>
      </c>
      <c r="P191">
        <v>13.178164599565321</v>
      </c>
      <c r="Q191">
        <v>11.857651959683935</v>
      </c>
      <c r="R191">
        <v>11.986657428637404</v>
      </c>
      <c r="S191">
        <v>12.76118278056008</v>
      </c>
      <c r="T191">
        <v>11.13195019634578</v>
      </c>
    </row>
    <row r="192" spans="1:20" x14ac:dyDescent="0.25">
      <c r="A192" s="5" t="s">
        <v>210</v>
      </c>
      <c r="B192">
        <v>11.021015775894124</v>
      </c>
      <c r="C192">
        <v>10.131921058087942</v>
      </c>
      <c r="D192">
        <v>10.026991144837357</v>
      </c>
      <c r="E192">
        <v>10.040293695656029</v>
      </c>
      <c r="F192">
        <v>10.380621744097704</v>
      </c>
      <c r="G192">
        <v>10.158680001113391</v>
      </c>
      <c r="H192">
        <v>9.2716707620915049</v>
      </c>
      <c r="I192">
        <v>10.540658030594811</v>
      </c>
      <c r="J192">
        <v>10.741632848156964</v>
      </c>
      <c r="K192">
        <v>10.38497116546648</v>
      </c>
      <c r="L192">
        <v>10.482029891750818</v>
      </c>
      <c r="M192">
        <v>11.511958050453885</v>
      </c>
      <c r="N192">
        <v>11.485002160258107</v>
      </c>
      <c r="O192">
        <v>11.447587576669344</v>
      </c>
      <c r="P192">
        <v>11.33460361949609</v>
      </c>
      <c r="Q192">
        <v>10.850830971633089</v>
      </c>
      <c r="R192">
        <v>11.672263122919972</v>
      </c>
      <c r="S192">
        <v>11.617755874431932</v>
      </c>
      <c r="T192">
        <v>10.819358452347531</v>
      </c>
    </row>
    <row r="193" spans="1:20" x14ac:dyDescent="0.25">
      <c r="A193" s="6" t="s">
        <v>211</v>
      </c>
      <c r="B193">
        <v>10.661116716011348</v>
      </c>
      <c r="C193">
        <v>9.7724616598505989</v>
      </c>
      <c r="D193">
        <v>9.8645309033973181</v>
      </c>
      <c r="E193">
        <v>9.85122402481705</v>
      </c>
      <c r="F193">
        <v>9.9508777303987497</v>
      </c>
      <c r="G193">
        <v>9.6841204519660256</v>
      </c>
      <c r="H193">
        <v>9.0395851805597012</v>
      </c>
      <c r="I193">
        <v>10.457801947780492</v>
      </c>
      <c r="J193">
        <v>10.44348140974593</v>
      </c>
      <c r="K193">
        <v>10.071777568146418</v>
      </c>
      <c r="L193">
        <v>9.8989483590502694</v>
      </c>
      <c r="M193">
        <v>11.067509362650458</v>
      </c>
      <c r="N193">
        <v>11.095960245446602</v>
      </c>
      <c r="O193">
        <v>10.935075308107182</v>
      </c>
      <c r="P193">
        <v>11.130988944433575</v>
      </c>
      <c r="Q193">
        <v>11.019918926870751</v>
      </c>
      <c r="R193">
        <v>11.389349218977609</v>
      </c>
      <c r="S193">
        <v>10.880220940547767</v>
      </c>
      <c r="T193">
        <v>10.41340327850258</v>
      </c>
    </row>
    <row r="194" spans="1:20" x14ac:dyDescent="0.25">
      <c r="A194" s="5" t="s">
        <v>212</v>
      </c>
      <c r="B194">
        <v>10.124603356370164</v>
      </c>
      <c r="C194">
        <v>9.6185926131118666</v>
      </c>
      <c r="D194">
        <v>9.853520528911206</v>
      </c>
      <c r="E194">
        <v>9.658064335362015</v>
      </c>
      <c r="F194">
        <v>10.17780359990074</v>
      </c>
      <c r="G194">
        <v>9.8430068872859593</v>
      </c>
      <c r="H194">
        <v>9.1472977148577073</v>
      </c>
      <c r="I194">
        <v>9.8773889152195924</v>
      </c>
      <c r="J194">
        <v>9.9165494412036033</v>
      </c>
      <c r="K194">
        <v>9.5814824428185261</v>
      </c>
      <c r="L194">
        <v>9.6077988328975881</v>
      </c>
      <c r="M194">
        <v>10.413542979870433</v>
      </c>
      <c r="N194">
        <v>10.372210600130845</v>
      </c>
      <c r="O194">
        <v>9.8228076031267264</v>
      </c>
      <c r="P194">
        <v>10.652454834457279</v>
      </c>
      <c r="Q194">
        <v>10.971216145496948</v>
      </c>
      <c r="R194">
        <v>10.664093633895437</v>
      </c>
      <c r="S194">
        <v>10.891385718555989</v>
      </c>
      <c r="T194">
        <v>10.564468383914518</v>
      </c>
    </row>
    <row r="195" spans="1:20" x14ac:dyDescent="0.25">
      <c r="A195" s="6" t="s">
        <v>213</v>
      </c>
      <c r="B195">
        <v>10.192009020989804</v>
      </c>
      <c r="C195">
        <v>9.7167443508106004</v>
      </c>
      <c r="D195">
        <v>9.9246787085011601</v>
      </c>
      <c r="E195">
        <v>9.7440259640776627</v>
      </c>
      <c r="F195">
        <v>10.365071132352011</v>
      </c>
      <c r="G195">
        <v>9.734113494855027</v>
      </c>
      <c r="H195">
        <v>9.0148478637443326</v>
      </c>
      <c r="I195">
        <v>9.6576494490050546</v>
      </c>
      <c r="J195">
        <v>9.8037096282287894</v>
      </c>
      <c r="K195">
        <v>9.594162976311905</v>
      </c>
      <c r="L195">
        <v>9.5228832411540942</v>
      </c>
      <c r="M195">
        <v>10.490724311770789</v>
      </c>
      <c r="N195">
        <v>10.243040240300536</v>
      </c>
      <c r="O195">
        <v>9.7448810807648734</v>
      </c>
      <c r="P195">
        <v>10.505157036256225</v>
      </c>
      <c r="Q195">
        <v>10.86253240242698</v>
      </c>
      <c r="R195">
        <v>11.017993966066204</v>
      </c>
      <c r="S195">
        <v>10.970486468934814</v>
      </c>
      <c r="T195">
        <v>10.620708165200995</v>
      </c>
    </row>
    <row r="196" spans="1:20" x14ac:dyDescent="0.25">
      <c r="A196" s="5" t="s">
        <v>214</v>
      </c>
      <c r="B196">
        <v>11.543650338083744</v>
      </c>
      <c r="C196">
        <v>10.863198709751199</v>
      </c>
      <c r="D196">
        <v>10.889096590867803</v>
      </c>
      <c r="E196">
        <v>11.105929202737244</v>
      </c>
      <c r="F196">
        <v>11.188949235542619</v>
      </c>
      <c r="G196">
        <v>10.821805808174213</v>
      </c>
      <c r="H196">
        <v>10.152363029840295</v>
      </c>
      <c r="I196">
        <v>10.782565848958283</v>
      </c>
      <c r="J196">
        <v>11.054131047353556</v>
      </c>
      <c r="K196">
        <v>11.15939917956697</v>
      </c>
      <c r="L196">
        <v>10.771049174230663</v>
      </c>
      <c r="M196">
        <v>11.859435965156941</v>
      </c>
      <c r="N196">
        <v>11.780227238559748</v>
      </c>
      <c r="O196">
        <v>11.230872240753465</v>
      </c>
      <c r="P196">
        <v>12.007730065157268</v>
      </c>
      <c r="Q196">
        <v>12.059096834817124</v>
      </c>
      <c r="R196">
        <v>12.128438422002292</v>
      </c>
      <c r="S196">
        <v>12.524555795808164</v>
      </c>
      <c r="T196">
        <v>12.058813669787815</v>
      </c>
    </row>
    <row r="197" spans="1:20" x14ac:dyDescent="0.25">
      <c r="A197" s="6" t="s">
        <v>215</v>
      </c>
      <c r="B197">
        <v>10.986329592628049</v>
      </c>
      <c r="C197">
        <v>11.136149014425117</v>
      </c>
      <c r="D197">
        <v>11.987471486537189</v>
      </c>
      <c r="E197">
        <v>12.297795907300914</v>
      </c>
      <c r="F197">
        <v>10.959209060120637</v>
      </c>
      <c r="G197">
        <v>11.938386736978822</v>
      </c>
      <c r="H197">
        <v>11.433716732373057</v>
      </c>
      <c r="I197">
        <v>12.087678915439703</v>
      </c>
      <c r="J197">
        <v>10.595727163787373</v>
      </c>
      <c r="K197">
        <v>11.876654990230627</v>
      </c>
      <c r="L197">
        <v>11.931782735264827</v>
      </c>
      <c r="M197">
        <v>13.3693261451031</v>
      </c>
      <c r="N197">
        <v>13.111977018265261</v>
      </c>
      <c r="O197">
        <v>12.825419195300642</v>
      </c>
      <c r="P197">
        <v>10.747630538953189</v>
      </c>
      <c r="Q197">
        <v>9.9299760032491537</v>
      </c>
      <c r="R197">
        <v>13.234754011637277</v>
      </c>
      <c r="S197">
        <v>13.839868735187364</v>
      </c>
      <c r="T197">
        <v>10.018837878408206</v>
      </c>
    </row>
    <row r="198" spans="1:20" x14ac:dyDescent="0.25">
      <c r="A198" s="5" t="s">
        <v>216</v>
      </c>
      <c r="B198">
        <v>10.460023406543863</v>
      </c>
      <c r="C198">
        <v>9.4210634967066351</v>
      </c>
      <c r="D198">
        <v>9.9363851144240751</v>
      </c>
      <c r="E198">
        <v>10.124857851358939</v>
      </c>
      <c r="F198">
        <v>10.119028629657004</v>
      </c>
      <c r="G198">
        <v>9.8489577797506112</v>
      </c>
      <c r="H198">
        <v>9.3678346048514793</v>
      </c>
      <c r="I198">
        <v>9.8377971423684212</v>
      </c>
      <c r="J198">
        <v>9.9248161276602751</v>
      </c>
      <c r="K198">
        <v>9.696432702911796</v>
      </c>
      <c r="L198">
        <v>9.6729825144991253</v>
      </c>
      <c r="M198">
        <v>10.980452907316806</v>
      </c>
      <c r="N198">
        <v>10.319947999270619</v>
      </c>
      <c r="O198">
        <v>10.626211305820473</v>
      </c>
      <c r="P198">
        <v>11.002452217654147</v>
      </c>
      <c r="Q198">
        <v>10.603088856553898</v>
      </c>
      <c r="R198">
        <v>11.067623926026128</v>
      </c>
      <c r="S198">
        <v>11.406431485920827</v>
      </c>
      <c r="T198">
        <v>9.8931927499849053</v>
      </c>
    </row>
    <row r="199" spans="1:20" x14ac:dyDescent="0.25">
      <c r="A199" s="6" t="s">
        <v>217</v>
      </c>
      <c r="B199">
        <v>11.589391649213928</v>
      </c>
      <c r="C199">
        <v>10.651419544516427</v>
      </c>
      <c r="D199">
        <v>11.591446973494582</v>
      </c>
      <c r="E199">
        <v>10.95784537678481</v>
      </c>
      <c r="F199">
        <v>11.742154149861918</v>
      </c>
      <c r="G199">
        <v>10.835841900685127</v>
      </c>
      <c r="H199">
        <v>9.9116067908286745</v>
      </c>
      <c r="I199">
        <v>10.739764134289969</v>
      </c>
      <c r="J199">
        <v>10.800426704308725</v>
      </c>
      <c r="K199">
        <v>11.160293704291485</v>
      </c>
      <c r="L199">
        <v>10.740687080098226</v>
      </c>
      <c r="M199">
        <v>11.678236340168292</v>
      </c>
      <c r="N199">
        <v>10.822539780158955</v>
      </c>
      <c r="O199">
        <v>10.83385243958042</v>
      </c>
      <c r="P199">
        <v>11.883713949526985</v>
      </c>
      <c r="Q199">
        <v>12.201125604992264</v>
      </c>
      <c r="R199">
        <v>12.308316224196458</v>
      </c>
      <c r="S199">
        <v>12.025471674275812</v>
      </c>
      <c r="T199">
        <v>11.813811199585976</v>
      </c>
    </row>
    <row r="200" spans="1:20" x14ac:dyDescent="0.25">
      <c r="A200" s="5" t="s">
        <v>218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12.877772984103739</v>
      </c>
      <c r="I200">
        <v>13.276660494926011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13.642471866904184</v>
      </c>
      <c r="Q200">
        <v>13.644317926069556</v>
      </c>
      <c r="R200">
        <v>13.769680886947281</v>
      </c>
      <c r="S200">
        <v>12.639210121807404</v>
      </c>
      <c r="T200">
        <v>12.684922966224553</v>
      </c>
    </row>
    <row r="201" spans="1:20" x14ac:dyDescent="0.25">
      <c r="A201" s="6" t="s">
        <v>219</v>
      </c>
      <c r="B201">
        <v>11.44813971188368</v>
      </c>
      <c r="C201">
        <v>10.16499328321456</v>
      </c>
      <c r="D201">
        <v>10.456459360562475</v>
      </c>
      <c r="E201">
        <v>10.75611382925949</v>
      </c>
      <c r="F201">
        <v>10.944705440531134</v>
      </c>
      <c r="G201">
        <v>10.705245494006512</v>
      </c>
      <c r="H201">
        <v>9.7233720166752207</v>
      </c>
      <c r="I201">
        <v>10.341237896559539</v>
      </c>
      <c r="J201">
        <v>10.849669758772944</v>
      </c>
      <c r="K201">
        <v>10.742707775891303</v>
      </c>
      <c r="L201">
        <v>10.494213890952517</v>
      </c>
      <c r="M201">
        <v>11.670540866983139</v>
      </c>
      <c r="N201">
        <v>10.784839532337177</v>
      </c>
      <c r="O201">
        <v>11.220517690110903</v>
      </c>
      <c r="P201">
        <v>11.831179553629566</v>
      </c>
      <c r="Q201">
        <v>12.001464027771275</v>
      </c>
      <c r="R201">
        <v>11.848514800062123</v>
      </c>
      <c r="S201">
        <v>12.153208843838277</v>
      </c>
      <c r="T201">
        <v>11.700890001588615</v>
      </c>
    </row>
    <row r="202" spans="1:20" x14ac:dyDescent="0.25">
      <c r="A202" s="5" t="s">
        <v>220</v>
      </c>
      <c r="B202">
        <v>11.989505709950079</v>
      </c>
      <c r="C202">
        <v>11.336292436476105</v>
      </c>
      <c r="D202">
        <v>11.687904248101232</v>
      </c>
      <c r="E202">
        <v>11.717842192479118</v>
      </c>
      <c r="F202">
        <v>11.924827346128714</v>
      </c>
      <c r="G202">
        <v>11.535117912165324</v>
      </c>
      <c r="H202">
        <v>10.949801521523598</v>
      </c>
      <c r="I202">
        <v>11.54473176215447</v>
      </c>
      <c r="J202">
        <v>11.51688333351696</v>
      </c>
      <c r="K202">
        <v>11.541442615107359</v>
      </c>
      <c r="L202">
        <v>11.455559593710134</v>
      </c>
      <c r="M202">
        <v>12.457830354358864</v>
      </c>
      <c r="N202">
        <v>12.840641058723357</v>
      </c>
      <c r="O202">
        <v>11.67217366557748</v>
      </c>
      <c r="P202">
        <v>12.609388024893347</v>
      </c>
      <c r="Q202">
        <v>12.930329285701854</v>
      </c>
      <c r="R202">
        <v>13.265493726703481</v>
      </c>
      <c r="S202">
        <v>14.048925519962333</v>
      </c>
      <c r="T202">
        <v>13.02762648705677</v>
      </c>
    </row>
    <row r="203" spans="1:20" x14ac:dyDescent="0.25">
      <c r="A203" s="6" t="s">
        <v>221</v>
      </c>
      <c r="B203">
        <v>14.465594104820106</v>
      </c>
      <c r="C203">
        <v>13.773716400182437</v>
      </c>
      <c r="D203">
        <v>13.965784284662087</v>
      </c>
      <c r="E203">
        <v>13.019853022616976</v>
      </c>
      <c r="F203">
        <v>12.709353275439408</v>
      </c>
      <c r="G203">
        <v>13.863327708011353</v>
      </c>
      <c r="H203">
        <v>12.539130926967754</v>
      </c>
      <c r="I203">
        <v>13.624140044131927</v>
      </c>
      <c r="J203">
        <v>13.998468094392807</v>
      </c>
      <c r="K203">
        <v>13.450980299090315</v>
      </c>
      <c r="L203">
        <v>14.101211821904954</v>
      </c>
      <c r="M203">
        <v>14.638786820096328</v>
      </c>
      <c r="N203">
        <v>15.376979717646538</v>
      </c>
      <c r="O203">
        <v>14.328684160605755</v>
      </c>
      <c r="P203">
        <v>15.310982158872298</v>
      </c>
      <c r="Q203">
        <v>15.414292876114592</v>
      </c>
      <c r="R203">
        <v>15.532397475504352</v>
      </c>
      <c r="S203">
        <v>14.182034301654912</v>
      </c>
      <c r="T203">
        <v>15.029494990013431</v>
      </c>
    </row>
    <row r="204" spans="1:20" x14ac:dyDescent="0.25">
      <c r="A204" s="5" t="s">
        <v>222</v>
      </c>
      <c r="B204">
        <v>16.446141742153934</v>
      </c>
      <c r="C204">
        <v>16.209102544853081</v>
      </c>
      <c r="D204">
        <v>16.566996137028319</v>
      </c>
      <c r="E204">
        <v>16.553056946070445</v>
      </c>
      <c r="F204">
        <v>15.818868436574812</v>
      </c>
      <c r="G204">
        <v>15.498609162048069</v>
      </c>
      <c r="H204">
        <v>15.75365077712833</v>
      </c>
      <c r="I204">
        <v>15.931568569324174</v>
      </c>
      <c r="J204">
        <v>16.395515669083963</v>
      </c>
      <c r="K204">
        <v>16.472136950686878</v>
      </c>
      <c r="L204">
        <v>16.512029677810389</v>
      </c>
      <c r="M204">
        <v>16.299300353824663</v>
      </c>
      <c r="N204">
        <v>0</v>
      </c>
      <c r="O204">
        <v>0</v>
      </c>
      <c r="P204">
        <v>16.034328143749374</v>
      </c>
      <c r="Q204">
        <v>16.06367210533152</v>
      </c>
      <c r="R204">
        <v>15.996108821518886</v>
      </c>
      <c r="S204">
        <v>16.06367210533152</v>
      </c>
      <c r="T204">
        <v>15.683641055880589</v>
      </c>
    </row>
    <row r="205" spans="1:20" x14ac:dyDescent="0.25">
      <c r="A205" s="6" t="s">
        <v>223</v>
      </c>
      <c r="B205">
        <v>17.344203578387713</v>
      </c>
      <c r="C205">
        <v>17.248995271976597</v>
      </c>
      <c r="D205">
        <v>17.061697163146462</v>
      </c>
      <c r="E205">
        <v>17.174545322816716</v>
      </c>
      <c r="F205">
        <v>16.892430175417214</v>
      </c>
      <c r="G205">
        <v>17.246749831770952</v>
      </c>
      <c r="H205">
        <v>17.06367210533152</v>
      </c>
      <c r="I205">
        <v>17.506646481113489</v>
      </c>
      <c r="J205">
        <v>17.485312339434611</v>
      </c>
      <c r="K205">
        <v>17.466900302320731</v>
      </c>
      <c r="L205">
        <v>17.325126341192568</v>
      </c>
      <c r="M205">
        <v>17.34660606860302</v>
      </c>
      <c r="N205">
        <v>0</v>
      </c>
      <c r="O205">
        <v>17.498609162048069</v>
      </c>
      <c r="P205">
        <v>0</v>
      </c>
      <c r="Q205">
        <v>0</v>
      </c>
      <c r="R205">
        <v>17.44872028625571</v>
      </c>
      <c r="S205">
        <v>17.857748336032504</v>
      </c>
      <c r="T205">
        <v>18.187407473753765</v>
      </c>
    </row>
    <row r="206" spans="1:20" x14ac:dyDescent="0.25">
      <c r="A206" s="5" t="s">
        <v>224</v>
      </c>
      <c r="B206">
        <v>0</v>
      </c>
      <c r="C206">
        <v>0</v>
      </c>
      <c r="D206">
        <v>15.06367210533152</v>
      </c>
      <c r="E206">
        <v>15.160739523291683</v>
      </c>
      <c r="F206">
        <v>15.67606783617579</v>
      </c>
      <c r="G206">
        <v>0</v>
      </c>
      <c r="H206">
        <v>0</v>
      </c>
      <c r="I206">
        <v>16.176681067160704</v>
      </c>
      <c r="J206">
        <v>15.861179241432778</v>
      </c>
      <c r="K206">
        <v>15.6989078125339</v>
      </c>
      <c r="L206">
        <v>15.895944659593452</v>
      </c>
      <c r="M206">
        <v>16.859462768843755</v>
      </c>
      <c r="N206">
        <v>0</v>
      </c>
      <c r="O206">
        <v>15.861179241432778</v>
      </c>
      <c r="P206">
        <v>0</v>
      </c>
      <c r="Q206">
        <v>15.729934708154525</v>
      </c>
      <c r="R206">
        <v>15.602444973032609</v>
      </c>
      <c r="S206">
        <v>15.574016564706092</v>
      </c>
      <c r="T206">
        <v>14.900349838713455</v>
      </c>
    </row>
    <row r="207" spans="1:20" x14ac:dyDescent="0.25">
      <c r="A207" s="6" t="s">
        <v>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14.012705332049579</v>
      </c>
      <c r="R207">
        <v>14.963477817278919</v>
      </c>
      <c r="S207">
        <v>13.712400048862014</v>
      </c>
      <c r="T207">
        <v>15.370853614849695</v>
      </c>
    </row>
    <row r="208" spans="1:20" x14ac:dyDescent="0.25">
      <c r="A208" s="5" t="s">
        <v>226</v>
      </c>
      <c r="B208">
        <v>0</v>
      </c>
      <c r="C208">
        <v>0</v>
      </c>
      <c r="D208">
        <v>0</v>
      </c>
      <c r="E208">
        <v>0</v>
      </c>
      <c r="F208">
        <v>14.831431898038725</v>
      </c>
      <c r="G208">
        <v>14.420606650046794</v>
      </c>
      <c r="H208">
        <v>15.039177543410771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15.646166350461927</v>
      </c>
      <c r="O208">
        <v>0</v>
      </c>
      <c r="P208">
        <v>0</v>
      </c>
      <c r="Q208">
        <v>14.88280925740432</v>
      </c>
      <c r="R208">
        <v>15.827231909509438</v>
      </c>
      <c r="S208">
        <v>14.376979717646538</v>
      </c>
      <c r="T208">
        <v>15.166033822961197</v>
      </c>
    </row>
    <row r="209" spans="1:20" x14ac:dyDescent="0.25">
      <c r="A209" s="6" t="s">
        <v>227</v>
      </c>
      <c r="B209">
        <v>15.83564414932564</v>
      </c>
      <c r="C209">
        <v>15.810553168362809</v>
      </c>
      <c r="D209">
        <v>0</v>
      </c>
      <c r="E209">
        <v>16.485312339434611</v>
      </c>
      <c r="F209">
        <v>15.83564414932564</v>
      </c>
      <c r="G209">
        <v>15.498609162048069</v>
      </c>
      <c r="H209">
        <v>15.904768509980459</v>
      </c>
      <c r="I209">
        <v>14.865479378866404</v>
      </c>
      <c r="J209">
        <v>14.895944659593452</v>
      </c>
      <c r="K209">
        <v>0</v>
      </c>
      <c r="L209">
        <v>15.878457232864612</v>
      </c>
      <c r="M209">
        <v>15.236688376524983</v>
      </c>
      <c r="N209">
        <v>14.818868436574812</v>
      </c>
      <c r="O209">
        <v>15.861179241432778</v>
      </c>
      <c r="P209">
        <v>14.355651208206025</v>
      </c>
      <c r="Q209">
        <v>14.267654727208196</v>
      </c>
      <c r="R209">
        <v>13.769680886947281</v>
      </c>
      <c r="S209">
        <v>14.613251727989191</v>
      </c>
      <c r="T209">
        <v>14.349614818475356</v>
      </c>
    </row>
    <row r="210" spans="1:20" x14ac:dyDescent="0.25">
      <c r="A210" s="5" t="s">
        <v>228</v>
      </c>
      <c r="B210">
        <v>0</v>
      </c>
      <c r="C210">
        <v>16.06367210533152</v>
      </c>
      <c r="D210">
        <v>16.408006613267162</v>
      </c>
      <c r="E210">
        <v>16.370853614849693</v>
      </c>
      <c r="F210">
        <v>16.781008892748794</v>
      </c>
      <c r="G210">
        <v>0</v>
      </c>
      <c r="H210">
        <v>0</v>
      </c>
      <c r="I210">
        <v>16.823880700009802</v>
      </c>
      <c r="J210">
        <v>0</v>
      </c>
      <c r="K210">
        <v>16.700443411445125</v>
      </c>
      <c r="L210">
        <v>16.299300353824663</v>
      </c>
      <c r="M210">
        <v>0</v>
      </c>
      <c r="N210">
        <v>0</v>
      </c>
      <c r="O210">
        <v>17.124213647266568</v>
      </c>
      <c r="P210">
        <v>0</v>
      </c>
      <c r="Q210">
        <v>0</v>
      </c>
      <c r="R210">
        <v>17.446141742153934</v>
      </c>
      <c r="S210">
        <v>0</v>
      </c>
      <c r="T210">
        <v>0</v>
      </c>
    </row>
    <row r="211" spans="1:20" x14ac:dyDescent="0.25">
      <c r="A211" s="6" t="s">
        <v>229</v>
      </c>
      <c r="B211">
        <v>13.800226030200914</v>
      </c>
      <c r="C211">
        <v>13.337617285375762</v>
      </c>
      <c r="D211">
        <v>13.019781130500808</v>
      </c>
      <c r="E211">
        <v>12.69117790893884</v>
      </c>
      <c r="F211">
        <v>13.400187108807861</v>
      </c>
      <c r="G211">
        <v>14.401747622795481</v>
      </c>
      <c r="H211">
        <v>13.831431898038725</v>
      </c>
      <c r="I211">
        <v>14.542690230512186</v>
      </c>
      <c r="J211">
        <v>14.007943957955854</v>
      </c>
      <c r="K211">
        <v>13.419025614227316</v>
      </c>
      <c r="L211">
        <v>13.655444164049936</v>
      </c>
      <c r="M211">
        <v>14.14236099397683</v>
      </c>
      <c r="N211">
        <v>14.299300353824661</v>
      </c>
      <c r="O211">
        <v>13.722115203695225</v>
      </c>
      <c r="P211">
        <v>15.588160747026361</v>
      </c>
      <c r="Q211">
        <v>15.913646661326911</v>
      </c>
      <c r="R211">
        <v>15.844105728073835</v>
      </c>
      <c r="S211">
        <v>15.785891114128539</v>
      </c>
      <c r="T211">
        <v>15.745702024012841</v>
      </c>
    </row>
    <row r="212" spans="1:20" x14ac:dyDescent="0.25">
      <c r="A212" s="5" t="s">
        <v>230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12.405249311507033</v>
      </c>
      <c r="Q212">
        <v>11.430913883876503</v>
      </c>
      <c r="R212">
        <v>12.238262831278789</v>
      </c>
      <c r="S212">
        <v>0</v>
      </c>
      <c r="T212">
        <v>12.155023678886673</v>
      </c>
    </row>
    <row r="213" spans="1:20" x14ac:dyDescent="0.25">
      <c r="A213" s="6" t="s">
        <v>231</v>
      </c>
      <c r="B213">
        <v>5.0765573939758646</v>
      </c>
      <c r="C213">
        <v>5.2744528594401006</v>
      </c>
      <c r="D213">
        <v>5.4365160399096073</v>
      </c>
      <c r="E213">
        <v>5.3185223371487522</v>
      </c>
      <c r="F213">
        <v>5.2317561025187596</v>
      </c>
      <c r="G213">
        <v>5.7797087222496311</v>
      </c>
      <c r="H213">
        <v>6.2624844306777172</v>
      </c>
      <c r="I213">
        <v>5.8933157117208257</v>
      </c>
      <c r="J213">
        <v>5.2779817176433603</v>
      </c>
      <c r="K213">
        <v>5.7576201725247182</v>
      </c>
      <c r="L213">
        <v>6.039178492153086</v>
      </c>
      <c r="M213">
        <v>5.7667868471173769</v>
      </c>
      <c r="N213">
        <v>6.0004731892330625</v>
      </c>
      <c r="O213">
        <v>6.0378377829852372</v>
      </c>
      <c r="P213">
        <v>6.2623011399017692</v>
      </c>
      <c r="Q213">
        <v>7.21254902630929</v>
      </c>
      <c r="R213">
        <v>7.1924953488063395</v>
      </c>
      <c r="S213">
        <v>8.1973403510800669</v>
      </c>
      <c r="T213">
        <v>7.3688927814790679</v>
      </c>
    </row>
    <row r="214" spans="1:20" x14ac:dyDescent="0.25">
      <c r="A214" s="5" t="s">
        <v>232</v>
      </c>
      <c r="B214">
        <v>16.166033822961197</v>
      </c>
      <c r="C214">
        <v>0</v>
      </c>
      <c r="D214">
        <v>0</v>
      </c>
      <c r="E214">
        <v>15.745702024012841</v>
      </c>
      <c r="F214">
        <v>15.940613708927183</v>
      </c>
      <c r="G214">
        <v>0</v>
      </c>
      <c r="H214">
        <v>16.498609162048069</v>
      </c>
      <c r="I214">
        <v>0</v>
      </c>
      <c r="J214">
        <v>15.525576209648337</v>
      </c>
      <c r="K214">
        <v>16.242269408788282</v>
      </c>
      <c r="L214">
        <v>16.299300353824663</v>
      </c>
      <c r="M214">
        <v>16.581071322240042</v>
      </c>
      <c r="N214">
        <v>16.624140044131927</v>
      </c>
      <c r="O214">
        <v>13.889362009203486</v>
      </c>
      <c r="P214">
        <v>15.661039626943458</v>
      </c>
      <c r="Q214">
        <v>14.468861818654016</v>
      </c>
      <c r="R214">
        <v>14.200928613407385</v>
      </c>
      <c r="S214">
        <v>14.909200756295721</v>
      </c>
      <c r="T214">
        <v>15.093625327433148</v>
      </c>
    </row>
    <row r="215" spans="1:20" x14ac:dyDescent="0.25">
      <c r="A215" s="6" t="s">
        <v>233</v>
      </c>
      <c r="B215">
        <v>15.878457232864612</v>
      </c>
      <c r="C215">
        <v>0</v>
      </c>
      <c r="D215">
        <v>15.722115203695225</v>
      </c>
      <c r="E215">
        <v>15.683641055880589</v>
      </c>
      <c r="F215">
        <v>15.737796825927495</v>
      </c>
      <c r="G215">
        <v>15.426948176920622</v>
      </c>
      <c r="H215">
        <v>15.182034301654912</v>
      </c>
      <c r="I215">
        <v>16.134555591488027</v>
      </c>
      <c r="J215">
        <v>15.769680886947281</v>
      </c>
      <c r="K215">
        <v>15.124213647266568</v>
      </c>
      <c r="L215">
        <v>16.539251146545414</v>
      </c>
      <c r="M215">
        <v>14.909200756295721</v>
      </c>
      <c r="N215">
        <v>15.638786820096328</v>
      </c>
      <c r="O215">
        <v>16.15546458125101</v>
      </c>
      <c r="P215">
        <v>14.827231909509438</v>
      </c>
      <c r="Q215">
        <v>14.06367210533152</v>
      </c>
      <c r="R215">
        <v>14.367800290872141</v>
      </c>
      <c r="S215">
        <v>13.839868735187364</v>
      </c>
      <c r="T215">
        <v>13.103127389642594</v>
      </c>
    </row>
    <row r="216" spans="1:20" x14ac:dyDescent="0.25">
      <c r="A216" s="5" t="s">
        <v>234</v>
      </c>
      <c r="B216">
        <v>9.1437329238110472</v>
      </c>
      <c r="C216">
        <v>9.6126428240582911</v>
      </c>
      <c r="D216">
        <v>10.290819320358873</v>
      </c>
      <c r="E216">
        <v>10.312362836303388</v>
      </c>
      <c r="F216">
        <v>9.8597281522153519</v>
      </c>
      <c r="G216">
        <v>9.3858221644378617</v>
      </c>
      <c r="H216">
        <v>7.9853234988783335</v>
      </c>
      <c r="I216">
        <v>9.9197165609347699</v>
      </c>
      <c r="J216">
        <v>9.7226002452112255</v>
      </c>
      <c r="K216">
        <v>9.8072908447376879</v>
      </c>
      <c r="L216">
        <v>9.94151283796554</v>
      </c>
      <c r="M216">
        <v>9.0388421072367642</v>
      </c>
      <c r="N216">
        <v>9.0548843412242928</v>
      </c>
      <c r="O216">
        <v>9.3703274098663325</v>
      </c>
      <c r="P216">
        <v>8.6187077309965314</v>
      </c>
      <c r="Q216">
        <v>9.0326921211892675</v>
      </c>
      <c r="R216">
        <v>9.7108903663675079</v>
      </c>
      <c r="S216">
        <v>9.3835664755142663</v>
      </c>
      <c r="T216">
        <v>9.5283221534843729</v>
      </c>
    </row>
    <row r="217" spans="1:20" x14ac:dyDescent="0.25">
      <c r="A217" s="6" t="s">
        <v>235</v>
      </c>
      <c r="B217">
        <v>0</v>
      </c>
      <c r="C217">
        <v>13.685540588796069</v>
      </c>
      <c r="D217">
        <v>13.829330375393436</v>
      </c>
      <c r="E217">
        <v>13.693163829999097</v>
      </c>
      <c r="F217">
        <v>0</v>
      </c>
      <c r="G217">
        <v>13.965784284662087</v>
      </c>
      <c r="H217">
        <v>14.233905935853656</v>
      </c>
      <c r="I217">
        <v>0</v>
      </c>
      <c r="J217">
        <v>14.395515669083965</v>
      </c>
      <c r="K217">
        <v>13.535820241145142</v>
      </c>
      <c r="L217">
        <v>13.867634263570075</v>
      </c>
      <c r="M217">
        <v>14.683641055880589</v>
      </c>
      <c r="N217">
        <v>0</v>
      </c>
      <c r="O217">
        <v>0</v>
      </c>
      <c r="P217">
        <v>14.088589737535848</v>
      </c>
      <c r="Q217">
        <v>13.586385122136509</v>
      </c>
      <c r="R217">
        <v>13.436513040956156</v>
      </c>
      <c r="S217">
        <v>12.711461150289363</v>
      </c>
      <c r="T217">
        <v>13.154622377467087</v>
      </c>
    </row>
    <row r="218" spans="1:20" x14ac:dyDescent="0.25">
      <c r="A218" s="5" t="s">
        <v>236</v>
      </c>
      <c r="B218">
        <v>0</v>
      </c>
      <c r="C218">
        <v>15.95887591531991</v>
      </c>
      <c r="D218">
        <v>0</v>
      </c>
      <c r="E218">
        <v>0</v>
      </c>
      <c r="F218">
        <v>0</v>
      </c>
      <c r="G218">
        <v>11.603539970534383</v>
      </c>
      <c r="H218">
        <v>11.852985418243435</v>
      </c>
      <c r="I218">
        <v>15.581071322240042</v>
      </c>
      <c r="J218">
        <v>0</v>
      </c>
      <c r="K218">
        <v>15.602444973032609</v>
      </c>
      <c r="L218">
        <v>14.810553168362809</v>
      </c>
      <c r="M218">
        <v>15.986710123516636</v>
      </c>
      <c r="N218">
        <v>14.67229608228658</v>
      </c>
      <c r="O218">
        <v>15.322759326648649</v>
      </c>
      <c r="P218">
        <v>11.855741824354199</v>
      </c>
      <c r="Q218">
        <v>15.653583822024411</v>
      </c>
      <c r="R218">
        <v>15.869792371737484</v>
      </c>
      <c r="S218">
        <v>0</v>
      </c>
      <c r="T218">
        <v>0</v>
      </c>
    </row>
    <row r="219" spans="1:20" x14ac:dyDescent="0.25">
      <c r="A219" s="6" t="s">
        <v>237</v>
      </c>
      <c r="B219">
        <v>13.584611679945288</v>
      </c>
      <c r="C219">
        <v>13.998468094392807</v>
      </c>
      <c r="D219">
        <v>14.083571662769224</v>
      </c>
      <c r="E219">
        <v>14.352629856230788</v>
      </c>
      <c r="F219">
        <v>13.363232387190427</v>
      </c>
      <c r="G219">
        <v>13.231586702060854</v>
      </c>
      <c r="H219">
        <v>13.457457055381768</v>
      </c>
      <c r="I219">
        <v>13.235978344259079</v>
      </c>
      <c r="J219">
        <v>13.28208244131023</v>
      </c>
      <c r="K219">
        <v>13.718221287590733</v>
      </c>
      <c r="L219">
        <v>13.761643567881864</v>
      </c>
      <c r="M219">
        <v>13.297846756683162</v>
      </c>
      <c r="N219">
        <v>12.462626903748824</v>
      </c>
      <c r="O219">
        <v>12.987541786461231</v>
      </c>
      <c r="P219">
        <v>12.918407833022357</v>
      </c>
      <c r="Q219">
        <v>12.696856500696148</v>
      </c>
      <c r="R219">
        <v>12.91028873653987</v>
      </c>
      <c r="S219">
        <v>12.039183615372375</v>
      </c>
      <c r="T219">
        <v>12.94687669374054</v>
      </c>
    </row>
    <row r="220" spans="1:20" x14ac:dyDescent="0.25">
      <c r="A220" s="5" t="s">
        <v>238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16.358678900903591</v>
      </c>
      <c r="Q220">
        <v>14.061203849740769</v>
      </c>
      <c r="R220">
        <v>0</v>
      </c>
      <c r="S220">
        <v>15.187407473753764</v>
      </c>
      <c r="T220">
        <v>12.689623542545847</v>
      </c>
    </row>
    <row r="221" spans="1:20" x14ac:dyDescent="0.25">
      <c r="A221" s="6" t="s">
        <v>239</v>
      </c>
      <c r="B221">
        <v>11.293998169898583</v>
      </c>
      <c r="C221">
        <v>10.615834799904746</v>
      </c>
      <c r="D221">
        <v>10.631099316733508</v>
      </c>
      <c r="E221">
        <v>10.656775780928006</v>
      </c>
      <c r="F221">
        <v>11.016137302012703</v>
      </c>
      <c r="G221">
        <v>10.449908369492544</v>
      </c>
      <c r="H221">
        <v>10.548745713089621</v>
      </c>
      <c r="I221">
        <v>10.799264211183223</v>
      </c>
      <c r="J221">
        <v>10.957773639671569</v>
      </c>
      <c r="K221">
        <v>10.746688268709491</v>
      </c>
      <c r="L221">
        <v>10.523536103193521</v>
      </c>
      <c r="M221">
        <v>11.173158782545752</v>
      </c>
      <c r="N221">
        <v>10.751910729115469</v>
      </c>
      <c r="O221">
        <v>10.355645537246097</v>
      </c>
      <c r="P221">
        <v>11.089312522785519</v>
      </c>
      <c r="Q221">
        <v>12.228820998809793</v>
      </c>
      <c r="R221">
        <v>11.708976503113426</v>
      </c>
      <c r="S221">
        <v>12.661469509454269</v>
      </c>
      <c r="T221">
        <v>12.391084018868629</v>
      </c>
    </row>
    <row r="222" spans="1:20" x14ac:dyDescent="0.25">
      <c r="A222" s="5" t="s">
        <v>240</v>
      </c>
      <c r="B222">
        <v>14.972725894080934</v>
      </c>
      <c r="C222">
        <v>15.6989078125339</v>
      </c>
      <c r="D222">
        <v>14.714337853103507</v>
      </c>
      <c r="E222">
        <v>15.485312339434612</v>
      </c>
      <c r="F222">
        <v>15.182034301654912</v>
      </c>
      <c r="G222">
        <v>0</v>
      </c>
      <c r="H222">
        <v>0</v>
      </c>
      <c r="I222">
        <v>15.602444973032609</v>
      </c>
      <c r="J222">
        <v>15.176681067160706</v>
      </c>
      <c r="K222">
        <v>14.726019658151142</v>
      </c>
      <c r="L222">
        <v>15.15546458125101</v>
      </c>
      <c r="M222">
        <v>14.878457232864612</v>
      </c>
      <c r="N222">
        <v>14.505303814622076</v>
      </c>
      <c r="O222">
        <v>14.710464843956299</v>
      </c>
      <c r="P222">
        <v>14.844105728073835</v>
      </c>
      <c r="Q222">
        <v>0</v>
      </c>
      <c r="R222">
        <v>15.225590667641651</v>
      </c>
      <c r="S222">
        <v>15.364753415313277</v>
      </c>
      <c r="T222">
        <v>15.093625327433148</v>
      </c>
    </row>
    <row r="223" spans="1:20" x14ac:dyDescent="0.25">
      <c r="A223" s="6" t="s">
        <v>241</v>
      </c>
      <c r="B223">
        <v>13.044945264876979</v>
      </c>
      <c r="C223">
        <v>13.129633923050823</v>
      </c>
      <c r="D223">
        <v>13.010429815536279</v>
      </c>
      <c r="E223">
        <v>13.002617968463255</v>
      </c>
      <c r="F223">
        <v>12.617715070322159</v>
      </c>
      <c r="G223">
        <v>13.293494732143458</v>
      </c>
      <c r="H223">
        <v>13.100742832092376</v>
      </c>
      <c r="I223">
        <v>12.80711635464864</v>
      </c>
      <c r="J223">
        <v>12.940965351985016</v>
      </c>
      <c r="K223">
        <v>12.96104848476314</v>
      </c>
      <c r="L223">
        <v>12.968996411643682</v>
      </c>
      <c r="M223">
        <v>13.455835138357777</v>
      </c>
      <c r="N223">
        <v>13.006601711543517</v>
      </c>
      <c r="O223">
        <v>12.959036734239701</v>
      </c>
      <c r="P223">
        <v>13.03843695577185</v>
      </c>
      <c r="Q223">
        <v>13.290600658874276</v>
      </c>
      <c r="R223">
        <v>13.63144484475516</v>
      </c>
      <c r="S223">
        <v>13.037745274682218</v>
      </c>
      <c r="T223">
        <v>13.351121549725512</v>
      </c>
    </row>
    <row r="224" spans="1:20" x14ac:dyDescent="0.25">
      <c r="A224" s="5" t="s">
        <v>242</v>
      </c>
      <c r="B224">
        <v>12.61143594318264</v>
      </c>
      <c r="C224">
        <v>12.404247961447128</v>
      </c>
      <c r="D224">
        <v>12.629368346352557</v>
      </c>
      <c r="E224">
        <v>12.307197121616998</v>
      </c>
      <c r="F224">
        <v>12.241423890614376</v>
      </c>
      <c r="G224">
        <v>12.113414630667014</v>
      </c>
      <c r="H224">
        <v>12.110598256794612</v>
      </c>
      <c r="I224">
        <v>12.546077133482973</v>
      </c>
      <c r="J224">
        <v>12.339978904788749</v>
      </c>
      <c r="K224">
        <v>12.298101030481519</v>
      </c>
      <c r="L224">
        <v>12.096686733676176</v>
      </c>
      <c r="M224">
        <v>12.66029231014825</v>
      </c>
      <c r="N224">
        <v>12.39962573672754</v>
      </c>
      <c r="O224">
        <v>12.274593191425907</v>
      </c>
      <c r="P224">
        <v>11.994300692892319</v>
      </c>
      <c r="Q224">
        <v>11.675685497123876</v>
      </c>
      <c r="R224">
        <v>11.556368364657184</v>
      </c>
      <c r="S224">
        <v>10.960585533674291</v>
      </c>
      <c r="T224">
        <v>11.820813841740476</v>
      </c>
    </row>
    <row r="225" spans="1:20" x14ac:dyDescent="0.25">
      <c r="A225" s="6" t="s">
        <v>243</v>
      </c>
      <c r="B225">
        <v>0</v>
      </c>
      <c r="C225">
        <v>14.904768509980459</v>
      </c>
      <c r="D225">
        <v>14.798169443906975</v>
      </c>
      <c r="E225">
        <v>14.695075950942874</v>
      </c>
      <c r="F225">
        <v>14.386217924501876</v>
      </c>
      <c r="G225">
        <v>14.687442626040445</v>
      </c>
      <c r="H225">
        <v>14.43331770179635</v>
      </c>
      <c r="I225">
        <v>14.395515669083965</v>
      </c>
      <c r="J225">
        <v>14.310982158872298</v>
      </c>
      <c r="K225">
        <v>14.865479378866404</v>
      </c>
      <c r="L225">
        <v>0</v>
      </c>
      <c r="M225">
        <v>0</v>
      </c>
      <c r="N225">
        <v>14.635111161952929</v>
      </c>
      <c r="O225">
        <v>14.718221287590733</v>
      </c>
      <c r="P225">
        <v>14.512029677810389</v>
      </c>
      <c r="Q225">
        <v>14.270503089517227</v>
      </c>
      <c r="R225">
        <v>0</v>
      </c>
      <c r="S225">
        <v>14.714337853103507</v>
      </c>
      <c r="T225">
        <v>15.420606650046794</v>
      </c>
    </row>
    <row r="226" spans="1:20" x14ac:dyDescent="0.25">
      <c r="A226" s="5" t="s">
        <v>244</v>
      </c>
      <c r="B226">
        <v>11.327415681115587</v>
      </c>
      <c r="C226">
        <v>10.094666107837229</v>
      </c>
      <c r="D226">
        <v>9.7940150951724565</v>
      </c>
      <c r="E226">
        <v>9.9739296084045339</v>
      </c>
      <c r="F226">
        <v>8.8451728948763737</v>
      </c>
      <c r="G226">
        <v>9.2161796538056215</v>
      </c>
      <c r="H226">
        <v>11.620478754793943</v>
      </c>
      <c r="I226">
        <v>10.250351244595107</v>
      </c>
      <c r="J226">
        <v>12.028488108713184</v>
      </c>
      <c r="K226">
        <v>9.7701469164385735</v>
      </c>
      <c r="L226">
        <v>11.931010759952052</v>
      </c>
      <c r="M226">
        <v>9.3271969626133959</v>
      </c>
      <c r="N226">
        <v>12.064283651062256</v>
      </c>
      <c r="O226">
        <v>9.8882254316304525</v>
      </c>
      <c r="P226">
        <v>12.123859457590537</v>
      </c>
      <c r="Q226">
        <v>12.244934984171318</v>
      </c>
      <c r="R226">
        <v>12.484435738407175</v>
      </c>
      <c r="S226">
        <v>11.98709075480202</v>
      </c>
      <c r="T226">
        <v>11.783493709708038</v>
      </c>
    </row>
    <row r="227" spans="1:20" x14ac:dyDescent="0.25">
      <c r="A227" s="6" t="s">
        <v>245</v>
      </c>
      <c r="B227">
        <v>10.092279734026405</v>
      </c>
      <c r="C227">
        <v>10.168060721013431</v>
      </c>
      <c r="D227">
        <v>9.779983692631566</v>
      </c>
      <c r="E227">
        <v>9.9239385528816602</v>
      </c>
      <c r="F227">
        <v>9.9856419644765495</v>
      </c>
      <c r="G227">
        <v>10.016470488453457</v>
      </c>
      <c r="H227">
        <v>9.8229069062270966</v>
      </c>
      <c r="I227">
        <v>10.068117891228447</v>
      </c>
      <c r="J227">
        <v>10.030351693724926</v>
      </c>
      <c r="K227">
        <v>10.162883028185428</v>
      </c>
      <c r="L227">
        <v>9.8100428223553777</v>
      </c>
      <c r="M227">
        <v>9.7037324482229312</v>
      </c>
      <c r="N227">
        <v>10.179999405551401</v>
      </c>
      <c r="O227">
        <v>10.13182393481193</v>
      </c>
      <c r="P227">
        <v>9.7152713499251782</v>
      </c>
      <c r="Q227">
        <v>9.0254746815476121</v>
      </c>
      <c r="R227">
        <v>9.0873641873657984</v>
      </c>
      <c r="S227">
        <v>9.5863629406489608</v>
      </c>
      <c r="T227">
        <v>9.1375906143761707</v>
      </c>
    </row>
    <row r="228" spans="1:20" x14ac:dyDescent="0.25">
      <c r="A228" s="5" t="s">
        <v>246</v>
      </c>
      <c r="B228">
        <v>16.370853614849693</v>
      </c>
      <c r="C228">
        <v>16.209102544853081</v>
      </c>
      <c r="D228">
        <v>15.6989078125339</v>
      </c>
      <c r="E228">
        <v>15.358678900903593</v>
      </c>
      <c r="F228">
        <v>16.553056946070445</v>
      </c>
      <c r="G228">
        <v>17.861179241432779</v>
      </c>
      <c r="H228">
        <v>17.668534163490381</v>
      </c>
      <c r="I228">
        <v>16.370853614849693</v>
      </c>
      <c r="J228">
        <v>16.833957772697751</v>
      </c>
      <c r="K228">
        <v>16.512029677810389</v>
      </c>
      <c r="L228">
        <v>16.581071322240042</v>
      </c>
      <c r="M228">
        <v>17.269363069670558</v>
      </c>
      <c r="N228">
        <v>16.99988551226437</v>
      </c>
      <c r="O228">
        <v>16.433317701796351</v>
      </c>
      <c r="P228">
        <v>18.21348098536366</v>
      </c>
      <c r="Q228">
        <v>0</v>
      </c>
      <c r="R228">
        <v>0</v>
      </c>
      <c r="S228">
        <v>0</v>
      </c>
      <c r="T228">
        <v>0</v>
      </c>
    </row>
    <row r="229" spans="1:20" x14ac:dyDescent="0.25">
      <c r="A229" s="6" t="s">
        <v>247</v>
      </c>
      <c r="B229">
        <v>15.452596764291233</v>
      </c>
      <c r="C229">
        <v>15.986710123516636</v>
      </c>
      <c r="D229">
        <v>0</v>
      </c>
      <c r="E229">
        <v>0</v>
      </c>
      <c r="F229">
        <v>0</v>
      </c>
      <c r="G229">
        <v>14.111389606908986</v>
      </c>
      <c r="H229">
        <v>15.452596764291233</v>
      </c>
      <c r="I229">
        <v>15.75365077712833</v>
      </c>
      <c r="J229">
        <v>15.088589737535848</v>
      </c>
      <c r="K229">
        <v>14.468861818654016</v>
      </c>
      <c r="L229">
        <v>15.794065045574239</v>
      </c>
      <c r="M229">
        <v>14.83564414932564</v>
      </c>
      <c r="N229">
        <v>16.144972207433366</v>
      </c>
      <c r="O229">
        <v>15.512029677810389</v>
      </c>
      <c r="P229">
        <v>13.763648703772239</v>
      </c>
      <c r="Q229">
        <v>12.94296340336785</v>
      </c>
      <c r="R229">
        <v>14.43331770179635</v>
      </c>
      <c r="S229">
        <v>14.27621674071162</v>
      </c>
      <c r="T229">
        <v>13.586385122136509</v>
      </c>
    </row>
    <row r="230" spans="1:20" x14ac:dyDescent="0.25">
      <c r="A230" s="5" t="s">
        <v>248</v>
      </c>
      <c r="B230">
        <v>0</v>
      </c>
      <c r="C230">
        <v>15.346606068603018</v>
      </c>
      <c r="D230">
        <v>16.420606650046796</v>
      </c>
      <c r="E230">
        <v>15.913646661326911</v>
      </c>
      <c r="F230">
        <v>16.581071322240042</v>
      </c>
      <c r="G230">
        <v>14.869792371737484</v>
      </c>
      <c r="H230">
        <v>0</v>
      </c>
      <c r="I230">
        <v>16.609640474436812</v>
      </c>
      <c r="J230">
        <v>0</v>
      </c>
      <c r="K230">
        <v>15.358678900903593</v>
      </c>
      <c r="L230">
        <v>0</v>
      </c>
      <c r="M230">
        <v>0</v>
      </c>
      <c r="N230">
        <v>0</v>
      </c>
      <c r="O230">
        <v>0</v>
      </c>
      <c r="P230">
        <v>16.553056946070445</v>
      </c>
      <c r="Q230">
        <v>15.581071322240042</v>
      </c>
      <c r="R230">
        <v>15.714337853103507</v>
      </c>
      <c r="S230">
        <v>15.408006613267162</v>
      </c>
      <c r="T230">
        <v>15.581071322240042</v>
      </c>
    </row>
    <row r="231" spans="1:20" x14ac:dyDescent="0.25">
      <c r="A231" s="6" t="s">
        <v>249</v>
      </c>
      <c r="B231">
        <v>14.909200756295721</v>
      </c>
      <c r="C231">
        <v>14.602444973032609</v>
      </c>
      <c r="D231">
        <v>0</v>
      </c>
      <c r="E231">
        <v>14.729934708154525</v>
      </c>
      <c r="F231">
        <v>14.423773929125478</v>
      </c>
      <c r="G231">
        <v>14.449365643028219</v>
      </c>
      <c r="H231">
        <v>0</v>
      </c>
      <c r="I231">
        <v>14.083571662769224</v>
      </c>
      <c r="J231">
        <v>0</v>
      </c>
      <c r="K231">
        <v>14.220073662674087</v>
      </c>
      <c r="L231">
        <v>13.929316117592796</v>
      </c>
      <c r="M231">
        <v>13.751659479309239</v>
      </c>
      <c r="N231">
        <v>13.549593090766873</v>
      </c>
      <c r="O231">
        <v>14.190101582923029</v>
      </c>
      <c r="P231">
        <v>13.625962779738746</v>
      </c>
      <c r="Q231">
        <v>14.745702024012841</v>
      </c>
      <c r="R231">
        <v>13.741744010444156</v>
      </c>
      <c r="S231">
        <v>13.005047217380147</v>
      </c>
      <c r="T231">
        <v>13.417446309153467</v>
      </c>
    </row>
    <row r="232" spans="1:20" x14ac:dyDescent="0.25">
      <c r="A232" s="5" t="s">
        <v>250</v>
      </c>
      <c r="B232">
        <v>15.539251146545414</v>
      </c>
      <c r="C232">
        <v>13.823044112546006</v>
      </c>
      <c r="D232">
        <v>14.657306908067127</v>
      </c>
      <c r="E232">
        <v>14.664782028629272</v>
      </c>
      <c r="F232">
        <v>0</v>
      </c>
      <c r="G232">
        <v>0</v>
      </c>
      <c r="H232">
        <v>15.073587574196603</v>
      </c>
      <c r="I232">
        <v>14.963477817278919</v>
      </c>
      <c r="J232">
        <v>14.015091924886457</v>
      </c>
      <c r="K232">
        <v>14.61687204366789</v>
      </c>
      <c r="L232">
        <v>14.757641637324365</v>
      </c>
      <c r="M232">
        <v>15.913646661326911</v>
      </c>
      <c r="N232">
        <v>15.139754498162349</v>
      </c>
      <c r="O232">
        <v>14.798169443906975</v>
      </c>
      <c r="P232">
        <v>15.794065045574239</v>
      </c>
      <c r="Q232">
        <v>0</v>
      </c>
      <c r="R232">
        <v>0</v>
      </c>
      <c r="S232">
        <v>0</v>
      </c>
      <c r="T232">
        <v>15.785891114128539</v>
      </c>
    </row>
    <row r="233" spans="1:20" x14ac:dyDescent="0.25">
      <c r="A233" s="6" t="s">
        <v>251</v>
      </c>
      <c r="B233">
        <v>0</v>
      </c>
      <c r="C233">
        <v>14.113945311812744</v>
      </c>
      <c r="D233">
        <v>14.488625073475445</v>
      </c>
      <c r="E233">
        <v>14.389310519557256</v>
      </c>
      <c r="F233">
        <v>15.6989078125339</v>
      </c>
      <c r="G233">
        <v>14.349614818475356</v>
      </c>
      <c r="H233">
        <v>14.691254239990466</v>
      </c>
      <c r="I233">
        <v>14.27335708657238</v>
      </c>
      <c r="J233">
        <v>15.225590667641651</v>
      </c>
      <c r="K233">
        <v>14.420606650046794</v>
      </c>
      <c r="L233">
        <v>14.139754498162349</v>
      </c>
      <c r="M233">
        <v>0</v>
      </c>
      <c r="N233">
        <v>14.977372258937299</v>
      </c>
      <c r="O233">
        <v>0</v>
      </c>
      <c r="P233">
        <v>15.574016564706092</v>
      </c>
      <c r="Q233">
        <v>15.322759326648649</v>
      </c>
      <c r="R233">
        <v>14.818868436574812</v>
      </c>
      <c r="S233">
        <v>15.45908079786143</v>
      </c>
      <c r="T233">
        <v>15.370853614849695</v>
      </c>
    </row>
    <row r="234" spans="1:20" x14ac:dyDescent="0.25">
      <c r="A234" s="5" t="s">
        <v>252</v>
      </c>
      <c r="B234">
        <v>15.287712379549449</v>
      </c>
      <c r="C234">
        <v>14.931568569324176</v>
      </c>
      <c r="D234">
        <v>14.968094445349289</v>
      </c>
      <c r="E234">
        <v>15.358678900903593</v>
      </c>
      <c r="F234">
        <v>14.874118297140276</v>
      </c>
      <c r="G234">
        <v>0</v>
      </c>
      <c r="H234">
        <v>0</v>
      </c>
      <c r="I234">
        <v>0</v>
      </c>
      <c r="J234">
        <v>14.972725894080934</v>
      </c>
      <c r="K234">
        <v>14.904768509980459</v>
      </c>
      <c r="L234">
        <v>14.861179241432778</v>
      </c>
      <c r="M234">
        <v>15.852617227929352</v>
      </c>
      <c r="N234">
        <v>15.904768509980459</v>
      </c>
      <c r="O234">
        <v>15.236688376524983</v>
      </c>
      <c r="P234">
        <v>15.352629856230788</v>
      </c>
      <c r="Q234">
        <v>0</v>
      </c>
      <c r="R234">
        <v>0</v>
      </c>
      <c r="S234">
        <v>0</v>
      </c>
      <c r="T234">
        <v>15.949715916034434</v>
      </c>
    </row>
    <row r="235" spans="1:20" x14ac:dyDescent="0.25">
      <c r="A235" s="6" t="s">
        <v>253</v>
      </c>
      <c r="B235">
        <v>13.386217924501876</v>
      </c>
      <c r="C235">
        <v>0</v>
      </c>
      <c r="D235">
        <v>0</v>
      </c>
      <c r="E235">
        <v>0</v>
      </c>
      <c r="F235">
        <v>13.262584336724551</v>
      </c>
      <c r="G235">
        <v>0</v>
      </c>
      <c r="H235">
        <v>12.812752051189364</v>
      </c>
      <c r="I235">
        <v>13.313917449896843</v>
      </c>
      <c r="J235">
        <v>13.460706369910472</v>
      </c>
      <c r="K235">
        <v>0</v>
      </c>
      <c r="L235">
        <v>0</v>
      </c>
      <c r="M235">
        <v>13.544412851661193</v>
      </c>
      <c r="N235">
        <v>12.934276161687666</v>
      </c>
      <c r="O235">
        <v>0</v>
      </c>
      <c r="P235">
        <v>12.681990494264564</v>
      </c>
      <c r="Q235">
        <v>11.754448066477659</v>
      </c>
      <c r="R235">
        <v>12.342734026409916</v>
      </c>
      <c r="S235">
        <v>12.722992785106353</v>
      </c>
      <c r="T235">
        <v>11.066107472405164</v>
      </c>
    </row>
    <row r="236" spans="1:20" x14ac:dyDescent="0.25">
      <c r="A236" s="5" t="s">
        <v>254</v>
      </c>
      <c r="B236">
        <v>15.299300353824661</v>
      </c>
      <c r="C236">
        <v>16.134555591488027</v>
      </c>
      <c r="D236">
        <v>16.646166350461929</v>
      </c>
      <c r="E236">
        <v>17.888924231915681</v>
      </c>
      <c r="F236">
        <v>14.765656630388486</v>
      </c>
      <c r="G236">
        <v>14.518787043985698</v>
      </c>
      <c r="H236">
        <v>14.661039626943458</v>
      </c>
      <c r="I236">
        <v>13.977372258937299</v>
      </c>
      <c r="J236">
        <v>15.364753415313277</v>
      </c>
      <c r="K236">
        <v>15.588160747026361</v>
      </c>
      <c r="L236">
        <v>14.62050146706858</v>
      </c>
      <c r="M236">
        <v>14.737796825927495</v>
      </c>
      <c r="N236">
        <v>13.891552890476294</v>
      </c>
      <c r="O236">
        <v>14.761643567881864</v>
      </c>
      <c r="P236">
        <v>13.679849476718214</v>
      </c>
      <c r="Q236">
        <v>14.184718386226123</v>
      </c>
      <c r="R236">
        <v>13.735827276077723</v>
      </c>
      <c r="S236">
        <v>14.124213647266572</v>
      </c>
      <c r="T236">
        <v>15.922579786096922</v>
      </c>
    </row>
    <row r="237" spans="1:20" x14ac:dyDescent="0.25">
      <c r="A237" s="6" t="s">
        <v>255</v>
      </c>
      <c r="B237">
        <v>14.595285181459742</v>
      </c>
      <c r="C237">
        <v>15.029494990013431</v>
      </c>
      <c r="D237">
        <v>0</v>
      </c>
      <c r="E237">
        <v>0</v>
      </c>
      <c r="F237">
        <v>13.789972290940359</v>
      </c>
      <c r="G237">
        <v>12.614762105246928</v>
      </c>
      <c r="H237">
        <v>12.184846004560246</v>
      </c>
      <c r="I237">
        <v>13.178432064974718</v>
      </c>
      <c r="J237">
        <v>13.123827262840509</v>
      </c>
      <c r="K237">
        <v>13.570502080529854</v>
      </c>
      <c r="L237">
        <v>13.270346283360787</v>
      </c>
      <c r="M237">
        <v>12.907392971772675</v>
      </c>
      <c r="N237">
        <v>12.030744016628701</v>
      </c>
      <c r="O237">
        <v>14.6989078125339</v>
      </c>
      <c r="P237">
        <v>12.309004208167469</v>
      </c>
      <c r="Q237">
        <v>11.819368880023511</v>
      </c>
      <c r="R237">
        <v>10.830023539505126</v>
      </c>
      <c r="S237">
        <v>11.145730344211119</v>
      </c>
      <c r="T237">
        <v>11.743974005159213</v>
      </c>
    </row>
    <row r="238" spans="1:20" x14ac:dyDescent="0.25">
      <c r="A238" s="5" t="s">
        <v>256</v>
      </c>
      <c r="B238">
        <v>11.688842224049001</v>
      </c>
      <c r="C238">
        <v>12.418093615142981</v>
      </c>
      <c r="D238">
        <v>11.628765167117249</v>
      </c>
      <c r="E238">
        <v>13.714337853103505</v>
      </c>
      <c r="F238">
        <v>12.924059082647034</v>
      </c>
      <c r="G238">
        <v>11.900818680476947</v>
      </c>
      <c r="H238">
        <v>10.468634881926578</v>
      </c>
      <c r="I238">
        <v>11.153373137073435</v>
      </c>
      <c r="J238">
        <v>11.179519153392942</v>
      </c>
      <c r="K238">
        <v>11.953910846594622</v>
      </c>
      <c r="L238">
        <v>11.289477153174738</v>
      </c>
      <c r="M238">
        <v>10.835670514607502</v>
      </c>
      <c r="N238">
        <v>10.382658060152359</v>
      </c>
      <c r="O238">
        <v>10.269833218705212</v>
      </c>
      <c r="P238">
        <v>11.142719755701989</v>
      </c>
      <c r="Q238">
        <v>11.359474724243194</v>
      </c>
      <c r="R238">
        <v>12.144521435662512</v>
      </c>
      <c r="S238">
        <v>10.74221592794996</v>
      </c>
      <c r="T238">
        <v>12.272578812575659</v>
      </c>
    </row>
    <row r="239" spans="1:20" x14ac:dyDescent="0.25">
      <c r="A239" s="6" t="s">
        <v>257</v>
      </c>
      <c r="B239">
        <v>10.472794920460032</v>
      </c>
      <c r="C239">
        <v>9.7741824720180226</v>
      </c>
      <c r="D239">
        <v>10.053272373296558</v>
      </c>
      <c r="E239">
        <v>10.482079413804582</v>
      </c>
      <c r="F239">
        <v>9.9312741430575269</v>
      </c>
      <c r="G239">
        <v>9.209541499675602</v>
      </c>
      <c r="H239">
        <v>8.8720436138978798</v>
      </c>
      <c r="I239">
        <v>8.8562732782315745</v>
      </c>
      <c r="J239">
        <v>9.5735558995247541</v>
      </c>
      <c r="K239">
        <v>9.8092892911377039</v>
      </c>
      <c r="L239">
        <v>8.7313491836665147</v>
      </c>
      <c r="M239">
        <v>9.8056024084117634</v>
      </c>
      <c r="N239">
        <v>8.8992128409508773</v>
      </c>
      <c r="O239">
        <v>9.1509410453573583</v>
      </c>
      <c r="P239">
        <v>9.2352869207931736</v>
      </c>
      <c r="Q239">
        <v>9.2059526522005601</v>
      </c>
      <c r="R239">
        <v>9.1927331922023061</v>
      </c>
      <c r="S239">
        <v>9.4889754255844423</v>
      </c>
      <c r="T239">
        <v>9.3846210701526616</v>
      </c>
    </row>
    <row r="240" spans="1:20" x14ac:dyDescent="0.25">
      <c r="A240" s="5" t="s">
        <v>258</v>
      </c>
      <c r="B240">
        <v>11.661161102494839</v>
      </c>
      <c r="C240">
        <v>11.727026768323361</v>
      </c>
      <c r="D240">
        <v>10.54889483276532</v>
      </c>
      <c r="E240">
        <v>11.433054402061638</v>
      </c>
      <c r="F240">
        <v>11.373687532581592</v>
      </c>
      <c r="G240">
        <v>12.299853104978858</v>
      </c>
      <c r="H240">
        <v>12.004448412829197</v>
      </c>
      <c r="I240">
        <v>12.121581842662478</v>
      </c>
      <c r="J240">
        <v>12.7306405468448</v>
      </c>
      <c r="K240">
        <v>12.39435793567077</v>
      </c>
      <c r="L240">
        <v>11.951309010156027</v>
      </c>
      <c r="M240">
        <v>12.179395351230344</v>
      </c>
      <c r="N240">
        <v>11.808254151294134</v>
      </c>
      <c r="O240">
        <v>11.576173421814921</v>
      </c>
      <c r="P240">
        <v>13.512029677810389</v>
      </c>
      <c r="Q240">
        <v>12.158838321556994</v>
      </c>
      <c r="R240">
        <v>13.518787043985698</v>
      </c>
      <c r="S240">
        <v>0</v>
      </c>
      <c r="T240">
        <v>11.680275532253393</v>
      </c>
    </row>
    <row r="241" spans="1:20" x14ac:dyDescent="0.25">
      <c r="A241" s="6" t="s">
        <v>259</v>
      </c>
      <c r="B241">
        <v>12.64041629240298</v>
      </c>
      <c r="C241">
        <v>12.519286655175801</v>
      </c>
      <c r="D241">
        <v>12.550873748133286</v>
      </c>
      <c r="E241">
        <v>12.808047212421656</v>
      </c>
      <c r="F241">
        <v>12.376105157062788</v>
      </c>
      <c r="G241">
        <v>13.149553234319981</v>
      </c>
      <c r="H241">
        <v>12.782004338247425</v>
      </c>
      <c r="I241">
        <v>12.711770822490958</v>
      </c>
      <c r="J241">
        <v>12.706168303825448</v>
      </c>
      <c r="K241">
        <v>12.672569203151875</v>
      </c>
      <c r="L241">
        <v>12.500029178704132</v>
      </c>
      <c r="M241">
        <v>13.086040883347884</v>
      </c>
      <c r="N241">
        <v>12.75528569477525</v>
      </c>
      <c r="O241">
        <v>13.315387337992298</v>
      </c>
      <c r="P241">
        <v>12.886027307826993</v>
      </c>
      <c r="Q241">
        <v>12.91331274278801</v>
      </c>
      <c r="R241">
        <v>12.946842520285854</v>
      </c>
      <c r="S241">
        <v>13.726019658151142</v>
      </c>
      <c r="T241">
        <v>13.182771927246744</v>
      </c>
    </row>
    <row r="242" spans="1:20" x14ac:dyDescent="0.25">
      <c r="A242" s="5" t="s">
        <v>260</v>
      </c>
      <c r="B242">
        <v>14.553056946070445</v>
      </c>
      <c r="C242">
        <v>14.63144484475516</v>
      </c>
      <c r="D242">
        <v>14.058739809789287</v>
      </c>
      <c r="E242">
        <v>14.40800661326716</v>
      </c>
      <c r="F242">
        <v>14.231128851183081</v>
      </c>
      <c r="G242">
        <v>15.328684160605755</v>
      </c>
      <c r="H242">
        <v>14.918106309517611</v>
      </c>
      <c r="I242">
        <v>14.584611679945288</v>
      </c>
      <c r="J242">
        <v>14.383131944628133</v>
      </c>
      <c r="K242">
        <v>14.455835138357777</v>
      </c>
      <c r="L242">
        <v>14.512029677810389</v>
      </c>
      <c r="M242">
        <v>14.031909542946732</v>
      </c>
      <c r="N242">
        <v>14.814704811633275</v>
      </c>
      <c r="O242">
        <v>13.867634263570075</v>
      </c>
      <c r="P242">
        <v>14.749670926215785</v>
      </c>
      <c r="Q242">
        <v>13.949715916034434</v>
      </c>
      <c r="R242">
        <v>14.15809964141898</v>
      </c>
      <c r="S242">
        <v>13.965784284662087</v>
      </c>
      <c r="T242">
        <v>13.284225275246937</v>
      </c>
    </row>
    <row r="243" spans="1:20" x14ac:dyDescent="0.25">
      <c r="A243" s="6" t="s">
        <v>261</v>
      </c>
      <c r="B243">
        <v>11.527512727631844</v>
      </c>
      <c r="C243">
        <v>12.049170065270298</v>
      </c>
      <c r="D243">
        <v>10.973616255942181</v>
      </c>
      <c r="E243">
        <v>11.762781140471231</v>
      </c>
      <c r="F243">
        <v>11.819410591481146</v>
      </c>
      <c r="G243">
        <v>11.782715791500463</v>
      </c>
      <c r="H243">
        <v>11.623256845973934</v>
      </c>
      <c r="I243">
        <v>12.339163858731901</v>
      </c>
      <c r="J243">
        <v>11.803331885625502</v>
      </c>
      <c r="K243">
        <v>11.840408260156789</v>
      </c>
      <c r="L243">
        <v>11.870537668689431</v>
      </c>
      <c r="M243">
        <v>11.522495909844944</v>
      </c>
      <c r="N243">
        <v>11.895048751503847</v>
      </c>
      <c r="O243">
        <v>11.734671418166949</v>
      </c>
      <c r="P243">
        <v>12.32422345877823</v>
      </c>
      <c r="Q243">
        <v>11.717502063709647</v>
      </c>
      <c r="R243">
        <v>12.343048804414321</v>
      </c>
      <c r="S243">
        <v>12.269598125036218</v>
      </c>
      <c r="T243">
        <v>11.675643021261038</v>
      </c>
    </row>
    <row r="244" spans="1:20" x14ac:dyDescent="0.25">
      <c r="A244" s="5" t="s">
        <v>262</v>
      </c>
      <c r="B244">
        <v>14.532397475504352</v>
      </c>
      <c r="C244">
        <v>15.088589737535848</v>
      </c>
      <c r="D244">
        <v>14.247872115017659</v>
      </c>
      <c r="E244">
        <v>15.113945311812744</v>
      </c>
      <c r="F244">
        <v>15.019876987451834</v>
      </c>
      <c r="G244">
        <v>15.383131944628133</v>
      </c>
      <c r="H244">
        <v>15.253496664211537</v>
      </c>
      <c r="I244">
        <v>16.083571662769224</v>
      </c>
      <c r="J244">
        <v>15.414292876114592</v>
      </c>
      <c r="K244">
        <v>14.729934708154525</v>
      </c>
      <c r="L244">
        <v>14.745702024012841</v>
      </c>
      <c r="M244">
        <v>14.861179241432778</v>
      </c>
      <c r="N244">
        <v>14.749670926215785</v>
      </c>
      <c r="O244">
        <v>15.093625327433148</v>
      </c>
      <c r="P244">
        <v>15.242269408788282</v>
      </c>
      <c r="Q244">
        <v>14.59886063568357</v>
      </c>
      <c r="R244">
        <v>15.581071322240042</v>
      </c>
      <c r="S244">
        <v>14.310982158872298</v>
      </c>
      <c r="T244">
        <v>13.998468094392807</v>
      </c>
    </row>
    <row r="245" spans="1:20" x14ac:dyDescent="0.25">
      <c r="A245" s="6" t="s">
        <v>263</v>
      </c>
      <c r="B245">
        <v>13.989054063984934</v>
      </c>
      <c r="C245">
        <v>15.192800732523983</v>
      </c>
      <c r="D245">
        <v>14.414292876114592</v>
      </c>
      <c r="E245">
        <v>15.352629856230788</v>
      </c>
      <c r="F245">
        <v>14.261974818135842</v>
      </c>
      <c r="G245">
        <v>15.389310519557258</v>
      </c>
      <c r="H245">
        <v>14.584611679945288</v>
      </c>
      <c r="I245">
        <v>14.991401818841357</v>
      </c>
      <c r="J245">
        <v>14.426948176920622</v>
      </c>
      <c r="K245">
        <v>14.584611679945288</v>
      </c>
      <c r="L245">
        <v>14.710464843956299</v>
      </c>
      <c r="M245">
        <v>14.190101582923029</v>
      </c>
      <c r="N245">
        <v>14.749670926215785</v>
      </c>
      <c r="O245">
        <v>14.563498692792091</v>
      </c>
      <c r="P245">
        <v>15.010322680738586</v>
      </c>
      <c r="Q245">
        <v>14.781821449819493</v>
      </c>
      <c r="R245">
        <v>15.83564414932564</v>
      </c>
      <c r="S245">
        <v>16.134555591488027</v>
      </c>
      <c r="T245">
        <v>15.27621674071162</v>
      </c>
    </row>
    <row r="246" spans="1:20" x14ac:dyDescent="0.25">
      <c r="A246" s="5" t="s">
        <v>264</v>
      </c>
      <c r="B246">
        <v>12.179609502216964</v>
      </c>
      <c r="C246">
        <v>11.74771487734678</v>
      </c>
      <c r="D246">
        <v>12.022161464687487</v>
      </c>
      <c r="E246">
        <v>12.40528061489821</v>
      </c>
      <c r="F246">
        <v>12.120926247470894</v>
      </c>
      <c r="G246">
        <v>11.888120162295751</v>
      </c>
      <c r="H246">
        <v>12.342614129043005</v>
      </c>
      <c r="I246">
        <v>11.668862940054439</v>
      </c>
      <c r="J246">
        <v>12.10346382794442</v>
      </c>
      <c r="K246">
        <v>12.169286202107889</v>
      </c>
      <c r="L246">
        <v>12.012902076606224</v>
      </c>
      <c r="M246">
        <v>12.339141432781304</v>
      </c>
      <c r="N246">
        <v>12.192382033490777</v>
      </c>
      <c r="O246">
        <v>11.840064421905836</v>
      </c>
      <c r="P246">
        <v>12.374840283927556</v>
      </c>
      <c r="Q246">
        <v>13.375445751482999</v>
      </c>
      <c r="R246">
        <v>13.340607327981576</v>
      </c>
      <c r="S246">
        <v>13.150694207581553</v>
      </c>
      <c r="T246">
        <v>13.069042788628714</v>
      </c>
    </row>
    <row r="247" spans="1:20" x14ac:dyDescent="0.25">
      <c r="A247" s="6" t="s">
        <v>265</v>
      </c>
      <c r="B247">
        <v>11.928584827321878</v>
      </c>
      <c r="C247">
        <v>12.158495315885297</v>
      </c>
      <c r="D247">
        <v>12.378891787702319</v>
      </c>
      <c r="E247">
        <v>11.993847543562381</v>
      </c>
      <c r="F247">
        <v>12.043921454484641</v>
      </c>
      <c r="G247">
        <v>12.788154741440794</v>
      </c>
      <c r="H247">
        <v>11.201370183696575</v>
      </c>
      <c r="I247">
        <v>12.046226050422707</v>
      </c>
      <c r="J247">
        <v>13.056943714326778</v>
      </c>
      <c r="K247">
        <v>12.456410710167109</v>
      </c>
      <c r="L247">
        <v>12.810604990236085</v>
      </c>
      <c r="M247">
        <v>12.438161405658587</v>
      </c>
      <c r="N247">
        <v>12.646194094864104</v>
      </c>
      <c r="O247">
        <v>12.993694564239233</v>
      </c>
      <c r="P247">
        <v>12.611020711600784</v>
      </c>
      <c r="Q247">
        <v>12.81722236864257</v>
      </c>
      <c r="R247">
        <v>12.89641757159743</v>
      </c>
      <c r="S247">
        <v>12.328335403036572</v>
      </c>
      <c r="T247">
        <v>12.679915743760358</v>
      </c>
    </row>
    <row r="248" spans="1:20" x14ac:dyDescent="0.25">
      <c r="A248" s="5" t="s">
        <v>266</v>
      </c>
      <c r="B248">
        <v>11.352192284978452</v>
      </c>
      <c r="C248">
        <v>10.789387464087996</v>
      </c>
      <c r="D248">
        <v>10.758541104318137</v>
      </c>
      <c r="E248">
        <v>10.79375768590808</v>
      </c>
      <c r="F248">
        <v>10.73517545509195</v>
      </c>
      <c r="G248">
        <v>11.200697692005164</v>
      </c>
      <c r="H248">
        <v>10.081056653930093</v>
      </c>
      <c r="I248">
        <v>11.067218350658546</v>
      </c>
      <c r="J248">
        <v>10.838607985756354</v>
      </c>
      <c r="K248">
        <v>11.059832708154195</v>
      </c>
      <c r="L248">
        <v>10.839054540358948</v>
      </c>
      <c r="M248">
        <v>10.480613043251639</v>
      </c>
      <c r="N248">
        <v>10.959447478192915</v>
      </c>
      <c r="O248">
        <v>10.929029182606502</v>
      </c>
      <c r="P248">
        <v>11.106717995212945</v>
      </c>
      <c r="Q248">
        <v>11.387454167114701</v>
      </c>
      <c r="R248">
        <v>11.545861444666242</v>
      </c>
      <c r="S248">
        <v>11.649884227020925</v>
      </c>
      <c r="T248">
        <v>11.107462654729263</v>
      </c>
    </row>
    <row r="249" spans="1:20" x14ac:dyDescent="0.25">
      <c r="A249" s="6" t="s">
        <v>267</v>
      </c>
      <c r="B249">
        <v>9.6031999386969602</v>
      </c>
      <c r="C249">
        <v>9.2615895722152075</v>
      </c>
      <c r="D249">
        <v>9.3633787164210904</v>
      </c>
      <c r="E249">
        <v>9.0032819025378821</v>
      </c>
      <c r="F249">
        <v>9.0350635973150979</v>
      </c>
      <c r="G249">
        <v>9.9008959160895387</v>
      </c>
      <c r="H249">
        <v>9.8233917602995238</v>
      </c>
      <c r="I249">
        <v>9.7137925825303792</v>
      </c>
      <c r="J249">
        <v>9.3647096633581146</v>
      </c>
      <c r="K249">
        <v>9.4998432440683107</v>
      </c>
      <c r="L249">
        <v>9.4952578314792699</v>
      </c>
      <c r="M249">
        <v>9.6122249867661083</v>
      </c>
      <c r="N249">
        <v>10.312661882093808</v>
      </c>
      <c r="O249">
        <v>9.630100954161966</v>
      </c>
      <c r="P249">
        <v>10.526639908760808</v>
      </c>
      <c r="Q249">
        <v>10.634881743960733</v>
      </c>
      <c r="R249">
        <v>10.147270719107125</v>
      </c>
      <c r="S249">
        <v>10.921482500741016</v>
      </c>
      <c r="T249">
        <v>10.467400644231459</v>
      </c>
    </row>
    <row r="250" spans="1:20" x14ac:dyDescent="0.25">
      <c r="A250" s="5" t="s">
        <v>268</v>
      </c>
      <c r="B250">
        <v>12.112513559333113</v>
      </c>
      <c r="C250">
        <v>12.55704199422766</v>
      </c>
      <c r="D250">
        <v>12.520049107357309</v>
      </c>
      <c r="E250">
        <v>12.593331367600666</v>
      </c>
      <c r="F250">
        <v>11.860015035612353</v>
      </c>
      <c r="G250">
        <v>11.411688612017993</v>
      </c>
      <c r="H250">
        <v>11.207041073762431</v>
      </c>
      <c r="I250">
        <v>11.661997692668807</v>
      </c>
      <c r="J250">
        <v>11.73992202967227</v>
      </c>
      <c r="K250">
        <v>12.118165734415632</v>
      </c>
      <c r="L250">
        <v>11.683489201236915</v>
      </c>
      <c r="M250">
        <v>11.418982160211833</v>
      </c>
      <c r="N250">
        <v>10.91955028526478</v>
      </c>
      <c r="O250">
        <v>11.994512603755576</v>
      </c>
      <c r="P250">
        <v>11.035572278330351</v>
      </c>
      <c r="Q250">
        <v>10.613294665980559</v>
      </c>
      <c r="R250">
        <v>10.940310343872321</v>
      </c>
      <c r="S250">
        <v>10.777271949561642</v>
      </c>
      <c r="T250">
        <v>10.581486864106612</v>
      </c>
    </row>
    <row r="251" spans="1:20" x14ac:dyDescent="0.25">
      <c r="A251" s="6" t="s">
        <v>269</v>
      </c>
      <c r="B251">
        <v>14.556529137977249</v>
      </c>
      <c r="C251">
        <v>13.060045226784759</v>
      </c>
      <c r="D251">
        <v>12.986522772689685</v>
      </c>
      <c r="E251">
        <v>12.970500943056384</v>
      </c>
      <c r="F251">
        <v>14.267654727208196</v>
      </c>
      <c r="G251">
        <v>13.865479378866404</v>
      </c>
      <c r="H251">
        <v>14.108838421379655</v>
      </c>
      <c r="I251">
        <v>14.45908079786143</v>
      </c>
      <c r="J251">
        <v>14.785891114128539</v>
      </c>
      <c r="K251">
        <v>13.420606650046794</v>
      </c>
      <c r="L251">
        <v>13.266090521697931</v>
      </c>
      <c r="M251">
        <v>15.293494732143458</v>
      </c>
      <c r="N251">
        <v>16.553056946070445</v>
      </c>
      <c r="O251">
        <v>14.7066022043239</v>
      </c>
      <c r="P251">
        <v>15.986710123516636</v>
      </c>
      <c r="Q251">
        <v>15.761643567881864</v>
      </c>
      <c r="R251">
        <v>16.124213647266568</v>
      </c>
      <c r="S251">
        <v>17.103749544706854</v>
      </c>
      <c r="T251">
        <v>15.769680886947281</v>
      </c>
    </row>
    <row r="252" spans="1:20" x14ac:dyDescent="0.25">
      <c r="A252" s="5" t="s">
        <v>270</v>
      </c>
      <c r="B252">
        <v>13.825136491507246</v>
      </c>
      <c r="C252">
        <v>13.289155796419118</v>
      </c>
      <c r="D252">
        <v>12.401895959456731</v>
      </c>
      <c r="E252">
        <v>12.877957590690109</v>
      </c>
      <c r="F252">
        <v>13.457457055381768</v>
      </c>
      <c r="G252">
        <v>13.624140044131927</v>
      </c>
      <c r="H252">
        <v>13.556529137977249</v>
      </c>
      <c r="I252">
        <v>13.689347174225803</v>
      </c>
      <c r="J252">
        <v>13.534107843269455</v>
      </c>
      <c r="K252">
        <v>13.395515669083965</v>
      </c>
      <c r="L252">
        <v>13.911421996212397</v>
      </c>
      <c r="M252">
        <v>13.593500771781558</v>
      </c>
      <c r="N252">
        <v>12.915729831048282</v>
      </c>
      <c r="O252">
        <v>12.654243968834345</v>
      </c>
      <c r="P252">
        <v>14.340607327981576</v>
      </c>
      <c r="Q252">
        <v>14.358678900903593</v>
      </c>
      <c r="R252">
        <v>14.150208855799516</v>
      </c>
      <c r="S252">
        <v>12.626136059460407</v>
      </c>
      <c r="T252">
        <v>13.909200756295721</v>
      </c>
    </row>
    <row r="253" spans="1:20" x14ac:dyDescent="0.25">
      <c r="A253" s="6" t="s">
        <v>271</v>
      </c>
      <c r="B253">
        <v>13.852617227929352</v>
      </c>
      <c r="C253">
        <v>12.793194363200683</v>
      </c>
      <c r="D253">
        <v>12.53233764934383</v>
      </c>
      <c r="E253">
        <v>12.331990411711963</v>
      </c>
      <c r="F253">
        <v>11.646073872974576</v>
      </c>
      <c r="G253">
        <v>12.560122966203322</v>
      </c>
      <c r="H253">
        <v>12.64670283681731</v>
      </c>
      <c r="I253">
        <v>12.851731821510819</v>
      </c>
      <c r="J253">
        <v>12.310740263825586</v>
      </c>
      <c r="K253">
        <v>13.008252970215871</v>
      </c>
      <c r="L253">
        <v>12.994459623121569</v>
      </c>
      <c r="M253">
        <v>12.508377006358817</v>
      </c>
      <c r="N253">
        <v>12.091816787199607</v>
      </c>
      <c r="O253">
        <v>12.899214218587707</v>
      </c>
      <c r="P253">
        <v>13.542690230512186</v>
      </c>
      <c r="Q253">
        <v>12.371579729903946</v>
      </c>
      <c r="R253">
        <v>12.56906361306042</v>
      </c>
      <c r="S253">
        <v>11.398612701175372</v>
      </c>
      <c r="T253">
        <v>12.474319036888586</v>
      </c>
    </row>
    <row r="254" spans="1:20" x14ac:dyDescent="0.25">
      <c r="A254" s="5" t="s">
        <v>272</v>
      </c>
      <c r="B254">
        <v>6.4528211919896616</v>
      </c>
      <c r="C254">
        <v>5.9035270673533784</v>
      </c>
      <c r="D254">
        <v>6.0817293567735629</v>
      </c>
      <c r="E254">
        <v>6.3099253119405851</v>
      </c>
      <c r="F254">
        <v>6.2913526726034803</v>
      </c>
      <c r="G254">
        <v>6.4448931578705508</v>
      </c>
      <c r="H254">
        <v>6.8540201224168325</v>
      </c>
      <c r="I254">
        <v>6.5840763349382287</v>
      </c>
      <c r="J254">
        <v>6.3831931178902588</v>
      </c>
      <c r="K254">
        <v>6.4888760382168789</v>
      </c>
      <c r="L254">
        <v>6.0578745446133127</v>
      </c>
      <c r="M254">
        <v>6.4160792626084788</v>
      </c>
      <c r="N254">
        <v>5.9420422601522214</v>
      </c>
      <c r="O254">
        <v>6.3902577441884585</v>
      </c>
      <c r="P254">
        <v>7.1101228178840534</v>
      </c>
      <c r="Q254">
        <v>7.2941113770389068</v>
      </c>
      <c r="R254">
        <v>6.972858181016389</v>
      </c>
      <c r="S254">
        <v>6.9113450633273548</v>
      </c>
      <c r="T254">
        <v>7.0989032027978132</v>
      </c>
    </row>
    <row r="255" spans="1:20" x14ac:dyDescent="0.25">
      <c r="A255" s="6" t="s">
        <v>273</v>
      </c>
      <c r="B255">
        <v>11.863580363020622</v>
      </c>
      <c r="C255">
        <v>12.221885051238949</v>
      </c>
      <c r="D255">
        <v>10.402397684608299</v>
      </c>
      <c r="E255">
        <v>10.332431198183759</v>
      </c>
      <c r="F255">
        <v>11.782939463574396</v>
      </c>
      <c r="G255">
        <v>11.609234773505582</v>
      </c>
      <c r="H255">
        <v>12.967331683299857</v>
      </c>
      <c r="I255">
        <v>0</v>
      </c>
      <c r="J255">
        <v>12.755146056281937</v>
      </c>
      <c r="K255">
        <v>10.909134171907308</v>
      </c>
      <c r="L255">
        <v>11.319164462411972</v>
      </c>
      <c r="M255">
        <v>8.5451067876465814</v>
      </c>
      <c r="N255">
        <v>9.6865840212466328</v>
      </c>
      <c r="O255">
        <v>9.5019107642256717</v>
      </c>
      <c r="P255">
        <v>0</v>
      </c>
      <c r="Q255">
        <v>0</v>
      </c>
      <c r="R255">
        <v>12.204635201331095</v>
      </c>
      <c r="S255">
        <v>10.083293044148327</v>
      </c>
      <c r="T255">
        <v>10.314676092622582</v>
      </c>
    </row>
    <row r="256" spans="1:20" x14ac:dyDescent="0.25">
      <c r="A256" s="5" t="s">
        <v>274</v>
      </c>
      <c r="B256">
        <v>11.995932031488531</v>
      </c>
      <c r="C256">
        <v>11.665812893296847</v>
      </c>
      <c r="D256">
        <v>12.287690739286138</v>
      </c>
      <c r="E256">
        <v>12.672201914665328</v>
      </c>
      <c r="F256">
        <v>11.066314730175208</v>
      </c>
      <c r="G256">
        <v>9.2776567549756273</v>
      </c>
      <c r="H256">
        <v>11.307251959357535</v>
      </c>
      <c r="I256">
        <v>11.176527455033703</v>
      </c>
      <c r="J256">
        <v>11.193986580145987</v>
      </c>
      <c r="K256">
        <v>11.099935132786847</v>
      </c>
      <c r="L256">
        <v>11.040201029746246</v>
      </c>
      <c r="M256">
        <v>11.028445919448897</v>
      </c>
      <c r="N256">
        <v>11.876351219277895</v>
      </c>
      <c r="O256">
        <v>11.925730719122768</v>
      </c>
      <c r="P256">
        <v>10.167440074963022</v>
      </c>
      <c r="Q256">
        <v>9.5559817130086966</v>
      </c>
      <c r="R256">
        <v>9.666250061717701</v>
      </c>
      <c r="S256">
        <v>8.4265927107870784</v>
      </c>
      <c r="T256">
        <v>9.317343692098305</v>
      </c>
    </row>
    <row r="257" spans="1:20" x14ac:dyDescent="0.25">
      <c r="A257" s="6" t="s">
        <v>275</v>
      </c>
      <c r="B257">
        <v>14.958875915319911</v>
      </c>
      <c r="C257">
        <v>0</v>
      </c>
      <c r="D257">
        <v>0</v>
      </c>
      <c r="E257">
        <v>15.574016564706092</v>
      </c>
      <c r="F257">
        <v>15.214577674919234</v>
      </c>
      <c r="G257">
        <v>13.003683964322072</v>
      </c>
      <c r="H257">
        <v>14.182034301654912</v>
      </c>
      <c r="I257">
        <v>14.43331770179635</v>
      </c>
      <c r="J257">
        <v>14.468861818654016</v>
      </c>
      <c r="K257">
        <v>14.839868735187364</v>
      </c>
      <c r="L257">
        <v>15.083571662769224</v>
      </c>
      <c r="M257">
        <v>0</v>
      </c>
      <c r="N257">
        <v>15.334633426936943</v>
      </c>
      <c r="O257">
        <v>0</v>
      </c>
      <c r="P257">
        <v>13.582840415093099</v>
      </c>
      <c r="Q257">
        <v>12.9591171504226</v>
      </c>
      <c r="R257">
        <v>12.672493854300368</v>
      </c>
      <c r="S257">
        <v>11.799721895347712</v>
      </c>
      <c r="T257">
        <v>12.686148967927279</v>
      </c>
    </row>
    <row r="258" spans="1:20" x14ac:dyDescent="0.25">
      <c r="A258" s="5" t="s">
        <v>276</v>
      </c>
      <c r="B258">
        <v>0</v>
      </c>
      <c r="C258">
        <v>14.078570981710859</v>
      </c>
      <c r="D258">
        <v>14.106291739269308</v>
      </c>
      <c r="E258">
        <v>13.759641214970715</v>
      </c>
      <c r="F258">
        <v>0</v>
      </c>
      <c r="G258">
        <v>14.635111161952929</v>
      </c>
      <c r="H258">
        <v>14.679849476718214</v>
      </c>
      <c r="I258">
        <v>14.566996137028319</v>
      </c>
      <c r="J258">
        <v>14.683641055880589</v>
      </c>
      <c r="K258">
        <v>14.293494732143458</v>
      </c>
      <c r="L258">
        <v>14.029494990013431</v>
      </c>
      <c r="M258">
        <v>14.794065045574239</v>
      </c>
      <c r="N258">
        <v>15.602444973032609</v>
      </c>
      <c r="O258">
        <v>14.977372258937299</v>
      </c>
      <c r="P258">
        <v>0</v>
      </c>
      <c r="Q258">
        <v>14.714337853103507</v>
      </c>
      <c r="R258">
        <v>15.103749544706854</v>
      </c>
      <c r="S258">
        <v>15.134555591488031</v>
      </c>
      <c r="T258">
        <v>15.225590667641651</v>
      </c>
    </row>
    <row r="259" spans="1:20" x14ac:dyDescent="0.25">
      <c r="A259" s="6" t="s">
        <v>277</v>
      </c>
      <c r="B259">
        <v>10.872294419624614</v>
      </c>
      <c r="C259">
        <v>9.5849296307317982</v>
      </c>
      <c r="D259">
        <v>9.3707676517370242</v>
      </c>
      <c r="E259">
        <v>9.4416212890707083</v>
      </c>
      <c r="F259">
        <v>9.7350229960797563</v>
      </c>
      <c r="G259">
        <v>10.206749497414389</v>
      </c>
      <c r="H259">
        <v>9.2209274180324989</v>
      </c>
      <c r="I259">
        <v>9.9499342200711585</v>
      </c>
      <c r="J259">
        <v>10.164373955088232</v>
      </c>
      <c r="K259">
        <v>9.3836214033689984</v>
      </c>
      <c r="L259">
        <v>9.6476780415525436</v>
      </c>
      <c r="M259">
        <v>10.00735731392084</v>
      </c>
      <c r="N259">
        <v>10.729513330249807</v>
      </c>
      <c r="O259">
        <v>10.193839563199212</v>
      </c>
      <c r="P259">
        <v>11.26034243547228</v>
      </c>
      <c r="Q259">
        <v>11.436645000805713</v>
      </c>
      <c r="R259">
        <v>9.6342785487292044</v>
      </c>
      <c r="S259">
        <v>12.347929145560128</v>
      </c>
      <c r="T259">
        <v>10.428068766196704</v>
      </c>
    </row>
    <row r="260" spans="1:20" x14ac:dyDescent="0.25">
      <c r="A260" s="5" t="s">
        <v>278</v>
      </c>
      <c r="B260">
        <v>13.422189420409488</v>
      </c>
      <c r="C260">
        <v>12.692619339268493</v>
      </c>
      <c r="D260">
        <v>12.584062355224471</v>
      </c>
      <c r="E260">
        <v>13.029736263538686</v>
      </c>
      <c r="F260">
        <v>12.958428014261184</v>
      </c>
      <c r="G260">
        <v>13.110100694353786</v>
      </c>
      <c r="H260">
        <v>12.277154510954485</v>
      </c>
      <c r="I260">
        <v>13.242199512465948</v>
      </c>
      <c r="J260">
        <v>13.381591426552351</v>
      </c>
      <c r="K260">
        <v>12.530970870232311</v>
      </c>
      <c r="L260">
        <v>12.448575120757788</v>
      </c>
      <c r="M260">
        <v>12.863747032033775</v>
      </c>
      <c r="N260">
        <v>13.581071322240041</v>
      </c>
      <c r="O260">
        <v>13.217419234533576</v>
      </c>
      <c r="P260">
        <v>13.710464843956299</v>
      </c>
      <c r="Q260">
        <v>13.100970970255132</v>
      </c>
      <c r="R260">
        <v>11.101408335930897</v>
      </c>
      <c r="S260">
        <v>13.829330375393436</v>
      </c>
      <c r="T260">
        <v>12.964296191104163</v>
      </c>
    </row>
    <row r="261" spans="1:20" x14ac:dyDescent="0.25">
      <c r="A261" s="6" t="s">
        <v>279</v>
      </c>
      <c r="B261">
        <v>13.568748043789912</v>
      </c>
      <c r="C261">
        <v>13.488625073475445</v>
      </c>
      <c r="D261">
        <v>14.316858725208965</v>
      </c>
      <c r="E261">
        <v>13.865479378866404</v>
      </c>
      <c r="F261">
        <v>13.449365643028219</v>
      </c>
      <c r="G261">
        <v>14.163384244547249</v>
      </c>
      <c r="H261">
        <v>13.006732317847334</v>
      </c>
      <c r="I261">
        <v>13.88280925740432</v>
      </c>
      <c r="J261">
        <v>14.570502080529854</v>
      </c>
      <c r="K261">
        <v>14.093625327433148</v>
      </c>
      <c r="L261">
        <v>14.108838421379655</v>
      </c>
      <c r="M261">
        <v>14.231128851183081</v>
      </c>
      <c r="N261">
        <v>14.664782028629272</v>
      </c>
      <c r="O261">
        <v>13.975047205991057</v>
      </c>
      <c r="P261">
        <v>14.794065045574239</v>
      </c>
      <c r="Q261">
        <v>14.039177543410771</v>
      </c>
      <c r="R261">
        <v>11.677012317414684</v>
      </c>
      <c r="S261">
        <v>14.259143227352677</v>
      </c>
      <c r="T261">
        <v>13.414292876114592</v>
      </c>
    </row>
    <row r="262" spans="1:20" x14ac:dyDescent="0.25">
      <c r="A262" s="5" t="s">
        <v>280</v>
      </c>
      <c r="B262">
        <v>13.414292876114592</v>
      </c>
      <c r="C262">
        <v>14.083571662769224</v>
      </c>
      <c r="D262">
        <v>13.167227722653996</v>
      </c>
      <c r="E262">
        <v>13.861179241432778</v>
      </c>
      <c r="F262">
        <v>13.854752972273344</v>
      </c>
      <c r="G262">
        <v>13.735827276077723</v>
      </c>
      <c r="H262">
        <v>13.404873723782199</v>
      </c>
      <c r="I262">
        <v>13.574016564706092</v>
      </c>
      <c r="J262">
        <v>13.535820241145142</v>
      </c>
      <c r="K262">
        <v>13.7085322314223</v>
      </c>
      <c r="L262">
        <v>13.360195133350974</v>
      </c>
      <c r="M262">
        <v>13.743721659884601</v>
      </c>
      <c r="N262">
        <v>13.415868731040131</v>
      </c>
      <c r="O262">
        <v>13.661039626943458</v>
      </c>
      <c r="P262">
        <v>14.144972207433367</v>
      </c>
      <c r="Q262">
        <v>13.319806009259304</v>
      </c>
      <c r="R262">
        <v>10.701336730018095</v>
      </c>
      <c r="S262">
        <v>13.397071135586007</v>
      </c>
      <c r="T262">
        <v>13.105986439291259</v>
      </c>
    </row>
    <row r="263" spans="1:20" x14ac:dyDescent="0.25">
      <c r="A263" s="6" t="s">
        <v>281</v>
      </c>
      <c r="B263">
        <v>0</v>
      </c>
      <c r="C263">
        <v>16.88717444996572</v>
      </c>
      <c r="D263">
        <v>16.566996137028319</v>
      </c>
      <c r="E263">
        <v>16.287712379549451</v>
      </c>
      <c r="F263">
        <v>0</v>
      </c>
      <c r="G263">
        <v>0</v>
      </c>
      <c r="H263">
        <v>0</v>
      </c>
      <c r="I263">
        <v>17.6989078125339</v>
      </c>
      <c r="J263">
        <v>0</v>
      </c>
      <c r="K263">
        <v>0</v>
      </c>
      <c r="L263">
        <v>17.583902913023206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5">
      <c r="A264" s="5" t="s">
        <v>282</v>
      </c>
      <c r="B264">
        <v>14.15809964141898</v>
      </c>
      <c r="C264">
        <v>13.646166350461927</v>
      </c>
      <c r="D264">
        <v>13.7085322314223</v>
      </c>
      <c r="E264">
        <v>13.622319608507558</v>
      </c>
      <c r="F264">
        <v>13.316858725208968</v>
      </c>
      <c r="G264">
        <v>13.582840415093099</v>
      </c>
      <c r="H264">
        <v>13.783854846972021</v>
      </c>
      <c r="I264">
        <v>13.895944659593452</v>
      </c>
      <c r="J264">
        <v>13.777763233245141</v>
      </c>
      <c r="K264">
        <v>14.134555591488031</v>
      </c>
      <c r="L264">
        <v>14.203648114760977</v>
      </c>
      <c r="M264">
        <v>13.949715916034434</v>
      </c>
      <c r="N264">
        <v>14.726019658151142</v>
      </c>
      <c r="O264">
        <v>14.4397154729945</v>
      </c>
      <c r="P264">
        <v>15.078570981710859</v>
      </c>
      <c r="Q264">
        <v>14.111389606908986</v>
      </c>
      <c r="R264">
        <v>14.62050146706858</v>
      </c>
      <c r="S264">
        <v>14.878457232864612</v>
      </c>
      <c r="T264">
        <v>13.75365077712833</v>
      </c>
    </row>
    <row r="265" spans="1:20" x14ac:dyDescent="0.25">
      <c r="A265" s="6" t="s">
        <v>283</v>
      </c>
      <c r="B265">
        <v>0</v>
      </c>
      <c r="C265">
        <v>18.536505769806599</v>
      </c>
      <c r="D265">
        <v>17.807240434321972</v>
      </c>
      <c r="E265">
        <v>17.745702024012839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18.807240434321972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 s="5" t="s">
        <v>284</v>
      </c>
      <c r="B266">
        <v>11.630666951221079</v>
      </c>
      <c r="C266">
        <v>12.018577469813229</v>
      </c>
      <c r="D266">
        <v>11.534411645562644</v>
      </c>
      <c r="E266">
        <v>11.753850058161992</v>
      </c>
      <c r="F266">
        <v>11.560841935692642</v>
      </c>
      <c r="G266">
        <v>12.146207651857683</v>
      </c>
      <c r="H266">
        <v>11.581570871154758</v>
      </c>
      <c r="I266">
        <v>11.536334357100296</v>
      </c>
      <c r="J266">
        <v>11.626172542053949</v>
      </c>
      <c r="K266">
        <v>11.565163293209581</v>
      </c>
      <c r="L266">
        <v>11.653732561139019</v>
      </c>
      <c r="M266">
        <v>11.912116835623262</v>
      </c>
      <c r="N266">
        <v>12.177957347973662</v>
      </c>
      <c r="O266">
        <v>11.400577079087542</v>
      </c>
      <c r="P266">
        <v>12.203124212170788</v>
      </c>
      <c r="Q266">
        <v>12.408634008380719</v>
      </c>
      <c r="R266">
        <v>12.243087447448982</v>
      </c>
      <c r="S266">
        <v>12.913568740087989</v>
      </c>
      <c r="T266">
        <v>12.479640410179941</v>
      </c>
    </row>
    <row r="267" spans="1:20" x14ac:dyDescent="0.25">
      <c r="A267" s="6" t="s">
        <v>285</v>
      </c>
      <c r="B267">
        <v>12.903728905085661</v>
      </c>
      <c r="C267">
        <v>12.912100155557349</v>
      </c>
      <c r="D267">
        <v>13.495273449484813</v>
      </c>
      <c r="E267">
        <v>13.146083405897794</v>
      </c>
      <c r="F267">
        <v>12.264783578210212</v>
      </c>
      <c r="G267">
        <v>10.955302323376664</v>
      </c>
      <c r="H267">
        <v>11.935948380176434</v>
      </c>
      <c r="I267">
        <v>12.697124730850607</v>
      </c>
      <c r="J267">
        <v>12.709517540328891</v>
      </c>
      <c r="K267">
        <v>12.04709275023769</v>
      </c>
      <c r="L267">
        <v>12.195342545897617</v>
      </c>
      <c r="M267">
        <v>12.530748890878915</v>
      </c>
      <c r="N267">
        <v>13.180332496572984</v>
      </c>
      <c r="O267">
        <v>13.436513040956156</v>
      </c>
      <c r="P267">
        <v>11.365069229646524</v>
      </c>
      <c r="Q267">
        <v>10.366512200837793</v>
      </c>
      <c r="R267">
        <v>10.533579550809545</v>
      </c>
      <c r="S267">
        <v>9.6361267746855539</v>
      </c>
      <c r="T267">
        <v>10.460783630169086</v>
      </c>
    </row>
    <row r="268" spans="1:20" x14ac:dyDescent="0.25">
      <c r="A268" s="5" t="s">
        <v>286</v>
      </c>
      <c r="B268">
        <v>11.937509359101703</v>
      </c>
      <c r="C268">
        <v>11.649434609532163</v>
      </c>
      <c r="D268">
        <v>11.783625946666239</v>
      </c>
      <c r="E268">
        <v>11.812492574596694</v>
      </c>
      <c r="F268">
        <v>11.587028533673204</v>
      </c>
      <c r="G268">
        <v>11.720682967755447</v>
      </c>
      <c r="H268">
        <v>12.258457403043254</v>
      </c>
      <c r="I268">
        <v>11.714090638240311</v>
      </c>
      <c r="J268">
        <v>11.587974203693875</v>
      </c>
      <c r="K268">
        <v>12.148072626418273</v>
      </c>
      <c r="L268">
        <v>12.077373393063597</v>
      </c>
      <c r="M268">
        <v>11.749407648459178</v>
      </c>
      <c r="N268">
        <v>11.246304667492874</v>
      </c>
      <c r="O268">
        <v>11.746613905157849</v>
      </c>
      <c r="P268">
        <v>11.566628506738216</v>
      </c>
      <c r="Q268">
        <v>11.429767203502028</v>
      </c>
      <c r="R268">
        <v>11.454474135769985</v>
      </c>
      <c r="S268">
        <v>11.531799325509926</v>
      </c>
      <c r="T268">
        <v>11.486404700961883</v>
      </c>
    </row>
    <row r="269" spans="1:20" x14ac:dyDescent="0.25">
      <c r="A269" s="6" t="s">
        <v>287</v>
      </c>
      <c r="B269">
        <v>13.737796825927495</v>
      </c>
      <c r="C269">
        <v>12.267789897276799</v>
      </c>
      <c r="D269">
        <v>12.123827262840509</v>
      </c>
      <c r="E269">
        <v>12.846685790323356</v>
      </c>
      <c r="F269">
        <v>13.825136491507246</v>
      </c>
      <c r="G269">
        <v>13.058136761296588</v>
      </c>
      <c r="H269">
        <v>14.624140044131927</v>
      </c>
      <c r="I269">
        <v>13.863327708011353</v>
      </c>
      <c r="J269">
        <v>13.947434974783196</v>
      </c>
      <c r="K269">
        <v>13.070953331059782</v>
      </c>
      <c r="L269">
        <v>13.393961877828884</v>
      </c>
      <c r="M269">
        <v>13.607838231802827</v>
      </c>
      <c r="N269">
        <v>13.952000469228988</v>
      </c>
      <c r="O269">
        <v>13.7397690682591</v>
      </c>
      <c r="P269">
        <v>14.891552890476294</v>
      </c>
      <c r="Q269">
        <v>14.810553168362809</v>
      </c>
      <c r="R269">
        <v>14.900349838713455</v>
      </c>
      <c r="S269">
        <v>15.044043298582586</v>
      </c>
      <c r="T269">
        <v>14.319806009259304</v>
      </c>
    </row>
    <row r="270" spans="1:20" x14ac:dyDescent="0.25">
      <c r="A270" s="5" t="s">
        <v>288</v>
      </c>
      <c r="B270">
        <v>14.0860785183798</v>
      </c>
      <c r="C270">
        <v>14.007943957955854</v>
      </c>
      <c r="D270">
        <v>13.683641055880589</v>
      </c>
      <c r="E270">
        <v>13.818868436574812</v>
      </c>
      <c r="F270">
        <v>12.973004254381676</v>
      </c>
      <c r="G270">
        <v>13.426948176920622</v>
      </c>
      <c r="H270">
        <v>13.589938559994264</v>
      </c>
      <c r="I270">
        <v>12.655527935871516</v>
      </c>
      <c r="J270">
        <v>13.218793976202914</v>
      </c>
      <c r="K270">
        <v>13.176387214765956</v>
      </c>
      <c r="L270">
        <v>13.268494409461074</v>
      </c>
      <c r="M270">
        <v>13.249852267093742</v>
      </c>
      <c r="N270">
        <v>12.275622896239701</v>
      </c>
      <c r="O270">
        <v>13.468861818654016</v>
      </c>
      <c r="P270">
        <v>12.207436756960266</v>
      </c>
      <c r="Q270">
        <v>12.912467161563294</v>
      </c>
      <c r="R270">
        <v>10.994135894848949</v>
      </c>
      <c r="S270">
        <v>11.517090504602136</v>
      </c>
      <c r="T270">
        <v>11.19430432311437</v>
      </c>
    </row>
    <row r="271" spans="1:20" x14ac:dyDescent="0.25">
      <c r="A271" s="6" t="s">
        <v>289</v>
      </c>
      <c r="B271">
        <v>13.949715916034434</v>
      </c>
      <c r="C271">
        <v>13.747685110291943</v>
      </c>
      <c r="D271">
        <v>13.889362009203486</v>
      </c>
      <c r="E271">
        <v>14.392409758216143</v>
      </c>
      <c r="F271">
        <v>14.108838421379655</v>
      </c>
      <c r="G271">
        <v>14.078570981710859</v>
      </c>
      <c r="H271">
        <v>14.179355201459032</v>
      </c>
      <c r="I271">
        <v>13.929316117592796</v>
      </c>
      <c r="J271">
        <v>14.184718386226123</v>
      </c>
      <c r="K271">
        <v>13.549593090766873</v>
      </c>
      <c r="L271">
        <v>13.312449057870957</v>
      </c>
      <c r="M271">
        <v>13.900349838713455</v>
      </c>
      <c r="N271">
        <v>13.898145567786724</v>
      </c>
      <c r="O271">
        <v>14.364753415313277</v>
      </c>
      <c r="P271">
        <v>14.264811977439372</v>
      </c>
      <c r="Q271">
        <v>13.661039626943458</v>
      </c>
      <c r="R271">
        <v>13.4397154729945</v>
      </c>
      <c r="S271">
        <v>14.015091924886457</v>
      </c>
      <c r="T271">
        <v>13.613251727989191</v>
      </c>
    </row>
    <row r="272" spans="1:20" x14ac:dyDescent="0.25">
      <c r="A272" s="5" t="s">
        <v>290</v>
      </c>
      <c r="B272">
        <v>15.264811977439372</v>
      </c>
      <c r="C272">
        <v>15.15546458125101</v>
      </c>
      <c r="D272">
        <v>15.505303814622076</v>
      </c>
      <c r="E272">
        <v>15.231128851183083</v>
      </c>
      <c r="F272">
        <v>14.718221287590733</v>
      </c>
      <c r="G272">
        <v>14.512029677810389</v>
      </c>
      <c r="H272">
        <v>14.53582024114514</v>
      </c>
      <c r="I272">
        <v>14.624140044131927</v>
      </c>
      <c r="J272">
        <v>14.0860785183798</v>
      </c>
      <c r="K272">
        <v>14.59171856643955</v>
      </c>
      <c r="L272">
        <v>14.322759326648649</v>
      </c>
      <c r="M272">
        <v>14.505303814622076</v>
      </c>
      <c r="N272">
        <v>14.798169443906975</v>
      </c>
      <c r="O272">
        <v>15.005569150767952</v>
      </c>
      <c r="P272">
        <v>13.444532489292275</v>
      </c>
      <c r="Q272">
        <v>12.816826758895662</v>
      </c>
      <c r="R272">
        <v>12.34062229377539</v>
      </c>
      <c r="S272">
        <v>12.675624143501192</v>
      </c>
      <c r="T272">
        <v>13.084761876066009</v>
      </c>
    </row>
    <row r="273" spans="1:20" x14ac:dyDescent="0.25">
      <c r="A273" s="6" t="s">
        <v>291</v>
      </c>
      <c r="B273">
        <v>13.108621778497353</v>
      </c>
      <c r="C273">
        <v>13.121164026980829</v>
      </c>
      <c r="D273">
        <v>13.053542187219335</v>
      </c>
      <c r="E273">
        <v>13.108545324070151</v>
      </c>
      <c r="F273">
        <v>12.142511010754241</v>
      </c>
      <c r="G273">
        <v>13.635111161952929</v>
      </c>
      <c r="H273">
        <v>13.039711973882113</v>
      </c>
      <c r="I273">
        <v>12.850175677000108</v>
      </c>
      <c r="J273">
        <v>12.627659993072458</v>
      </c>
      <c r="K273">
        <v>13.217625362290743</v>
      </c>
      <c r="L273">
        <v>13.449365643028219</v>
      </c>
      <c r="M273">
        <v>12.781283079599469</v>
      </c>
      <c r="N273">
        <v>13.704674755752785</v>
      </c>
      <c r="O273">
        <v>13.661039626943458</v>
      </c>
      <c r="P273">
        <v>12.489927403186266</v>
      </c>
      <c r="Q273">
        <v>11.257079669782302</v>
      </c>
      <c r="R273">
        <v>11.132468308072697</v>
      </c>
      <c r="S273">
        <v>11.739320146152997</v>
      </c>
      <c r="T273">
        <v>12.375507078824329</v>
      </c>
    </row>
    <row r="274" spans="1:20" x14ac:dyDescent="0.25">
      <c r="A274" s="5" t="s">
        <v>292</v>
      </c>
      <c r="B274">
        <v>12.695822365570656</v>
      </c>
      <c r="C274">
        <v>12.452079298345623</v>
      </c>
      <c r="D274">
        <v>12.675973422050502</v>
      </c>
      <c r="E274">
        <v>12.986452522401606</v>
      </c>
      <c r="F274">
        <v>12.351317540420391</v>
      </c>
      <c r="G274">
        <v>12.502178566936058</v>
      </c>
      <c r="H274">
        <v>13.071437571498045</v>
      </c>
      <c r="I274">
        <v>12.383209013729402</v>
      </c>
      <c r="J274">
        <v>12.21738488277048</v>
      </c>
      <c r="K274">
        <v>12.332838626956057</v>
      </c>
      <c r="L274">
        <v>12.164874033603736</v>
      </c>
      <c r="M274">
        <v>12.769892470868678</v>
      </c>
      <c r="N274">
        <v>11.873165479991188</v>
      </c>
      <c r="O274">
        <v>12.592065923725558</v>
      </c>
      <c r="P274">
        <v>12.016788805664264</v>
      </c>
      <c r="Q274">
        <v>11.241273705747364</v>
      </c>
      <c r="R274">
        <v>11.166829646300798</v>
      </c>
      <c r="S274">
        <v>11.030852678759841</v>
      </c>
      <c r="T274">
        <v>11.066463231662432</v>
      </c>
    </row>
    <row r="275" spans="1:20" x14ac:dyDescent="0.25">
      <c r="A275" s="6" t="s">
        <v>293</v>
      </c>
      <c r="B275">
        <v>0</v>
      </c>
      <c r="C275">
        <v>0</v>
      </c>
      <c r="D275">
        <v>0</v>
      </c>
      <c r="E275">
        <v>0</v>
      </c>
      <c r="F275">
        <v>13.874118297140276</v>
      </c>
      <c r="G275">
        <v>13.30075541702505</v>
      </c>
      <c r="H275">
        <v>0</v>
      </c>
      <c r="I275">
        <v>13.290600658874276</v>
      </c>
      <c r="J275">
        <v>14.27621674071162</v>
      </c>
      <c r="K275">
        <v>0</v>
      </c>
      <c r="L275">
        <v>14.913646661326911</v>
      </c>
      <c r="M275">
        <v>0</v>
      </c>
      <c r="N275">
        <v>13.635111161952929</v>
      </c>
      <c r="O275">
        <v>14.287712379549449</v>
      </c>
      <c r="P275">
        <v>12.616591144217717</v>
      </c>
      <c r="Q275">
        <v>10.103933703274381</v>
      </c>
      <c r="R275">
        <v>10.539538855492765</v>
      </c>
      <c r="S275">
        <v>9.2484774581816964</v>
      </c>
      <c r="T275">
        <v>10.057189622665971</v>
      </c>
    </row>
    <row r="276" spans="1:20" x14ac:dyDescent="0.25">
      <c r="A276" s="5" t="s">
        <v>294</v>
      </c>
      <c r="B276">
        <v>12.522152174086859</v>
      </c>
      <c r="C276">
        <v>12.625278983988101</v>
      </c>
      <c r="D276">
        <v>12.496881967924564</v>
      </c>
      <c r="E276">
        <v>12.536257228026455</v>
      </c>
      <c r="F276">
        <v>12.536891522876171</v>
      </c>
      <c r="G276">
        <v>12.507729916580251</v>
      </c>
      <c r="H276">
        <v>12.417635734504316</v>
      </c>
      <c r="I276">
        <v>12.715045800550952</v>
      </c>
      <c r="J276">
        <v>12.596258614736575</v>
      </c>
      <c r="K276">
        <v>12.205255028348962</v>
      </c>
      <c r="L276">
        <v>12.462431478403211</v>
      </c>
      <c r="M276">
        <v>12.748240863279372</v>
      </c>
      <c r="N276">
        <v>12.133472679347845</v>
      </c>
      <c r="O276">
        <v>12.463433313234024</v>
      </c>
      <c r="P276">
        <v>12.794116278552133</v>
      </c>
      <c r="Q276">
        <v>12.861576466622628</v>
      </c>
      <c r="R276">
        <v>12.72396850206556</v>
      </c>
      <c r="S276">
        <v>12.461340839805226</v>
      </c>
      <c r="T276">
        <v>12.372160885191253</v>
      </c>
    </row>
    <row r="277" spans="1:20" x14ac:dyDescent="0.25">
      <c r="A277" s="6" t="s">
        <v>295</v>
      </c>
      <c r="B277">
        <v>11.100106137256571</v>
      </c>
      <c r="C277">
        <v>11.220831000993503</v>
      </c>
      <c r="D277">
        <v>10.996067568574025</v>
      </c>
      <c r="E277">
        <v>11.191106426056654</v>
      </c>
      <c r="F277">
        <v>11.234980017582588</v>
      </c>
      <c r="G277">
        <v>11.450770291581737</v>
      </c>
      <c r="H277">
        <v>10.977846448332899</v>
      </c>
      <c r="I277">
        <v>11.268380525595731</v>
      </c>
      <c r="J277">
        <v>11.359046440938821</v>
      </c>
      <c r="K277">
        <v>11.244770429445881</v>
      </c>
      <c r="L277">
        <v>11.116922020663884</v>
      </c>
      <c r="M277">
        <v>11.443113813165922</v>
      </c>
      <c r="N277">
        <v>11.072505958471151</v>
      </c>
      <c r="O277">
        <v>11.15669587283306</v>
      </c>
      <c r="P277">
        <v>11.421548189178031</v>
      </c>
      <c r="Q277">
        <v>11.529839985612238</v>
      </c>
      <c r="R277">
        <v>11.769857204726804</v>
      </c>
      <c r="S277">
        <v>11.466700214133015</v>
      </c>
      <c r="T277">
        <v>11.592400000004449</v>
      </c>
    </row>
    <row r="278" spans="1:20" x14ac:dyDescent="0.25">
      <c r="A278" s="5" t="s">
        <v>296</v>
      </c>
      <c r="B278">
        <v>11.273199969925608</v>
      </c>
      <c r="C278">
        <v>11.332049919321252</v>
      </c>
      <c r="D278">
        <v>11.296325682632018</v>
      </c>
      <c r="E278">
        <v>11.133706052769362</v>
      </c>
      <c r="F278">
        <v>11.584447746641223</v>
      </c>
      <c r="G278">
        <v>11.770618137126435</v>
      </c>
      <c r="H278">
        <v>11.33677745123491</v>
      </c>
      <c r="I278">
        <v>11.626053976997911</v>
      </c>
      <c r="J278">
        <v>11.481817378903692</v>
      </c>
      <c r="K278">
        <v>11.406928914975916</v>
      </c>
      <c r="L278">
        <v>11.369261263451765</v>
      </c>
      <c r="M278">
        <v>11.520960342539142</v>
      </c>
      <c r="N278">
        <v>11.040152420501512</v>
      </c>
      <c r="O278">
        <v>11.376181851694158</v>
      </c>
      <c r="P278">
        <v>11.501371125422441</v>
      </c>
      <c r="Q278">
        <v>11.768371771893467</v>
      </c>
      <c r="R278">
        <v>11.68150706660696</v>
      </c>
      <c r="S278">
        <v>11.435965336673361</v>
      </c>
      <c r="T278">
        <v>11.619007761161049</v>
      </c>
    </row>
    <row r="279" spans="1:20" x14ac:dyDescent="0.25">
      <c r="A279" s="6" t="s">
        <v>297</v>
      </c>
      <c r="B279">
        <v>13.361712960993227</v>
      </c>
      <c r="C279">
        <v>13.381591426552351</v>
      </c>
      <c r="D279">
        <v>13.034642859877911</v>
      </c>
      <c r="E279">
        <v>13.097312438442279</v>
      </c>
      <c r="F279">
        <v>13.024052941278519</v>
      </c>
      <c r="G279">
        <v>12.856068026926508</v>
      </c>
      <c r="H279">
        <v>13.096339237140784</v>
      </c>
      <c r="I279">
        <v>13.19423333191226</v>
      </c>
      <c r="J279">
        <v>12.744424377967043</v>
      </c>
      <c r="K279">
        <v>13.052732896786246</v>
      </c>
      <c r="L279">
        <v>13.201173158715349</v>
      </c>
      <c r="M279">
        <v>13.153741221827767</v>
      </c>
      <c r="N279">
        <v>12.347214833993872</v>
      </c>
      <c r="O279">
        <v>13.249894427531341</v>
      </c>
      <c r="P279">
        <v>12.943361073207706</v>
      </c>
      <c r="Q279">
        <v>13.071338226874483</v>
      </c>
      <c r="R279">
        <v>12.506814402319623</v>
      </c>
      <c r="S279">
        <v>12.88931822549638</v>
      </c>
      <c r="T279">
        <v>12.826655366098384</v>
      </c>
    </row>
    <row r="280" spans="1:20" x14ac:dyDescent="0.25">
      <c r="A280" s="5" t="s">
        <v>298</v>
      </c>
      <c r="B280">
        <v>14.392409758216143</v>
      </c>
      <c r="C280">
        <v>14.279082074406009</v>
      </c>
      <c r="D280">
        <v>13.918106309517611</v>
      </c>
      <c r="E280">
        <v>14.242269408788282</v>
      </c>
      <c r="F280">
        <v>14.279082074406009</v>
      </c>
      <c r="G280">
        <v>14.818868436574812</v>
      </c>
      <c r="H280">
        <v>15.334633426936943</v>
      </c>
      <c r="I280">
        <v>14.546137532130656</v>
      </c>
      <c r="J280">
        <v>14.217323051658052</v>
      </c>
      <c r="K280">
        <v>14.446141742153932</v>
      </c>
      <c r="L280">
        <v>14.386217924501876</v>
      </c>
      <c r="M280">
        <v>15.498609162048069</v>
      </c>
      <c r="N280">
        <v>15.214577674919234</v>
      </c>
      <c r="O280">
        <v>14.337617285375762</v>
      </c>
      <c r="P280">
        <v>14.584611679945288</v>
      </c>
      <c r="Q280">
        <v>15.446141742153934</v>
      </c>
      <c r="R280">
        <v>14.522177633186471</v>
      </c>
      <c r="S280">
        <v>15.316858725208965</v>
      </c>
      <c r="T280">
        <v>15.395515669083965</v>
      </c>
    </row>
    <row r="281" spans="1:20" x14ac:dyDescent="0.25">
      <c r="A281" s="6" t="s">
        <v>299</v>
      </c>
      <c r="B281">
        <v>0</v>
      </c>
      <c r="C281">
        <v>16.334633426936943</v>
      </c>
      <c r="D281">
        <v>16.512029677810389</v>
      </c>
      <c r="E281">
        <v>16.334633426936943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16.785891114128539</v>
      </c>
      <c r="L281">
        <v>16.566996137028319</v>
      </c>
      <c r="M281">
        <v>17.380667904676653</v>
      </c>
      <c r="N281">
        <v>0</v>
      </c>
      <c r="O281">
        <v>18.41555342232051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5">
      <c r="A282" s="5" t="s">
        <v>300</v>
      </c>
      <c r="B282">
        <v>13.706602204323898</v>
      </c>
      <c r="C282">
        <v>14.103749544706854</v>
      </c>
      <c r="D282">
        <v>12.410211543582982</v>
      </c>
      <c r="E282">
        <v>12.873890863147299</v>
      </c>
      <c r="F282">
        <v>14.485312339434612</v>
      </c>
      <c r="G282">
        <v>13.952000469228988</v>
      </c>
      <c r="H282">
        <v>14.874118297140276</v>
      </c>
      <c r="I282">
        <v>0</v>
      </c>
      <c r="J282">
        <v>0</v>
      </c>
      <c r="K282">
        <v>12.826361941570829</v>
      </c>
      <c r="L282">
        <v>14.305129432626858</v>
      </c>
      <c r="M282">
        <v>11.028578518434211</v>
      </c>
      <c r="N282">
        <v>11.720025784437482</v>
      </c>
      <c r="O282">
        <v>12.008205425559892</v>
      </c>
      <c r="P282">
        <v>15.878457232864612</v>
      </c>
      <c r="Q282">
        <v>13.859033969601219</v>
      </c>
      <c r="R282">
        <v>15.63144484475516</v>
      </c>
      <c r="S282">
        <v>12.323631711334658</v>
      </c>
      <c r="T282">
        <v>12.773130550575416</v>
      </c>
    </row>
    <row r="283" spans="1:20" x14ac:dyDescent="0.25">
      <c r="A283" s="6" t="s">
        <v>301</v>
      </c>
      <c r="B283">
        <v>15.986710123516636</v>
      </c>
      <c r="C283">
        <v>15.852617227929352</v>
      </c>
      <c r="D283">
        <v>0</v>
      </c>
      <c r="E283">
        <v>0</v>
      </c>
      <c r="F283">
        <v>0</v>
      </c>
      <c r="G283">
        <v>15.818868436574812</v>
      </c>
      <c r="H283">
        <v>0</v>
      </c>
      <c r="I283">
        <v>15.073587574196603</v>
      </c>
      <c r="J283">
        <v>16.093625327433145</v>
      </c>
      <c r="K283">
        <v>15.802285552379209</v>
      </c>
      <c r="L283">
        <v>15.844105728073835</v>
      </c>
      <c r="M283">
        <v>15.852617227929352</v>
      </c>
      <c r="N283">
        <v>15.661039626943458</v>
      </c>
      <c r="O283">
        <v>15.794065045574239</v>
      </c>
      <c r="P283">
        <v>15.794065045574239</v>
      </c>
      <c r="Q283">
        <v>15.498609162048069</v>
      </c>
      <c r="R283">
        <v>16.083571662769224</v>
      </c>
      <c r="S283">
        <v>16.512029677810389</v>
      </c>
      <c r="T283">
        <v>16.512029677810389</v>
      </c>
    </row>
    <row r="284" spans="1:20" x14ac:dyDescent="0.25">
      <c r="A284" s="5" t="s">
        <v>302</v>
      </c>
      <c r="B284">
        <v>13.544412851661193</v>
      </c>
      <c r="C284">
        <v>13.767667355509634</v>
      </c>
      <c r="D284">
        <v>13.747685110291943</v>
      </c>
      <c r="E284">
        <v>14.996108821518886</v>
      </c>
      <c r="F284">
        <v>13.735827276077723</v>
      </c>
      <c r="G284">
        <v>13.607838231802827</v>
      </c>
      <c r="H284">
        <v>12.836804677776808</v>
      </c>
      <c r="I284">
        <v>14.081069155566054</v>
      </c>
      <c r="J284">
        <v>13.810553168362809</v>
      </c>
      <c r="K284">
        <v>13.982033636307161</v>
      </c>
      <c r="L284">
        <v>13.863327708011353</v>
      </c>
      <c r="M284">
        <v>12.885787069771247</v>
      </c>
      <c r="N284">
        <v>12.315835952064329</v>
      </c>
      <c r="O284">
        <v>13.227070050111614</v>
      </c>
      <c r="P284">
        <v>12.559034300746024</v>
      </c>
      <c r="Q284">
        <v>11.982687432666147</v>
      </c>
      <c r="R284">
        <v>12.628847403982959</v>
      </c>
      <c r="S284">
        <v>11.200517734775156</v>
      </c>
      <c r="T284">
        <v>11.326944921396574</v>
      </c>
    </row>
    <row r="285" spans="1:20" x14ac:dyDescent="0.25">
      <c r="A285" s="6" t="s">
        <v>303</v>
      </c>
      <c r="B285">
        <v>11.31933035235212</v>
      </c>
      <c r="C285">
        <v>0</v>
      </c>
      <c r="D285">
        <v>12.367114182620261</v>
      </c>
      <c r="E285">
        <v>11.94286684294743</v>
      </c>
      <c r="F285">
        <v>0</v>
      </c>
      <c r="G285">
        <v>11.399438661231928</v>
      </c>
      <c r="H285">
        <v>12.009287454322795</v>
      </c>
      <c r="I285">
        <v>0</v>
      </c>
      <c r="J285">
        <v>11.180844836881375</v>
      </c>
      <c r="K285">
        <v>10.813538550316688</v>
      </c>
      <c r="L285">
        <v>12.489122640316348</v>
      </c>
      <c r="M285">
        <v>11.408947808282095</v>
      </c>
      <c r="N285">
        <v>0</v>
      </c>
      <c r="O285">
        <v>0</v>
      </c>
      <c r="P285">
        <v>10.365910470134668</v>
      </c>
      <c r="Q285">
        <v>9.235544317729417</v>
      </c>
      <c r="R285">
        <v>11.197817677670377</v>
      </c>
      <c r="S285">
        <v>10.594537691291261</v>
      </c>
      <c r="T285">
        <v>9.4786890183554</v>
      </c>
    </row>
    <row r="286" spans="1:20" x14ac:dyDescent="0.25">
      <c r="A286" s="5" t="s">
        <v>304</v>
      </c>
      <c r="B286">
        <v>10.473803980298074</v>
      </c>
      <c r="C286">
        <v>9.8499187016241692</v>
      </c>
      <c r="D286">
        <v>10.405294310345436</v>
      </c>
      <c r="E286">
        <v>10.602193779347687</v>
      </c>
      <c r="F286">
        <v>9.9512318844418957</v>
      </c>
      <c r="G286">
        <v>9.3213723603918286</v>
      </c>
      <c r="H286">
        <v>9.5004575463013516</v>
      </c>
      <c r="I286">
        <v>9.6599643136238402</v>
      </c>
      <c r="J286">
        <v>9.8734875267477609</v>
      </c>
      <c r="K286">
        <v>9.9117151776312298</v>
      </c>
      <c r="L286">
        <v>9.4797259014188082</v>
      </c>
      <c r="M286">
        <v>10.121205803104294</v>
      </c>
      <c r="N286">
        <v>10.392884917483917</v>
      </c>
      <c r="O286">
        <v>9.5735690907538036</v>
      </c>
      <c r="P286">
        <v>9.616562830775214</v>
      </c>
      <c r="Q286">
        <v>9.6105931930910966</v>
      </c>
      <c r="R286">
        <v>9.0440836617090614</v>
      </c>
      <c r="S286">
        <v>9.4117043336443302</v>
      </c>
      <c r="T286">
        <v>9.4813212935681097</v>
      </c>
    </row>
    <row r="287" spans="1:20" x14ac:dyDescent="0.25">
      <c r="A287" s="6" t="s">
        <v>305</v>
      </c>
      <c r="B287">
        <v>0</v>
      </c>
      <c r="C287">
        <v>12.594597922420284</v>
      </c>
      <c r="D287">
        <v>13.065130359323852</v>
      </c>
      <c r="E287">
        <v>12.931872919909967</v>
      </c>
      <c r="F287">
        <v>12.66831815110848</v>
      </c>
      <c r="G287">
        <v>0</v>
      </c>
      <c r="H287">
        <v>0</v>
      </c>
      <c r="I287">
        <v>12.593028272914868</v>
      </c>
      <c r="J287">
        <v>12.46119439890793</v>
      </c>
      <c r="K287">
        <v>12.646813858906496</v>
      </c>
      <c r="L287">
        <v>12.578307038688733</v>
      </c>
      <c r="M287">
        <v>0</v>
      </c>
      <c r="N287">
        <v>12.870699740726458</v>
      </c>
      <c r="O287">
        <v>12.519693246193849</v>
      </c>
      <c r="P287">
        <v>12.468984502019955</v>
      </c>
      <c r="Q287">
        <v>12.366855071063256</v>
      </c>
      <c r="R287">
        <v>11.908285490217722</v>
      </c>
      <c r="S287">
        <v>12.31225827663514</v>
      </c>
      <c r="T287">
        <v>12.43717696137303</v>
      </c>
    </row>
    <row r="288" spans="1:20" x14ac:dyDescent="0.25">
      <c r="A288" s="5" t="s">
        <v>306</v>
      </c>
      <c r="B288">
        <v>16.144972207433366</v>
      </c>
      <c r="C288">
        <v>16.06367210533152</v>
      </c>
      <c r="D288">
        <v>16.868065627018016</v>
      </c>
      <c r="E288">
        <v>16.113945311812746</v>
      </c>
      <c r="F288">
        <v>16.553056946070445</v>
      </c>
      <c r="G288">
        <v>15.777763233245141</v>
      </c>
      <c r="H288">
        <v>15.485312339434612</v>
      </c>
      <c r="I288">
        <v>15.370853614849695</v>
      </c>
      <c r="J288">
        <v>15.334633426936943</v>
      </c>
      <c r="K288">
        <v>16.166033822961197</v>
      </c>
      <c r="L288">
        <v>16.667032138325148</v>
      </c>
      <c r="M288">
        <v>15.119070343990609</v>
      </c>
      <c r="N288">
        <v>15.505303814622076</v>
      </c>
      <c r="O288">
        <v>15.769680886947281</v>
      </c>
      <c r="P288">
        <v>15.512029677810389</v>
      </c>
      <c r="Q288">
        <v>0</v>
      </c>
      <c r="R288">
        <v>16.034328143749374</v>
      </c>
      <c r="S288">
        <v>16.472136950686878</v>
      </c>
      <c r="T288">
        <v>15.986710123516636</v>
      </c>
    </row>
    <row r="289" spans="1:20" x14ac:dyDescent="0.25">
      <c r="A289" s="6" t="s">
        <v>307</v>
      </c>
      <c r="B289">
        <v>0</v>
      </c>
      <c r="C289">
        <v>14.222829527964596</v>
      </c>
      <c r="D289">
        <v>15.287712379549449</v>
      </c>
      <c r="E289">
        <v>14.436513040956156</v>
      </c>
      <c r="F289">
        <v>16.176681067160704</v>
      </c>
      <c r="G289">
        <v>15.358678900903593</v>
      </c>
      <c r="H289">
        <v>15.7066022043239</v>
      </c>
      <c r="I289">
        <v>14.649870319225345</v>
      </c>
      <c r="J289">
        <v>0</v>
      </c>
      <c r="K289">
        <v>15.401747622795478</v>
      </c>
      <c r="L289">
        <v>15.253496664211537</v>
      </c>
      <c r="M289">
        <v>0</v>
      </c>
      <c r="N289">
        <v>15.7066022043239</v>
      </c>
      <c r="O289">
        <v>16.242269408788282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5">
      <c r="A290" s="5" t="s">
        <v>308</v>
      </c>
      <c r="B290">
        <v>13.607838231802827</v>
      </c>
      <c r="C290">
        <v>13.176200248945662</v>
      </c>
      <c r="D290">
        <v>12.976779014418051</v>
      </c>
      <c r="E290">
        <v>13.11812083949583</v>
      </c>
      <c r="F290">
        <v>12.985539579808698</v>
      </c>
      <c r="G290">
        <v>14.233905935853656</v>
      </c>
      <c r="H290">
        <v>13.998468094392807</v>
      </c>
      <c r="I290">
        <v>13.848355201075194</v>
      </c>
      <c r="J290">
        <v>13.787930259402136</v>
      </c>
      <c r="K290">
        <v>13.454215042689613</v>
      </c>
      <c r="L290">
        <v>13.618685614039819</v>
      </c>
      <c r="M290">
        <v>14.322759326648649</v>
      </c>
      <c r="N290">
        <v>14.184718386226123</v>
      </c>
      <c r="O290">
        <v>13.802285552379209</v>
      </c>
      <c r="P290">
        <v>0</v>
      </c>
      <c r="Q290">
        <v>0</v>
      </c>
      <c r="R290">
        <v>15.144972207433367</v>
      </c>
      <c r="S290">
        <v>14.789972290940359</v>
      </c>
      <c r="T290">
        <v>0</v>
      </c>
    </row>
    <row r="291" spans="1:20" x14ac:dyDescent="0.25">
      <c r="A291" s="6" t="s">
        <v>309</v>
      </c>
      <c r="B291">
        <v>13.7397690682591</v>
      </c>
      <c r="C291">
        <v>12.22403687638657</v>
      </c>
      <c r="D291">
        <v>12.439186581770306</v>
      </c>
      <c r="E291">
        <v>12.138641656482474</v>
      </c>
      <c r="F291">
        <v>13.145821870426261</v>
      </c>
      <c r="G291">
        <v>12.428029014099399</v>
      </c>
      <c r="H291">
        <v>12.474745996063318</v>
      </c>
      <c r="I291">
        <v>12.561753145040264</v>
      </c>
      <c r="J291">
        <v>13.128574077693111</v>
      </c>
      <c r="K291">
        <v>12.230789025550378</v>
      </c>
      <c r="L291">
        <v>12.327645556633691</v>
      </c>
      <c r="M291">
        <v>13.506982343073073</v>
      </c>
      <c r="N291">
        <v>13.276102245648596</v>
      </c>
      <c r="O291">
        <v>13.083734476083791</v>
      </c>
      <c r="P291">
        <v>13.233377878251812</v>
      </c>
      <c r="Q291">
        <v>13.478709604610362</v>
      </c>
      <c r="R291">
        <v>13.255921978493772</v>
      </c>
      <c r="S291">
        <v>12.508435847096843</v>
      </c>
      <c r="T291">
        <v>13.236089698763625</v>
      </c>
    </row>
    <row r="292" spans="1:20" x14ac:dyDescent="0.25">
      <c r="A292" s="5" t="s">
        <v>310</v>
      </c>
      <c r="B292">
        <v>12.965426540650371</v>
      </c>
      <c r="C292">
        <v>11.887332936534975</v>
      </c>
      <c r="D292">
        <v>12.048619896607544</v>
      </c>
      <c r="E292">
        <v>12.007427104633036</v>
      </c>
      <c r="F292">
        <v>12.625215179584549</v>
      </c>
      <c r="G292">
        <v>12.056962155998352</v>
      </c>
      <c r="H292">
        <v>11.969771628043473</v>
      </c>
      <c r="I292">
        <v>12.056974450577036</v>
      </c>
      <c r="J292">
        <v>12.846940861825594</v>
      </c>
      <c r="K292">
        <v>12.044287017654183</v>
      </c>
      <c r="L292">
        <v>12.155852950159812</v>
      </c>
      <c r="M292">
        <v>12.960162968905076</v>
      </c>
      <c r="N292">
        <v>13.145769569020894</v>
      </c>
      <c r="O292">
        <v>12.633973606826206</v>
      </c>
      <c r="P292">
        <v>12.414521268406959</v>
      </c>
      <c r="Q292">
        <v>12.77952715480105</v>
      </c>
      <c r="R292">
        <v>12.613920801865588</v>
      </c>
      <c r="S292">
        <v>12.720507689597509</v>
      </c>
      <c r="T292">
        <v>12.804957010065841</v>
      </c>
    </row>
    <row r="293" spans="1:20" x14ac:dyDescent="0.25">
      <c r="A293" s="6" t="s">
        <v>311</v>
      </c>
      <c r="B293">
        <v>13.325718702129196</v>
      </c>
      <c r="C293">
        <v>12.599988741484312</v>
      </c>
      <c r="D293">
        <v>12.898751406633925</v>
      </c>
      <c r="E293">
        <v>12.737915084466099</v>
      </c>
      <c r="F293">
        <v>13.097906793222119</v>
      </c>
      <c r="G293">
        <v>12.569019779867123</v>
      </c>
      <c r="H293">
        <v>12.458065744670405</v>
      </c>
      <c r="I293">
        <v>12.549817988817315</v>
      </c>
      <c r="J293">
        <v>12.801883714728321</v>
      </c>
      <c r="K293">
        <v>12.681526021502913</v>
      </c>
      <c r="L293">
        <v>12.797696843460653</v>
      </c>
      <c r="M293">
        <v>13.465594104820106</v>
      </c>
      <c r="N293">
        <v>13.779790914592123</v>
      </c>
      <c r="O293">
        <v>13.110292044216024</v>
      </c>
      <c r="P293">
        <v>13.17048279745508</v>
      </c>
      <c r="Q293">
        <v>13.046763098811715</v>
      </c>
      <c r="R293">
        <v>13.503627236814692</v>
      </c>
      <c r="S293">
        <v>13.352629856230788</v>
      </c>
      <c r="T293">
        <v>12.979479666753756</v>
      </c>
    </row>
    <row r="294" spans="1:20" x14ac:dyDescent="0.25">
      <c r="A294" s="5" t="s">
        <v>312</v>
      </c>
      <c r="B294">
        <v>13.346606068603018</v>
      </c>
      <c r="C294">
        <v>12.115295272347652</v>
      </c>
      <c r="D294">
        <v>12.333821394355162</v>
      </c>
      <c r="E294">
        <v>12.014232296580181</v>
      </c>
      <c r="F294">
        <v>13.245544350190206</v>
      </c>
      <c r="G294">
        <v>12.423227076968258</v>
      </c>
      <c r="H294">
        <v>12.182879249666405</v>
      </c>
      <c r="I294">
        <v>12.439242667103386</v>
      </c>
      <c r="J294">
        <v>12.821226208106561</v>
      </c>
      <c r="K294">
        <v>12.21854642600559</v>
      </c>
      <c r="L294">
        <v>12.156261179328412</v>
      </c>
      <c r="M294">
        <v>13.054511480636505</v>
      </c>
      <c r="N294">
        <v>12.912622889291281</v>
      </c>
      <c r="O294">
        <v>12.662507362423968</v>
      </c>
      <c r="P294">
        <v>12.890665182650825</v>
      </c>
      <c r="Q294">
        <v>13.105910124390507</v>
      </c>
      <c r="R294">
        <v>13.140054005656896</v>
      </c>
      <c r="S294">
        <v>12.353361953138055</v>
      </c>
      <c r="T294">
        <v>12.486164641539494</v>
      </c>
    </row>
    <row r="295" spans="1:20" x14ac:dyDescent="0.25">
      <c r="A295" s="6" t="s">
        <v>313</v>
      </c>
      <c r="B295">
        <v>13.48200719471094</v>
      </c>
      <c r="C295">
        <v>11.944418271687013</v>
      </c>
      <c r="D295">
        <v>12.343281184622855</v>
      </c>
      <c r="E295">
        <v>12.180352584922492</v>
      </c>
      <c r="F295">
        <v>12.92656164824885</v>
      </c>
      <c r="G295">
        <v>12.262612692694535</v>
      </c>
      <c r="H295">
        <v>11.864370867611234</v>
      </c>
      <c r="I295">
        <v>12.185793419838378</v>
      </c>
      <c r="J295">
        <v>12.992271457382762</v>
      </c>
      <c r="K295">
        <v>12.38174540435717</v>
      </c>
      <c r="L295">
        <v>12.484229070483236</v>
      </c>
      <c r="M295">
        <v>13.049757143188492</v>
      </c>
      <c r="N295">
        <v>13.355651208206025</v>
      </c>
      <c r="O295">
        <v>12.745820932350412</v>
      </c>
      <c r="P295">
        <v>12.663779984692713</v>
      </c>
      <c r="Q295">
        <v>13.069464379117152</v>
      </c>
      <c r="R295">
        <v>12.70014576146608</v>
      </c>
      <c r="S295">
        <v>12.856635046241612</v>
      </c>
      <c r="T295">
        <v>12.864758211622748</v>
      </c>
    </row>
    <row r="296" spans="1:20" x14ac:dyDescent="0.25">
      <c r="A296" s="5" t="s">
        <v>314</v>
      </c>
      <c r="B296">
        <v>13.287712379549449</v>
      </c>
      <c r="C296">
        <v>12.011805418765347</v>
      </c>
      <c r="D296">
        <v>12.519235839354602</v>
      </c>
      <c r="E296">
        <v>12.175385894822682</v>
      </c>
      <c r="F296">
        <v>12.891673485527448</v>
      </c>
      <c r="G296">
        <v>12.408422232025819</v>
      </c>
      <c r="H296">
        <v>12.498742751106997</v>
      </c>
      <c r="I296">
        <v>12.483724924962088</v>
      </c>
      <c r="J296">
        <v>13.094987955561802</v>
      </c>
      <c r="K296">
        <v>12.431603126832348</v>
      </c>
      <c r="L296">
        <v>12.41706753304989</v>
      </c>
      <c r="M296">
        <v>13.343603580441494</v>
      </c>
      <c r="N296">
        <v>13.572258252433731</v>
      </c>
      <c r="O296">
        <v>12.882275428257824</v>
      </c>
      <c r="P296">
        <v>13.071524503655708</v>
      </c>
      <c r="Q296">
        <v>13.345104043437788</v>
      </c>
      <c r="R296">
        <v>13.513716054438275</v>
      </c>
      <c r="S296">
        <v>13.104092479529985</v>
      </c>
      <c r="T296">
        <v>13.352629856230788</v>
      </c>
    </row>
    <row r="297" spans="1:20" x14ac:dyDescent="0.25">
      <c r="A297" s="6" t="s">
        <v>315</v>
      </c>
      <c r="B297">
        <v>13.316858725208968</v>
      </c>
      <c r="C297">
        <v>12.1356587926616</v>
      </c>
      <c r="D297">
        <v>12.028759354875229</v>
      </c>
      <c r="E297">
        <v>12.126405115828515</v>
      </c>
      <c r="F297">
        <v>12.604348288607737</v>
      </c>
      <c r="G297">
        <v>12.147928577570708</v>
      </c>
      <c r="H297">
        <v>12.243444173616322</v>
      </c>
      <c r="I297">
        <v>12.391014276849024</v>
      </c>
      <c r="J297">
        <v>12.964792051762949</v>
      </c>
      <c r="K297">
        <v>12.034146607976528</v>
      </c>
      <c r="L297">
        <v>12.245383228397213</v>
      </c>
      <c r="M297">
        <v>12.992588888502338</v>
      </c>
      <c r="N297">
        <v>12.601467358073286</v>
      </c>
      <c r="O297">
        <v>12.875461972109118</v>
      </c>
      <c r="P297">
        <v>12.765224690273518</v>
      </c>
      <c r="Q297">
        <v>12.926595344661068</v>
      </c>
      <c r="R297">
        <v>12.855148431775921</v>
      </c>
      <c r="S297">
        <v>12.463082999195048</v>
      </c>
      <c r="T297">
        <v>12.7941470192122</v>
      </c>
    </row>
    <row r="298" spans="1:20" x14ac:dyDescent="0.25">
      <c r="A298" s="5" t="s">
        <v>316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16.566996137028319</v>
      </c>
      <c r="R298">
        <v>16.395515669083963</v>
      </c>
      <c r="S298">
        <v>17.122154125088276</v>
      </c>
      <c r="T298">
        <v>16.539251146545414</v>
      </c>
    </row>
    <row r="299" spans="1:20" x14ac:dyDescent="0.25">
      <c r="A299" s="6" t="s">
        <v>317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14.595285181459742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14.468861818654016</v>
      </c>
      <c r="Q299">
        <v>13.493608480989701</v>
      </c>
      <c r="R299">
        <v>13.769680886947281</v>
      </c>
      <c r="S299">
        <v>14.389310519557256</v>
      </c>
      <c r="T299">
        <v>14.945157634072132</v>
      </c>
    </row>
    <row r="300" spans="1:20" x14ac:dyDescent="0.25">
      <c r="A300" s="5" t="s">
        <v>318</v>
      </c>
      <c r="B300">
        <v>0</v>
      </c>
      <c r="C300">
        <v>0</v>
      </c>
      <c r="D300">
        <v>0</v>
      </c>
      <c r="E300">
        <v>0</v>
      </c>
      <c r="F300">
        <v>16.736220971001956</v>
      </c>
      <c r="G300">
        <v>15.539251146545414</v>
      </c>
      <c r="H300">
        <v>16.59528518145974</v>
      </c>
      <c r="I300">
        <v>17.142882858710639</v>
      </c>
      <c r="J300">
        <v>16.34660606860302</v>
      </c>
      <c r="K300">
        <v>13.079295006891291</v>
      </c>
      <c r="L300">
        <v>14.642471866904184</v>
      </c>
      <c r="M300">
        <v>14.563498692792091</v>
      </c>
      <c r="N300">
        <v>17.049903950003827</v>
      </c>
      <c r="O300">
        <v>16.962556261807858</v>
      </c>
      <c r="P300">
        <v>12.593536438354469</v>
      </c>
      <c r="Q300">
        <v>13.515404404591045</v>
      </c>
      <c r="R300">
        <v>14.073587574196603</v>
      </c>
      <c r="S300">
        <v>12.011215713909092</v>
      </c>
      <c r="T300">
        <v>12.272578812575659</v>
      </c>
    </row>
    <row r="301" spans="1:20" x14ac:dyDescent="0.25">
      <c r="A301" s="6" t="s">
        <v>319</v>
      </c>
      <c r="B301">
        <v>10.469868130362601</v>
      </c>
      <c r="C301">
        <v>9.9235644141538639</v>
      </c>
      <c r="D301">
        <v>9.6800719566897886</v>
      </c>
      <c r="E301">
        <v>9.5703891001688444</v>
      </c>
      <c r="F301">
        <v>9.6307298534922783</v>
      </c>
      <c r="G301">
        <v>10.06072611318351</v>
      </c>
      <c r="H301">
        <v>10.145271166387365</v>
      </c>
      <c r="I301">
        <v>10.338840584986299</v>
      </c>
      <c r="J301">
        <v>10.147854921785768</v>
      </c>
      <c r="K301">
        <v>9.9744926532607483</v>
      </c>
      <c r="L301">
        <v>10.300300552109437</v>
      </c>
      <c r="M301">
        <v>10.180844836881377</v>
      </c>
      <c r="N301">
        <v>10.614807350511827</v>
      </c>
      <c r="O301">
        <v>9.5140356341279695</v>
      </c>
      <c r="P301">
        <v>10.642388849757161</v>
      </c>
      <c r="Q301">
        <v>10.79134974120409</v>
      </c>
      <c r="R301">
        <v>11.318195309207171</v>
      </c>
      <c r="S301">
        <v>11.198770261568264</v>
      </c>
      <c r="T301">
        <v>11.016167181063762</v>
      </c>
    </row>
    <row r="302" spans="1:20" x14ac:dyDescent="0.25">
      <c r="A302" s="5" t="s">
        <v>320</v>
      </c>
      <c r="B302">
        <v>11.821377612681914</v>
      </c>
      <c r="C302">
        <v>11.853941016927429</v>
      </c>
      <c r="D302">
        <v>13.122540061612282</v>
      </c>
      <c r="E302">
        <v>14.019876987451836</v>
      </c>
      <c r="F302">
        <v>12.855094984967621</v>
      </c>
      <c r="G302">
        <v>11.879239629037444</v>
      </c>
      <c r="H302">
        <v>12.060156118498998</v>
      </c>
      <c r="I302">
        <v>12.094174008979117</v>
      </c>
      <c r="J302">
        <v>12.310703616598818</v>
      </c>
      <c r="K302">
        <v>11.64193695129819</v>
      </c>
      <c r="L302">
        <v>11.796849632455427</v>
      </c>
      <c r="M302">
        <v>11.746549459846801</v>
      </c>
      <c r="N302">
        <v>12.724515191941569</v>
      </c>
      <c r="O302">
        <v>11.996739549115945</v>
      </c>
      <c r="P302">
        <v>11.50404200842104</v>
      </c>
      <c r="Q302">
        <v>10.91393890346141</v>
      </c>
      <c r="R302">
        <v>10.546493504096325</v>
      </c>
      <c r="S302">
        <v>10.896175597251752</v>
      </c>
      <c r="T302">
        <v>11.482985554760882</v>
      </c>
    </row>
    <row r="303" spans="1:20" x14ac:dyDescent="0.25">
      <c r="A303" s="6" t="s">
        <v>321</v>
      </c>
      <c r="B303">
        <v>12.107144377134578</v>
      </c>
      <c r="C303">
        <v>12.779993839557768</v>
      </c>
      <c r="D303">
        <v>14.214577674919234</v>
      </c>
      <c r="E303">
        <v>14.777763233245141</v>
      </c>
      <c r="F303">
        <v>10.476510595011804</v>
      </c>
      <c r="G303">
        <v>10.03832013547269</v>
      </c>
      <c r="H303">
        <v>10.605345838361952</v>
      </c>
      <c r="I303">
        <v>9.8538462295642137</v>
      </c>
      <c r="J303">
        <v>9.9828611471384043</v>
      </c>
      <c r="K303">
        <v>11.524394296447088</v>
      </c>
      <c r="L303">
        <v>10.619597794502132</v>
      </c>
      <c r="M303">
        <v>10.581407282994059</v>
      </c>
      <c r="N303">
        <v>10.46787664063697</v>
      </c>
      <c r="O303">
        <v>11.271462116121397</v>
      </c>
      <c r="P303">
        <v>8.8197586684736446</v>
      </c>
      <c r="Q303">
        <v>8.0764244488930146</v>
      </c>
      <c r="R303">
        <v>7.9002881422086464</v>
      </c>
      <c r="S303">
        <v>7.7241991115946078</v>
      </c>
      <c r="T303">
        <v>8.0299387382425138</v>
      </c>
    </row>
    <row r="304" spans="1:20" x14ac:dyDescent="0.25">
      <c r="A304" s="5" t="s">
        <v>322</v>
      </c>
      <c r="B304">
        <v>8.6429908323314724</v>
      </c>
      <c r="C304">
        <v>9.1533517778948053</v>
      </c>
      <c r="D304">
        <v>8.6421715288763075</v>
      </c>
      <c r="E304">
        <v>8.8331745416821406</v>
      </c>
      <c r="F304">
        <v>9.011092889064491</v>
      </c>
      <c r="G304">
        <v>9.6946275701626234</v>
      </c>
      <c r="H304">
        <v>9.3320201652097907</v>
      </c>
      <c r="I304">
        <v>9.5595426052744923</v>
      </c>
      <c r="J304">
        <v>8.9342020583450221</v>
      </c>
      <c r="K304">
        <v>9.2372785957188004</v>
      </c>
      <c r="L304">
        <v>9.3653508573593136</v>
      </c>
      <c r="M304">
        <v>9.3675601158661355</v>
      </c>
      <c r="N304">
        <v>9.8741683915877836</v>
      </c>
      <c r="O304">
        <v>9.105743199617617</v>
      </c>
      <c r="P304">
        <v>10.29978763654961</v>
      </c>
      <c r="Q304">
        <v>10.641045097853555</v>
      </c>
      <c r="R304">
        <v>10.182366186501515</v>
      </c>
      <c r="S304">
        <v>0</v>
      </c>
      <c r="T304">
        <v>0</v>
      </c>
    </row>
    <row r="305" spans="1:20" x14ac:dyDescent="0.25">
      <c r="A305" s="6" t="s">
        <v>323</v>
      </c>
      <c r="B305">
        <v>7.7352931915231959</v>
      </c>
      <c r="C305">
        <v>0</v>
      </c>
      <c r="D305">
        <v>8.329704018069517</v>
      </c>
      <c r="E305">
        <v>7.8662136983136266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7.5343664455719628</v>
      </c>
      <c r="L305">
        <v>7.3236673017813629</v>
      </c>
      <c r="M305">
        <v>7.3634889482400903</v>
      </c>
      <c r="N305">
        <v>7.6669679264074686</v>
      </c>
      <c r="O305">
        <v>7.9405640887836251</v>
      </c>
      <c r="P305">
        <v>0</v>
      </c>
      <c r="Q305">
        <v>0</v>
      </c>
      <c r="R305">
        <v>0</v>
      </c>
      <c r="S305">
        <v>6.7398591161598915</v>
      </c>
      <c r="T305">
        <v>7.2976027413863305</v>
      </c>
    </row>
    <row r="306" spans="1:20" x14ac:dyDescent="0.25">
      <c r="A306" s="5" t="s">
        <v>324</v>
      </c>
      <c r="B306">
        <v>12.00917445733087</v>
      </c>
      <c r="C306">
        <v>11.957314606596045</v>
      </c>
      <c r="D306">
        <v>13.345104043437788</v>
      </c>
      <c r="E306">
        <v>12.578633531119616</v>
      </c>
      <c r="F306">
        <v>11.603867733830535</v>
      </c>
      <c r="G306">
        <v>11.198258296666115</v>
      </c>
      <c r="H306">
        <v>10.978384827650597</v>
      </c>
      <c r="I306">
        <v>10.629329497667792</v>
      </c>
      <c r="J306">
        <v>11.660110210343344</v>
      </c>
      <c r="K306">
        <v>12.151632579996585</v>
      </c>
      <c r="L306">
        <v>11.191325696259083</v>
      </c>
      <c r="M306">
        <v>11.15354730833228</v>
      </c>
      <c r="N306">
        <v>10.611745187812861</v>
      </c>
      <c r="O306">
        <v>11.403286381008046</v>
      </c>
      <c r="P306">
        <v>11.061157610256114</v>
      </c>
      <c r="Q306">
        <v>12.040957722269431</v>
      </c>
      <c r="R306">
        <v>11.014178586814166</v>
      </c>
      <c r="S306">
        <v>11.563171241674917</v>
      </c>
      <c r="T306">
        <v>12.097527389565993</v>
      </c>
    </row>
    <row r="307" spans="1:20" x14ac:dyDescent="0.25">
      <c r="A307" s="6" t="s">
        <v>325</v>
      </c>
      <c r="B307">
        <v>7.9566460423862919</v>
      </c>
      <c r="C307">
        <v>7.9700099895648275</v>
      </c>
      <c r="D307">
        <v>8.4577872374507983</v>
      </c>
      <c r="E307">
        <v>9.0846866756433862</v>
      </c>
      <c r="F307">
        <v>7.7850371228506363</v>
      </c>
      <c r="G307">
        <v>7.0029282474460821</v>
      </c>
      <c r="H307">
        <v>7.3622191794859582</v>
      </c>
      <c r="I307">
        <v>7.2817510537036387</v>
      </c>
      <c r="J307">
        <v>7.6411625973918378</v>
      </c>
      <c r="K307">
        <v>7.5608005307573807</v>
      </c>
      <c r="L307">
        <v>7.0001809830174215</v>
      </c>
      <c r="M307">
        <v>7.2885241238344394</v>
      </c>
      <c r="N307">
        <v>7.4238918465197408</v>
      </c>
      <c r="O307">
        <v>7.9966378477501863</v>
      </c>
      <c r="P307">
        <v>7.4447476229033533</v>
      </c>
      <c r="Q307">
        <v>8.0869043839981618</v>
      </c>
      <c r="R307">
        <v>6.6367142341652086</v>
      </c>
      <c r="S307">
        <v>7.607098556193824</v>
      </c>
      <c r="T307">
        <v>7.3790082543486966</v>
      </c>
    </row>
    <row r="308" spans="1:20" x14ac:dyDescent="0.25">
      <c r="A308" s="5" t="s">
        <v>326</v>
      </c>
      <c r="B308">
        <v>12.990145294777058</v>
      </c>
      <c r="C308">
        <v>12.055014788462397</v>
      </c>
      <c r="D308">
        <v>11.956242186152588</v>
      </c>
      <c r="E308">
        <v>12.363042371379697</v>
      </c>
      <c r="F308">
        <v>12.760111518158281</v>
      </c>
      <c r="G308">
        <v>12.222677818489812</v>
      </c>
      <c r="H308">
        <v>13.403309826565764</v>
      </c>
      <c r="I308">
        <v>12.52373148845566</v>
      </c>
      <c r="J308">
        <v>12.812700152137232</v>
      </c>
      <c r="K308">
        <v>12.043397642091485</v>
      </c>
      <c r="L308">
        <v>12.005171752513389</v>
      </c>
      <c r="M308">
        <v>13.054941122690034</v>
      </c>
      <c r="N308">
        <v>12.523909906807711</v>
      </c>
      <c r="O308">
        <v>12.552363509363563</v>
      </c>
      <c r="P308">
        <v>13.624140044131927</v>
      </c>
      <c r="Q308">
        <v>14.126792191368347</v>
      </c>
      <c r="R308">
        <v>13.696990609539608</v>
      </c>
      <c r="S308">
        <v>13.465594104820106</v>
      </c>
      <c r="T308">
        <v>14.103749544706854</v>
      </c>
    </row>
    <row r="309" spans="1:20" x14ac:dyDescent="0.25">
      <c r="A309" s="6" t="s">
        <v>327</v>
      </c>
      <c r="B309">
        <v>8.3667483915940632</v>
      </c>
      <c r="C309">
        <v>8.4454329468110263</v>
      </c>
      <c r="D309">
        <v>8.4330090276055802</v>
      </c>
      <c r="E309">
        <v>8.3505907182841881</v>
      </c>
      <c r="F309">
        <v>8.3159835287811585</v>
      </c>
      <c r="G309">
        <v>8.7291404399682229</v>
      </c>
      <c r="H309">
        <v>8.7056532164214282</v>
      </c>
      <c r="I309">
        <v>8.8025837831143523</v>
      </c>
      <c r="J309">
        <v>8.5681105415008059</v>
      </c>
      <c r="K309">
        <v>8.5765286219836661</v>
      </c>
      <c r="L309">
        <v>8.7898177612386323</v>
      </c>
      <c r="M309">
        <v>8.562429294184728</v>
      </c>
      <c r="N309">
        <v>9.107569293426641</v>
      </c>
      <c r="O309">
        <v>8.6125586822241385</v>
      </c>
      <c r="P309">
        <v>8.0656354534356023</v>
      </c>
      <c r="Q309">
        <v>8.0185553971077059</v>
      </c>
      <c r="R309">
        <v>8.0956148970146788</v>
      </c>
      <c r="S309">
        <v>8.5972846677873456</v>
      </c>
      <c r="T309">
        <v>8.7263990752558858</v>
      </c>
    </row>
    <row r="310" spans="1:20" x14ac:dyDescent="0.25">
      <c r="A310" s="5" t="s">
        <v>328</v>
      </c>
      <c r="B310">
        <v>17.390549416190616</v>
      </c>
      <c r="C310">
        <v>16.997995931063151</v>
      </c>
      <c r="D310">
        <v>17.003672115595354</v>
      </c>
      <c r="E310">
        <v>17.380667904676653</v>
      </c>
      <c r="F310">
        <v>17.771293737915581</v>
      </c>
      <c r="G310">
        <v>0</v>
      </c>
      <c r="H310">
        <v>17.59528518145974</v>
      </c>
      <c r="I310">
        <v>17.301629159884637</v>
      </c>
      <c r="J310">
        <v>17.810553168362809</v>
      </c>
      <c r="K310">
        <v>17.393030405694368</v>
      </c>
      <c r="L310">
        <v>17.180962064488583</v>
      </c>
      <c r="M310">
        <v>17.723675717682841</v>
      </c>
      <c r="N310">
        <v>0</v>
      </c>
      <c r="O310">
        <v>17.906539774832652</v>
      </c>
      <c r="P310">
        <v>18.365971393469948</v>
      </c>
      <c r="Q310">
        <v>17.764853124357753</v>
      </c>
      <c r="R310">
        <v>18.768069837041296</v>
      </c>
      <c r="S310">
        <v>18.187407473753765</v>
      </c>
      <c r="T310">
        <v>0</v>
      </c>
    </row>
    <row r="311" spans="1:20" x14ac:dyDescent="0.25">
      <c r="A311" s="6" t="s">
        <v>329</v>
      </c>
      <c r="B311">
        <v>15.624140044131927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15.139754498162349</v>
      </c>
      <c r="N311">
        <v>15.231128851183083</v>
      </c>
      <c r="O311">
        <v>0</v>
      </c>
      <c r="P311">
        <v>0</v>
      </c>
      <c r="Q311">
        <v>14.071102310807008</v>
      </c>
      <c r="R311">
        <v>14.261974818135842</v>
      </c>
      <c r="S311">
        <v>14.284829871016328</v>
      </c>
      <c r="T311">
        <v>14.518787043985698</v>
      </c>
    </row>
    <row r="312" spans="1:20" x14ac:dyDescent="0.25">
      <c r="A312" s="5" t="s">
        <v>330</v>
      </c>
      <c r="B312">
        <v>10.452932407839834</v>
      </c>
      <c r="C312">
        <v>10.624233403365768</v>
      </c>
      <c r="D312">
        <v>10.680869853161239</v>
      </c>
      <c r="E312">
        <v>11.470535300981174</v>
      </c>
      <c r="F312">
        <v>10.726474237344384</v>
      </c>
      <c r="G312">
        <v>11.042426655997563</v>
      </c>
      <c r="H312">
        <v>10.673294637141975</v>
      </c>
      <c r="I312">
        <v>11.44141966078222</v>
      </c>
      <c r="J312">
        <v>10.727102574477509</v>
      </c>
      <c r="K312">
        <v>11.149989189415191</v>
      </c>
      <c r="L312">
        <v>11.05698674526049</v>
      </c>
      <c r="M312">
        <v>11.199058533671348</v>
      </c>
      <c r="N312">
        <v>10.609092805128492</v>
      </c>
      <c r="O312">
        <v>10.800521905634438</v>
      </c>
      <c r="P312">
        <v>12.204430921105963</v>
      </c>
      <c r="Q312">
        <v>11.949704502352994</v>
      </c>
      <c r="R312">
        <v>12.756982384422637</v>
      </c>
      <c r="S312">
        <v>12.867472535523174</v>
      </c>
      <c r="T312">
        <v>11.806346265369676</v>
      </c>
    </row>
    <row r="313" spans="1:20" x14ac:dyDescent="0.25">
      <c r="A313" s="6" t="s">
        <v>331</v>
      </c>
      <c r="B313">
        <v>12.765726958462555</v>
      </c>
      <c r="C313">
        <v>12.570344129865584</v>
      </c>
      <c r="D313">
        <v>13.062227663259403</v>
      </c>
      <c r="E313">
        <v>13.149120687298808</v>
      </c>
      <c r="F313">
        <v>13.381591426552351</v>
      </c>
      <c r="G313">
        <v>12.833799775905559</v>
      </c>
      <c r="H313">
        <v>12.631106180722968</v>
      </c>
      <c r="I313">
        <v>12.366413164607978</v>
      </c>
      <c r="J313">
        <v>12.479846421769773</v>
      </c>
      <c r="K313">
        <v>13.235588671164106</v>
      </c>
      <c r="L313">
        <v>12.91878761895312</v>
      </c>
      <c r="M313">
        <v>13.357164260301595</v>
      </c>
      <c r="N313">
        <v>12.695975524007672</v>
      </c>
      <c r="O313">
        <v>12.900813163805694</v>
      </c>
      <c r="P313">
        <v>12.395251406481254</v>
      </c>
      <c r="Q313">
        <v>12.006684823277903</v>
      </c>
      <c r="R313">
        <v>11.579260250626188</v>
      </c>
      <c r="S313">
        <v>12.433724714110438</v>
      </c>
      <c r="T313">
        <v>11.772979076457219</v>
      </c>
    </row>
    <row r="314" spans="1:20" x14ac:dyDescent="0.25">
      <c r="A314" s="5" t="s">
        <v>332</v>
      </c>
      <c r="B314">
        <v>13.856891883029679</v>
      </c>
      <c r="C314">
        <v>13.651725875803827</v>
      </c>
      <c r="D314">
        <v>13.613251727989191</v>
      </c>
      <c r="E314">
        <v>13.73189622448781</v>
      </c>
      <c r="F314">
        <v>0</v>
      </c>
      <c r="G314">
        <v>0</v>
      </c>
      <c r="H314">
        <v>13.7085322314223</v>
      </c>
      <c r="I314">
        <v>14.346606068603018</v>
      </c>
      <c r="J314">
        <v>0</v>
      </c>
      <c r="K314">
        <v>13.722115203695225</v>
      </c>
      <c r="L314">
        <v>13.993753400520754</v>
      </c>
      <c r="M314">
        <v>14.044043298582588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15.346606068603018</v>
      </c>
    </row>
    <row r="315" spans="1:20" x14ac:dyDescent="0.25">
      <c r="A315" s="6" t="s">
        <v>333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16.231128851183083</v>
      </c>
      <c r="R315">
        <v>17.044043298582586</v>
      </c>
      <c r="S315">
        <v>15.83564414932564</v>
      </c>
      <c r="T315">
        <v>15.878457232864612</v>
      </c>
    </row>
    <row r="316" spans="1:20" x14ac:dyDescent="0.25">
      <c r="A316" s="5" t="s">
        <v>334</v>
      </c>
      <c r="B316">
        <v>16.485312339434611</v>
      </c>
      <c r="C316">
        <v>0</v>
      </c>
      <c r="D316">
        <v>0</v>
      </c>
      <c r="E316">
        <v>0</v>
      </c>
      <c r="F316">
        <v>0</v>
      </c>
      <c r="G316">
        <v>15.192800732523983</v>
      </c>
      <c r="H316">
        <v>0</v>
      </c>
      <c r="I316">
        <v>0</v>
      </c>
      <c r="J316">
        <v>16.861179241432779</v>
      </c>
      <c r="K316">
        <v>16.083571662769224</v>
      </c>
      <c r="L316">
        <v>0</v>
      </c>
      <c r="M316">
        <v>0</v>
      </c>
      <c r="N316">
        <v>0</v>
      </c>
      <c r="O316">
        <v>0</v>
      </c>
      <c r="P316">
        <v>14.61687204366789</v>
      </c>
      <c r="Q316">
        <v>14.695075950942874</v>
      </c>
      <c r="R316">
        <v>0</v>
      </c>
      <c r="S316">
        <v>14.061203849740769</v>
      </c>
      <c r="T316">
        <v>14.337617285375762</v>
      </c>
    </row>
    <row r="317" spans="1:20" x14ac:dyDescent="0.25">
      <c r="A317" s="6" t="s">
        <v>335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17.807240434321972</v>
      </c>
      <c r="H317">
        <v>16.777763233245139</v>
      </c>
      <c r="I317">
        <v>17.222277933600818</v>
      </c>
      <c r="J317">
        <v>0</v>
      </c>
      <c r="K317">
        <v>0</v>
      </c>
      <c r="L317">
        <v>18.632910253759658</v>
      </c>
      <c r="M317">
        <v>0</v>
      </c>
      <c r="N317">
        <v>16.926168581581585</v>
      </c>
      <c r="O317">
        <v>0</v>
      </c>
      <c r="P317">
        <v>16.310982158872296</v>
      </c>
      <c r="Q317">
        <v>16.688204143630514</v>
      </c>
      <c r="R317">
        <v>0</v>
      </c>
      <c r="S317">
        <v>15.595285181459742</v>
      </c>
      <c r="T317">
        <v>17.380667904676653</v>
      </c>
    </row>
    <row r="318" spans="1:20" x14ac:dyDescent="0.25">
      <c r="A318" s="5" t="s">
        <v>336</v>
      </c>
      <c r="B318">
        <v>7.5563735243334387</v>
      </c>
      <c r="C318">
        <v>7.3660934858661422</v>
      </c>
      <c r="D318">
        <v>7.1364839056710512</v>
      </c>
      <c r="E318">
        <v>7.2202698439923703</v>
      </c>
      <c r="F318">
        <v>7.4834184430780795</v>
      </c>
      <c r="G318">
        <v>7.354211028046727</v>
      </c>
      <c r="H318">
        <v>7.6394310241886982</v>
      </c>
      <c r="I318">
        <v>7.5214827079887137</v>
      </c>
      <c r="J318">
        <v>7.3446535061629721</v>
      </c>
      <c r="K318">
        <v>7.0602252376120687</v>
      </c>
      <c r="L318">
        <v>7.3053995981872424</v>
      </c>
      <c r="M318">
        <v>7.6801894233859089</v>
      </c>
      <c r="N318">
        <v>7.4069590306065836</v>
      </c>
      <c r="O318">
        <v>6.9985566422231216</v>
      </c>
      <c r="P318">
        <v>7.8412817793982095</v>
      </c>
      <c r="Q318">
        <v>7.9935757958067235</v>
      </c>
      <c r="R318">
        <v>7.6527698051384903</v>
      </c>
      <c r="S318">
        <v>7.3346017565514856</v>
      </c>
      <c r="T318">
        <v>7.6677307375394701</v>
      </c>
    </row>
    <row r="319" spans="1:20" x14ac:dyDescent="0.25">
      <c r="A319" s="6" t="s">
        <v>337</v>
      </c>
      <c r="B319">
        <v>12.279247004240352</v>
      </c>
      <c r="C319">
        <v>11.830175870191699</v>
      </c>
      <c r="D319">
        <v>12.100837885275963</v>
      </c>
      <c r="E319">
        <v>12.037411687445831</v>
      </c>
      <c r="F319">
        <v>12.408037976543739</v>
      </c>
      <c r="G319">
        <v>11.87873428298543</v>
      </c>
      <c r="H319">
        <v>12.419618299634166</v>
      </c>
      <c r="I319">
        <v>12.207893974404758</v>
      </c>
      <c r="J319">
        <v>12.129000507210611</v>
      </c>
      <c r="K319">
        <v>12.576252714735379</v>
      </c>
      <c r="L319">
        <v>11.651716592081826</v>
      </c>
      <c r="M319">
        <v>12.599702154846653</v>
      </c>
      <c r="N319">
        <v>12.134036729752212</v>
      </c>
      <c r="O319">
        <v>12.11012620620243</v>
      </c>
      <c r="P319">
        <v>12.231496507820015</v>
      </c>
      <c r="Q319">
        <v>12.659340042321643</v>
      </c>
      <c r="R319">
        <v>12.233370931413623</v>
      </c>
      <c r="S319">
        <v>12.211632210051732</v>
      </c>
      <c r="T319">
        <v>12.465953191256917</v>
      </c>
    </row>
    <row r="320" spans="1:20" x14ac:dyDescent="0.25">
      <c r="A320" s="5" t="s">
        <v>338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12.073332637685258</v>
      </c>
      <c r="R320">
        <v>12.43959525341684</v>
      </c>
      <c r="S320">
        <v>13.856891883029679</v>
      </c>
      <c r="T320">
        <v>12.295110702065148</v>
      </c>
    </row>
    <row r="321" spans="1:20" x14ac:dyDescent="0.25">
      <c r="A321" s="6" t="s">
        <v>339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15.505303814622076</v>
      </c>
      <c r="R321">
        <v>16.771293737915581</v>
      </c>
      <c r="S321">
        <v>16.714337853103505</v>
      </c>
      <c r="T321">
        <v>14.395515669083965</v>
      </c>
    </row>
    <row r="322" spans="1:20" x14ac:dyDescent="0.25">
      <c r="A322" s="5" t="s">
        <v>340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14.613251727989191</v>
      </c>
      <c r="H322">
        <v>14.174011880384722</v>
      </c>
      <c r="I322">
        <v>14.0760771262223</v>
      </c>
      <c r="J322">
        <v>15.171347622857667</v>
      </c>
      <c r="K322">
        <v>15.83564414932564</v>
      </c>
      <c r="L322">
        <v>15.498609162048069</v>
      </c>
      <c r="M322">
        <v>14.798169443906975</v>
      </c>
      <c r="N322">
        <v>13.933824543264544</v>
      </c>
      <c r="O322">
        <v>15.869792371737484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5">
      <c r="A323" s="6" t="s">
        <v>341</v>
      </c>
      <c r="B323">
        <v>0</v>
      </c>
      <c r="C323">
        <v>0</v>
      </c>
      <c r="D323">
        <v>0</v>
      </c>
      <c r="E323">
        <v>0</v>
      </c>
      <c r="F323">
        <v>17.222277933600818</v>
      </c>
      <c r="G323">
        <v>16.187407473753765</v>
      </c>
      <c r="H323">
        <v>16.310982158872296</v>
      </c>
      <c r="I323">
        <v>15.794065045574239</v>
      </c>
      <c r="J323">
        <v>0</v>
      </c>
      <c r="K323">
        <v>16.581071322240042</v>
      </c>
      <c r="L323">
        <v>17.007468683683435</v>
      </c>
      <c r="M323">
        <v>0</v>
      </c>
      <c r="N323">
        <v>15.861179241432778</v>
      </c>
      <c r="O323">
        <v>16.902999417127404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s="5" t="s">
        <v>342</v>
      </c>
      <c r="B324">
        <v>14.256317183273916</v>
      </c>
      <c r="C324">
        <v>14.423773929125478</v>
      </c>
      <c r="D324">
        <v>13.924821736883588</v>
      </c>
      <c r="E324">
        <v>14.865479378866404</v>
      </c>
      <c r="F324">
        <v>13.629615174198079</v>
      </c>
      <c r="G324">
        <v>13.515404404591045</v>
      </c>
      <c r="H324">
        <v>12.884935638870292</v>
      </c>
      <c r="I324">
        <v>13.931568569324176</v>
      </c>
      <c r="J324">
        <v>14.386217924501876</v>
      </c>
      <c r="K324">
        <v>14.15809964141898</v>
      </c>
      <c r="L324">
        <v>14.184718386226123</v>
      </c>
      <c r="M324">
        <v>14.160739523291683</v>
      </c>
      <c r="N324">
        <v>13.442925029470389</v>
      </c>
      <c r="O324">
        <v>13.820954763823279</v>
      </c>
      <c r="P324">
        <v>14.264811977439372</v>
      </c>
      <c r="Q324">
        <v>14.144972207433367</v>
      </c>
      <c r="R324">
        <v>14.401747622795481</v>
      </c>
      <c r="S324">
        <v>14.823044112546006</v>
      </c>
      <c r="T324">
        <v>14.06367210533152</v>
      </c>
    </row>
    <row r="325" spans="1:20" x14ac:dyDescent="0.25">
      <c r="A325" s="6" t="s">
        <v>343</v>
      </c>
      <c r="B325">
        <v>13.152926303231956</v>
      </c>
      <c r="C325">
        <v>11.861265118693488</v>
      </c>
      <c r="D325">
        <v>12.774332809141164</v>
      </c>
      <c r="E325">
        <v>12.114450599349325</v>
      </c>
      <c r="F325">
        <v>12.528914600172641</v>
      </c>
      <c r="G325">
        <v>12.266197118215993</v>
      </c>
      <c r="H325">
        <v>12.460681972793637</v>
      </c>
      <c r="I325">
        <v>12.039292915051435</v>
      </c>
      <c r="J325">
        <v>12.270709814585263</v>
      </c>
      <c r="K325">
        <v>12.423448962998439</v>
      </c>
      <c r="L325">
        <v>12.28765467290194</v>
      </c>
      <c r="M325">
        <v>13.164748169707112</v>
      </c>
      <c r="N325">
        <v>13.411146320797728</v>
      </c>
      <c r="O325">
        <v>12.974780064977258</v>
      </c>
      <c r="P325">
        <v>12.843586027154014</v>
      </c>
      <c r="Q325">
        <v>13.090891338973218</v>
      </c>
      <c r="R325">
        <v>12.844424004732305</v>
      </c>
      <c r="S325">
        <v>12.750654917415162</v>
      </c>
      <c r="T325">
        <v>13.178739711508952</v>
      </c>
    </row>
    <row r="326" spans="1:20" x14ac:dyDescent="0.25">
      <c r="A326" s="5" t="s">
        <v>344</v>
      </c>
      <c r="B326">
        <v>0</v>
      </c>
      <c r="C326">
        <v>14.4397154729945</v>
      </c>
      <c r="D326">
        <v>13.829330375393436</v>
      </c>
      <c r="E326">
        <v>14.222829527964596</v>
      </c>
      <c r="F326">
        <v>14.414292876114592</v>
      </c>
      <c r="G326">
        <v>14.386217924501876</v>
      </c>
      <c r="H326">
        <v>14.806413438001886</v>
      </c>
      <c r="I326">
        <v>13.833536486363649</v>
      </c>
      <c r="J326">
        <v>0</v>
      </c>
      <c r="K326">
        <v>14.818868436574812</v>
      </c>
      <c r="L326">
        <v>14.242269408788282</v>
      </c>
      <c r="M326">
        <v>14.546137532130656</v>
      </c>
      <c r="N326">
        <v>14.442925029470389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s="6" t="s">
        <v>345</v>
      </c>
      <c r="B327">
        <v>13.258167616538543</v>
      </c>
      <c r="C327">
        <v>13.254722912433328</v>
      </c>
      <c r="D327">
        <v>13.646166350461927</v>
      </c>
      <c r="E327">
        <v>13.737796825927495</v>
      </c>
      <c r="F327">
        <v>14.398628280951302</v>
      </c>
      <c r="G327">
        <v>13.527278504879339</v>
      </c>
      <c r="H327">
        <v>13.500279915032584</v>
      </c>
      <c r="I327">
        <v>0</v>
      </c>
      <c r="J327">
        <v>13.918106309517611</v>
      </c>
      <c r="K327">
        <v>13.825136491507246</v>
      </c>
      <c r="L327">
        <v>13.398628280951302</v>
      </c>
      <c r="M327">
        <v>14.83564414932564</v>
      </c>
      <c r="N327">
        <v>13.92257978609692</v>
      </c>
      <c r="O327">
        <v>14.7066022043239</v>
      </c>
      <c r="P327">
        <v>13.537534673956392</v>
      </c>
      <c r="Q327">
        <v>13.470498455291123</v>
      </c>
      <c r="R327">
        <v>14.305129432626858</v>
      </c>
      <c r="S327">
        <v>14.996108821518886</v>
      </c>
      <c r="T327">
        <v>14.096149728848694</v>
      </c>
    </row>
    <row r="328" spans="1:20" x14ac:dyDescent="0.25">
      <c r="A328" s="5" t="s">
        <v>346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15.103749544706854</v>
      </c>
      <c r="H328">
        <v>0</v>
      </c>
      <c r="I328">
        <v>14.913646661326911</v>
      </c>
      <c r="J328">
        <v>0</v>
      </c>
      <c r="K328">
        <v>15.426948176920622</v>
      </c>
      <c r="L328">
        <v>15.119070343990609</v>
      </c>
      <c r="M328">
        <v>0</v>
      </c>
      <c r="N328">
        <v>0</v>
      </c>
      <c r="O328">
        <v>0</v>
      </c>
      <c r="P328">
        <v>15.010322680738586</v>
      </c>
      <c r="Q328">
        <v>15.638786820096328</v>
      </c>
      <c r="R328">
        <v>14.560009706712211</v>
      </c>
      <c r="S328">
        <v>0</v>
      </c>
      <c r="T328">
        <v>15.27621674071162</v>
      </c>
    </row>
    <row r="329" spans="1:20" x14ac:dyDescent="0.25">
      <c r="A329" s="6" t="s">
        <v>347</v>
      </c>
      <c r="B329">
        <v>11.667923777152486</v>
      </c>
      <c r="C329">
        <v>0</v>
      </c>
      <c r="D329">
        <v>12.262648138440785</v>
      </c>
      <c r="E329">
        <v>12.061259339078683</v>
      </c>
      <c r="F329">
        <v>10.162099296246263</v>
      </c>
      <c r="G329">
        <v>10.545557378212402</v>
      </c>
      <c r="H329">
        <v>0</v>
      </c>
      <c r="I329">
        <v>11.433481290984176</v>
      </c>
      <c r="J329">
        <v>11.289451875330538</v>
      </c>
      <c r="K329">
        <v>10.735192669218472</v>
      </c>
      <c r="L329">
        <v>11.329537859279712</v>
      </c>
      <c r="M329">
        <v>11.593090669556736</v>
      </c>
      <c r="N329">
        <v>11.537744832119305</v>
      </c>
      <c r="O329">
        <v>0</v>
      </c>
      <c r="P329">
        <v>10.396567369699133</v>
      </c>
      <c r="Q329">
        <v>9.6175223998391459</v>
      </c>
      <c r="R329">
        <v>9.558624087010152</v>
      </c>
      <c r="S329">
        <v>9.9160113453012197</v>
      </c>
      <c r="T329">
        <v>9.3801256111307207</v>
      </c>
    </row>
    <row r="330" spans="1:20" x14ac:dyDescent="0.25">
      <c r="A330" s="5" t="s">
        <v>348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16.073587574196605</v>
      </c>
      <c r="H330">
        <v>18.761643567881862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17.095644495069799</v>
      </c>
      <c r="Q330">
        <v>15.000831231761289</v>
      </c>
      <c r="R330">
        <v>15.364753415313277</v>
      </c>
      <c r="S330">
        <v>14.59886063568357</v>
      </c>
      <c r="T330">
        <v>15.414292876114592</v>
      </c>
    </row>
    <row r="331" spans="1:20" x14ac:dyDescent="0.25">
      <c r="A331" s="6" t="s">
        <v>349</v>
      </c>
      <c r="B331">
        <v>16.971798414112708</v>
      </c>
      <c r="C331">
        <v>15.525576209648337</v>
      </c>
      <c r="D331">
        <v>15.532397475504352</v>
      </c>
      <c r="E331">
        <v>15.683641055880589</v>
      </c>
      <c r="F331">
        <v>16.231128851183083</v>
      </c>
      <c r="G331">
        <v>16.083571662769224</v>
      </c>
      <c r="H331">
        <v>16.539251146545414</v>
      </c>
      <c r="I331">
        <v>16.103749544706854</v>
      </c>
      <c r="J331">
        <v>16.395515669083963</v>
      </c>
      <c r="K331">
        <v>15.977372258937301</v>
      </c>
      <c r="L331">
        <v>15.638786820096328</v>
      </c>
      <c r="M331">
        <v>17.06367210533152</v>
      </c>
      <c r="N331">
        <v>17.509335568641127</v>
      </c>
      <c r="O331">
        <v>16.776143137576977</v>
      </c>
      <c r="P331">
        <v>17.237802857106391</v>
      </c>
      <c r="Q331">
        <v>16.794065045574239</v>
      </c>
      <c r="R331">
        <v>16.830590921599356</v>
      </c>
      <c r="S331">
        <v>17.512029677810389</v>
      </c>
      <c r="T331">
        <v>17.176681067160704</v>
      </c>
    </row>
    <row r="332" spans="1:20" x14ac:dyDescent="0.25">
      <c r="A332" s="5" t="s">
        <v>350</v>
      </c>
      <c r="B332">
        <v>7.0732038263825414</v>
      </c>
      <c r="C332">
        <v>6.5985704981213207</v>
      </c>
      <c r="D332">
        <v>6.929978290158143</v>
      </c>
      <c r="E332">
        <v>6.8229456166884992</v>
      </c>
      <c r="F332">
        <v>7.782020215072694</v>
      </c>
      <c r="G332">
        <v>6.883245012477289</v>
      </c>
      <c r="H332">
        <v>6.5680384020911688</v>
      </c>
      <c r="I332">
        <v>6.6092666056344642</v>
      </c>
      <c r="J332">
        <v>7.4430723890959092</v>
      </c>
      <c r="K332">
        <v>6.9783238861242003</v>
      </c>
      <c r="L332">
        <v>7.0092599476610946</v>
      </c>
      <c r="M332">
        <v>6.9967192819674402</v>
      </c>
      <c r="N332">
        <v>6.9734387560124871</v>
      </c>
      <c r="O332">
        <v>7.596582493873874</v>
      </c>
      <c r="P332">
        <v>7.1384398018727158</v>
      </c>
      <c r="Q332">
        <v>7.1601670012553003</v>
      </c>
      <c r="R332">
        <v>7.6695574332405059</v>
      </c>
      <c r="S332">
        <v>7.2570620150746592</v>
      </c>
      <c r="T332">
        <v>7.500037013554814</v>
      </c>
    </row>
    <row r="333" spans="1:20" x14ac:dyDescent="0.25">
      <c r="A333" s="6" t="s">
        <v>351</v>
      </c>
      <c r="B333">
        <v>12.51306656604809</v>
      </c>
      <c r="C333">
        <v>12.479039024646248</v>
      </c>
      <c r="D333">
        <v>12.909311737105874</v>
      </c>
      <c r="E333">
        <v>12.926763838528665</v>
      </c>
      <c r="F333">
        <v>13.028120500872792</v>
      </c>
      <c r="G333">
        <v>12.071375480306655</v>
      </c>
      <c r="H333">
        <v>12.074688671100521</v>
      </c>
      <c r="I333">
        <v>12.311070130764206</v>
      </c>
      <c r="J333">
        <v>13.002499573085039</v>
      </c>
      <c r="K333">
        <v>12.691216073959829</v>
      </c>
      <c r="L333">
        <v>12.562128259623524</v>
      </c>
      <c r="M333">
        <v>13.850484640636539</v>
      </c>
      <c r="N333">
        <v>13.290600658874276</v>
      </c>
      <c r="O333">
        <v>13.924821736883588</v>
      </c>
      <c r="P333">
        <v>12.880664244627484</v>
      </c>
      <c r="Q333">
        <v>11.985393328600617</v>
      </c>
      <c r="R333">
        <v>12.740825326029697</v>
      </c>
      <c r="S333">
        <v>13.140405680769156</v>
      </c>
      <c r="T333">
        <v>11.425054691136127</v>
      </c>
    </row>
    <row r="334" spans="1:20" x14ac:dyDescent="0.25">
      <c r="A334" s="5" t="s">
        <v>352</v>
      </c>
      <c r="B334">
        <v>16.708146019389236</v>
      </c>
      <c r="C334">
        <v>15.904768509980459</v>
      </c>
      <c r="D334">
        <v>15.560009706712211</v>
      </c>
      <c r="E334">
        <v>15.560009706712211</v>
      </c>
      <c r="F334">
        <v>16.433317701796351</v>
      </c>
      <c r="G334">
        <v>17.128341532889248</v>
      </c>
      <c r="H334">
        <v>16.472136950686878</v>
      </c>
      <c r="I334">
        <v>16.653583822024409</v>
      </c>
      <c r="J334">
        <v>16.737796825927497</v>
      </c>
      <c r="K334">
        <v>16.566996137028319</v>
      </c>
      <c r="L334">
        <v>15.61687204366789</v>
      </c>
      <c r="M334">
        <v>17.308638218403996</v>
      </c>
      <c r="N334">
        <v>17.871521185654238</v>
      </c>
      <c r="O334">
        <v>17.299300353824663</v>
      </c>
      <c r="P334">
        <v>18.280804010207273</v>
      </c>
      <c r="Q334">
        <v>17.957039256840293</v>
      </c>
      <c r="R334">
        <v>17.503962396542278</v>
      </c>
      <c r="S334">
        <v>0</v>
      </c>
      <c r="T334">
        <v>0</v>
      </c>
    </row>
    <row r="335" spans="1:20" x14ac:dyDescent="0.25">
      <c r="A335" s="6" t="s">
        <v>353</v>
      </c>
      <c r="B335">
        <v>13.989054063984934</v>
      </c>
      <c r="C335">
        <v>14.518787043985698</v>
      </c>
      <c r="D335">
        <v>15.395515669083965</v>
      </c>
      <c r="E335">
        <v>0</v>
      </c>
      <c r="F335">
        <v>0</v>
      </c>
      <c r="G335">
        <v>14.982033636307161</v>
      </c>
      <c r="H335">
        <v>0</v>
      </c>
      <c r="I335">
        <v>15.691254239990466</v>
      </c>
      <c r="J335">
        <v>0</v>
      </c>
      <c r="K335">
        <v>14.679849476718214</v>
      </c>
      <c r="L335">
        <v>14.581071322240041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5">
      <c r="A336" s="5" t="s">
        <v>354</v>
      </c>
      <c r="B336">
        <v>14.691254239990466</v>
      </c>
      <c r="C336">
        <v>15.034328143749375</v>
      </c>
      <c r="D336">
        <v>15.225590667641651</v>
      </c>
      <c r="E336">
        <v>0</v>
      </c>
      <c r="F336">
        <v>14.06367210533152</v>
      </c>
      <c r="G336">
        <v>14.62050146706858</v>
      </c>
      <c r="H336">
        <v>15.171347622857667</v>
      </c>
      <c r="I336">
        <v>13.789972290940359</v>
      </c>
      <c r="J336">
        <v>14.518787043985698</v>
      </c>
      <c r="K336">
        <v>14.287712379549449</v>
      </c>
      <c r="L336">
        <v>14.160739523291683</v>
      </c>
      <c r="M336">
        <v>14.367800290872141</v>
      </c>
      <c r="N336">
        <v>14.022275483500353</v>
      </c>
      <c r="O336">
        <v>14.426948176920622</v>
      </c>
      <c r="P336">
        <v>13.249964697665392</v>
      </c>
      <c r="Q336">
        <v>13.044238270545973</v>
      </c>
      <c r="R336">
        <v>12.562032290794704</v>
      </c>
      <c r="S336">
        <v>11.940936990496361</v>
      </c>
      <c r="T336">
        <v>12.885350375770805</v>
      </c>
    </row>
    <row r="337" spans="1:20" x14ac:dyDescent="0.25">
      <c r="A337" s="6" t="s">
        <v>355</v>
      </c>
      <c r="B337">
        <v>13.312449057870957</v>
      </c>
      <c r="C337">
        <v>12.955617453025782</v>
      </c>
      <c r="D337">
        <v>13.810553168362809</v>
      </c>
      <c r="E337">
        <v>14.267654727208196</v>
      </c>
      <c r="F337">
        <v>12.527295537979191</v>
      </c>
      <c r="G337">
        <v>12.064981994963286</v>
      </c>
      <c r="H337">
        <v>12.896175597251752</v>
      </c>
      <c r="I337">
        <v>12.493342264253995</v>
      </c>
      <c r="J337">
        <v>12.224326790416548</v>
      </c>
      <c r="K337">
        <v>13.174291913067689</v>
      </c>
      <c r="L337">
        <v>12.607586097399791</v>
      </c>
      <c r="M337">
        <v>13.174678714249557</v>
      </c>
      <c r="N337">
        <v>13.783854846972021</v>
      </c>
      <c r="O337">
        <v>12.957957293804702</v>
      </c>
      <c r="P337">
        <v>12.373630110588349</v>
      </c>
      <c r="Q337">
        <v>12.02495451676805</v>
      </c>
      <c r="R337">
        <v>11.561046798645959</v>
      </c>
      <c r="S337">
        <v>10.921404155141557</v>
      </c>
      <c r="T337">
        <v>12.199570782680434</v>
      </c>
    </row>
    <row r="338" spans="1:20" x14ac:dyDescent="0.25">
      <c r="A338" s="5" t="s">
        <v>356</v>
      </c>
      <c r="B338">
        <v>15.895944659593452</v>
      </c>
      <c r="C338">
        <v>14.638786820096328</v>
      </c>
      <c r="D338">
        <v>14.59171856643955</v>
      </c>
      <c r="E338">
        <v>14.179355201459032</v>
      </c>
      <c r="F338">
        <v>15.95887591531991</v>
      </c>
      <c r="G338">
        <v>15.113945311812744</v>
      </c>
      <c r="H338">
        <v>16.093625327433145</v>
      </c>
      <c r="I338">
        <v>15.595285181459742</v>
      </c>
      <c r="J338">
        <v>15.624140044131927</v>
      </c>
      <c r="K338">
        <v>14.977372258937299</v>
      </c>
      <c r="L338">
        <v>15.073587574196603</v>
      </c>
      <c r="M338">
        <v>16.408006613267162</v>
      </c>
      <c r="N338">
        <v>15.83564414932564</v>
      </c>
      <c r="O338">
        <v>15.566996137028319</v>
      </c>
      <c r="P338">
        <v>15.810553168362809</v>
      </c>
      <c r="Q338">
        <v>16.539251146545414</v>
      </c>
      <c r="R338">
        <v>16.264811977439372</v>
      </c>
      <c r="S338">
        <v>15.83564414932564</v>
      </c>
      <c r="T338">
        <v>17.159682990808811</v>
      </c>
    </row>
    <row r="339" spans="1:20" x14ac:dyDescent="0.25">
      <c r="A339" s="6" t="s">
        <v>357</v>
      </c>
      <c r="B339">
        <v>10.713380736954962</v>
      </c>
      <c r="C339">
        <v>8.7564301174754586</v>
      </c>
      <c r="D339">
        <v>8.956907337037153</v>
      </c>
      <c r="E339">
        <v>9.1397170640970842</v>
      </c>
      <c r="F339">
        <v>9.896759979643388</v>
      </c>
      <c r="G339">
        <v>9.4541492647435632</v>
      </c>
      <c r="H339">
        <v>8.3905716873474958</v>
      </c>
      <c r="I339">
        <v>9.612788530921172</v>
      </c>
      <c r="J339">
        <v>10.199733654907549</v>
      </c>
      <c r="K339">
        <v>9.286339767381417</v>
      </c>
      <c r="L339">
        <v>9.3680433658115909</v>
      </c>
      <c r="M339">
        <v>10.794487772062849</v>
      </c>
      <c r="N339">
        <v>10.725137792044865</v>
      </c>
      <c r="O339">
        <v>9.984095267836544</v>
      </c>
      <c r="P339">
        <v>10.365586858047246</v>
      </c>
      <c r="Q339">
        <v>10.694150645980251</v>
      </c>
      <c r="R339">
        <v>10.426005092963592</v>
      </c>
      <c r="S339">
        <v>10.229255604706413</v>
      </c>
      <c r="T339">
        <v>10.566486293958979</v>
      </c>
    </row>
    <row r="340" spans="1:20" x14ac:dyDescent="0.25">
      <c r="A340" s="5" t="s">
        <v>358</v>
      </c>
      <c r="B340">
        <v>11.373963189967844</v>
      </c>
      <c r="C340">
        <v>9.6827609956411269</v>
      </c>
      <c r="D340">
        <v>9.7533070820288454</v>
      </c>
      <c r="E340">
        <v>9.7421319103978039</v>
      </c>
      <c r="F340">
        <v>10.672917742788986</v>
      </c>
      <c r="G340">
        <v>10.639776251887996</v>
      </c>
      <c r="H340">
        <v>11.148177398251098</v>
      </c>
      <c r="I340">
        <v>10.588069693100728</v>
      </c>
      <c r="J340">
        <v>11.17966639141649</v>
      </c>
      <c r="K340">
        <v>10.231996116036905</v>
      </c>
      <c r="L340">
        <v>9.7946863681740055</v>
      </c>
      <c r="M340">
        <v>11.681710844790873</v>
      </c>
      <c r="N340">
        <v>11.833462773901642</v>
      </c>
      <c r="O340">
        <v>10.884564659519953</v>
      </c>
      <c r="P340">
        <v>11.851971787641919</v>
      </c>
      <c r="Q340">
        <v>11.978908849085279</v>
      </c>
      <c r="R340">
        <v>12.359641523821375</v>
      </c>
      <c r="S340">
        <v>11.57382304542417</v>
      </c>
      <c r="T340">
        <v>12.025730322565133</v>
      </c>
    </row>
    <row r="341" spans="1:20" x14ac:dyDescent="0.25">
      <c r="A341" s="6" t="s">
        <v>359</v>
      </c>
      <c r="B341">
        <v>10.171209548643636</v>
      </c>
      <c r="C341">
        <v>8.6619626302688211</v>
      </c>
      <c r="D341">
        <v>8.8946614298023743</v>
      </c>
      <c r="E341">
        <v>8.9746501419837372</v>
      </c>
      <c r="F341">
        <v>9.1563138624749527</v>
      </c>
      <c r="G341">
        <v>9.0077278372741585</v>
      </c>
      <c r="H341">
        <v>8.0248256320923321</v>
      </c>
      <c r="I341">
        <v>9.3302258253714037</v>
      </c>
      <c r="J341">
        <v>9.9375744365573748</v>
      </c>
      <c r="K341">
        <v>8.9474841195567567</v>
      </c>
      <c r="L341">
        <v>8.8058425702953755</v>
      </c>
      <c r="M341">
        <v>10.63287589119631</v>
      </c>
      <c r="N341">
        <v>11.028861838921072</v>
      </c>
      <c r="O341">
        <v>9.7790542832229637</v>
      </c>
      <c r="P341">
        <v>10.324347386634589</v>
      </c>
      <c r="Q341">
        <v>10.617486135331525</v>
      </c>
      <c r="R341">
        <v>10.641577378152618</v>
      </c>
      <c r="S341">
        <v>10.338336198410177</v>
      </c>
      <c r="T341">
        <v>10.313829304216489</v>
      </c>
    </row>
    <row r="342" spans="1:20" x14ac:dyDescent="0.25">
      <c r="A342" s="5" t="s">
        <v>360</v>
      </c>
      <c r="B342">
        <v>12.096459271935736</v>
      </c>
      <c r="C342">
        <v>11.45577840427509</v>
      </c>
      <c r="D342">
        <v>11.887518770549454</v>
      </c>
      <c r="E342">
        <v>11.460584388451819</v>
      </c>
      <c r="F342">
        <v>12.202661703090069</v>
      </c>
      <c r="G342">
        <v>10.91006940919114</v>
      </c>
      <c r="H342">
        <v>11.239204144564884</v>
      </c>
      <c r="I342">
        <v>10.961129013162866</v>
      </c>
      <c r="J342">
        <v>11.370769561972772</v>
      </c>
      <c r="K342">
        <v>11.335900812786742</v>
      </c>
      <c r="L342">
        <v>11.690863086032907</v>
      </c>
      <c r="M342">
        <v>11.711620816717575</v>
      </c>
      <c r="N342">
        <v>12.366862691327199</v>
      </c>
      <c r="O342">
        <v>11.5600053507555</v>
      </c>
      <c r="P342">
        <v>11.610916922376152</v>
      </c>
      <c r="Q342">
        <v>11.031824965314676</v>
      </c>
      <c r="R342">
        <v>11.269074644963062</v>
      </c>
      <c r="S342">
        <v>11.012067587204374</v>
      </c>
      <c r="T342">
        <v>10.345468140936322</v>
      </c>
    </row>
    <row r="343" spans="1:20" x14ac:dyDescent="0.25">
      <c r="A343" s="6" t="s">
        <v>361</v>
      </c>
      <c r="B343">
        <v>13.823044112546006</v>
      </c>
      <c r="C343">
        <v>14.525576209648337</v>
      </c>
      <c r="D343">
        <v>13.823044112546006</v>
      </c>
      <c r="E343">
        <v>13.942883882552009</v>
      </c>
      <c r="F343">
        <v>13.268565591442314</v>
      </c>
      <c r="G343">
        <v>13.733860411368322</v>
      </c>
      <c r="H343">
        <v>13.876286133822985</v>
      </c>
      <c r="I343">
        <v>13.342104676368077</v>
      </c>
      <c r="J343">
        <v>13.700827566697265</v>
      </c>
      <c r="K343">
        <v>13.48200719471094</v>
      </c>
      <c r="L343">
        <v>13.414292876114592</v>
      </c>
      <c r="M343">
        <v>13.712400048862014</v>
      </c>
      <c r="N343">
        <v>13.549593090766873</v>
      </c>
      <c r="O343">
        <v>13.783854846972021</v>
      </c>
      <c r="P343">
        <v>12.937848925953999</v>
      </c>
      <c r="Q343">
        <v>12.736437549013125</v>
      </c>
      <c r="R343">
        <v>13.436513040956156</v>
      </c>
      <c r="S343">
        <v>12.79450570865305</v>
      </c>
      <c r="T343">
        <v>12.978967085440081</v>
      </c>
    </row>
    <row r="344" spans="1:20" x14ac:dyDescent="0.25">
      <c r="A344" s="5" t="s">
        <v>362</v>
      </c>
      <c r="B344">
        <v>13.034412868261331</v>
      </c>
      <c r="C344">
        <v>12.185712764524535</v>
      </c>
      <c r="D344">
        <v>12.206584126495672</v>
      </c>
      <c r="E344">
        <v>12.70207677818715</v>
      </c>
      <c r="F344">
        <v>12.881937801599575</v>
      </c>
      <c r="G344">
        <v>12.327178428671116</v>
      </c>
      <c r="H344">
        <v>12.954471856827221</v>
      </c>
      <c r="I344">
        <v>12.854966720705603</v>
      </c>
      <c r="J344">
        <v>13.10502008203326</v>
      </c>
      <c r="K344">
        <v>12.591878874794723</v>
      </c>
      <c r="L344">
        <v>12.519091870913808</v>
      </c>
      <c r="M344">
        <v>13.243905950218107</v>
      </c>
      <c r="N344">
        <v>13.528982811091586</v>
      </c>
      <c r="O344">
        <v>13.257715383187056</v>
      </c>
      <c r="P344">
        <v>13.187340185442338</v>
      </c>
      <c r="Q344">
        <v>13.067295741735139</v>
      </c>
      <c r="R344">
        <v>12.684182167985783</v>
      </c>
      <c r="S344">
        <v>12.883288782570007</v>
      </c>
      <c r="T344">
        <v>12.813208843371116</v>
      </c>
    </row>
    <row r="345" spans="1:20" x14ac:dyDescent="0.25">
      <c r="A345" s="6" t="s">
        <v>363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15.485312339434612</v>
      </c>
      <c r="H345">
        <v>0</v>
      </c>
      <c r="I345">
        <v>15.231128851183083</v>
      </c>
      <c r="J345">
        <v>15.83564414932564</v>
      </c>
      <c r="K345">
        <v>16.420606650046796</v>
      </c>
      <c r="L345">
        <v>16.242269408788282</v>
      </c>
      <c r="M345">
        <v>16.485312339434611</v>
      </c>
      <c r="N345">
        <v>15.259143227352677</v>
      </c>
      <c r="O345">
        <v>15.144972207433367</v>
      </c>
      <c r="P345">
        <v>15.270503089517227</v>
      </c>
      <c r="Q345">
        <v>0</v>
      </c>
      <c r="R345">
        <v>15.498609162048069</v>
      </c>
      <c r="S345">
        <v>0</v>
      </c>
      <c r="T345">
        <v>0</v>
      </c>
    </row>
    <row r="346" spans="1:20" x14ac:dyDescent="0.25">
      <c r="A346" s="5" t="s">
        <v>364</v>
      </c>
      <c r="B346">
        <v>11.884657395414653</v>
      </c>
      <c r="C346">
        <v>11.533953827109222</v>
      </c>
      <c r="D346">
        <v>11.764953538141743</v>
      </c>
      <c r="E346">
        <v>11.646832363418691</v>
      </c>
      <c r="F346">
        <v>11.779917739350754</v>
      </c>
      <c r="G346">
        <v>10.930334916401474</v>
      </c>
      <c r="H346">
        <v>11.046088769000503</v>
      </c>
      <c r="I346">
        <v>11.031106255564888</v>
      </c>
      <c r="J346">
        <v>11.287413051382689</v>
      </c>
      <c r="K346">
        <v>11.193070925434387</v>
      </c>
      <c r="L346">
        <v>11.189558988938202</v>
      </c>
      <c r="M346">
        <v>11.408708529677302</v>
      </c>
      <c r="N346">
        <v>11.238890305222636</v>
      </c>
      <c r="O346">
        <v>10.988157056963269</v>
      </c>
      <c r="P346">
        <v>10.868135735762193</v>
      </c>
      <c r="Q346">
        <v>10.973436399163399</v>
      </c>
      <c r="R346">
        <v>10.594299022283188</v>
      </c>
      <c r="S346">
        <v>10.454259571001502</v>
      </c>
      <c r="T346">
        <v>10.898528318193238</v>
      </c>
    </row>
    <row r="347" spans="1:20" x14ac:dyDescent="0.25">
      <c r="A347" s="6" t="s">
        <v>365</v>
      </c>
      <c r="B347">
        <v>14.584611679945288</v>
      </c>
      <c r="C347">
        <v>13.965784284662087</v>
      </c>
      <c r="D347">
        <v>14.577539631269786</v>
      </c>
      <c r="E347">
        <v>14.343603580441494</v>
      </c>
      <c r="F347">
        <v>14.211837512574323</v>
      </c>
      <c r="G347">
        <v>13.856891883029679</v>
      </c>
      <c r="H347">
        <v>13.913646661326911</v>
      </c>
      <c r="I347">
        <v>13.695075950942874</v>
      </c>
      <c r="J347">
        <v>13.491945431767057</v>
      </c>
      <c r="K347">
        <v>13.833536486363649</v>
      </c>
      <c r="L347">
        <v>13.59528518145974</v>
      </c>
      <c r="M347">
        <v>14.160739523291683</v>
      </c>
      <c r="N347">
        <v>13.478709604610362</v>
      </c>
      <c r="O347">
        <v>13.535820241145142</v>
      </c>
      <c r="P347">
        <v>13.255371695041591</v>
      </c>
      <c r="Q347">
        <v>12.782614133838486</v>
      </c>
      <c r="R347">
        <v>12.645186390575132</v>
      </c>
      <c r="S347">
        <v>12.407755731596955</v>
      </c>
      <c r="T347">
        <v>13.472136950686879</v>
      </c>
    </row>
    <row r="348" spans="1:20" x14ac:dyDescent="0.25">
      <c r="A348" s="5" t="s">
        <v>366</v>
      </c>
      <c r="B348">
        <v>8.7189694421241946</v>
      </c>
      <c r="C348">
        <v>7.8774102873913749</v>
      </c>
      <c r="D348">
        <v>9.1309234278475451</v>
      </c>
      <c r="E348">
        <v>8.8915083550800826</v>
      </c>
      <c r="F348">
        <v>8.2582864396349063</v>
      </c>
      <c r="G348">
        <v>7.1387874240482931</v>
      </c>
      <c r="H348">
        <v>8.1873422881545661</v>
      </c>
      <c r="I348">
        <v>8.0268718611772432</v>
      </c>
      <c r="J348">
        <v>8.5476450816064506</v>
      </c>
      <c r="K348">
        <v>8.1362947333045064</v>
      </c>
      <c r="L348">
        <v>7.7209745365847509</v>
      </c>
      <c r="M348">
        <v>8.0351044668415614</v>
      </c>
      <c r="N348">
        <v>8.7732902467629241</v>
      </c>
      <c r="O348">
        <v>8.1779385463789041</v>
      </c>
      <c r="P348">
        <v>8.4614883126744207</v>
      </c>
      <c r="Q348">
        <v>9.0096978862668404</v>
      </c>
      <c r="R348">
        <v>8.5645022475207817</v>
      </c>
      <c r="S348">
        <v>9.7161593384653759</v>
      </c>
      <c r="T348">
        <v>9.1035542987972189</v>
      </c>
    </row>
    <row r="349" spans="1:20" x14ac:dyDescent="0.25">
      <c r="A349" s="6" t="s">
        <v>367</v>
      </c>
      <c r="B349">
        <v>0</v>
      </c>
      <c r="C349">
        <v>0</v>
      </c>
      <c r="D349">
        <v>15.931568569324174</v>
      </c>
      <c r="E349">
        <v>0</v>
      </c>
      <c r="F349">
        <v>0</v>
      </c>
      <c r="G349">
        <v>12.96912365740074</v>
      </c>
      <c r="H349">
        <v>14.958875915319911</v>
      </c>
      <c r="I349">
        <v>14.963477817278919</v>
      </c>
      <c r="J349">
        <v>0</v>
      </c>
      <c r="K349">
        <v>14.927067177089235</v>
      </c>
      <c r="L349">
        <v>14.977372258937299</v>
      </c>
      <c r="M349">
        <v>0</v>
      </c>
      <c r="N349">
        <v>0</v>
      </c>
      <c r="O349">
        <v>0</v>
      </c>
      <c r="P349">
        <v>14.015091924886457</v>
      </c>
      <c r="Q349">
        <v>13.869792371737484</v>
      </c>
      <c r="R349">
        <v>14.003198246305205</v>
      </c>
      <c r="S349">
        <v>12.228087141076395</v>
      </c>
      <c r="T349">
        <v>13.442925029470389</v>
      </c>
    </row>
    <row r="350" spans="1:20" x14ac:dyDescent="0.25">
      <c r="A350" s="5" t="s">
        <v>368</v>
      </c>
      <c r="B350">
        <v>10.661348007933203</v>
      </c>
      <c r="C350">
        <v>10.25677074358588</v>
      </c>
      <c r="D350">
        <v>10.019132765574669</v>
      </c>
      <c r="E350">
        <v>10.309243981796083</v>
      </c>
      <c r="F350">
        <v>10.259799307710891</v>
      </c>
      <c r="G350">
        <v>10.731773551553687</v>
      </c>
      <c r="H350">
        <v>10.853006765491282</v>
      </c>
      <c r="I350">
        <v>10.577332413062544</v>
      </c>
      <c r="J350">
        <v>10.795551541102379</v>
      </c>
      <c r="K350">
        <v>10.508330776033869</v>
      </c>
      <c r="L350">
        <v>10.628785725894211</v>
      </c>
      <c r="M350">
        <v>10.980199335305342</v>
      </c>
      <c r="N350">
        <v>10.895046004175267</v>
      </c>
      <c r="O350">
        <v>10.520705986445625</v>
      </c>
      <c r="P350">
        <v>11.534599949519217</v>
      </c>
      <c r="Q350">
        <v>11.966840724136054</v>
      </c>
      <c r="R350">
        <v>12.326244626253137</v>
      </c>
      <c r="S350">
        <v>12.070748509023909</v>
      </c>
      <c r="T350">
        <v>11.836034404709871</v>
      </c>
    </row>
    <row r="351" spans="1:20" x14ac:dyDescent="0.25">
      <c r="A351" s="6" t="s">
        <v>369</v>
      </c>
      <c r="B351">
        <v>10.959048221991399</v>
      </c>
      <c r="C351">
        <v>11.871067171431225</v>
      </c>
      <c r="D351">
        <v>12.033638429302773</v>
      </c>
      <c r="E351">
        <v>11.819097784940407</v>
      </c>
      <c r="F351">
        <v>11.462264573547371</v>
      </c>
      <c r="G351">
        <v>11.199031399723639</v>
      </c>
      <c r="H351">
        <v>10.926233149468565</v>
      </c>
      <c r="I351">
        <v>11.402868332534126</v>
      </c>
      <c r="J351">
        <v>11.812393985726612</v>
      </c>
      <c r="K351">
        <v>12.269469908271034</v>
      </c>
      <c r="L351">
        <v>11.466312367092508</v>
      </c>
      <c r="M351">
        <v>11.004184661956964</v>
      </c>
      <c r="N351">
        <v>11.485531572940925</v>
      </c>
      <c r="O351">
        <v>11.645107837707201</v>
      </c>
      <c r="P351">
        <v>10.558492451620452</v>
      </c>
      <c r="Q351">
        <v>10.313627324009262</v>
      </c>
      <c r="R351">
        <v>10.889348326652275</v>
      </c>
      <c r="S351">
        <v>10.974716190758539</v>
      </c>
      <c r="T351">
        <v>10.962023755963342</v>
      </c>
    </row>
    <row r="352" spans="1:20" x14ac:dyDescent="0.25">
      <c r="A352" s="5" t="s">
        <v>370</v>
      </c>
      <c r="B352">
        <v>9.4228646044610826</v>
      </c>
      <c r="C352">
        <v>10.018183952913347</v>
      </c>
      <c r="D352">
        <v>9.6820544894773573</v>
      </c>
      <c r="E352">
        <v>10.207609049505901</v>
      </c>
      <c r="F352">
        <v>9.5952104150124296</v>
      </c>
      <c r="G352">
        <v>9.9157869656367144</v>
      </c>
      <c r="H352">
        <v>9.1755160271210183</v>
      </c>
      <c r="I352">
        <v>10.191592238763553</v>
      </c>
      <c r="J352">
        <v>9.8602630882708198</v>
      </c>
      <c r="K352">
        <v>9.9677187924267425</v>
      </c>
      <c r="L352">
        <v>9.9562679837029577</v>
      </c>
      <c r="M352">
        <v>9.5434145574206859</v>
      </c>
      <c r="N352">
        <v>10.053022533810886</v>
      </c>
      <c r="O352">
        <v>9.8300786918617202</v>
      </c>
      <c r="P352">
        <v>10.010132238517876</v>
      </c>
      <c r="Q352">
        <v>9.8675129658352496</v>
      </c>
      <c r="R352">
        <v>10.15207408861183</v>
      </c>
      <c r="S352">
        <v>10.684032629874112</v>
      </c>
      <c r="T352">
        <v>9.7066697116872938</v>
      </c>
    </row>
    <row r="353" spans="1:20" x14ac:dyDescent="0.25">
      <c r="A353" s="6" t="s">
        <v>371</v>
      </c>
      <c r="B353">
        <v>16.787522199707468</v>
      </c>
      <c r="C353">
        <v>0</v>
      </c>
      <c r="D353">
        <v>17.170283295962555</v>
      </c>
      <c r="E353">
        <v>0</v>
      </c>
      <c r="F353">
        <v>17.170283295962555</v>
      </c>
      <c r="G353">
        <v>15.769680886947281</v>
      </c>
      <c r="H353">
        <v>15.06367210533152</v>
      </c>
      <c r="I353">
        <v>0</v>
      </c>
      <c r="J353">
        <v>16.677579303093388</v>
      </c>
      <c r="K353">
        <v>0</v>
      </c>
      <c r="L353">
        <v>15.395515669083965</v>
      </c>
      <c r="M353">
        <v>15.818868436574812</v>
      </c>
      <c r="N353">
        <v>16.034328143749374</v>
      </c>
      <c r="O353">
        <v>17.224485577552468</v>
      </c>
      <c r="P353">
        <v>16.113945311812746</v>
      </c>
      <c r="Q353">
        <v>16.134555591488027</v>
      </c>
      <c r="R353">
        <v>16.073587574196605</v>
      </c>
      <c r="S353">
        <v>0</v>
      </c>
      <c r="T353">
        <v>17.157572244213</v>
      </c>
    </row>
    <row r="354" spans="1:20" x14ac:dyDescent="0.25">
      <c r="A354" s="5" t="s">
        <v>372</v>
      </c>
      <c r="B354">
        <v>11.752719503275054</v>
      </c>
      <c r="C354">
        <v>12.010995381027945</v>
      </c>
      <c r="D354">
        <v>11.906473313139916</v>
      </c>
      <c r="E354">
        <v>11.874351183378815</v>
      </c>
      <c r="F354">
        <v>11.642794756784076</v>
      </c>
      <c r="G354">
        <v>12.256324241486098</v>
      </c>
      <c r="H354">
        <v>12.108169482056807</v>
      </c>
      <c r="I354">
        <v>12.293675804630784</v>
      </c>
      <c r="J354">
        <v>11.765325129923296</v>
      </c>
      <c r="K354">
        <v>11.522351615725857</v>
      </c>
      <c r="L354">
        <v>11.807302478160693</v>
      </c>
      <c r="M354">
        <v>11.90065870557458</v>
      </c>
      <c r="N354">
        <v>12.138205864744817</v>
      </c>
      <c r="O354">
        <v>12.240460185095976</v>
      </c>
      <c r="P354">
        <v>12.573022854941067</v>
      </c>
      <c r="Q354">
        <v>12.494648861103215</v>
      </c>
      <c r="R354">
        <v>12.251602961483492</v>
      </c>
      <c r="S354">
        <v>13.146829042210138</v>
      </c>
      <c r="T354">
        <v>12.888661629292459</v>
      </c>
    </row>
    <row r="355" spans="1:20" x14ac:dyDescent="0.25">
      <c r="A355" s="6" t="s">
        <v>373</v>
      </c>
      <c r="B355">
        <v>16.650612255493119</v>
      </c>
      <c r="C355">
        <v>16.671542913362721</v>
      </c>
      <c r="D355">
        <v>15.683641055880589</v>
      </c>
      <c r="E355">
        <v>0</v>
      </c>
      <c r="F355">
        <v>16.34660606860302</v>
      </c>
      <c r="G355">
        <v>15.225590667641651</v>
      </c>
      <c r="H355">
        <v>14.606038237756618</v>
      </c>
      <c r="I355">
        <v>0</v>
      </c>
      <c r="J355">
        <v>0</v>
      </c>
      <c r="K355">
        <v>16.113945311812746</v>
      </c>
      <c r="L355">
        <v>15.485312339434612</v>
      </c>
      <c r="M355">
        <v>16.166033822961197</v>
      </c>
      <c r="N355">
        <v>16.198214228710349</v>
      </c>
      <c r="O355">
        <v>16.640259709495204</v>
      </c>
      <c r="P355">
        <v>15.931568569324174</v>
      </c>
      <c r="Q355">
        <v>15.737796825927495</v>
      </c>
      <c r="R355">
        <v>16.176681067160704</v>
      </c>
      <c r="S355">
        <v>16.408006613267162</v>
      </c>
      <c r="T355">
        <v>15.595285181459742</v>
      </c>
    </row>
    <row r="356" spans="1:20" x14ac:dyDescent="0.25">
      <c r="A356" s="5" t="s">
        <v>374</v>
      </c>
      <c r="B356">
        <v>14.566996137028319</v>
      </c>
      <c r="C356">
        <v>0</v>
      </c>
      <c r="D356">
        <v>14.485312339434612</v>
      </c>
      <c r="E356">
        <v>14.940613708927183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14.346606068603018</v>
      </c>
      <c r="L356">
        <v>0</v>
      </c>
      <c r="M356">
        <v>0</v>
      </c>
      <c r="N356">
        <v>13.863327708011353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5">
      <c r="A357" s="6" t="s">
        <v>375</v>
      </c>
      <c r="B357">
        <v>16.220073662674086</v>
      </c>
      <c r="C357">
        <v>15.420606650046794</v>
      </c>
      <c r="D357">
        <v>0</v>
      </c>
      <c r="E357">
        <v>16.512029677810389</v>
      </c>
      <c r="F357">
        <v>0</v>
      </c>
      <c r="G357">
        <v>0</v>
      </c>
      <c r="H357">
        <v>0</v>
      </c>
      <c r="I357">
        <v>15.802285552379209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16.525576209648339</v>
      </c>
      <c r="T357">
        <v>15.802285552379209</v>
      </c>
    </row>
    <row r="358" spans="1:20" x14ac:dyDescent="0.25">
      <c r="A358" s="5" t="s">
        <v>376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17.099691328132501</v>
      </c>
      <c r="L358">
        <v>0</v>
      </c>
      <c r="M358">
        <v>17.536505769806599</v>
      </c>
      <c r="N358">
        <v>0</v>
      </c>
      <c r="O358">
        <v>0</v>
      </c>
      <c r="P358">
        <v>16.073587574196605</v>
      </c>
      <c r="Q358">
        <v>14.823044112546006</v>
      </c>
      <c r="R358">
        <v>16.618322717536614</v>
      </c>
      <c r="S358">
        <v>16.05382431937517</v>
      </c>
      <c r="T358">
        <v>14.6989078125339</v>
      </c>
    </row>
    <row r="359" spans="1:20" x14ac:dyDescent="0.25">
      <c r="A359" s="6" t="s">
        <v>377</v>
      </c>
      <c r="B359">
        <v>10.724761758280017</v>
      </c>
      <c r="C359">
        <v>12.640932215153709</v>
      </c>
      <c r="D359">
        <v>11.969436035485753</v>
      </c>
      <c r="E359">
        <v>12.155885867585114</v>
      </c>
      <c r="F359">
        <v>12.385090776724057</v>
      </c>
      <c r="G359">
        <v>12.313579587364533</v>
      </c>
      <c r="H359">
        <v>11.558103055253236</v>
      </c>
      <c r="I359">
        <v>12.377286706697785</v>
      </c>
      <c r="J359">
        <v>11.203899927851497</v>
      </c>
      <c r="K359">
        <v>11.064274383283488</v>
      </c>
      <c r="L359">
        <v>12.433397499082849</v>
      </c>
      <c r="M359">
        <v>10.983893646990303</v>
      </c>
      <c r="N359">
        <v>10.478464647225497</v>
      </c>
      <c r="O359">
        <v>11.44492256827402</v>
      </c>
      <c r="P359">
        <v>12.094079393823845</v>
      </c>
      <c r="Q359">
        <v>12.044433268862266</v>
      </c>
      <c r="R359">
        <v>12.059897384423479</v>
      </c>
      <c r="S359">
        <v>12.153872703431205</v>
      </c>
      <c r="T359">
        <v>11.842430628741322</v>
      </c>
    </row>
    <row r="360" spans="1:20" x14ac:dyDescent="0.25">
      <c r="A360" s="5" t="s">
        <v>378</v>
      </c>
      <c r="B360">
        <v>10.908310444319277</v>
      </c>
      <c r="C360">
        <v>12.135217410955404</v>
      </c>
      <c r="D360">
        <v>12.127921755240852</v>
      </c>
      <c r="E360">
        <v>12.656310040863497</v>
      </c>
      <c r="F360">
        <v>12.041407671415511</v>
      </c>
      <c r="G360">
        <v>12.289285774800296</v>
      </c>
      <c r="H360">
        <v>11.616079322953549</v>
      </c>
      <c r="I360">
        <v>12.123016192223302</v>
      </c>
      <c r="J360">
        <v>11.309747453052875</v>
      </c>
      <c r="K360">
        <v>11.317024350217828</v>
      </c>
      <c r="L360">
        <v>12.264123453678447</v>
      </c>
      <c r="M360">
        <v>11.337378349462515</v>
      </c>
      <c r="N360">
        <v>10.828493246192474</v>
      </c>
      <c r="O360">
        <v>11.716093812437897</v>
      </c>
      <c r="P360">
        <v>11.963143685398242</v>
      </c>
      <c r="Q360">
        <v>11.730777833368055</v>
      </c>
      <c r="R360">
        <v>11.910666390862312</v>
      </c>
      <c r="S360">
        <v>12.266545388406218</v>
      </c>
      <c r="T360">
        <v>12.066163150672113</v>
      </c>
    </row>
    <row r="361" spans="1:20" x14ac:dyDescent="0.25">
      <c r="A361" s="6" t="s">
        <v>379</v>
      </c>
      <c r="B361">
        <v>12.56957217545285</v>
      </c>
      <c r="C361">
        <v>14.958875915319911</v>
      </c>
      <c r="D361">
        <v>13.940613708927183</v>
      </c>
      <c r="E361">
        <v>15.802285552379209</v>
      </c>
      <c r="F361">
        <v>11.896340575357796</v>
      </c>
      <c r="G361">
        <v>11.090315594285808</v>
      </c>
      <c r="H361">
        <v>11.724647014246658</v>
      </c>
      <c r="I361">
        <v>12.903375167888973</v>
      </c>
      <c r="J361">
        <v>11.323117827691137</v>
      </c>
      <c r="K361">
        <v>10.238569562221414</v>
      </c>
      <c r="L361">
        <v>13.176307083590325</v>
      </c>
      <c r="M361">
        <v>12.720605063722873</v>
      </c>
      <c r="N361">
        <v>12.513564199794603</v>
      </c>
      <c r="O361">
        <v>12.454514623267311</v>
      </c>
      <c r="P361">
        <v>10.696415945106242</v>
      </c>
      <c r="Q361">
        <v>8.8251436892961781</v>
      </c>
      <c r="R361">
        <v>11.009364773153784</v>
      </c>
      <c r="S361">
        <v>9.0077694249928193</v>
      </c>
      <c r="T361">
        <v>9.1320902300725812</v>
      </c>
    </row>
    <row r="362" spans="1:20" x14ac:dyDescent="0.25">
      <c r="A362" s="5" t="s">
        <v>380</v>
      </c>
      <c r="B362">
        <v>13.055137573109093</v>
      </c>
      <c r="C362">
        <v>15.940613708927183</v>
      </c>
      <c r="D362">
        <v>14.638786820096328</v>
      </c>
      <c r="E362">
        <v>16.861179241432779</v>
      </c>
      <c r="F362">
        <v>12.561831649324667</v>
      </c>
      <c r="G362">
        <v>11.76421064158566</v>
      </c>
      <c r="H362">
        <v>12.446487966098525</v>
      </c>
      <c r="I362">
        <v>13.629615174198079</v>
      </c>
      <c r="J362">
        <v>12.143757405273677</v>
      </c>
      <c r="K362">
        <v>10.698433067485837</v>
      </c>
      <c r="L362">
        <v>13.743721659884601</v>
      </c>
      <c r="M362">
        <v>13.255385802252075</v>
      </c>
      <c r="N362">
        <v>13.073898533361699</v>
      </c>
      <c r="O362">
        <v>12.813219226692688</v>
      </c>
      <c r="P362">
        <v>11.371965866201032</v>
      </c>
      <c r="Q362">
        <v>9.1701469858077758</v>
      </c>
      <c r="R362">
        <v>11.574060549981507</v>
      </c>
      <c r="S362">
        <v>9.4156450518138026</v>
      </c>
      <c r="T362">
        <v>9.6962603462067598</v>
      </c>
    </row>
    <row r="363" spans="1:20" x14ac:dyDescent="0.25">
      <c r="A363" s="6" t="s">
        <v>381</v>
      </c>
      <c r="B363">
        <v>14.239476193896602</v>
      </c>
      <c r="C363">
        <v>16.446141742153934</v>
      </c>
      <c r="D363">
        <v>15.334633426936943</v>
      </c>
      <c r="E363">
        <v>17.313329913728719</v>
      </c>
      <c r="F363">
        <v>13.447752792059918</v>
      </c>
      <c r="G363">
        <v>12.757981370060332</v>
      </c>
      <c r="H363">
        <v>13.293494732143458</v>
      </c>
      <c r="I363">
        <v>14.389310519557256</v>
      </c>
      <c r="J363">
        <v>12.905233256544257</v>
      </c>
      <c r="K363">
        <v>11.857523467900046</v>
      </c>
      <c r="L363">
        <v>14.726019658151142</v>
      </c>
      <c r="M363">
        <v>14.525576209648337</v>
      </c>
      <c r="N363">
        <v>14.361712960993227</v>
      </c>
      <c r="O363">
        <v>14.111389606908986</v>
      </c>
      <c r="P363">
        <v>12.485717740752277</v>
      </c>
      <c r="Q363">
        <v>10.369371945672667</v>
      </c>
      <c r="R363">
        <v>12.70053944066877</v>
      </c>
      <c r="S363">
        <v>10.603627516455042</v>
      </c>
      <c r="T363">
        <v>10.797239801176316</v>
      </c>
    </row>
    <row r="364" spans="1:20" x14ac:dyDescent="0.25">
      <c r="A364" s="5" t="s">
        <v>382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16.322759326648651</v>
      </c>
      <c r="Q364">
        <v>15.408006613267162</v>
      </c>
      <c r="R364">
        <v>15.785891114128539</v>
      </c>
      <c r="S364">
        <v>15.745702024012841</v>
      </c>
      <c r="T364">
        <v>15.61687204366789</v>
      </c>
    </row>
    <row r="365" spans="1:20" x14ac:dyDescent="0.25">
      <c r="A365" s="6" t="s">
        <v>383</v>
      </c>
      <c r="B365">
        <v>0</v>
      </c>
      <c r="C365">
        <v>0</v>
      </c>
      <c r="D365">
        <v>14.27621674071162</v>
      </c>
      <c r="E365">
        <v>14.423773929125478</v>
      </c>
      <c r="F365">
        <v>13.913646661326911</v>
      </c>
      <c r="G365">
        <v>11.598596643066113</v>
      </c>
      <c r="H365">
        <v>13.214838261244536</v>
      </c>
      <c r="I365">
        <v>14.322759326648649</v>
      </c>
      <c r="J365">
        <v>0</v>
      </c>
      <c r="K365">
        <v>12.94338380050972</v>
      </c>
      <c r="L365">
        <v>12.778715888537064</v>
      </c>
      <c r="M365">
        <v>13.706602204323898</v>
      </c>
      <c r="N365">
        <v>13.537534673956392</v>
      </c>
      <c r="O365">
        <v>13.945157634072132</v>
      </c>
      <c r="P365">
        <v>12.253581199600736</v>
      </c>
      <c r="Q365">
        <v>12.121993348669079</v>
      </c>
      <c r="R365">
        <v>11.995684561836107</v>
      </c>
      <c r="S365">
        <v>10.131173377466432</v>
      </c>
      <c r="T365">
        <v>12.024689996224424</v>
      </c>
    </row>
    <row r="366" spans="1:20" x14ac:dyDescent="0.25">
      <c r="A366" s="5" t="s">
        <v>384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17.089595450396995</v>
      </c>
      <c r="H366">
        <v>17.498609162048069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17.269363069670558</v>
      </c>
      <c r="R366">
        <v>17.680606995790956</v>
      </c>
      <c r="S366">
        <v>17.153359992926084</v>
      </c>
      <c r="T366">
        <v>17.007468683683435</v>
      </c>
    </row>
    <row r="367" spans="1:20" x14ac:dyDescent="0.25">
      <c r="A367" s="6" t="s">
        <v>385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16.287712379549451</v>
      </c>
      <c r="I367">
        <v>0</v>
      </c>
      <c r="J367">
        <v>0</v>
      </c>
      <c r="K367">
        <v>16.78426187054388</v>
      </c>
      <c r="L367">
        <v>0</v>
      </c>
      <c r="M367">
        <v>0</v>
      </c>
      <c r="N367">
        <v>0</v>
      </c>
      <c r="O367">
        <v>0</v>
      </c>
      <c r="P367">
        <v>16.662535422868938</v>
      </c>
      <c r="Q367">
        <v>15.595285181459742</v>
      </c>
      <c r="R367">
        <v>15.887174449965721</v>
      </c>
      <c r="S367">
        <v>15.299300353824661</v>
      </c>
      <c r="T367">
        <v>15.794065045574239</v>
      </c>
    </row>
    <row r="368" spans="1:20" x14ac:dyDescent="0.25">
      <c r="A368" s="5" t="s">
        <v>386</v>
      </c>
      <c r="B368">
        <v>13.677957417377007</v>
      </c>
      <c r="C368">
        <v>12.791546627216828</v>
      </c>
      <c r="D368">
        <v>12.813136162212489</v>
      </c>
      <c r="E368">
        <v>12.722758711195393</v>
      </c>
      <c r="F368">
        <v>13.048962199116076</v>
      </c>
      <c r="G368">
        <v>13.436513040956156</v>
      </c>
      <c r="H368">
        <v>13.197685518208754</v>
      </c>
      <c r="I368">
        <v>13.099463392218116</v>
      </c>
      <c r="J368">
        <v>13.352629856230788</v>
      </c>
      <c r="K368">
        <v>12.839773545839707</v>
      </c>
      <c r="L368">
        <v>12.847355449224652</v>
      </c>
      <c r="M368">
        <v>14.313917449896843</v>
      </c>
      <c r="N368">
        <v>15.293494732143458</v>
      </c>
      <c r="O368">
        <v>13.319806009259304</v>
      </c>
      <c r="P368">
        <v>13.787930259402136</v>
      </c>
      <c r="Q368">
        <v>14.45908079786143</v>
      </c>
      <c r="R368">
        <v>13.75365077712833</v>
      </c>
      <c r="S368">
        <v>13.963477817278919</v>
      </c>
      <c r="T368">
        <v>13.850484640636539</v>
      </c>
    </row>
    <row r="369" spans="1:20" x14ac:dyDescent="0.25">
      <c r="A369" s="6" t="s">
        <v>387</v>
      </c>
      <c r="B369">
        <v>15.247872115017659</v>
      </c>
      <c r="C369">
        <v>15.395515669083965</v>
      </c>
      <c r="D369">
        <v>14.522177633186471</v>
      </c>
      <c r="E369">
        <v>14.549593090766873</v>
      </c>
      <c r="F369">
        <v>15.574016564706092</v>
      </c>
      <c r="G369">
        <v>0</v>
      </c>
      <c r="H369">
        <v>14.958875915319911</v>
      </c>
      <c r="I369">
        <v>15.058739809789289</v>
      </c>
      <c r="J369">
        <v>15.395515669083965</v>
      </c>
      <c r="K369">
        <v>14.714337853103507</v>
      </c>
      <c r="L369">
        <v>14.62050146706858</v>
      </c>
      <c r="M369">
        <v>0</v>
      </c>
      <c r="N369">
        <v>15.827231909509438</v>
      </c>
      <c r="O369">
        <v>14.6989078125339</v>
      </c>
      <c r="P369">
        <v>15.119070343990609</v>
      </c>
      <c r="Q369">
        <v>15.802285552379209</v>
      </c>
      <c r="R369">
        <v>15.000831231761289</v>
      </c>
      <c r="S369">
        <v>15.940613708927183</v>
      </c>
      <c r="T369">
        <v>15.383131944628133</v>
      </c>
    </row>
    <row r="370" spans="1:20" x14ac:dyDescent="0.25">
      <c r="A370" s="5" t="s">
        <v>388</v>
      </c>
      <c r="B370">
        <v>14.361712960993227</v>
      </c>
      <c r="C370">
        <v>13.3693261451031</v>
      </c>
      <c r="D370">
        <v>12.736969287470238</v>
      </c>
      <c r="E370">
        <v>12.724583542744362</v>
      </c>
      <c r="F370">
        <v>13.505303814622076</v>
      </c>
      <c r="G370">
        <v>13.202940551110267</v>
      </c>
      <c r="H370">
        <v>13.417446309153467</v>
      </c>
      <c r="I370">
        <v>13.067580576651922</v>
      </c>
      <c r="J370">
        <v>14.007943957955854</v>
      </c>
      <c r="K370">
        <v>12.742999503633017</v>
      </c>
      <c r="L370">
        <v>12.99367103039846</v>
      </c>
      <c r="M370">
        <v>13.975047205991057</v>
      </c>
      <c r="N370">
        <v>13.794065045574239</v>
      </c>
      <c r="O370">
        <v>12.947024788065493</v>
      </c>
      <c r="P370">
        <v>13.806413438001886</v>
      </c>
      <c r="Q370">
        <v>14.066144591011041</v>
      </c>
      <c r="R370">
        <v>14.364753415313277</v>
      </c>
      <c r="S370">
        <v>13.852617227929352</v>
      </c>
      <c r="T370">
        <v>14.121639703602744</v>
      </c>
    </row>
    <row r="371" spans="1:20" x14ac:dyDescent="0.25">
      <c r="A371" s="6" t="s">
        <v>389</v>
      </c>
      <c r="B371">
        <v>13.808481818343115</v>
      </c>
      <c r="C371">
        <v>13.319806009259304</v>
      </c>
      <c r="D371">
        <v>13.457457055381768</v>
      </c>
      <c r="E371">
        <v>13.390859306652745</v>
      </c>
      <c r="F371">
        <v>13.67229608228658</v>
      </c>
      <c r="G371">
        <v>13.874118297140276</v>
      </c>
      <c r="H371">
        <v>13.59171856643955</v>
      </c>
      <c r="I371">
        <v>13.501952605122439</v>
      </c>
      <c r="J371">
        <v>13.510345270099036</v>
      </c>
      <c r="K371">
        <v>13.574016564706092</v>
      </c>
      <c r="L371">
        <v>13.771697232545785</v>
      </c>
      <c r="M371">
        <v>14.553056946070445</v>
      </c>
      <c r="N371">
        <v>14.446141742153932</v>
      </c>
      <c r="O371">
        <v>13.500279915032584</v>
      </c>
      <c r="P371">
        <v>14.214577674919234</v>
      </c>
      <c r="Q371">
        <v>14.436513040956156</v>
      </c>
      <c r="R371">
        <v>14.627787821147072</v>
      </c>
      <c r="S371">
        <v>14.549593090766873</v>
      </c>
      <c r="T371">
        <v>14.865479378866404</v>
      </c>
    </row>
    <row r="372" spans="1:20" x14ac:dyDescent="0.25">
      <c r="A372" s="5" t="s">
        <v>390</v>
      </c>
      <c r="B372">
        <v>13.179837072476037</v>
      </c>
      <c r="C372">
        <v>12.836857451257963</v>
      </c>
      <c r="D372">
        <v>12.412813140326923</v>
      </c>
      <c r="E372">
        <v>12.347726094716739</v>
      </c>
      <c r="F372">
        <v>12.874985040957807</v>
      </c>
      <c r="G372">
        <v>12.703981504164764</v>
      </c>
      <c r="H372">
        <v>12.682834511120609</v>
      </c>
      <c r="I372">
        <v>12.883397787794113</v>
      </c>
      <c r="J372">
        <v>12.841011497516751</v>
      </c>
      <c r="K372">
        <v>12.436249157461676</v>
      </c>
      <c r="L372">
        <v>12.371350390929182</v>
      </c>
      <c r="M372">
        <v>13.624140044131927</v>
      </c>
      <c r="N372">
        <v>13.597071800933756</v>
      </c>
      <c r="O372">
        <v>12.730522883079118</v>
      </c>
      <c r="P372">
        <v>13.556529137977249</v>
      </c>
      <c r="Q372">
        <v>14.334633426936943</v>
      </c>
      <c r="R372">
        <v>13.884990202703845</v>
      </c>
      <c r="S372">
        <v>13.918106309517611</v>
      </c>
      <c r="T372">
        <v>13.563498692792091</v>
      </c>
    </row>
    <row r="373" spans="1:20" x14ac:dyDescent="0.25">
      <c r="A373" s="6" t="s">
        <v>391</v>
      </c>
      <c r="B373">
        <v>15.231128851183083</v>
      </c>
      <c r="C373">
        <v>14.940613708927183</v>
      </c>
      <c r="D373">
        <v>14.638786820096328</v>
      </c>
      <c r="E373">
        <v>14.702749878828294</v>
      </c>
      <c r="F373">
        <v>15.310982158872298</v>
      </c>
      <c r="G373">
        <v>14.749670926215785</v>
      </c>
      <c r="H373">
        <v>14.852617227929352</v>
      </c>
      <c r="I373">
        <v>15.310982158872298</v>
      </c>
      <c r="J373">
        <v>15.000831231761289</v>
      </c>
      <c r="K373">
        <v>15.024677973715658</v>
      </c>
      <c r="L373">
        <v>14.653583822024411</v>
      </c>
      <c r="M373">
        <v>0</v>
      </c>
      <c r="N373">
        <v>0</v>
      </c>
      <c r="O373">
        <v>14.996108821518886</v>
      </c>
      <c r="P373">
        <v>15.073587574196603</v>
      </c>
      <c r="Q373">
        <v>0</v>
      </c>
      <c r="R373">
        <v>0</v>
      </c>
      <c r="S373">
        <v>0</v>
      </c>
      <c r="T373">
        <v>15.491945431767057</v>
      </c>
    </row>
    <row r="374" spans="1:20" x14ac:dyDescent="0.25">
      <c r="A374" s="5" t="s">
        <v>392</v>
      </c>
      <c r="B374">
        <v>12.033995345613251</v>
      </c>
      <c r="C374">
        <v>11.371040841131864</v>
      </c>
      <c r="D374">
        <v>11.083440173119753</v>
      </c>
      <c r="E374">
        <v>10.825859066897328</v>
      </c>
      <c r="F374">
        <v>11.654202119576478</v>
      </c>
      <c r="G374">
        <v>11.987799582161161</v>
      </c>
      <c r="H374">
        <v>12.407442190848347</v>
      </c>
      <c r="I374">
        <v>11.640043284632256</v>
      </c>
      <c r="J374">
        <v>12.092931890726266</v>
      </c>
      <c r="K374">
        <v>12.01157903890134</v>
      </c>
      <c r="L374">
        <v>12.184268453750402</v>
      </c>
      <c r="M374">
        <v>12.993776935705235</v>
      </c>
      <c r="N374">
        <v>14.179355201459032</v>
      </c>
      <c r="O374">
        <v>11.611047788278716</v>
      </c>
      <c r="P374">
        <v>13.355651208206025</v>
      </c>
      <c r="Q374">
        <v>13.537534673956392</v>
      </c>
      <c r="R374">
        <v>13.415868731040131</v>
      </c>
      <c r="S374">
        <v>13.249107635779051</v>
      </c>
      <c r="T374">
        <v>13.572258252433731</v>
      </c>
    </row>
    <row r="375" spans="1:20" x14ac:dyDescent="0.25">
      <c r="A375" s="6" t="s">
        <v>393</v>
      </c>
      <c r="B375">
        <v>14.895944659593452</v>
      </c>
      <c r="C375">
        <v>14.495273449484813</v>
      </c>
      <c r="D375">
        <v>14.595285181459742</v>
      </c>
      <c r="E375">
        <v>14.53582024114514</v>
      </c>
      <c r="F375">
        <v>15.048925519962333</v>
      </c>
      <c r="G375">
        <v>14.455835138357777</v>
      </c>
      <c r="H375">
        <v>15.446141742153934</v>
      </c>
      <c r="I375">
        <v>14.525576209648337</v>
      </c>
      <c r="J375">
        <v>14.386217924501876</v>
      </c>
      <c r="K375">
        <v>14.861179241432778</v>
      </c>
      <c r="L375">
        <v>14.532397475504352</v>
      </c>
      <c r="M375">
        <v>0</v>
      </c>
      <c r="N375">
        <v>14.982033636307161</v>
      </c>
      <c r="O375">
        <v>15.039177543410771</v>
      </c>
      <c r="P375">
        <v>14.737796825927495</v>
      </c>
      <c r="Q375">
        <v>14.794065045574239</v>
      </c>
      <c r="R375">
        <v>14.546137532130656</v>
      </c>
      <c r="S375">
        <v>14.261974818135842</v>
      </c>
      <c r="T375">
        <v>14.549593090766873</v>
      </c>
    </row>
    <row r="376" spans="1:20" x14ac:dyDescent="0.25">
      <c r="A376" s="5" t="s">
        <v>394</v>
      </c>
      <c r="B376">
        <v>14.525576209648337</v>
      </c>
      <c r="C376">
        <v>14.370853614849695</v>
      </c>
      <c r="D376">
        <v>13.638786820096328</v>
      </c>
      <c r="E376">
        <v>13.837754895921446</v>
      </c>
      <c r="F376">
        <v>14.039177543410771</v>
      </c>
      <c r="G376">
        <v>14.46233377565652</v>
      </c>
      <c r="H376">
        <v>14.48200719471094</v>
      </c>
      <c r="I376">
        <v>13.876286133822985</v>
      </c>
      <c r="J376">
        <v>14.376979717646538</v>
      </c>
      <c r="K376">
        <v>14.253496664211537</v>
      </c>
      <c r="L376">
        <v>14.007943957955854</v>
      </c>
      <c r="M376">
        <v>14.267654727208196</v>
      </c>
      <c r="N376">
        <v>14.972725894080934</v>
      </c>
      <c r="O376">
        <v>14.041608369665534</v>
      </c>
      <c r="P376">
        <v>14.498609162048069</v>
      </c>
      <c r="Q376">
        <v>14.606038237756618</v>
      </c>
      <c r="R376">
        <v>14.61687204366789</v>
      </c>
      <c r="S376">
        <v>14.785891114128539</v>
      </c>
      <c r="T376">
        <v>14.404873723782199</v>
      </c>
    </row>
    <row r="377" spans="1:20" x14ac:dyDescent="0.25">
      <c r="A377" s="6" t="s">
        <v>395</v>
      </c>
      <c r="B377">
        <v>13.423773929125478</v>
      </c>
      <c r="C377">
        <v>13.537534673956392</v>
      </c>
      <c r="D377">
        <v>13.551323978845989</v>
      </c>
      <c r="E377">
        <v>13.763648703772239</v>
      </c>
      <c r="F377">
        <v>14.67229608228658</v>
      </c>
      <c r="G377">
        <v>14.198214228710349</v>
      </c>
      <c r="H377">
        <v>13.704674755752785</v>
      </c>
      <c r="I377">
        <v>14.319806009259304</v>
      </c>
      <c r="J377">
        <v>14.007943957955854</v>
      </c>
      <c r="K377">
        <v>13.984369985062118</v>
      </c>
      <c r="L377">
        <v>13.48200719471094</v>
      </c>
      <c r="M377">
        <v>14.066144591011041</v>
      </c>
      <c r="N377">
        <v>14.056279971101485</v>
      </c>
      <c r="O377">
        <v>14.423773929125478</v>
      </c>
      <c r="P377">
        <v>14.041608369665534</v>
      </c>
      <c r="Q377">
        <v>14.741744010444156</v>
      </c>
      <c r="R377">
        <v>14.022275483500353</v>
      </c>
      <c r="S377">
        <v>14.522177633186471</v>
      </c>
      <c r="T377">
        <v>14.319806009259304</v>
      </c>
    </row>
    <row r="378" spans="1:20" x14ac:dyDescent="0.25">
      <c r="A378" s="5" t="s">
        <v>396</v>
      </c>
      <c r="B378">
        <v>10.763648703772239</v>
      </c>
      <c r="C378">
        <v>10.875941772161148</v>
      </c>
      <c r="D378">
        <v>11.710900038790188</v>
      </c>
      <c r="E378">
        <v>11.800045961815393</v>
      </c>
      <c r="F378">
        <v>10.842465065313855</v>
      </c>
      <c r="G378">
        <v>10.549582279243827</v>
      </c>
      <c r="H378">
        <v>10.977846448332899</v>
      </c>
      <c r="I378">
        <v>10.38497309460163</v>
      </c>
      <c r="J378">
        <v>9.9202602344812583</v>
      </c>
      <c r="K378">
        <v>10.980079851300792</v>
      </c>
      <c r="L378">
        <v>10.445025132320737</v>
      </c>
      <c r="M378">
        <v>10.448843285122285</v>
      </c>
      <c r="N378">
        <v>9.8959955176892933</v>
      </c>
      <c r="O378">
        <v>10.316648960823276</v>
      </c>
      <c r="P378">
        <v>10.084207365073528</v>
      </c>
      <c r="Q378">
        <v>9.905168238345329</v>
      </c>
      <c r="R378">
        <v>9.7209203575432213</v>
      </c>
      <c r="S378">
        <v>9.9263735244103817</v>
      </c>
      <c r="T378">
        <v>9.7077357823568899</v>
      </c>
    </row>
    <row r="379" spans="1:20" x14ac:dyDescent="0.25">
      <c r="A379" s="6" t="s">
        <v>397</v>
      </c>
      <c r="B379">
        <v>12.025706260302904</v>
      </c>
      <c r="C379">
        <v>13.618685614039819</v>
      </c>
      <c r="D379">
        <v>13.755644827260419</v>
      </c>
      <c r="E379">
        <v>13.140861683540262</v>
      </c>
      <c r="F379">
        <v>11.425221313415932</v>
      </c>
      <c r="G379">
        <v>11.620469669984207</v>
      </c>
      <c r="H379">
        <v>12.057060515561602</v>
      </c>
      <c r="I379">
        <v>11.864833540592143</v>
      </c>
      <c r="J379">
        <v>12.338274563253718</v>
      </c>
      <c r="K379">
        <v>11.782273632854125</v>
      </c>
      <c r="L379">
        <v>12.795264374340132</v>
      </c>
      <c r="M379">
        <v>12.623311461102876</v>
      </c>
      <c r="N379">
        <v>13.070245887277466</v>
      </c>
      <c r="O379">
        <v>13.818868436574812</v>
      </c>
      <c r="P379">
        <v>10.917528565552916</v>
      </c>
      <c r="Q379">
        <v>9.4141324324630169</v>
      </c>
      <c r="R379">
        <v>10.104688046166377</v>
      </c>
      <c r="S379">
        <v>10.927176731689967</v>
      </c>
      <c r="T379">
        <v>8.8483478865447633</v>
      </c>
    </row>
    <row r="380" spans="1:20" x14ac:dyDescent="0.25">
      <c r="A380" s="5" t="s">
        <v>398</v>
      </c>
      <c r="B380">
        <v>12.448833202853422</v>
      </c>
      <c r="C380">
        <v>13.670413896708604</v>
      </c>
      <c r="D380">
        <v>0</v>
      </c>
      <c r="E380">
        <v>0</v>
      </c>
      <c r="F380">
        <v>11.767476216109404</v>
      </c>
      <c r="G380">
        <v>11.476097497711708</v>
      </c>
      <c r="H380">
        <v>12.577028253010141</v>
      </c>
      <c r="I380">
        <v>11.948107477530309</v>
      </c>
      <c r="J380">
        <v>12.572284611292812</v>
      </c>
      <c r="K380">
        <v>12.135548434574648</v>
      </c>
      <c r="L380">
        <v>12.999259314327588</v>
      </c>
      <c r="M380">
        <v>12.858455292714321</v>
      </c>
      <c r="N380">
        <v>12.333769261089175</v>
      </c>
      <c r="O380">
        <v>13.920341313900922</v>
      </c>
      <c r="P380">
        <v>11.075578872015694</v>
      </c>
      <c r="Q380">
        <v>9.7220372222870868</v>
      </c>
      <c r="R380">
        <v>10.779790914592121</v>
      </c>
      <c r="S380">
        <v>11.185736288525291</v>
      </c>
      <c r="T380">
        <v>9.1755719208782551</v>
      </c>
    </row>
    <row r="381" spans="1:20" x14ac:dyDescent="0.25">
      <c r="A381" s="6" t="s">
        <v>399</v>
      </c>
      <c r="B381">
        <v>12.672946006450342</v>
      </c>
      <c r="C381">
        <v>13.480357457491845</v>
      </c>
      <c r="D381">
        <v>14.505303814622076</v>
      </c>
      <c r="E381">
        <v>0</v>
      </c>
      <c r="F381">
        <v>0</v>
      </c>
      <c r="G381">
        <v>11.772696367314511</v>
      </c>
      <c r="H381">
        <v>12.111708822540534</v>
      </c>
      <c r="I381">
        <v>12.156425820549508</v>
      </c>
      <c r="J381">
        <v>12.32251544902323</v>
      </c>
      <c r="K381">
        <v>12.445964636446474</v>
      </c>
      <c r="L381">
        <v>13.225659763886348</v>
      </c>
      <c r="M381">
        <v>12.603225746883872</v>
      </c>
      <c r="N381">
        <v>12.500472175733552</v>
      </c>
      <c r="O381">
        <v>0</v>
      </c>
      <c r="P381">
        <v>11.185591790007733</v>
      </c>
      <c r="Q381">
        <v>10.043391552368153</v>
      </c>
      <c r="R381">
        <v>10.771144977745239</v>
      </c>
      <c r="S381">
        <v>11.322766717523324</v>
      </c>
      <c r="T381">
        <v>9.5062425007915596</v>
      </c>
    </row>
    <row r="382" spans="1:20" x14ac:dyDescent="0.25">
      <c r="A382" s="5" t="s">
        <v>400</v>
      </c>
      <c r="B382">
        <v>12.013283718299885</v>
      </c>
      <c r="C382">
        <v>12.313418028901699</v>
      </c>
      <c r="D382">
        <v>12.720478478641436</v>
      </c>
      <c r="E382">
        <v>12.545887325621704</v>
      </c>
      <c r="F382">
        <v>11.481491449150486</v>
      </c>
      <c r="G382">
        <v>10.727973408213792</v>
      </c>
      <c r="H382">
        <v>11.437885213250716</v>
      </c>
      <c r="I382">
        <v>11.2308514365027</v>
      </c>
      <c r="J382">
        <v>12.091054980485573</v>
      </c>
      <c r="K382">
        <v>11.186106001776478</v>
      </c>
      <c r="L382">
        <v>11.620528722270125</v>
      </c>
      <c r="M382">
        <v>11.370639671703429</v>
      </c>
      <c r="N382">
        <v>10.948258548804889</v>
      </c>
      <c r="O382">
        <v>13.025062743698172</v>
      </c>
      <c r="P382">
        <v>10.17477209559144</v>
      </c>
      <c r="Q382">
        <v>8.9536640425747294</v>
      </c>
      <c r="R382">
        <v>10.605489686212151</v>
      </c>
      <c r="S382">
        <v>9.7048192251062684</v>
      </c>
      <c r="T382">
        <v>8.4517297096276316</v>
      </c>
    </row>
    <row r="383" spans="1:20" x14ac:dyDescent="0.25">
      <c r="A383" s="6" t="s">
        <v>401</v>
      </c>
      <c r="B383">
        <v>15.6989078125339</v>
      </c>
      <c r="C383">
        <v>16.890676138677275</v>
      </c>
      <c r="D383">
        <v>0</v>
      </c>
      <c r="E383">
        <v>0</v>
      </c>
      <c r="F383">
        <v>14.325718702129196</v>
      </c>
      <c r="G383">
        <v>13.588160747026361</v>
      </c>
      <c r="H383">
        <v>15.352629856230788</v>
      </c>
      <c r="I383">
        <v>13.852617227929352</v>
      </c>
      <c r="J383">
        <v>13.833536486363649</v>
      </c>
      <c r="K383">
        <v>15.472136950686876</v>
      </c>
      <c r="L383">
        <v>14.657306908067127</v>
      </c>
      <c r="M383">
        <v>14.895944659593452</v>
      </c>
      <c r="N383">
        <v>13.989054063984934</v>
      </c>
      <c r="O383">
        <v>15.073587574196603</v>
      </c>
      <c r="P383">
        <v>12.298660590638681</v>
      </c>
      <c r="Q383">
        <v>10.888661629292461</v>
      </c>
      <c r="R383">
        <v>10.893878862877461</v>
      </c>
      <c r="S383">
        <v>11.574579677531698</v>
      </c>
      <c r="T383">
        <v>11.36569725871909</v>
      </c>
    </row>
    <row r="384" spans="1:20" x14ac:dyDescent="0.25">
      <c r="A384" s="5" t="s">
        <v>402</v>
      </c>
      <c r="B384">
        <v>13.904768509980459</v>
      </c>
      <c r="C384">
        <v>13.789972290940359</v>
      </c>
      <c r="D384">
        <v>14.287712379549449</v>
      </c>
      <c r="E384">
        <v>14.560009706712211</v>
      </c>
      <c r="F384">
        <v>13.283750413397026</v>
      </c>
      <c r="G384">
        <v>12.918262647172069</v>
      </c>
      <c r="H384">
        <v>12.847940326319112</v>
      </c>
      <c r="I384">
        <v>13.378515316557763</v>
      </c>
      <c r="J384">
        <v>0</v>
      </c>
      <c r="K384">
        <v>14.039177543410771</v>
      </c>
      <c r="L384">
        <v>13.773716400182437</v>
      </c>
      <c r="M384">
        <v>14.003198246305205</v>
      </c>
      <c r="N384">
        <v>13.952000469228988</v>
      </c>
      <c r="O384">
        <v>13.816785122074323</v>
      </c>
      <c r="P384">
        <v>13.530689133041991</v>
      </c>
      <c r="Q384">
        <v>13.105910124390507</v>
      </c>
      <c r="R384">
        <v>14.166033822961197</v>
      </c>
      <c r="S384">
        <v>13.20709564430366</v>
      </c>
      <c r="T384">
        <v>12.516621241303266</v>
      </c>
    </row>
    <row r="385" spans="1:20" x14ac:dyDescent="0.25">
      <c r="A385" s="6" t="s">
        <v>403</v>
      </c>
      <c r="B385">
        <v>10.857055105165923</v>
      </c>
      <c r="C385">
        <v>10.512623900638516</v>
      </c>
      <c r="D385">
        <v>10.609333934309358</v>
      </c>
      <c r="E385">
        <v>10.649789193089843</v>
      </c>
      <c r="F385">
        <v>12.079526022411248</v>
      </c>
      <c r="G385">
        <v>11.029669909296736</v>
      </c>
      <c r="H385">
        <v>12.318390561472583</v>
      </c>
      <c r="I385">
        <v>0</v>
      </c>
      <c r="J385">
        <v>0</v>
      </c>
      <c r="K385">
        <v>10.52603563144819</v>
      </c>
      <c r="L385">
        <v>10.550259236850485</v>
      </c>
      <c r="M385">
        <v>11.042855757351219</v>
      </c>
      <c r="N385">
        <v>11.126959956359627</v>
      </c>
      <c r="O385">
        <v>11.227049300617406</v>
      </c>
      <c r="P385">
        <v>12.162874758748627</v>
      </c>
      <c r="Q385">
        <v>0</v>
      </c>
      <c r="R385">
        <v>0</v>
      </c>
      <c r="S385">
        <v>0</v>
      </c>
      <c r="T385">
        <v>0</v>
      </c>
    </row>
    <row r="386" spans="1:20" x14ac:dyDescent="0.25">
      <c r="A386" s="5" t="s">
        <v>404</v>
      </c>
      <c r="B386">
        <v>8.7998382679841765</v>
      </c>
      <c r="C386">
        <v>8.4855165771349572</v>
      </c>
      <c r="D386">
        <v>8.7329387519572901</v>
      </c>
      <c r="E386">
        <v>8.097945924900035</v>
      </c>
      <c r="F386">
        <v>8.749912513406267</v>
      </c>
      <c r="G386">
        <v>9.7707605415734609</v>
      </c>
      <c r="H386">
        <v>10.383368945250417</v>
      </c>
      <c r="I386">
        <v>8.7686888715117597</v>
      </c>
      <c r="J386">
        <v>9.1352157884776606</v>
      </c>
      <c r="K386">
        <v>8.4091616235592834</v>
      </c>
      <c r="L386">
        <v>8.710123428803767</v>
      </c>
      <c r="M386">
        <v>9.3399957339854431</v>
      </c>
      <c r="N386">
        <v>9.1349618931960102</v>
      </c>
      <c r="O386">
        <v>9.1282793658020704</v>
      </c>
      <c r="P386">
        <v>10.664974088479893</v>
      </c>
      <c r="Q386">
        <v>0</v>
      </c>
      <c r="R386">
        <v>11.400943747289702</v>
      </c>
      <c r="S386">
        <v>12.450423038544008</v>
      </c>
      <c r="T386">
        <v>12.033263459829346</v>
      </c>
    </row>
    <row r="387" spans="1:20" x14ac:dyDescent="0.25">
      <c r="A387" s="6" t="s">
        <v>405</v>
      </c>
      <c r="B387">
        <v>15.12937535238235</v>
      </c>
      <c r="C387">
        <v>0</v>
      </c>
      <c r="D387">
        <v>15.376979717646538</v>
      </c>
      <c r="E387">
        <v>0</v>
      </c>
      <c r="F387">
        <v>15.293494732143458</v>
      </c>
      <c r="G387">
        <v>14.423773929125478</v>
      </c>
      <c r="H387">
        <v>13.348109659193405</v>
      </c>
      <c r="I387">
        <v>14.4397154729945</v>
      </c>
      <c r="J387">
        <v>14.546137532130656</v>
      </c>
      <c r="K387">
        <v>14.839868735187364</v>
      </c>
      <c r="L387">
        <v>14.395515669083965</v>
      </c>
      <c r="M387">
        <v>15.039177543410771</v>
      </c>
      <c r="N387">
        <v>14.113945311812744</v>
      </c>
      <c r="O387">
        <v>14.066144591011041</v>
      </c>
      <c r="P387">
        <v>14.106291739269308</v>
      </c>
      <c r="Q387">
        <v>13.406439318120201</v>
      </c>
      <c r="R387">
        <v>13.878457232864612</v>
      </c>
      <c r="S387">
        <v>13.906982931045901</v>
      </c>
      <c r="T387">
        <v>14.111389606908986</v>
      </c>
    </row>
    <row r="388" spans="1:20" x14ac:dyDescent="0.25">
      <c r="A388" s="5" t="s">
        <v>406</v>
      </c>
      <c r="B388">
        <v>15.546137532130656</v>
      </c>
      <c r="C388">
        <v>13.426948176920622</v>
      </c>
      <c r="D388">
        <v>13.924821736883588</v>
      </c>
      <c r="E388">
        <v>14.465594104820106</v>
      </c>
      <c r="F388">
        <v>0</v>
      </c>
      <c r="G388">
        <v>0</v>
      </c>
      <c r="H388">
        <v>16.124213647266568</v>
      </c>
      <c r="I388">
        <v>0</v>
      </c>
      <c r="J388">
        <v>0</v>
      </c>
      <c r="K388">
        <v>14.386217924501876</v>
      </c>
      <c r="L388">
        <v>13.924821736883588</v>
      </c>
      <c r="M388">
        <v>14.785891114128539</v>
      </c>
      <c r="N388">
        <v>0</v>
      </c>
      <c r="O388">
        <v>14.869792371737484</v>
      </c>
      <c r="P388">
        <v>14.081069155566054</v>
      </c>
      <c r="Q388">
        <v>15.408006613267162</v>
      </c>
      <c r="R388">
        <v>14.414292876114592</v>
      </c>
      <c r="S388">
        <v>13.017410698224181</v>
      </c>
      <c r="T388">
        <v>13.854752972273344</v>
      </c>
    </row>
    <row r="389" spans="1:20" x14ac:dyDescent="0.25">
      <c r="A389" s="6" t="s">
        <v>407</v>
      </c>
      <c r="B389">
        <v>14.823044112546006</v>
      </c>
      <c r="C389">
        <v>14.827231909509438</v>
      </c>
      <c r="D389">
        <v>16.358678900903591</v>
      </c>
      <c r="E389">
        <v>15.43331770179635</v>
      </c>
      <c r="F389">
        <v>14.401747622795481</v>
      </c>
      <c r="G389">
        <v>14.512029677810389</v>
      </c>
      <c r="H389">
        <v>14.702749878828294</v>
      </c>
      <c r="I389">
        <v>15.426948176920622</v>
      </c>
      <c r="J389">
        <v>15.019876987451834</v>
      </c>
      <c r="K389">
        <v>15.293494732143458</v>
      </c>
      <c r="L389">
        <v>15.034328143749375</v>
      </c>
      <c r="M389">
        <v>15.182034301654912</v>
      </c>
      <c r="N389">
        <v>15.602444973032609</v>
      </c>
      <c r="O389">
        <v>15.595285181459742</v>
      </c>
      <c r="P389">
        <v>15.048925519962333</v>
      </c>
      <c r="Q389">
        <v>13.662909614296503</v>
      </c>
      <c r="R389">
        <v>14.176681067160706</v>
      </c>
      <c r="S389">
        <v>13.761643567881864</v>
      </c>
      <c r="T389">
        <v>13.733860411368322</v>
      </c>
    </row>
    <row r="390" spans="1:20" x14ac:dyDescent="0.25">
      <c r="A390" s="5" t="s">
        <v>408</v>
      </c>
      <c r="B390">
        <v>11.525078667740155</v>
      </c>
      <c r="C390">
        <v>11.54788587424293</v>
      </c>
      <c r="D390">
        <v>12.189360201231452</v>
      </c>
      <c r="E390">
        <v>11.85254786925811</v>
      </c>
      <c r="F390">
        <v>11.404126751376827</v>
      </c>
      <c r="G390">
        <v>11.812752051189364</v>
      </c>
      <c r="H390">
        <v>11.775925575815972</v>
      </c>
      <c r="I390">
        <v>11.814855533325238</v>
      </c>
      <c r="J390">
        <v>11.875440289999649</v>
      </c>
      <c r="K390">
        <v>11.930791076068601</v>
      </c>
      <c r="L390">
        <v>11.640757149254226</v>
      </c>
      <c r="M390">
        <v>11.487377764526135</v>
      </c>
      <c r="N390">
        <v>11.932464896577677</v>
      </c>
      <c r="O390">
        <v>12.106107279474001</v>
      </c>
      <c r="P390">
        <v>11.170555954915178</v>
      </c>
      <c r="Q390">
        <v>10.750791635954434</v>
      </c>
      <c r="R390">
        <v>10.432208976331008</v>
      </c>
      <c r="S390">
        <v>10.180458053346719</v>
      </c>
      <c r="T390">
        <v>10.518408216948165</v>
      </c>
    </row>
    <row r="391" spans="1:20" x14ac:dyDescent="0.25">
      <c r="A391" s="6" t="s">
        <v>409</v>
      </c>
      <c r="B391">
        <v>14.501952605122439</v>
      </c>
      <c r="C391">
        <v>13.724066110065387</v>
      </c>
      <c r="D391">
        <v>13.465594104820106</v>
      </c>
      <c r="E391">
        <v>13.638786820096328</v>
      </c>
      <c r="F391">
        <v>14.313917449896843</v>
      </c>
      <c r="G391">
        <v>14.927067177089235</v>
      </c>
      <c r="H391">
        <v>15.624140044131927</v>
      </c>
      <c r="I391">
        <v>14.827231909509438</v>
      </c>
      <c r="J391">
        <v>14.936084050446668</v>
      </c>
      <c r="K391">
        <v>14.67606783617579</v>
      </c>
      <c r="L391">
        <v>14.6989078125339</v>
      </c>
      <c r="M391">
        <v>15.777763233245141</v>
      </c>
      <c r="N391">
        <v>16.034328143749374</v>
      </c>
      <c r="O391">
        <v>14.325718702129196</v>
      </c>
      <c r="P391">
        <v>15.761643567881864</v>
      </c>
      <c r="Q391">
        <v>0</v>
      </c>
      <c r="R391">
        <v>15.166033822961197</v>
      </c>
      <c r="S391">
        <v>0</v>
      </c>
      <c r="T391">
        <v>0</v>
      </c>
    </row>
    <row r="392" spans="1:20" x14ac:dyDescent="0.25">
      <c r="A392" s="5" t="s">
        <v>410</v>
      </c>
      <c r="B392">
        <v>11.800843578205301</v>
      </c>
      <c r="C392">
        <v>11.692523835763879</v>
      </c>
      <c r="D392">
        <v>11.376734173429981</v>
      </c>
      <c r="E392">
        <v>11.523765471202553</v>
      </c>
      <c r="F392">
        <v>11.578849762721838</v>
      </c>
      <c r="G392">
        <v>12.278386708121662</v>
      </c>
      <c r="H392">
        <v>12.835591420207347</v>
      </c>
      <c r="I392">
        <v>12.281500542868095</v>
      </c>
      <c r="J392">
        <v>12.126160021690552</v>
      </c>
      <c r="K392">
        <v>11.763402924788966</v>
      </c>
      <c r="L392">
        <v>12.094817556646024</v>
      </c>
      <c r="M392">
        <v>12.102835450173265</v>
      </c>
      <c r="N392">
        <v>12.867343166137932</v>
      </c>
      <c r="O392">
        <v>11.592939139536146</v>
      </c>
      <c r="P392">
        <v>13.863327708011353</v>
      </c>
      <c r="Q392">
        <v>14.733860411368322</v>
      </c>
      <c r="R392">
        <v>13.763648703772239</v>
      </c>
      <c r="S392">
        <v>13.808481818343115</v>
      </c>
      <c r="T392">
        <v>15.166033822961197</v>
      </c>
    </row>
    <row r="393" spans="1:20" x14ac:dyDescent="0.25">
      <c r="A393" s="6" t="s">
        <v>411</v>
      </c>
      <c r="B393">
        <v>12.238248890512601</v>
      </c>
      <c r="C393">
        <v>11.490151489237151</v>
      </c>
      <c r="D393">
        <v>11.857844718819731</v>
      </c>
      <c r="E393">
        <v>11.031314584145138</v>
      </c>
      <c r="F393">
        <v>10.568794060009584</v>
      </c>
      <c r="G393">
        <v>11.169844489764047</v>
      </c>
      <c r="H393">
        <v>11.558438060338128</v>
      </c>
      <c r="I393">
        <v>11.520850116059327</v>
      </c>
      <c r="J393">
        <v>11.571208682682226</v>
      </c>
      <c r="K393">
        <v>12.003144945748893</v>
      </c>
      <c r="L393">
        <v>11.51359794388968</v>
      </c>
      <c r="M393">
        <v>12.169851137347125</v>
      </c>
      <c r="N393">
        <v>12.683574617507208</v>
      </c>
      <c r="O393">
        <v>11.602673776769345</v>
      </c>
      <c r="P393">
        <v>11.474959523043783</v>
      </c>
      <c r="Q393">
        <v>11.546271280992517</v>
      </c>
      <c r="R393">
        <v>11.247296835793572</v>
      </c>
      <c r="S393">
        <v>10.77336789200746</v>
      </c>
      <c r="T393">
        <v>12.094615628433768</v>
      </c>
    </row>
    <row r="394" spans="1:20" x14ac:dyDescent="0.25">
      <c r="A394" s="5" t="s">
        <v>412</v>
      </c>
      <c r="B394">
        <v>14.003198246305205</v>
      </c>
      <c r="C394">
        <v>14.449365643028219</v>
      </c>
      <c r="D394">
        <v>14.714337853103507</v>
      </c>
      <c r="E394">
        <v>16.073587574196605</v>
      </c>
      <c r="F394">
        <v>15.737796825927495</v>
      </c>
      <c r="G394">
        <v>14.931568569324176</v>
      </c>
      <c r="H394">
        <v>14.206372752097511</v>
      </c>
      <c r="I394">
        <v>15.15546458125101</v>
      </c>
      <c r="J394">
        <v>15.532397475504352</v>
      </c>
      <c r="K394">
        <v>14.949715916034434</v>
      </c>
      <c r="L394">
        <v>14.498609162048069</v>
      </c>
      <c r="M394">
        <v>15.922579786096922</v>
      </c>
      <c r="N394">
        <v>17.170283295962555</v>
      </c>
      <c r="O394">
        <v>15.408006613267162</v>
      </c>
      <c r="P394">
        <v>16.625598048339789</v>
      </c>
      <c r="Q394">
        <v>16.906539774832652</v>
      </c>
      <c r="R394">
        <v>15.861179241432778</v>
      </c>
      <c r="S394">
        <v>0</v>
      </c>
      <c r="T394">
        <v>16.539251146545414</v>
      </c>
    </row>
    <row r="395" spans="1:20" x14ac:dyDescent="0.25">
      <c r="A395" s="6" t="s">
        <v>413</v>
      </c>
      <c r="B395">
        <v>15.150208855799516</v>
      </c>
      <c r="C395">
        <v>15.485312339434612</v>
      </c>
      <c r="D395">
        <v>15.420606650046794</v>
      </c>
      <c r="E395">
        <v>0</v>
      </c>
      <c r="F395">
        <v>15.068621321303253</v>
      </c>
      <c r="G395">
        <v>14.59171856643955</v>
      </c>
      <c r="H395">
        <v>14.869792371737484</v>
      </c>
      <c r="I395">
        <v>14.570502080529854</v>
      </c>
      <c r="J395">
        <v>14.638786820096328</v>
      </c>
      <c r="K395">
        <v>0</v>
      </c>
      <c r="L395">
        <v>15.108838421379655</v>
      </c>
      <c r="M395">
        <v>14.861179241432778</v>
      </c>
      <c r="N395">
        <v>14.179355201459032</v>
      </c>
      <c r="O395">
        <v>14.67606783617579</v>
      </c>
      <c r="P395">
        <v>14.61687204366789</v>
      </c>
      <c r="Q395">
        <v>14.695075950942874</v>
      </c>
      <c r="R395">
        <v>14.414292876114592</v>
      </c>
      <c r="S395">
        <v>15.287712379549449</v>
      </c>
      <c r="T395">
        <v>15.010322680738586</v>
      </c>
    </row>
    <row r="396" spans="1:20" x14ac:dyDescent="0.25">
      <c r="A396" s="5" t="s">
        <v>414</v>
      </c>
      <c r="B396">
        <v>0</v>
      </c>
      <c r="C396">
        <v>0</v>
      </c>
      <c r="D396">
        <v>0</v>
      </c>
      <c r="E396">
        <v>0</v>
      </c>
      <c r="F396">
        <v>16.073587574196605</v>
      </c>
      <c r="G396">
        <v>14.982033636307161</v>
      </c>
      <c r="H396">
        <v>0</v>
      </c>
      <c r="I396">
        <v>0</v>
      </c>
      <c r="J396">
        <v>16.871521185654238</v>
      </c>
      <c r="K396">
        <v>16.408006613267162</v>
      </c>
      <c r="L396">
        <v>17.180962064488583</v>
      </c>
      <c r="M396">
        <v>17.558616471412346</v>
      </c>
      <c r="N396">
        <v>0</v>
      </c>
      <c r="O396">
        <v>0</v>
      </c>
      <c r="P396">
        <v>14.417446309153467</v>
      </c>
      <c r="Q396">
        <v>13.447752792059918</v>
      </c>
      <c r="R396">
        <v>13.769680886947281</v>
      </c>
      <c r="S396">
        <v>13.199312939252987</v>
      </c>
      <c r="T396">
        <v>13.279612785492192</v>
      </c>
    </row>
    <row r="397" spans="1:20" x14ac:dyDescent="0.25">
      <c r="A397" s="6" t="s">
        <v>415</v>
      </c>
      <c r="B397">
        <v>13.206195494220584</v>
      </c>
      <c r="C397">
        <v>0</v>
      </c>
      <c r="D397">
        <v>13.833536486363649</v>
      </c>
      <c r="E397">
        <v>0</v>
      </c>
      <c r="F397">
        <v>14.945157634072132</v>
      </c>
      <c r="G397">
        <v>12.893461667355641</v>
      </c>
      <c r="H397">
        <v>0</v>
      </c>
      <c r="I397">
        <v>0</v>
      </c>
      <c r="J397">
        <v>11.533329374517509</v>
      </c>
      <c r="K397">
        <v>12.005741192917814</v>
      </c>
      <c r="L397">
        <v>0</v>
      </c>
      <c r="M397">
        <v>11.801100967911946</v>
      </c>
      <c r="N397">
        <v>0</v>
      </c>
      <c r="O397">
        <v>14.404873723782199</v>
      </c>
      <c r="P397">
        <v>11.994565586335282</v>
      </c>
      <c r="Q397">
        <v>11.011051949773242</v>
      </c>
      <c r="R397">
        <v>13.468861818654016</v>
      </c>
      <c r="S397">
        <v>11.38928343058066</v>
      </c>
      <c r="T397">
        <v>11.438994305750846</v>
      </c>
    </row>
    <row r="398" spans="1:20" x14ac:dyDescent="0.25">
      <c r="A398" s="5" t="s">
        <v>416</v>
      </c>
      <c r="B398">
        <v>15.134555591488031</v>
      </c>
      <c r="C398">
        <v>0</v>
      </c>
      <c r="D398">
        <v>0</v>
      </c>
      <c r="E398">
        <v>16.420606650046796</v>
      </c>
      <c r="F398">
        <v>0</v>
      </c>
      <c r="G398">
        <v>0</v>
      </c>
      <c r="H398">
        <v>16.044043298582586</v>
      </c>
      <c r="I398">
        <v>0</v>
      </c>
      <c r="J398">
        <v>0</v>
      </c>
      <c r="K398">
        <v>16.973653970691188</v>
      </c>
      <c r="L398">
        <v>0</v>
      </c>
      <c r="M398">
        <v>0</v>
      </c>
      <c r="N398">
        <v>0</v>
      </c>
      <c r="O398">
        <v>0</v>
      </c>
      <c r="P398">
        <v>15.949715916034434</v>
      </c>
      <c r="Q398">
        <v>16.242269408788282</v>
      </c>
      <c r="R398">
        <v>15.691254239990466</v>
      </c>
      <c r="S398">
        <v>0</v>
      </c>
      <c r="T398">
        <v>14.887174449965721</v>
      </c>
    </row>
    <row r="399" spans="1:20" x14ac:dyDescent="0.25">
      <c r="A399" s="6" t="s">
        <v>417</v>
      </c>
      <c r="B399">
        <v>14.452596764291233</v>
      </c>
      <c r="C399">
        <v>13.852617227929352</v>
      </c>
      <c r="D399">
        <v>14.595285181459742</v>
      </c>
      <c r="E399">
        <v>14.657306908067127</v>
      </c>
      <c r="F399">
        <v>0</v>
      </c>
      <c r="G399">
        <v>0</v>
      </c>
      <c r="H399">
        <v>0</v>
      </c>
      <c r="I399">
        <v>14.176681067160706</v>
      </c>
      <c r="J399">
        <v>0</v>
      </c>
      <c r="K399">
        <v>0</v>
      </c>
      <c r="L399">
        <v>0</v>
      </c>
      <c r="M399">
        <v>0</v>
      </c>
      <c r="N399">
        <v>13.947434974783196</v>
      </c>
      <c r="O399">
        <v>14.430129424165303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5">
      <c r="A400" s="5" t="s">
        <v>418</v>
      </c>
      <c r="B400">
        <v>13.727975855116467</v>
      </c>
      <c r="C400">
        <v>12.930779811130105</v>
      </c>
      <c r="D400">
        <v>13.182610958585286</v>
      </c>
      <c r="E400">
        <v>13.089985352681035</v>
      </c>
      <c r="F400">
        <v>14.236688376524981</v>
      </c>
      <c r="G400">
        <v>13.367800290872143</v>
      </c>
      <c r="H400">
        <v>13.693163829999097</v>
      </c>
      <c r="I400">
        <v>13.874118297140276</v>
      </c>
      <c r="J400">
        <v>0</v>
      </c>
      <c r="K400">
        <v>13.829330375393436</v>
      </c>
      <c r="L400">
        <v>12.980062366666717</v>
      </c>
      <c r="M400">
        <v>13.818868436574812</v>
      </c>
      <c r="N400">
        <v>14.034328143749375</v>
      </c>
      <c r="O400">
        <v>14.005569150767952</v>
      </c>
      <c r="P400">
        <v>14.119070343990613</v>
      </c>
      <c r="Q400">
        <v>13.893747103889208</v>
      </c>
      <c r="R400">
        <v>15.446141742153934</v>
      </c>
      <c r="S400">
        <v>13.604240486694223</v>
      </c>
      <c r="T400">
        <v>13.796115785139001</v>
      </c>
    </row>
    <row r="401" spans="1:20" x14ac:dyDescent="0.25">
      <c r="A401" s="6" t="s">
        <v>419</v>
      </c>
      <c r="B401">
        <v>10.282411209919909</v>
      </c>
      <c r="C401">
        <v>10.364009812466337</v>
      </c>
      <c r="D401">
        <v>9.9369563192184742</v>
      </c>
      <c r="E401">
        <v>9.7696594783982906</v>
      </c>
      <c r="F401">
        <v>10.290262792662618</v>
      </c>
      <c r="G401">
        <v>10.638908736658831</v>
      </c>
      <c r="H401">
        <v>10.397629568187115</v>
      </c>
      <c r="I401">
        <v>10.246388782500079</v>
      </c>
      <c r="J401">
        <v>10.296597833444839</v>
      </c>
      <c r="K401">
        <v>10.303332658983212</v>
      </c>
      <c r="L401">
        <v>10.738888621976745</v>
      </c>
      <c r="M401">
        <v>10.847225213425215</v>
      </c>
      <c r="N401">
        <v>10.961212422315745</v>
      </c>
      <c r="O401">
        <v>9.8320682121778749</v>
      </c>
      <c r="P401">
        <v>11.029374368380411</v>
      </c>
      <c r="Q401">
        <v>11.480711991832182</v>
      </c>
      <c r="R401">
        <v>11.299082220864406</v>
      </c>
      <c r="S401">
        <v>11.567171232002853</v>
      </c>
      <c r="T401">
        <v>11.413741733297497</v>
      </c>
    </row>
    <row r="402" spans="1:20" x14ac:dyDescent="0.25">
      <c r="A402" s="5" t="s">
        <v>420</v>
      </c>
      <c r="B402">
        <v>15.198214228710349</v>
      </c>
      <c r="C402">
        <v>15.777763233245141</v>
      </c>
      <c r="D402">
        <v>14.59886063568357</v>
      </c>
      <c r="E402">
        <v>0</v>
      </c>
      <c r="F402">
        <v>15.358678900903593</v>
      </c>
      <c r="G402">
        <v>14.904768509980459</v>
      </c>
      <c r="H402">
        <v>15.653583822024411</v>
      </c>
      <c r="I402">
        <v>0</v>
      </c>
      <c r="J402">
        <v>15.931568569324174</v>
      </c>
      <c r="K402">
        <v>15.27621674071162</v>
      </c>
      <c r="L402">
        <v>14.664782028629272</v>
      </c>
      <c r="M402">
        <v>14.247872115017659</v>
      </c>
      <c r="N402">
        <v>14.4397154729945</v>
      </c>
      <c r="O402">
        <v>15.088589737535848</v>
      </c>
      <c r="P402">
        <v>14.904768509980459</v>
      </c>
      <c r="Q402">
        <v>14.986710123516636</v>
      </c>
      <c r="R402">
        <v>15.376979717646538</v>
      </c>
      <c r="S402">
        <v>0</v>
      </c>
      <c r="T402">
        <v>15.722115203695225</v>
      </c>
    </row>
    <row r="403" spans="1:20" x14ac:dyDescent="0.25">
      <c r="A403" s="6" t="s">
        <v>421</v>
      </c>
      <c r="B403">
        <v>9.3339508047109252</v>
      </c>
      <c r="C403">
        <v>8.4841329799816609</v>
      </c>
      <c r="D403">
        <v>10.07500142386449</v>
      </c>
      <c r="E403">
        <v>10.096040772851664</v>
      </c>
      <c r="F403">
        <v>8.663979518551594</v>
      </c>
      <c r="G403">
        <v>8.0979486918265309</v>
      </c>
      <c r="H403">
        <v>8.1795195716614977</v>
      </c>
      <c r="I403">
        <v>7.8411064377693007</v>
      </c>
      <c r="J403">
        <v>8.6738495576944032</v>
      </c>
      <c r="K403">
        <v>8.7875604504012159</v>
      </c>
      <c r="L403">
        <v>8.3742709738972732</v>
      </c>
      <c r="M403">
        <v>8.2608702790916411</v>
      </c>
      <c r="N403">
        <v>8.4158726728352473</v>
      </c>
      <c r="O403">
        <v>8.2939651150892093</v>
      </c>
      <c r="P403">
        <v>7.7054887886438346</v>
      </c>
      <c r="Q403">
        <v>7.9009579834175447</v>
      </c>
      <c r="R403">
        <v>7.1947967094232519</v>
      </c>
      <c r="S403">
        <v>7.8802409950757539</v>
      </c>
      <c r="T403">
        <v>7.3591208128769416</v>
      </c>
    </row>
    <row r="404" spans="1:20" x14ac:dyDescent="0.25">
      <c r="A404" s="5" t="s">
        <v>422</v>
      </c>
      <c r="B404">
        <v>12.64915656574909</v>
      </c>
      <c r="C404">
        <v>13.296394622649251</v>
      </c>
      <c r="D404">
        <v>13.425360180017432</v>
      </c>
      <c r="E404">
        <v>12.955697678837474</v>
      </c>
      <c r="F404">
        <v>12.432575798349173</v>
      </c>
      <c r="G404">
        <v>12.715870560911418</v>
      </c>
      <c r="H404">
        <v>12.445626585911754</v>
      </c>
      <c r="I404">
        <v>12.329968612064663</v>
      </c>
      <c r="J404">
        <v>12.113312353125314</v>
      </c>
      <c r="K404">
        <v>12.581690258006972</v>
      </c>
      <c r="L404">
        <v>12.670056558883211</v>
      </c>
      <c r="M404">
        <v>12.280287213633933</v>
      </c>
      <c r="N404">
        <v>12.195146342321575</v>
      </c>
      <c r="O404">
        <v>12.391231263093671</v>
      </c>
      <c r="P404">
        <v>11.943236079446036</v>
      </c>
      <c r="Q404">
        <v>11.757092238988122</v>
      </c>
      <c r="R404">
        <v>11.138446509578282</v>
      </c>
      <c r="S404">
        <v>11.399501017035144</v>
      </c>
      <c r="T404">
        <v>11.713310492682172</v>
      </c>
    </row>
    <row r="405" spans="1:20" x14ac:dyDescent="0.25">
      <c r="A405" s="6" t="s">
        <v>423</v>
      </c>
      <c r="B405">
        <v>9.8156665823690172</v>
      </c>
      <c r="C405">
        <v>9.505920446879955</v>
      </c>
      <c r="D405">
        <v>9.4553874050262294</v>
      </c>
      <c r="E405">
        <v>9.0977439535977851</v>
      </c>
      <c r="F405">
        <v>10.392495081413626</v>
      </c>
      <c r="G405">
        <v>10.282826319923645</v>
      </c>
      <c r="H405">
        <v>9.9767702920537822</v>
      </c>
      <c r="I405">
        <v>9.8178264032749869</v>
      </c>
      <c r="J405">
        <v>10.090592426440546</v>
      </c>
      <c r="K405">
        <v>9.8937484763166488</v>
      </c>
      <c r="L405">
        <v>10.462364307054091</v>
      </c>
      <c r="M405">
        <v>10.364317857170523</v>
      </c>
      <c r="N405">
        <v>11.109667061936669</v>
      </c>
      <c r="O405">
        <v>9.028694552544561</v>
      </c>
      <c r="P405">
        <v>10.731047541364745</v>
      </c>
      <c r="Q405">
        <v>11.396367079247051</v>
      </c>
      <c r="R405">
        <v>11.476101607550032</v>
      </c>
      <c r="S405">
        <v>10.84116499288665</v>
      </c>
      <c r="T405">
        <v>11.832994261303902</v>
      </c>
    </row>
    <row r="406" spans="1:20" x14ac:dyDescent="0.25">
      <c r="A406" s="5" t="s">
        <v>424</v>
      </c>
      <c r="B406">
        <v>13.042362758203627</v>
      </c>
      <c r="C406">
        <v>12.802398911443014</v>
      </c>
      <c r="D406">
        <v>13.841985676199466</v>
      </c>
      <c r="E406">
        <v>14.053824319375174</v>
      </c>
      <c r="F406">
        <v>12.721238155786285</v>
      </c>
      <c r="G406">
        <v>12.961485692973978</v>
      </c>
      <c r="H406">
        <v>12.444347540245053</v>
      </c>
      <c r="I406">
        <v>12.648193095298314</v>
      </c>
      <c r="J406">
        <v>12.157816141456873</v>
      </c>
      <c r="K406">
        <v>13.117236053360193</v>
      </c>
      <c r="L406">
        <v>13.266190011536418</v>
      </c>
      <c r="M406">
        <v>12.278408209273566</v>
      </c>
      <c r="N406">
        <v>11.718041448003301</v>
      </c>
      <c r="O406">
        <v>13.153793813031223</v>
      </c>
      <c r="P406">
        <v>13.079195119743908</v>
      </c>
      <c r="Q406">
        <v>12.117037371670653</v>
      </c>
      <c r="R406">
        <v>12.069836473062718</v>
      </c>
      <c r="S406">
        <v>11.810397713910755</v>
      </c>
      <c r="T406">
        <v>11.998367746754713</v>
      </c>
    </row>
    <row r="407" spans="1:20" x14ac:dyDescent="0.25">
      <c r="A407" s="6" t="s">
        <v>425</v>
      </c>
      <c r="B407">
        <v>12.428633364218516</v>
      </c>
      <c r="C407">
        <v>14.865479378866404</v>
      </c>
      <c r="D407">
        <v>14.455835138357777</v>
      </c>
      <c r="E407">
        <v>14.370853614849695</v>
      </c>
      <c r="F407">
        <v>13.187420931792662</v>
      </c>
      <c r="G407">
        <v>13.887174449965721</v>
      </c>
      <c r="H407">
        <v>12.3493437738886</v>
      </c>
      <c r="I407">
        <v>13.218367666165186</v>
      </c>
      <c r="J407">
        <v>12.831747390631932</v>
      </c>
      <c r="K407">
        <v>13.761643567881864</v>
      </c>
      <c r="L407">
        <v>14.657306908067127</v>
      </c>
      <c r="M407">
        <v>13.931568569324176</v>
      </c>
      <c r="N407">
        <v>13.49694034168745</v>
      </c>
      <c r="O407">
        <v>14.103749544706854</v>
      </c>
      <c r="P407">
        <v>12.68161132161671</v>
      </c>
      <c r="Q407">
        <v>12.078109293339461</v>
      </c>
      <c r="R407">
        <v>11.781222144684738</v>
      </c>
      <c r="S407">
        <v>14.061203849740769</v>
      </c>
      <c r="T407">
        <v>12.599281333908202</v>
      </c>
    </row>
    <row r="408" spans="1:20" x14ac:dyDescent="0.25">
      <c r="A408" s="5" t="s">
        <v>426</v>
      </c>
      <c r="B408">
        <v>0</v>
      </c>
      <c r="C408">
        <v>16.459080797861432</v>
      </c>
      <c r="D408">
        <v>0</v>
      </c>
      <c r="E408">
        <v>16.276216740711622</v>
      </c>
      <c r="F408">
        <v>17.296975300878419</v>
      </c>
      <c r="G408">
        <v>16.472136950686878</v>
      </c>
      <c r="H408">
        <v>16.722115203695225</v>
      </c>
      <c r="I408">
        <v>0</v>
      </c>
      <c r="J408">
        <v>0</v>
      </c>
      <c r="K408">
        <v>17.024677973715654</v>
      </c>
      <c r="L408">
        <v>16.512029677810389</v>
      </c>
      <c r="M408">
        <v>0</v>
      </c>
      <c r="N408">
        <v>0</v>
      </c>
      <c r="O408">
        <v>0</v>
      </c>
      <c r="P408">
        <v>16.894186347321096</v>
      </c>
      <c r="Q408">
        <v>15.922579786096922</v>
      </c>
      <c r="R408">
        <v>16.334633426936943</v>
      </c>
      <c r="S408">
        <v>16.539251146545414</v>
      </c>
      <c r="T408">
        <v>16.715889972716244</v>
      </c>
    </row>
    <row r="409" spans="1:20" x14ac:dyDescent="0.25">
      <c r="A409" s="6" t="s">
        <v>427</v>
      </c>
      <c r="B409">
        <v>0</v>
      </c>
      <c r="C409">
        <v>15.15546458125101</v>
      </c>
      <c r="D409">
        <v>15.794065045574239</v>
      </c>
      <c r="E409">
        <v>15.794065045574239</v>
      </c>
      <c r="F409">
        <v>14.222829527964596</v>
      </c>
      <c r="G409">
        <v>15.383131944628133</v>
      </c>
      <c r="H409">
        <v>0</v>
      </c>
      <c r="I409">
        <v>15.446141742153934</v>
      </c>
      <c r="J409">
        <v>15.525576209648337</v>
      </c>
      <c r="K409">
        <v>15.913646661326911</v>
      </c>
      <c r="L409">
        <v>16.073587574196605</v>
      </c>
      <c r="M409">
        <v>16.553056946070445</v>
      </c>
      <c r="N409">
        <v>16.854325570391715</v>
      </c>
      <c r="O409">
        <v>0</v>
      </c>
      <c r="P409">
        <v>0</v>
      </c>
      <c r="Q409">
        <v>0</v>
      </c>
      <c r="R409">
        <v>0</v>
      </c>
      <c r="S409">
        <v>16.299300353824663</v>
      </c>
      <c r="T409">
        <v>16.931568569324174</v>
      </c>
    </row>
    <row r="410" spans="1:20" x14ac:dyDescent="0.25">
      <c r="A410" s="5" t="s">
        <v>428</v>
      </c>
      <c r="B410">
        <v>13.975047205991057</v>
      </c>
      <c r="C410">
        <v>13.114175547476858</v>
      </c>
      <c r="D410">
        <v>13.278092891156517</v>
      </c>
      <c r="E410">
        <v>13.46233377565652</v>
      </c>
      <c r="F410">
        <v>13.825136491507246</v>
      </c>
      <c r="G410">
        <v>13.075578872015694</v>
      </c>
      <c r="H410">
        <v>13.61687204366789</v>
      </c>
      <c r="I410">
        <v>13.942883882552009</v>
      </c>
      <c r="J410">
        <v>14.134555591488031</v>
      </c>
      <c r="K410">
        <v>13.657306908067127</v>
      </c>
      <c r="L410">
        <v>13.334633426936943</v>
      </c>
      <c r="M410">
        <v>14.310982158872298</v>
      </c>
      <c r="N410">
        <v>15.187407473753764</v>
      </c>
      <c r="O410">
        <v>14.106291739269308</v>
      </c>
      <c r="P410">
        <v>14.081069155566054</v>
      </c>
      <c r="Q410">
        <v>14.0760771262223</v>
      </c>
      <c r="R410">
        <v>12.905244323763565</v>
      </c>
      <c r="S410">
        <v>13.302211949244565</v>
      </c>
      <c r="T410">
        <v>13.56524635507836</v>
      </c>
    </row>
    <row r="411" spans="1:20" x14ac:dyDescent="0.25">
      <c r="A411" s="6" t="s">
        <v>429</v>
      </c>
      <c r="B411">
        <v>16.774524859178594</v>
      </c>
      <c r="C411">
        <v>15.124213647266568</v>
      </c>
      <c r="D411">
        <v>14.972725894080934</v>
      </c>
      <c r="E411">
        <v>15.247872115017659</v>
      </c>
      <c r="F411">
        <v>0</v>
      </c>
      <c r="G411">
        <v>14.823044112546006</v>
      </c>
      <c r="H411">
        <v>15.293494732143458</v>
      </c>
      <c r="I411">
        <v>16.103749544706854</v>
      </c>
      <c r="J411">
        <v>0</v>
      </c>
      <c r="K411">
        <v>15.465594104820106</v>
      </c>
      <c r="L411">
        <v>15.878457232864612</v>
      </c>
      <c r="M411">
        <v>0</v>
      </c>
      <c r="N411">
        <v>0</v>
      </c>
      <c r="O411">
        <v>0</v>
      </c>
      <c r="P411">
        <v>0</v>
      </c>
      <c r="Q411">
        <v>15.182034301654912</v>
      </c>
      <c r="R411">
        <v>14.749670926215785</v>
      </c>
      <c r="S411">
        <v>15.465594104820106</v>
      </c>
      <c r="T411">
        <v>15.220073662674086</v>
      </c>
    </row>
    <row r="412" spans="1:20" x14ac:dyDescent="0.25">
      <c r="A412" s="5" t="s">
        <v>430</v>
      </c>
      <c r="B412">
        <v>0</v>
      </c>
      <c r="C412">
        <v>13.720166931905704</v>
      </c>
      <c r="D412">
        <v>13.88063160409895</v>
      </c>
      <c r="E412">
        <v>0</v>
      </c>
      <c r="F412">
        <v>14.134555591488031</v>
      </c>
      <c r="G412">
        <v>13.808481818343115</v>
      </c>
      <c r="H412">
        <v>0</v>
      </c>
      <c r="I412">
        <v>0</v>
      </c>
      <c r="J412">
        <v>0</v>
      </c>
      <c r="K412">
        <v>13.714337853103505</v>
      </c>
      <c r="L412">
        <v>13.878457232864612</v>
      </c>
      <c r="M412">
        <v>0</v>
      </c>
      <c r="N412">
        <v>14.891552890476294</v>
      </c>
      <c r="O412">
        <v>0</v>
      </c>
      <c r="P412">
        <v>0</v>
      </c>
      <c r="Q412">
        <v>14.091105335454632</v>
      </c>
      <c r="R412">
        <v>13.327200669430427</v>
      </c>
      <c r="S412">
        <v>13.397071135586007</v>
      </c>
      <c r="T412">
        <v>14.376979717646538</v>
      </c>
    </row>
    <row r="413" spans="1:20" x14ac:dyDescent="0.25">
      <c r="A413" s="6" t="s">
        <v>431</v>
      </c>
      <c r="B413">
        <v>11.23993670197336</v>
      </c>
      <c r="C413">
        <v>10.278148425142959</v>
      </c>
      <c r="D413">
        <v>10.739142589149495</v>
      </c>
      <c r="E413">
        <v>10.740484672453771</v>
      </c>
      <c r="F413">
        <v>10.223690091489152</v>
      </c>
      <c r="G413">
        <v>10.166915886856714</v>
      </c>
      <c r="H413">
        <v>10.292779717914659</v>
      </c>
      <c r="I413">
        <v>9.8845319306273449</v>
      </c>
      <c r="J413">
        <v>10.207670465684661</v>
      </c>
      <c r="K413">
        <v>10.648931852848863</v>
      </c>
      <c r="L413">
        <v>10.058598255360572</v>
      </c>
      <c r="M413">
        <v>10.079316858126697</v>
      </c>
      <c r="N413">
        <v>9.7098642489514244</v>
      </c>
      <c r="O413">
        <v>10.251356751583993</v>
      </c>
      <c r="P413">
        <v>9.7116438004613617</v>
      </c>
      <c r="Q413">
        <v>9.415578053332796</v>
      </c>
      <c r="R413">
        <v>8.8893989527399455</v>
      </c>
      <c r="S413">
        <v>9.0836515016179593</v>
      </c>
      <c r="T413">
        <v>9.6490048227882088</v>
      </c>
    </row>
    <row r="414" spans="1:20" x14ac:dyDescent="0.25">
      <c r="A414" s="5" t="s">
        <v>432</v>
      </c>
      <c r="B414">
        <v>12.509251458742202</v>
      </c>
      <c r="C414">
        <v>11.64612011097727</v>
      </c>
      <c r="D414">
        <v>12.050974868207236</v>
      </c>
      <c r="E414">
        <v>13.056193952666861</v>
      </c>
      <c r="F414">
        <v>0</v>
      </c>
      <c r="G414">
        <v>10.974214005660949</v>
      </c>
      <c r="H414">
        <v>0</v>
      </c>
      <c r="I414">
        <v>11.938516974009231</v>
      </c>
      <c r="J414">
        <v>11.950817761305377</v>
      </c>
      <c r="K414">
        <v>11.514310972407179</v>
      </c>
      <c r="L414">
        <v>11.390379004805245</v>
      </c>
      <c r="M414">
        <v>11.281241996656101</v>
      </c>
      <c r="N414">
        <v>12.517779879721823</v>
      </c>
      <c r="O414">
        <v>11.56592851762154</v>
      </c>
      <c r="P414">
        <v>10.674399976360565</v>
      </c>
      <c r="Q414">
        <v>12.136314623652481</v>
      </c>
      <c r="R414">
        <v>12.115461705646247</v>
      </c>
      <c r="S414">
        <v>11.777621402221463</v>
      </c>
      <c r="T414">
        <v>12.086392181831604</v>
      </c>
    </row>
    <row r="415" spans="1:20" x14ac:dyDescent="0.25">
      <c r="A415" s="6" t="s">
        <v>433</v>
      </c>
      <c r="B415">
        <v>9.1193375047625516</v>
      </c>
      <c r="C415">
        <v>8.8676517851969656</v>
      </c>
      <c r="D415">
        <v>9.197847330494529</v>
      </c>
      <c r="E415">
        <v>9.3315348878967921</v>
      </c>
      <c r="F415">
        <v>8.90695315222173</v>
      </c>
      <c r="G415">
        <v>8.7637847780021403</v>
      </c>
      <c r="H415">
        <v>9.0014048761980305</v>
      </c>
      <c r="I415">
        <v>8.6492793618129085</v>
      </c>
      <c r="J415">
        <v>8.699547646719985</v>
      </c>
      <c r="K415">
        <v>9.2855130451811814</v>
      </c>
      <c r="L415">
        <v>8.9151446801710552</v>
      </c>
      <c r="M415">
        <v>9.0285777649964576</v>
      </c>
      <c r="N415">
        <v>8.6279773014508656</v>
      </c>
      <c r="O415">
        <v>8.6345789680617244</v>
      </c>
      <c r="P415">
        <v>9.1610805852673938</v>
      </c>
      <c r="Q415">
        <v>9.1051750052922138</v>
      </c>
      <c r="R415">
        <v>8.5351880226380423</v>
      </c>
      <c r="S415">
        <v>8.3050664621148691</v>
      </c>
      <c r="T415">
        <v>8.8990564877180418</v>
      </c>
    </row>
    <row r="416" spans="1:20" x14ac:dyDescent="0.25">
      <c r="A416" s="5" t="s">
        <v>434</v>
      </c>
      <c r="B416">
        <v>13.358678900903593</v>
      </c>
      <c r="C416">
        <v>13.485312339434611</v>
      </c>
      <c r="D416">
        <v>12.950766361209304</v>
      </c>
      <c r="E416">
        <v>12.696090403506675</v>
      </c>
      <c r="F416">
        <v>13.607838231802827</v>
      </c>
      <c r="G416">
        <v>13.947434974783196</v>
      </c>
      <c r="H416">
        <v>13.597071800933756</v>
      </c>
      <c r="I416">
        <v>13.383131944628133</v>
      </c>
      <c r="J416">
        <v>13.607838231802827</v>
      </c>
      <c r="K416">
        <v>13.065674492553336</v>
      </c>
      <c r="L416">
        <v>13.334633426936943</v>
      </c>
      <c r="M416">
        <v>14.495273449484813</v>
      </c>
      <c r="N416">
        <v>14.003198246305205</v>
      </c>
      <c r="O416">
        <v>13.401747622795481</v>
      </c>
      <c r="P416">
        <v>14.810553168362809</v>
      </c>
      <c r="Q416">
        <v>15.034328143749375</v>
      </c>
      <c r="R416">
        <v>0</v>
      </c>
      <c r="S416">
        <v>15.253496664211537</v>
      </c>
      <c r="T416">
        <v>15.088589737535848</v>
      </c>
    </row>
    <row r="417" spans="1:20" x14ac:dyDescent="0.25">
      <c r="A417" s="6" t="s">
        <v>435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17.650612255493119</v>
      </c>
      <c r="M417">
        <v>0</v>
      </c>
      <c r="N417">
        <v>17.153359992926084</v>
      </c>
      <c r="O417">
        <v>0</v>
      </c>
      <c r="P417">
        <v>16.242269408788282</v>
      </c>
      <c r="Q417">
        <v>16.370853614849693</v>
      </c>
      <c r="R417">
        <v>15.485312339434612</v>
      </c>
      <c r="S417">
        <v>16.634377152758319</v>
      </c>
      <c r="T417">
        <v>16.144972207433366</v>
      </c>
    </row>
    <row r="418" spans="1:20" x14ac:dyDescent="0.25">
      <c r="A418" s="5" t="s">
        <v>436</v>
      </c>
      <c r="B418">
        <v>12.331440082655506</v>
      </c>
      <c r="C418">
        <v>12.084749342390026</v>
      </c>
      <c r="D418">
        <v>12.029923278278018</v>
      </c>
      <c r="E418">
        <v>12.208160182638458</v>
      </c>
      <c r="F418">
        <v>12.48392325627745</v>
      </c>
      <c r="G418">
        <v>12.366900793250684</v>
      </c>
      <c r="H418">
        <v>12.540565628178575</v>
      </c>
      <c r="I418">
        <v>12.409489273583068</v>
      </c>
      <c r="J418">
        <v>12.610334938544073</v>
      </c>
      <c r="K418">
        <v>12.176100098650878</v>
      </c>
      <c r="L418">
        <v>12.2738071061958</v>
      </c>
      <c r="M418">
        <v>12.474754208055138</v>
      </c>
      <c r="N418">
        <v>12.31333725645425</v>
      </c>
      <c r="O418">
        <v>12.897374867933525</v>
      </c>
      <c r="P418">
        <v>12.812938903237317</v>
      </c>
      <c r="Q418">
        <v>11.987524211159069</v>
      </c>
      <c r="R418">
        <v>11.808357631862609</v>
      </c>
      <c r="S418">
        <v>12.446640975243517</v>
      </c>
      <c r="T418">
        <v>12.119192285112646</v>
      </c>
    </row>
    <row r="419" spans="1:20" x14ac:dyDescent="0.25">
      <c r="A419" s="6" t="s">
        <v>437</v>
      </c>
      <c r="B419">
        <v>12.934502023925448</v>
      </c>
      <c r="C419">
        <v>9.8376585258441072</v>
      </c>
      <c r="D419">
        <v>10.97915345757432</v>
      </c>
      <c r="E419">
        <v>10.671182943365498</v>
      </c>
      <c r="F419">
        <v>9.6247492651112179</v>
      </c>
      <c r="G419">
        <v>9.1106859859164935</v>
      </c>
      <c r="H419">
        <v>9.585765277968445</v>
      </c>
      <c r="I419">
        <v>9.7959323816203554</v>
      </c>
      <c r="J419">
        <v>9.6787151257551205</v>
      </c>
      <c r="K419">
        <v>10.99801953555993</v>
      </c>
      <c r="L419">
        <v>10.390952286772922</v>
      </c>
      <c r="M419">
        <v>9.6401434346553412</v>
      </c>
      <c r="N419">
        <v>10.173002213908843</v>
      </c>
      <c r="O419">
        <v>10.500327977805851</v>
      </c>
      <c r="P419">
        <v>9.7497342690724835</v>
      </c>
      <c r="Q419">
        <v>10.236655303538031</v>
      </c>
      <c r="R419">
        <v>10.089193081117887</v>
      </c>
      <c r="S419">
        <v>10.162327427437976</v>
      </c>
      <c r="T419">
        <v>10.888667099692933</v>
      </c>
    </row>
    <row r="420" spans="1:20" x14ac:dyDescent="0.25">
      <c r="A420" s="5" t="s">
        <v>438</v>
      </c>
      <c r="B420">
        <v>15.044043298582586</v>
      </c>
      <c r="C420">
        <v>14.861179241432778</v>
      </c>
      <c r="D420">
        <v>14.4397154729945</v>
      </c>
      <c r="E420">
        <v>14.718221287590733</v>
      </c>
      <c r="F420">
        <v>15.852617227929352</v>
      </c>
      <c r="G420">
        <v>16.187407473753765</v>
      </c>
      <c r="H420">
        <v>15.346606068603018</v>
      </c>
      <c r="I420">
        <v>15.512029677810389</v>
      </c>
      <c r="J420">
        <v>15.737796825927495</v>
      </c>
      <c r="K420">
        <v>15.389310519557258</v>
      </c>
      <c r="L420">
        <v>15.231128851183083</v>
      </c>
      <c r="M420">
        <v>15.595285181459742</v>
      </c>
      <c r="N420">
        <v>15.949715916034434</v>
      </c>
      <c r="O420">
        <v>16.59528518145974</v>
      </c>
      <c r="P420">
        <v>15.43331770179635</v>
      </c>
      <c r="Q420">
        <v>14.710464843956299</v>
      </c>
      <c r="R420">
        <v>14.522177633186471</v>
      </c>
      <c r="S420">
        <v>15.588160747026361</v>
      </c>
      <c r="T420">
        <v>15.019876987451834</v>
      </c>
    </row>
    <row r="421" spans="1:20" x14ac:dyDescent="0.25">
      <c r="A421" s="6" t="s">
        <v>439</v>
      </c>
      <c r="B421">
        <v>13.88063160409895</v>
      </c>
      <c r="C421">
        <v>13.436513040956156</v>
      </c>
      <c r="D421">
        <v>13.759641214970715</v>
      </c>
      <c r="E421">
        <v>13.898145567786724</v>
      </c>
      <c r="F421">
        <v>14.553056946070445</v>
      </c>
      <c r="G421">
        <v>14.668534163490381</v>
      </c>
      <c r="H421">
        <v>13.718221287590733</v>
      </c>
      <c r="I421">
        <v>13.560009706712211</v>
      </c>
      <c r="J421">
        <v>13.685540588796069</v>
      </c>
      <c r="K421">
        <v>14.171347622857667</v>
      </c>
      <c r="L421">
        <v>13.735827276077723</v>
      </c>
      <c r="M421">
        <v>14.376979717646538</v>
      </c>
      <c r="N421">
        <v>14.139754498162349</v>
      </c>
      <c r="O421">
        <v>14.343603580441494</v>
      </c>
      <c r="P421">
        <v>13.947434974783196</v>
      </c>
      <c r="Q421">
        <v>13.268893073799324</v>
      </c>
      <c r="R421">
        <v>12.713669016512497</v>
      </c>
      <c r="S421">
        <v>14.542690230512186</v>
      </c>
      <c r="T421">
        <v>13.310982158872298</v>
      </c>
    </row>
    <row r="422" spans="1:20" x14ac:dyDescent="0.25">
      <c r="A422" s="5" t="s">
        <v>440</v>
      </c>
      <c r="B422">
        <v>12.779151887449315</v>
      </c>
      <c r="C422">
        <v>13.107781002555686</v>
      </c>
      <c r="D422">
        <v>13.244941986916416</v>
      </c>
      <c r="E422">
        <v>13.40800661326716</v>
      </c>
      <c r="F422">
        <v>12.675312696121443</v>
      </c>
      <c r="G422">
        <v>11.941288712369408</v>
      </c>
      <c r="H422">
        <v>12.908723636070807</v>
      </c>
      <c r="I422">
        <v>12.517771419134961</v>
      </c>
      <c r="J422">
        <v>12.544154327327396</v>
      </c>
      <c r="K422">
        <v>12.801626185347216</v>
      </c>
      <c r="L422">
        <v>12.645704022292326</v>
      </c>
      <c r="M422">
        <v>12.225127808145601</v>
      </c>
      <c r="N422">
        <v>11.513825737177916</v>
      </c>
      <c r="O422">
        <v>12.891410382047406</v>
      </c>
      <c r="P422">
        <v>11.859612878693337</v>
      </c>
      <c r="Q422">
        <v>11.789231720493595</v>
      </c>
      <c r="R422">
        <v>11.999743707794533</v>
      </c>
      <c r="S422">
        <v>11.656663989599545</v>
      </c>
      <c r="T422">
        <v>11.353822534321855</v>
      </c>
    </row>
    <row r="423" spans="1:20" x14ac:dyDescent="0.25">
      <c r="A423" s="6" t="s">
        <v>441</v>
      </c>
      <c r="B423">
        <v>10.727892662753622</v>
      </c>
      <c r="C423">
        <v>11.24825810160498</v>
      </c>
      <c r="D423">
        <v>10.349927335850966</v>
      </c>
      <c r="E423">
        <v>10.844999733375731</v>
      </c>
      <c r="F423">
        <v>10.615194255468678</v>
      </c>
      <c r="G423">
        <v>10.202389708171932</v>
      </c>
      <c r="H423">
        <v>10.636029198917342</v>
      </c>
      <c r="I423">
        <v>10.44093025261208</v>
      </c>
      <c r="J423">
        <v>10.718770666234548</v>
      </c>
      <c r="K423">
        <v>10.613525197045186</v>
      </c>
      <c r="L423">
        <v>10.886693631750676</v>
      </c>
      <c r="M423">
        <v>9.8416083686346081</v>
      </c>
      <c r="N423">
        <v>9.5008651359884357</v>
      </c>
      <c r="O423">
        <v>10.119368797098597</v>
      </c>
      <c r="P423">
        <v>9.4312066723013466</v>
      </c>
      <c r="Q423">
        <v>9.0093417257610504</v>
      </c>
      <c r="R423">
        <v>9.2938333561836561</v>
      </c>
      <c r="S423">
        <v>9.3160446786978177</v>
      </c>
      <c r="T423">
        <v>8.6305623107915839</v>
      </c>
    </row>
    <row r="424" spans="1:20" x14ac:dyDescent="0.25">
      <c r="A424" s="5" t="s">
        <v>442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15.242269408788282</v>
      </c>
      <c r="J424">
        <v>15.078570981710859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12.47076867887329</v>
      </c>
      <c r="R424">
        <v>13.257503447592544</v>
      </c>
      <c r="S424">
        <v>13.054462386833531</v>
      </c>
      <c r="T424">
        <v>12.782319367120049</v>
      </c>
    </row>
    <row r="425" spans="1:20" x14ac:dyDescent="0.25">
      <c r="A425" s="6" t="s">
        <v>443</v>
      </c>
      <c r="B425">
        <v>15.827231909509438</v>
      </c>
      <c r="C425">
        <v>15.560009706712211</v>
      </c>
      <c r="D425">
        <v>15.505303814622076</v>
      </c>
      <c r="E425">
        <v>14.818868436574812</v>
      </c>
      <c r="F425">
        <v>0</v>
      </c>
      <c r="G425">
        <v>15.383131944628133</v>
      </c>
      <c r="H425">
        <v>15.714337853103507</v>
      </c>
      <c r="I425">
        <v>16.15546458125101</v>
      </c>
      <c r="J425">
        <v>15.287712379549449</v>
      </c>
      <c r="K425">
        <v>14.891552890476294</v>
      </c>
      <c r="L425">
        <v>15.602444973032609</v>
      </c>
      <c r="M425">
        <v>15.242269408788282</v>
      </c>
      <c r="N425">
        <v>15.414292876114592</v>
      </c>
      <c r="O425">
        <v>15.358678900903593</v>
      </c>
      <c r="P425">
        <v>0</v>
      </c>
      <c r="Q425">
        <v>0</v>
      </c>
      <c r="R425">
        <v>15.95887591531991</v>
      </c>
      <c r="S425">
        <v>0</v>
      </c>
      <c r="T425">
        <v>0</v>
      </c>
    </row>
    <row r="426" spans="1:20" x14ac:dyDescent="0.25">
      <c r="A426" s="5" t="s">
        <v>444</v>
      </c>
      <c r="B426">
        <v>15.794065045574239</v>
      </c>
      <c r="C426">
        <v>15.270503089517227</v>
      </c>
      <c r="D426">
        <v>14.945157634072132</v>
      </c>
      <c r="E426">
        <v>14.949715916034434</v>
      </c>
      <c r="F426">
        <v>15.498609162048069</v>
      </c>
      <c r="G426">
        <v>15.67606783617579</v>
      </c>
      <c r="H426">
        <v>15.539251146545414</v>
      </c>
      <c r="I426">
        <v>15.236688376524983</v>
      </c>
      <c r="J426">
        <v>15.777763233245141</v>
      </c>
      <c r="K426">
        <v>15.15546458125101</v>
      </c>
      <c r="L426">
        <v>15.253496664211537</v>
      </c>
      <c r="M426">
        <v>15.794065045574239</v>
      </c>
      <c r="N426">
        <v>16.034328143749374</v>
      </c>
      <c r="O426">
        <v>15.12937535238235</v>
      </c>
      <c r="P426">
        <v>16.627057527514221</v>
      </c>
      <c r="Q426">
        <v>16.472136950686878</v>
      </c>
      <c r="R426">
        <v>0</v>
      </c>
      <c r="S426">
        <v>16.96624602095692</v>
      </c>
      <c r="T426">
        <v>17.06367210533152</v>
      </c>
    </row>
    <row r="427" spans="1:20" x14ac:dyDescent="0.25">
      <c r="A427" s="6" t="s">
        <v>445</v>
      </c>
      <c r="B427">
        <v>16.370853614849693</v>
      </c>
      <c r="C427">
        <v>15.299300353824661</v>
      </c>
      <c r="D427">
        <v>14.802285552379209</v>
      </c>
      <c r="E427">
        <v>14.46233377565652</v>
      </c>
      <c r="F427">
        <v>15.478709604610364</v>
      </c>
      <c r="G427">
        <v>15.491945431767057</v>
      </c>
      <c r="H427">
        <v>15.093625327433148</v>
      </c>
      <c r="I427">
        <v>14.657306908067127</v>
      </c>
      <c r="J427">
        <v>15.334633426936943</v>
      </c>
      <c r="K427">
        <v>14.4397154729945</v>
      </c>
      <c r="L427">
        <v>14.794065045574239</v>
      </c>
      <c r="M427">
        <v>16.383131944628133</v>
      </c>
      <c r="N427">
        <v>0</v>
      </c>
      <c r="O427">
        <v>14.852617227929352</v>
      </c>
      <c r="P427">
        <v>16.472136950686878</v>
      </c>
      <c r="Q427">
        <v>0</v>
      </c>
      <c r="R427">
        <v>16.310982158872296</v>
      </c>
      <c r="S427">
        <v>16.787522199707468</v>
      </c>
      <c r="T427">
        <v>0</v>
      </c>
    </row>
    <row r="428" spans="1:20" x14ac:dyDescent="0.25">
      <c r="A428" s="5" t="s">
        <v>446</v>
      </c>
      <c r="B428">
        <v>14.044043298582588</v>
      </c>
      <c r="C428">
        <v>14.051372840381076</v>
      </c>
      <c r="D428">
        <v>13.657306908067127</v>
      </c>
      <c r="E428">
        <v>13.779790914592123</v>
      </c>
      <c r="F428">
        <v>13.779790914592123</v>
      </c>
      <c r="G428">
        <v>14.056279971101485</v>
      </c>
      <c r="H428">
        <v>13.787930259402136</v>
      </c>
      <c r="I428">
        <v>13.833536486363649</v>
      </c>
      <c r="J428">
        <v>14.036750806016231</v>
      </c>
      <c r="K428">
        <v>13.820954763823279</v>
      </c>
      <c r="L428">
        <v>13.92257978609692</v>
      </c>
      <c r="M428">
        <v>14.103749544706854</v>
      </c>
      <c r="N428">
        <v>14.83564414932564</v>
      </c>
      <c r="O428">
        <v>13.956580457332247</v>
      </c>
      <c r="P428">
        <v>14.63144484475516</v>
      </c>
      <c r="Q428">
        <v>15.098678555159433</v>
      </c>
      <c r="R428">
        <v>14.478709604610362</v>
      </c>
      <c r="S428">
        <v>14.6989078125339</v>
      </c>
      <c r="T428">
        <v>15.134555591488031</v>
      </c>
    </row>
    <row r="429" spans="1:20" x14ac:dyDescent="0.25">
      <c r="A429" s="6" t="s">
        <v>447</v>
      </c>
      <c r="B429">
        <v>15.977372258937301</v>
      </c>
      <c r="C429">
        <v>15.922579786096922</v>
      </c>
      <c r="D429">
        <v>16.044043298582586</v>
      </c>
      <c r="E429">
        <v>16.485312339434611</v>
      </c>
      <c r="F429">
        <v>15.566996137028319</v>
      </c>
      <c r="G429">
        <v>15.996108821518886</v>
      </c>
      <c r="H429">
        <v>15.566996137028319</v>
      </c>
      <c r="I429">
        <v>15.340607327981576</v>
      </c>
      <c r="J429">
        <v>15.225590667641651</v>
      </c>
      <c r="K429">
        <v>15.852617227929352</v>
      </c>
      <c r="L429">
        <v>15.986710123516636</v>
      </c>
      <c r="M429">
        <v>16.310982158872296</v>
      </c>
      <c r="N429">
        <v>17.151258470280798</v>
      </c>
      <c r="O429">
        <v>15.638786820096328</v>
      </c>
      <c r="P429">
        <v>16.609640474436812</v>
      </c>
      <c r="Q429">
        <v>17.101719009479485</v>
      </c>
      <c r="R429">
        <v>16.946068139019292</v>
      </c>
      <c r="S429">
        <v>0</v>
      </c>
      <c r="T429">
        <v>16.539251146545414</v>
      </c>
    </row>
    <row r="430" spans="1:20" x14ac:dyDescent="0.25">
      <c r="A430" s="5" t="s">
        <v>448</v>
      </c>
      <c r="B430">
        <v>15.539251146545414</v>
      </c>
      <c r="C430">
        <v>14.891552890476294</v>
      </c>
      <c r="D430">
        <v>14.745702024012841</v>
      </c>
      <c r="E430">
        <v>14.512029677810389</v>
      </c>
      <c r="F430">
        <v>14.691254239990466</v>
      </c>
      <c r="G430">
        <v>14.891552890476294</v>
      </c>
      <c r="H430">
        <v>14.949715916034434</v>
      </c>
      <c r="I430">
        <v>14.59886063568357</v>
      </c>
      <c r="J430">
        <v>14.806413438001886</v>
      </c>
      <c r="K430">
        <v>14.465594104820106</v>
      </c>
      <c r="L430">
        <v>14.59171856643955</v>
      </c>
      <c r="M430">
        <v>15.602444973032609</v>
      </c>
      <c r="N430">
        <v>15.566996137028319</v>
      </c>
      <c r="O430">
        <v>14.949715916034434</v>
      </c>
      <c r="P430">
        <v>15.794065045574239</v>
      </c>
      <c r="Q430">
        <v>15.518787043985698</v>
      </c>
      <c r="R430">
        <v>15.602444973032609</v>
      </c>
      <c r="S430">
        <v>16.287712379549451</v>
      </c>
      <c r="T430">
        <v>15.996108821518886</v>
      </c>
    </row>
    <row r="431" spans="1:20" x14ac:dyDescent="0.25">
      <c r="A431" s="6" t="s">
        <v>449</v>
      </c>
      <c r="B431">
        <v>13.825136491507246</v>
      </c>
      <c r="C431">
        <v>13.340607327981576</v>
      </c>
      <c r="D431">
        <v>12.310784241726548</v>
      </c>
      <c r="E431">
        <v>12.162153846075633</v>
      </c>
      <c r="F431">
        <v>13.003909108621086</v>
      </c>
      <c r="G431">
        <v>14.370853614849695</v>
      </c>
      <c r="H431">
        <v>14.119070343990613</v>
      </c>
      <c r="I431">
        <v>13.954288645824258</v>
      </c>
      <c r="J431">
        <v>14.103749544706854</v>
      </c>
      <c r="K431">
        <v>13.685540588796069</v>
      </c>
      <c r="L431">
        <v>13.931568569324176</v>
      </c>
      <c r="M431">
        <v>14.160739523291683</v>
      </c>
      <c r="N431">
        <v>14.358678900903593</v>
      </c>
      <c r="O431">
        <v>13.099070920319109</v>
      </c>
      <c r="P431">
        <v>14.61687204366789</v>
      </c>
      <c r="Q431">
        <v>14.442925029470389</v>
      </c>
      <c r="R431">
        <v>15.144972207433367</v>
      </c>
      <c r="S431">
        <v>14.765656630388486</v>
      </c>
      <c r="T431">
        <v>15.328684160605755</v>
      </c>
    </row>
    <row r="432" spans="1:20" x14ac:dyDescent="0.25">
      <c r="A432" s="5" t="s">
        <v>450</v>
      </c>
      <c r="B432">
        <v>0</v>
      </c>
      <c r="C432">
        <v>0</v>
      </c>
      <c r="D432">
        <v>0</v>
      </c>
      <c r="E432">
        <v>0</v>
      </c>
      <c r="F432">
        <v>12.447462670275254</v>
      </c>
      <c r="G432">
        <v>14.325718702129196</v>
      </c>
      <c r="H432">
        <v>14.436513040956156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15.491945431767057</v>
      </c>
      <c r="P432">
        <v>12.90527752593089</v>
      </c>
      <c r="Q432">
        <v>13.340607327981576</v>
      </c>
      <c r="R432">
        <v>13.984369985062118</v>
      </c>
      <c r="S432">
        <v>12.507066320781464</v>
      </c>
      <c r="T432">
        <v>11.87360932786965</v>
      </c>
    </row>
    <row r="433" spans="1:20" x14ac:dyDescent="0.25">
      <c r="A433" s="6" t="s">
        <v>451</v>
      </c>
      <c r="B433">
        <v>0</v>
      </c>
      <c r="C433">
        <v>0</v>
      </c>
      <c r="D433">
        <v>0</v>
      </c>
      <c r="E433">
        <v>0</v>
      </c>
      <c r="F433">
        <v>15.259143227352677</v>
      </c>
      <c r="G433">
        <v>14.455835138357777</v>
      </c>
      <c r="H433">
        <v>13.586385122136509</v>
      </c>
      <c r="I433">
        <v>14.325718702129196</v>
      </c>
      <c r="J433">
        <v>14.389310519557256</v>
      </c>
      <c r="K433">
        <v>0</v>
      </c>
      <c r="L433">
        <v>14.861179241432778</v>
      </c>
      <c r="M433">
        <v>15.068621321303253</v>
      </c>
      <c r="N433">
        <v>14.098678555159433</v>
      </c>
      <c r="O433">
        <v>14.264811977439372</v>
      </c>
      <c r="P433">
        <v>14.505303814622076</v>
      </c>
      <c r="Q433">
        <v>0</v>
      </c>
      <c r="R433">
        <v>0</v>
      </c>
      <c r="S433">
        <v>0</v>
      </c>
      <c r="T433">
        <v>15.539251146545414</v>
      </c>
    </row>
    <row r="434" spans="1:20" x14ac:dyDescent="0.25">
      <c r="A434" s="5" t="s">
        <v>452</v>
      </c>
      <c r="B434">
        <v>11.486880799002961</v>
      </c>
      <c r="C434">
        <v>11.664491645217094</v>
      </c>
      <c r="D434">
        <v>12.222946768940966</v>
      </c>
      <c r="E434">
        <v>11.971850569037461</v>
      </c>
      <c r="F434">
        <v>10.55699852476242</v>
      </c>
      <c r="G434">
        <v>9.9628427449048687</v>
      </c>
      <c r="H434">
        <v>10.47257556385838</v>
      </c>
      <c r="I434">
        <v>11.080700402837847</v>
      </c>
      <c r="J434">
        <v>11.506239353337072</v>
      </c>
      <c r="K434">
        <v>10.632147597386568</v>
      </c>
      <c r="L434">
        <v>11.032601453320337</v>
      </c>
      <c r="M434">
        <v>11.337441812954948</v>
      </c>
      <c r="N434">
        <v>11.305363086371138</v>
      </c>
      <c r="O434">
        <v>11.70889922864316</v>
      </c>
      <c r="P434">
        <v>10.106681408605352</v>
      </c>
      <c r="Q434">
        <v>9.9217343547019734</v>
      </c>
      <c r="R434">
        <v>9.7615133304582429</v>
      </c>
      <c r="S434">
        <v>9.4265927107870784</v>
      </c>
      <c r="T434">
        <v>9.7974362089109928</v>
      </c>
    </row>
    <row r="435" spans="1:20" x14ac:dyDescent="0.25">
      <c r="A435" s="6" t="s">
        <v>453</v>
      </c>
      <c r="B435">
        <v>14.839868735187364</v>
      </c>
      <c r="C435">
        <v>15.264811977439372</v>
      </c>
      <c r="D435">
        <v>15.498609162048069</v>
      </c>
      <c r="E435">
        <v>15.539251146545414</v>
      </c>
      <c r="F435">
        <v>14.918106309517611</v>
      </c>
      <c r="G435">
        <v>13.833536486363649</v>
      </c>
      <c r="H435">
        <v>14.121639703602744</v>
      </c>
      <c r="I435">
        <v>13.486967755612673</v>
      </c>
      <c r="J435">
        <v>14.38005255169616</v>
      </c>
      <c r="K435">
        <v>14.423773929125478</v>
      </c>
      <c r="L435">
        <v>14.895944659593452</v>
      </c>
      <c r="M435">
        <v>14.814704811633275</v>
      </c>
      <c r="N435">
        <v>15.745702024012841</v>
      </c>
      <c r="O435">
        <v>15.134555591488031</v>
      </c>
      <c r="P435">
        <v>13.216608750973853</v>
      </c>
      <c r="Q435">
        <v>13.059687967009426</v>
      </c>
      <c r="R435">
        <v>13.472136950686879</v>
      </c>
      <c r="S435">
        <v>13.318331614607843</v>
      </c>
      <c r="T435">
        <v>13.577539631269786</v>
      </c>
    </row>
    <row r="436" spans="1:20" x14ac:dyDescent="0.25">
      <c r="A436" s="5" t="s">
        <v>454</v>
      </c>
      <c r="B436">
        <v>14.174011880384722</v>
      </c>
      <c r="C436">
        <v>0</v>
      </c>
      <c r="D436">
        <v>0</v>
      </c>
      <c r="E436">
        <v>0</v>
      </c>
      <c r="F436">
        <v>12.684096715738319</v>
      </c>
      <c r="G436">
        <v>12.596276482035368</v>
      </c>
      <c r="H436">
        <v>13.63144484475516</v>
      </c>
      <c r="I436">
        <v>13.463963019241179</v>
      </c>
      <c r="J436">
        <v>0</v>
      </c>
      <c r="K436">
        <v>13.363232387190427</v>
      </c>
      <c r="L436">
        <v>14.722115203695225</v>
      </c>
      <c r="M436">
        <v>14.267654727208196</v>
      </c>
      <c r="N436">
        <v>14.389310519557256</v>
      </c>
      <c r="O436">
        <v>0</v>
      </c>
      <c r="P436">
        <v>11.957624437901131</v>
      </c>
      <c r="Q436">
        <v>10.528750480864343</v>
      </c>
      <c r="R436">
        <v>11.598950135670627</v>
      </c>
      <c r="S436">
        <v>12.224230145933177</v>
      </c>
      <c r="T436">
        <v>9.9617216103290449</v>
      </c>
    </row>
    <row r="437" spans="1:20" x14ac:dyDescent="0.25">
      <c r="A437" s="6" t="s">
        <v>455</v>
      </c>
      <c r="B437">
        <v>8.6109315877918622</v>
      </c>
      <c r="C437">
        <v>8.7529721826059088</v>
      </c>
      <c r="D437">
        <v>8.8577396351255402</v>
      </c>
      <c r="E437">
        <v>9.2895186820231608</v>
      </c>
      <c r="F437">
        <v>9.6676785215355103</v>
      </c>
      <c r="G437">
        <v>8.8107112308960147</v>
      </c>
      <c r="H437">
        <v>8.8274357203066049</v>
      </c>
      <c r="I437">
        <v>8.3873889481677057</v>
      </c>
      <c r="J437">
        <v>8.6544857883188016</v>
      </c>
      <c r="K437">
        <v>9.5967969642111601</v>
      </c>
      <c r="L437">
        <v>9.0563721394016667</v>
      </c>
      <c r="M437">
        <v>8.79144306693847</v>
      </c>
      <c r="N437">
        <v>8.0044917585267008</v>
      </c>
      <c r="O437">
        <v>9.0101820783891515</v>
      </c>
      <c r="P437">
        <v>9.4312066723013466</v>
      </c>
      <c r="Q437">
        <v>9.7633841168976172</v>
      </c>
      <c r="R437">
        <v>9.9665938636881819</v>
      </c>
      <c r="S437">
        <v>9.8671370076548648</v>
      </c>
      <c r="T437">
        <v>10.020708514152956</v>
      </c>
    </row>
    <row r="438" spans="1:20" x14ac:dyDescent="0.25">
      <c r="A438" s="5" t="s">
        <v>456</v>
      </c>
      <c r="B438">
        <v>16.850910905978949</v>
      </c>
      <c r="C438">
        <v>17.036265947990866</v>
      </c>
      <c r="D438">
        <v>17.1098583542895</v>
      </c>
      <c r="E438">
        <v>17.099691328132501</v>
      </c>
      <c r="F438">
        <v>16.745702024012843</v>
      </c>
      <c r="G438">
        <v>16.720556375838662</v>
      </c>
      <c r="H438">
        <v>16.005569150767954</v>
      </c>
      <c r="I438">
        <v>16.395515669083963</v>
      </c>
      <c r="J438">
        <v>16.679092355188956</v>
      </c>
      <c r="K438">
        <v>16.910088841913723</v>
      </c>
      <c r="L438">
        <v>16.782634464797837</v>
      </c>
      <c r="M438">
        <v>16.807240434321972</v>
      </c>
      <c r="N438">
        <v>17.4747624200937</v>
      </c>
      <c r="O438">
        <v>17.283103126296862</v>
      </c>
      <c r="P438">
        <v>17.06367210533152</v>
      </c>
      <c r="Q438">
        <v>15.802285552379209</v>
      </c>
      <c r="R438">
        <v>16.144972207433366</v>
      </c>
      <c r="S438">
        <v>15.512029677810389</v>
      </c>
      <c r="T438">
        <v>15.922579786096922</v>
      </c>
    </row>
    <row r="439" spans="1:20" x14ac:dyDescent="0.25">
      <c r="A439" s="6" t="s">
        <v>457</v>
      </c>
      <c r="B439">
        <v>12.35358845009922</v>
      </c>
      <c r="C439">
        <v>12.30532657547905</v>
      </c>
      <c r="D439">
        <v>12.200555082543008</v>
      </c>
      <c r="E439">
        <v>12.315961000517836</v>
      </c>
      <c r="F439">
        <v>11.86234438748648</v>
      </c>
      <c r="G439">
        <v>12.954952896436302</v>
      </c>
      <c r="H439">
        <v>12.445682922167025</v>
      </c>
      <c r="I439">
        <v>12.411240617672881</v>
      </c>
      <c r="J439">
        <v>12.628052643908042</v>
      </c>
      <c r="K439">
        <v>12.736053637531786</v>
      </c>
      <c r="L439">
        <v>12.964319250611881</v>
      </c>
      <c r="M439">
        <v>13.238416188598354</v>
      </c>
      <c r="N439">
        <v>13.704674755752785</v>
      </c>
      <c r="O439">
        <v>12.963535434046069</v>
      </c>
      <c r="P439">
        <v>13.604240486694223</v>
      </c>
      <c r="Q439">
        <v>14.019876987451836</v>
      </c>
      <c r="R439">
        <v>14.187407473753764</v>
      </c>
      <c r="S439">
        <v>14.200928613407385</v>
      </c>
      <c r="T439">
        <v>13.825136491507246</v>
      </c>
    </row>
    <row r="440" spans="1:20" x14ac:dyDescent="0.25">
      <c r="A440" s="5" t="s">
        <v>458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16.656561521824305</v>
      </c>
      <c r="R440">
        <v>15.63144484475516</v>
      </c>
      <c r="S440">
        <v>15.395515669083965</v>
      </c>
      <c r="T440">
        <v>16.05382431937517</v>
      </c>
    </row>
    <row r="441" spans="1:20" x14ac:dyDescent="0.25">
      <c r="A441" s="6" t="s">
        <v>459</v>
      </c>
      <c r="B441">
        <v>16.854325570391715</v>
      </c>
      <c r="C441">
        <v>16.113945311812746</v>
      </c>
      <c r="D441">
        <v>16.220073662674086</v>
      </c>
      <c r="E441">
        <v>15.931568569324174</v>
      </c>
      <c r="F441">
        <v>15.574016564706092</v>
      </c>
      <c r="G441">
        <v>16.334633426936943</v>
      </c>
      <c r="H441">
        <v>17.224485577552468</v>
      </c>
      <c r="I441">
        <v>16.264811977439372</v>
      </c>
      <c r="J441">
        <v>16.881937801599573</v>
      </c>
      <c r="K441">
        <v>16.144972207433366</v>
      </c>
      <c r="L441">
        <v>16.334633426936943</v>
      </c>
      <c r="M441">
        <v>16.370853614849693</v>
      </c>
      <c r="N441">
        <v>17.233350091099762</v>
      </c>
      <c r="O441">
        <v>16.242269408788282</v>
      </c>
      <c r="P441">
        <v>17.091608981834643</v>
      </c>
      <c r="Q441">
        <v>16.103749544706854</v>
      </c>
      <c r="R441">
        <v>15.802285552379209</v>
      </c>
      <c r="S441">
        <v>15.595285181459742</v>
      </c>
      <c r="T441">
        <v>16.242269408788282</v>
      </c>
    </row>
    <row r="442" spans="1:20" x14ac:dyDescent="0.25">
      <c r="A442" s="5" t="s">
        <v>460</v>
      </c>
      <c r="B442">
        <v>15.95887591531991</v>
      </c>
      <c r="C442">
        <v>0</v>
      </c>
      <c r="D442">
        <v>16.05382431937517</v>
      </c>
      <c r="E442">
        <v>16.334633426936943</v>
      </c>
      <c r="F442">
        <v>16.67003775408077</v>
      </c>
      <c r="G442">
        <v>16.299300353824663</v>
      </c>
      <c r="H442">
        <v>16.628518484642502</v>
      </c>
      <c r="I442">
        <v>15.646166350461927</v>
      </c>
      <c r="J442">
        <v>17.040149382478095</v>
      </c>
      <c r="K442">
        <v>16.383131944628133</v>
      </c>
      <c r="L442">
        <v>15.802285552379209</v>
      </c>
      <c r="M442">
        <v>16.609640474436812</v>
      </c>
      <c r="N442">
        <v>16.78426187054388</v>
      </c>
      <c r="O442">
        <v>17.244507880984283</v>
      </c>
      <c r="P442">
        <v>15.761643567881864</v>
      </c>
      <c r="Q442">
        <v>14.426948176920622</v>
      </c>
      <c r="R442">
        <v>14.968094445349289</v>
      </c>
      <c r="S442">
        <v>15.150208855799516</v>
      </c>
      <c r="T442">
        <v>14.532397475504352</v>
      </c>
    </row>
    <row r="443" spans="1:20" x14ac:dyDescent="0.25">
      <c r="A443" s="6" t="s">
        <v>461</v>
      </c>
      <c r="B443">
        <v>15.376979717646538</v>
      </c>
      <c r="C443">
        <v>16.782634464797837</v>
      </c>
      <c r="D443">
        <v>16.34660606860302</v>
      </c>
      <c r="E443">
        <v>15.794065045574239</v>
      </c>
      <c r="F443">
        <v>15.827231909509438</v>
      </c>
      <c r="G443">
        <v>15.895944659593452</v>
      </c>
      <c r="H443">
        <v>14.789972290940359</v>
      </c>
      <c r="I443">
        <v>15.383131944628133</v>
      </c>
      <c r="J443">
        <v>15.259143227352677</v>
      </c>
      <c r="K443">
        <v>16.06367210533152</v>
      </c>
      <c r="L443">
        <v>15.485312339434612</v>
      </c>
      <c r="M443">
        <v>14.986710123516636</v>
      </c>
      <c r="N443">
        <v>14.757641637324365</v>
      </c>
      <c r="O443">
        <v>15.401747622795478</v>
      </c>
      <c r="P443">
        <v>14.525576209648337</v>
      </c>
      <c r="Q443">
        <v>14.182034301654912</v>
      </c>
      <c r="R443">
        <v>14.217323051658052</v>
      </c>
      <c r="S443">
        <v>14.508662826711991</v>
      </c>
      <c r="T443">
        <v>13.876286133822985</v>
      </c>
    </row>
    <row r="444" spans="1:20" x14ac:dyDescent="0.25">
      <c r="A444" s="5" t="s">
        <v>462</v>
      </c>
      <c r="B444">
        <v>15.869792371737484</v>
      </c>
      <c r="C444">
        <v>0</v>
      </c>
      <c r="D444">
        <v>16.05382431937517</v>
      </c>
      <c r="E444">
        <v>16.911866654881624</v>
      </c>
      <c r="F444">
        <v>15.646166350461927</v>
      </c>
      <c r="G444">
        <v>15.691254239990466</v>
      </c>
      <c r="H444">
        <v>0</v>
      </c>
      <c r="I444">
        <v>15.546137532130656</v>
      </c>
      <c r="J444">
        <v>15.996108821518886</v>
      </c>
      <c r="K444">
        <v>16.024677973715658</v>
      </c>
      <c r="L444">
        <v>16.187407473753765</v>
      </c>
      <c r="M444">
        <v>0</v>
      </c>
      <c r="N444">
        <v>16.383131944628133</v>
      </c>
      <c r="O444">
        <v>15.498609162048069</v>
      </c>
      <c r="P444">
        <v>15.602444973032609</v>
      </c>
      <c r="Q444">
        <v>0</v>
      </c>
      <c r="R444">
        <v>15.525576209648337</v>
      </c>
      <c r="S444">
        <v>16.358678900903591</v>
      </c>
      <c r="T444">
        <v>16.034328143749374</v>
      </c>
    </row>
    <row r="445" spans="1:20" x14ac:dyDescent="0.25">
      <c r="A445" s="6" t="s">
        <v>463</v>
      </c>
      <c r="B445">
        <v>14.588160747026361</v>
      </c>
      <c r="C445">
        <v>14.340607327981576</v>
      </c>
      <c r="D445">
        <v>14.977372258937299</v>
      </c>
      <c r="E445">
        <v>14.505303814622076</v>
      </c>
      <c r="F445">
        <v>15.000831231761289</v>
      </c>
      <c r="G445">
        <v>14.0860785183798</v>
      </c>
      <c r="H445">
        <v>14.691254239990466</v>
      </c>
      <c r="I445">
        <v>14.139754498162349</v>
      </c>
      <c r="J445">
        <v>15.083571662769224</v>
      </c>
      <c r="K445">
        <v>14.577539631269786</v>
      </c>
      <c r="L445">
        <v>14.528982811091586</v>
      </c>
      <c r="M445">
        <v>14.426948176920622</v>
      </c>
      <c r="N445">
        <v>14.515404404591045</v>
      </c>
      <c r="O445">
        <v>14.718221287590733</v>
      </c>
      <c r="P445">
        <v>13.933824543264544</v>
      </c>
      <c r="Q445">
        <v>14.239476193896602</v>
      </c>
      <c r="R445">
        <v>14.134555591488031</v>
      </c>
      <c r="S445">
        <v>13.328684160605755</v>
      </c>
      <c r="T445">
        <v>14.325718702129196</v>
      </c>
    </row>
    <row r="446" spans="1:20" x14ac:dyDescent="0.25">
      <c r="A446" s="5" t="s">
        <v>464</v>
      </c>
      <c r="B446">
        <v>0</v>
      </c>
      <c r="C446">
        <v>0</v>
      </c>
      <c r="D446">
        <v>0</v>
      </c>
      <c r="E446">
        <v>0</v>
      </c>
      <c r="F446">
        <v>7.5775010511572551</v>
      </c>
      <c r="G446">
        <v>0</v>
      </c>
      <c r="H446">
        <v>0</v>
      </c>
      <c r="I446">
        <v>7.1650934936341715</v>
      </c>
      <c r="J446">
        <v>0</v>
      </c>
      <c r="K446">
        <v>0</v>
      </c>
      <c r="L446">
        <v>0</v>
      </c>
      <c r="M446">
        <v>7.8682880992034354</v>
      </c>
      <c r="N446">
        <v>0</v>
      </c>
      <c r="O446">
        <v>7.3112050772423682</v>
      </c>
      <c r="P446">
        <v>0</v>
      </c>
      <c r="Q446">
        <v>6.493742907908322</v>
      </c>
      <c r="R446">
        <v>6.2402160874547574</v>
      </c>
      <c r="S446">
        <v>6.4020965309711881</v>
      </c>
      <c r="T446">
        <v>7.074712008518123</v>
      </c>
    </row>
    <row r="447" spans="1:20" x14ac:dyDescent="0.25">
      <c r="A447" s="6" t="s">
        <v>465</v>
      </c>
      <c r="B447">
        <v>14.542690230512186</v>
      </c>
      <c r="C447">
        <v>13.938347101955237</v>
      </c>
      <c r="D447">
        <v>13.956580457332247</v>
      </c>
      <c r="E447">
        <v>13.88280925740432</v>
      </c>
      <c r="F447">
        <v>14.664782028629272</v>
      </c>
      <c r="G447">
        <v>14.982033636307161</v>
      </c>
      <c r="H447">
        <v>15.401747622795478</v>
      </c>
      <c r="I447">
        <v>14.310982158872298</v>
      </c>
      <c r="J447">
        <v>14.522177633186471</v>
      </c>
      <c r="K447">
        <v>14.195504941452361</v>
      </c>
      <c r="L447">
        <v>14.179355201459032</v>
      </c>
      <c r="M447">
        <v>14.46233377565652</v>
      </c>
      <c r="N447">
        <v>14.595285181459742</v>
      </c>
      <c r="O447">
        <v>14.436513040956156</v>
      </c>
      <c r="P447">
        <v>15.160739523291683</v>
      </c>
      <c r="Q447">
        <v>14.449365643028219</v>
      </c>
      <c r="R447">
        <v>14.6989078125339</v>
      </c>
      <c r="S447">
        <v>14.714337853103507</v>
      </c>
      <c r="T447">
        <v>14.475419534676179</v>
      </c>
    </row>
    <row r="448" spans="1:20" x14ac:dyDescent="0.25">
      <c r="A448" s="5" t="s">
        <v>466</v>
      </c>
      <c r="B448">
        <v>14.844105728073835</v>
      </c>
      <c r="C448">
        <v>14.012705332049579</v>
      </c>
      <c r="D448">
        <v>13.618685614039819</v>
      </c>
      <c r="E448">
        <v>13.588160747026361</v>
      </c>
      <c r="F448">
        <v>14.991401818841357</v>
      </c>
      <c r="G448">
        <v>14.515404404591045</v>
      </c>
      <c r="H448">
        <v>14.827231909509438</v>
      </c>
      <c r="I448">
        <v>14.968094445349289</v>
      </c>
      <c r="J448">
        <v>15.058739809789289</v>
      </c>
      <c r="K448">
        <v>14.088589737535848</v>
      </c>
      <c r="L448">
        <v>14.337617285375762</v>
      </c>
      <c r="M448">
        <v>14.745702024012841</v>
      </c>
      <c r="N448">
        <v>15.305129432626858</v>
      </c>
      <c r="O448">
        <v>14.505303814622076</v>
      </c>
      <c r="P448">
        <v>15.182034301654912</v>
      </c>
      <c r="Q448">
        <v>14.798169443906975</v>
      </c>
      <c r="R448">
        <v>14.895944659593452</v>
      </c>
      <c r="S448">
        <v>14.308052827833627</v>
      </c>
      <c r="T448">
        <v>15.340607327981576</v>
      </c>
    </row>
    <row r="449" spans="1:20" x14ac:dyDescent="0.25">
      <c r="A449" s="6" t="s">
        <v>467</v>
      </c>
      <c r="B449">
        <v>9.0172238032941703</v>
      </c>
      <c r="C449">
        <v>10.690107314534705</v>
      </c>
      <c r="D449">
        <v>8.3055205501785689</v>
      </c>
      <c r="E449">
        <v>8.723848331286181</v>
      </c>
      <c r="F449">
        <v>9.7246604412684459</v>
      </c>
      <c r="G449">
        <v>9.1869339989215906</v>
      </c>
      <c r="H449">
        <v>10.769086602888368</v>
      </c>
      <c r="I449">
        <v>11.014065206096351</v>
      </c>
      <c r="J449">
        <v>10.293353511378308</v>
      </c>
      <c r="K449">
        <v>9.9039293025273825</v>
      </c>
      <c r="L449">
        <v>9.7260196581511416</v>
      </c>
      <c r="M449">
        <v>7.1161290319173229</v>
      </c>
      <c r="N449">
        <v>8.0148501026497332</v>
      </c>
      <c r="O449">
        <v>8.3260228443764035</v>
      </c>
      <c r="P449">
        <v>11.413320644624427</v>
      </c>
      <c r="Q449">
        <v>10.073295333681509</v>
      </c>
      <c r="R449">
        <v>10.883907496499358</v>
      </c>
      <c r="S449">
        <v>8.3774603763082176</v>
      </c>
      <c r="T449">
        <v>8.9529853703979967</v>
      </c>
    </row>
    <row r="450" spans="1:20" x14ac:dyDescent="0.25">
      <c r="A450" s="5" t="s">
        <v>468</v>
      </c>
      <c r="B450">
        <v>13.871953713026953</v>
      </c>
      <c r="C450">
        <v>12.348508373497801</v>
      </c>
      <c r="D450">
        <v>12.509899231489042</v>
      </c>
      <c r="E450">
        <v>12.73152333110764</v>
      </c>
      <c r="F450">
        <v>13.515404404591045</v>
      </c>
      <c r="G450">
        <v>13.450980299090315</v>
      </c>
      <c r="H450">
        <v>14.15809964141898</v>
      </c>
      <c r="I450">
        <v>13.322759326648649</v>
      </c>
      <c r="J450">
        <v>13.434914486730678</v>
      </c>
      <c r="K450">
        <v>13.503627236814692</v>
      </c>
      <c r="L450">
        <v>13.225369581894396</v>
      </c>
      <c r="M450">
        <v>14.231128851183081</v>
      </c>
      <c r="N450">
        <v>13.841985676199466</v>
      </c>
      <c r="O450">
        <v>13.936084050446667</v>
      </c>
      <c r="P450">
        <v>13.972725894080934</v>
      </c>
      <c r="Q450">
        <v>12.966650161475648</v>
      </c>
      <c r="R450">
        <v>13.15446451897791</v>
      </c>
      <c r="S450">
        <v>13.393961877828884</v>
      </c>
      <c r="T450">
        <v>13.14901584694225</v>
      </c>
    </row>
    <row r="451" spans="1:20" x14ac:dyDescent="0.25">
      <c r="A451" s="6" t="s">
        <v>469</v>
      </c>
      <c r="B451">
        <v>16.370853614849693</v>
      </c>
      <c r="C451">
        <v>15.281953110260764</v>
      </c>
      <c r="D451">
        <v>15.852617227929352</v>
      </c>
      <c r="E451">
        <v>15.75365077712833</v>
      </c>
      <c r="F451">
        <v>16.553056946070445</v>
      </c>
      <c r="G451">
        <v>15.67606783617579</v>
      </c>
      <c r="H451">
        <v>17.269363069670558</v>
      </c>
      <c r="I451">
        <v>16.395515669083963</v>
      </c>
      <c r="J451">
        <v>17.315681495408118</v>
      </c>
      <c r="K451">
        <v>16.408006613267162</v>
      </c>
      <c r="L451">
        <v>15.852617227929352</v>
      </c>
      <c r="M451">
        <v>17.888924231915681</v>
      </c>
      <c r="N451">
        <v>16.763247453584452</v>
      </c>
      <c r="O451">
        <v>16.662535422868938</v>
      </c>
      <c r="P451">
        <v>16.299300353824663</v>
      </c>
      <c r="Q451">
        <v>15.113945311812744</v>
      </c>
      <c r="R451">
        <v>15.737796825927495</v>
      </c>
      <c r="S451">
        <v>15.242269408788282</v>
      </c>
      <c r="T451">
        <v>15.134555591488031</v>
      </c>
    </row>
    <row r="452" spans="1:20" x14ac:dyDescent="0.25">
      <c r="A452" s="5" t="s">
        <v>470</v>
      </c>
      <c r="B452">
        <v>14.848355201075194</v>
      </c>
      <c r="C452">
        <v>12.936830465074454</v>
      </c>
      <c r="D452">
        <v>13.48200719471094</v>
      </c>
      <c r="E452">
        <v>13.07945733825742</v>
      </c>
      <c r="F452">
        <v>14.542690230512186</v>
      </c>
      <c r="G452">
        <v>13.397071135586007</v>
      </c>
      <c r="H452">
        <v>14.081069155566054</v>
      </c>
      <c r="I452">
        <v>13.547864276850122</v>
      </c>
      <c r="J452">
        <v>14.468861818654016</v>
      </c>
      <c r="K452">
        <v>13.289155796419118</v>
      </c>
      <c r="L452">
        <v>13.065513704556038</v>
      </c>
      <c r="M452">
        <v>14.823044112546006</v>
      </c>
      <c r="N452">
        <v>14.683641055880589</v>
      </c>
      <c r="O452">
        <v>14.088589737535848</v>
      </c>
      <c r="P452">
        <v>14.646166350461927</v>
      </c>
      <c r="Q452">
        <v>14.95428864582426</v>
      </c>
      <c r="R452">
        <v>14.83564414932564</v>
      </c>
      <c r="S452">
        <v>14.761643567881864</v>
      </c>
      <c r="T452">
        <v>15.574016564706092</v>
      </c>
    </row>
    <row r="453" spans="1:20" x14ac:dyDescent="0.25">
      <c r="A453" s="6" t="s">
        <v>471</v>
      </c>
      <c r="B453">
        <v>13.264868777574849</v>
      </c>
      <c r="C453">
        <v>11.296434536796582</v>
      </c>
      <c r="D453">
        <v>12.057349485566434</v>
      </c>
      <c r="E453">
        <v>11.590347767047827</v>
      </c>
      <c r="F453">
        <v>12.897429904271332</v>
      </c>
      <c r="G453">
        <v>11.746331358613959</v>
      </c>
      <c r="H453">
        <v>12.86348897205842</v>
      </c>
      <c r="I453">
        <v>12.121607558349439</v>
      </c>
      <c r="J453">
        <v>12.977104687090852</v>
      </c>
      <c r="K453">
        <v>11.529460377846295</v>
      </c>
      <c r="L453">
        <v>11.448651734061484</v>
      </c>
      <c r="M453">
        <v>13.071599021103149</v>
      </c>
      <c r="N453">
        <v>12.790851253920261</v>
      </c>
      <c r="O453">
        <v>12.665962898629992</v>
      </c>
      <c r="P453">
        <v>13.339111532056094</v>
      </c>
      <c r="Q453">
        <v>13.452596764291233</v>
      </c>
      <c r="R453">
        <v>13.534107843269455</v>
      </c>
      <c r="S453">
        <v>12.956179127415847</v>
      </c>
      <c r="T453">
        <v>13.649870319225345</v>
      </c>
    </row>
    <row r="454" spans="1:20" x14ac:dyDescent="0.25">
      <c r="A454" s="5" t="s">
        <v>472</v>
      </c>
      <c r="B454">
        <v>14.355651208206025</v>
      </c>
      <c r="C454">
        <v>12.67478433316337</v>
      </c>
      <c r="D454">
        <v>12.987494919464584</v>
      </c>
      <c r="E454">
        <v>12.98029551254605</v>
      </c>
      <c r="F454">
        <v>0</v>
      </c>
      <c r="G454">
        <v>12.896274581851451</v>
      </c>
      <c r="H454">
        <v>13.485312339434611</v>
      </c>
      <c r="I454">
        <v>13.203335111114479</v>
      </c>
      <c r="J454">
        <v>0</v>
      </c>
      <c r="K454">
        <v>12.964203956758857</v>
      </c>
      <c r="L454">
        <v>12.726919179330245</v>
      </c>
      <c r="M454">
        <v>0</v>
      </c>
      <c r="N454">
        <v>13.918106309517611</v>
      </c>
      <c r="O454">
        <v>13.856891883029679</v>
      </c>
      <c r="P454">
        <v>0</v>
      </c>
      <c r="Q454">
        <v>14.152834325206339</v>
      </c>
      <c r="R454">
        <v>0</v>
      </c>
      <c r="S454">
        <v>13.513716054438275</v>
      </c>
      <c r="T454">
        <v>0</v>
      </c>
    </row>
    <row r="455" spans="1:20" x14ac:dyDescent="0.25">
      <c r="A455" s="6" t="s">
        <v>473</v>
      </c>
      <c r="B455">
        <v>0</v>
      </c>
      <c r="C455">
        <v>13.75365077712833</v>
      </c>
      <c r="D455">
        <v>13.290600658874276</v>
      </c>
      <c r="E455">
        <v>13.726019658151142</v>
      </c>
      <c r="F455">
        <v>13.869792371737484</v>
      </c>
      <c r="G455">
        <v>0</v>
      </c>
      <c r="H455">
        <v>0</v>
      </c>
      <c r="I455">
        <v>0</v>
      </c>
      <c r="J455">
        <v>0</v>
      </c>
      <c r="K455">
        <v>13.722115203695225</v>
      </c>
      <c r="L455">
        <v>13.528982811091586</v>
      </c>
      <c r="M455">
        <v>14.909200756295721</v>
      </c>
      <c r="N455">
        <v>13.906982931045901</v>
      </c>
      <c r="O455">
        <v>14.53582024114514</v>
      </c>
      <c r="P455">
        <v>14.53582024114514</v>
      </c>
      <c r="Q455">
        <v>0</v>
      </c>
      <c r="R455">
        <v>0</v>
      </c>
      <c r="S455">
        <v>0</v>
      </c>
      <c r="T455">
        <v>0</v>
      </c>
    </row>
    <row r="456" spans="1:20" x14ac:dyDescent="0.25">
      <c r="A456" s="5" t="s">
        <v>474</v>
      </c>
      <c r="B456">
        <v>13.771697232545785</v>
      </c>
      <c r="C456">
        <v>14.017482472311452</v>
      </c>
      <c r="D456">
        <v>14.116505552131308</v>
      </c>
      <c r="E456">
        <v>14.14758815564038</v>
      </c>
      <c r="F456">
        <v>13.871953713026953</v>
      </c>
      <c r="G456">
        <v>13.958875915319911</v>
      </c>
      <c r="H456">
        <v>13.089758944977419</v>
      </c>
      <c r="I456">
        <v>13.629615174198079</v>
      </c>
      <c r="J456">
        <v>13.657306908067127</v>
      </c>
      <c r="K456">
        <v>13.798169443906975</v>
      </c>
      <c r="L456">
        <v>0</v>
      </c>
      <c r="M456">
        <v>13.681744020707992</v>
      </c>
      <c r="N456">
        <v>13.263676444093939</v>
      </c>
      <c r="O456">
        <v>14.083571662769224</v>
      </c>
      <c r="P456">
        <v>13.340607327981576</v>
      </c>
      <c r="Q456">
        <v>12.825084145031635</v>
      </c>
      <c r="R456">
        <v>13.000653862127121</v>
      </c>
      <c r="S456">
        <v>12.816962086864558</v>
      </c>
      <c r="T456">
        <v>13.015390526779459</v>
      </c>
    </row>
    <row r="457" spans="1:20" x14ac:dyDescent="0.25">
      <c r="A457" s="6" t="s">
        <v>475</v>
      </c>
      <c r="B457">
        <v>8.7882912333912824</v>
      </c>
      <c r="C457">
        <v>9.3533147707465627</v>
      </c>
      <c r="D457">
        <v>9.3387546399951837</v>
      </c>
      <c r="E457">
        <v>8.8207786133704857</v>
      </c>
      <c r="F457">
        <v>9.3343884652994102</v>
      </c>
      <c r="G457">
        <v>9.1710506964681038</v>
      </c>
      <c r="H457">
        <v>8.8646828865863796</v>
      </c>
      <c r="I457">
        <v>8.9176283284787452</v>
      </c>
      <c r="J457">
        <v>8.5760919308544228</v>
      </c>
      <c r="K457">
        <v>8.7823778074586336</v>
      </c>
      <c r="L457">
        <v>9.0264501201289313</v>
      </c>
      <c r="M457">
        <v>8.7696494038969259</v>
      </c>
      <c r="N457">
        <v>8.7400379950997724</v>
      </c>
      <c r="O457">
        <v>8.5471161268113853</v>
      </c>
      <c r="P457">
        <v>8.4618906342899738</v>
      </c>
      <c r="Q457">
        <v>8.6549561735504081</v>
      </c>
      <c r="R457">
        <v>8.1605331084799921</v>
      </c>
      <c r="S457">
        <v>8.5541150791774054</v>
      </c>
      <c r="T457">
        <v>8.8221407508466729</v>
      </c>
    </row>
    <row r="458" spans="1:20" x14ac:dyDescent="0.25">
      <c r="A458" s="5" t="s">
        <v>476</v>
      </c>
      <c r="B458">
        <v>14.737796825927495</v>
      </c>
      <c r="C458">
        <v>15.505303814622076</v>
      </c>
      <c r="D458">
        <v>14.287712379549449</v>
      </c>
      <c r="E458">
        <v>13.687442626040445</v>
      </c>
      <c r="F458">
        <v>14.781821449819493</v>
      </c>
      <c r="G458">
        <v>14.352629856230788</v>
      </c>
      <c r="H458">
        <v>14.198214228710349</v>
      </c>
      <c r="I458">
        <v>14.068621321303253</v>
      </c>
      <c r="J458">
        <v>14.000831231761289</v>
      </c>
      <c r="K458">
        <v>14.15809964141898</v>
      </c>
      <c r="L458">
        <v>14.174011880384722</v>
      </c>
      <c r="M458">
        <v>14.168688276407176</v>
      </c>
      <c r="N458">
        <v>13.835644149325638</v>
      </c>
      <c r="O458">
        <v>14.048925519962333</v>
      </c>
      <c r="P458">
        <v>13.125064057436136</v>
      </c>
      <c r="Q458">
        <v>13.082870523081997</v>
      </c>
      <c r="R458">
        <v>12.938052704435412</v>
      </c>
      <c r="S458">
        <v>12.210633487964415</v>
      </c>
      <c r="T458">
        <v>13.143966330654449</v>
      </c>
    </row>
    <row r="459" spans="1:20" x14ac:dyDescent="0.25">
      <c r="A459" s="6" t="s">
        <v>477</v>
      </c>
      <c r="B459">
        <v>13.651725875803827</v>
      </c>
      <c r="C459">
        <v>13.681744020707992</v>
      </c>
      <c r="D459">
        <v>13.741744010444156</v>
      </c>
      <c r="E459">
        <v>13.949715916034434</v>
      </c>
      <c r="F459">
        <v>13.998468094392807</v>
      </c>
      <c r="G459">
        <v>13.751659479309239</v>
      </c>
      <c r="H459">
        <v>14.039177543410771</v>
      </c>
      <c r="I459">
        <v>13.698907812533898</v>
      </c>
      <c r="J459">
        <v>13.777763233245141</v>
      </c>
      <c r="K459">
        <v>13.929316117592796</v>
      </c>
      <c r="L459">
        <v>13.952000469228988</v>
      </c>
      <c r="M459">
        <v>13.720166931905704</v>
      </c>
      <c r="N459">
        <v>13.177456055948284</v>
      </c>
      <c r="O459">
        <v>13.720166931905704</v>
      </c>
      <c r="P459">
        <v>13.852617227929352</v>
      </c>
      <c r="Q459">
        <v>14.62050146706858</v>
      </c>
      <c r="R459">
        <v>14.287712379549449</v>
      </c>
      <c r="S459">
        <v>14.986710123516636</v>
      </c>
      <c r="T459">
        <v>14.563498692792091</v>
      </c>
    </row>
    <row r="460" spans="1:20" x14ac:dyDescent="0.25">
      <c r="A460" s="5" t="s">
        <v>478</v>
      </c>
      <c r="B460">
        <v>0</v>
      </c>
      <c r="C460">
        <v>16.883681239927625</v>
      </c>
      <c r="D460">
        <v>17.395515669083967</v>
      </c>
      <c r="E460">
        <v>17.315681495408118</v>
      </c>
      <c r="F460">
        <v>0</v>
      </c>
      <c r="G460">
        <v>17.153359992926084</v>
      </c>
      <c r="H460">
        <v>0</v>
      </c>
      <c r="I460">
        <v>0</v>
      </c>
      <c r="J460">
        <v>0</v>
      </c>
      <c r="K460">
        <v>17.522856708294746</v>
      </c>
      <c r="L460">
        <v>17.27392856411635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25">
      <c r="A461" s="6" t="s">
        <v>479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14.299300353824661</v>
      </c>
      <c r="R461">
        <v>15.264811977439372</v>
      </c>
      <c r="S461">
        <v>13.501952605122439</v>
      </c>
      <c r="T461">
        <v>13.867634263570075</v>
      </c>
    </row>
    <row r="462" spans="1:20" x14ac:dyDescent="0.25">
      <c r="A462" s="5" t="s">
        <v>480</v>
      </c>
      <c r="B462">
        <v>10.846284675337762</v>
      </c>
      <c r="C462">
        <v>10.194557891642367</v>
      </c>
      <c r="D462">
        <v>10.425505012284278</v>
      </c>
      <c r="E462">
        <v>10.151002556359671</v>
      </c>
      <c r="F462">
        <v>10.620619576660861</v>
      </c>
      <c r="G462">
        <v>10.426556970435273</v>
      </c>
      <c r="H462">
        <v>10.346754478460467</v>
      </c>
      <c r="I462">
        <v>9.7969112310282576</v>
      </c>
      <c r="J462">
        <v>10.240048362435353</v>
      </c>
      <c r="K462">
        <v>10.938749164835135</v>
      </c>
      <c r="L462">
        <v>10.339089106918864</v>
      </c>
      <c r="M462">
        <v>11.002635728608036</v>
      </c>
      <c r="N462">
        <v>10.040503355254421</v>
      </c>
      <c r="O462">
        <v>10.188093993853917</v>
      </c>
      <c r="P462">
        <v>10.753810199753046</v>
      </c>
      <c r="Q462">
        <v>10.566801368837103</v>
      </c>
      <c r="R462">
        <v>10.90319280603217</v>
      </c>
      <c r="S462">
        <v>10.562108629116452</v>
      </c>
      <c r="T462">
        <v>10.315100592246948</v>
      </c>
    </row>
    <row r="463" spans="1:20" x14ac:dyDescent="0.25">
      <c r="A463" s="6" t="s">
        <v>481</v>
      </c>
      <c r="B463">
        <v>0</v>
      </c>
      <c r="C463">
        <v>15.383131944628133</v>
      </c>
      <c r="D463">
        <v>16.034328143749374</v>
      </c>
      <c r="E463">
        <v>15.887174449965721</v>
      </c>
      <c r="F463">
        <v>0</v>
      </c>
      <c r="G463">
        <v>15.6989078125339</v>
      </c>
      <c r="H463">
        <v>16.906539774832652</v>
      </c>
      <c r="I463">
        <v>16.420606650046796</v>
      </c>
      <c r="J463">
        <v>0</v>
      </c>
      <c r="K463">
        <v>15.661039626943458</v>
      </c>
      <c r="L463">
        <v>15.293494732143458</v>
      </c>
      <c r="M463">
        <v>0</v>
      </c>
      <c r="N463">
        <v>17.986710123516637</v>
      </c>
      <c r="O463">
        <v>17.13248126325017</v>
      </c>
      <c r="P463">
        <v>0</v>
      </c>
      <c r="Q463">
        <v>0</v>
      </c>
      <c r="R463">
        <v>0</v>
      </c>
      <c r="S463">
        <v>16.299300353824663</v>
      </c>
      <c r="T463">
        <v>16.539251146545414</v>
      </c>
    </row>
    <row r="464" spans="1:20" x14ac:dyDescent="0.25">
      <c r="A464" s="5" t="s">
        <v>482</v>
      </c>
      <c r="B464">
        <v>15.124213647266568</v>
      </c>
      <c r="C464">
        <v>13.625962779738746</v>
      </c>
      <c r="D464">
        <v>14.442925029470389</v>
      </c>
      <c r="E464">
        <v>14.737796825927495</v>
      </c>
      <c r="F464">
        <v>14.287712379549449</v>
      </c>
      <c r="G464">
        <v>13.383131944628133</v>
      </c>
      <c r="H464">
        <v>13.818868436574812</v>
      </c>
      <c r="I464">
        <v>13.889362009203486</v>
      </c>
      <c r="J464">
        <v>14.581071322240041</v>
      </c>
      <c r="K464">
        <v>14.192800732523983</v>
      </c>
      <c r="L464">
        <v>14.044043298582588</v>
      </c>
      <c r="M464">
        <v>14.75365077712833</v>
      </c>
      <c r="N464">
        <v>14.861179241432778</v>
      </c>
      <c r="O464">
        <v>14.895944659593452</v>
      </c>
      <c r="P464">
        <v>14.182034301654912</v>
      </c>
      <c r="Q464">
        <v>13.949715916034434</v>
      </c>
      <c r="R464">
        <v>14.14758815564038</v>
      </c>
      <c r="S464">
        <v>14.046482344034004</v>
      </c>
      <c r="T464">
        <v>14.242269408788282</v>
      </c>
    </row>
    <row r="465" spans="1:20" x14ac:dyDescent="0.25">
      <c r="A465" s="6" t="s">
        <v>483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16.276216740711622</v>
      </c>
      <c r="I465">
        <v>16.420606650046796</v>
      </c>
      <c r="J465">
        <v>0</v>
      </c>
      <c r="K465">
        <v>0</v>
      </c>
      <c r="L465">
        <v>16.383131944628133</v>
      </c>
      <c r="M465">
        <v>0</v>
      </c>
      <c r="N465">
        <v>17.451303447269712</v>
      </c>
      <c r="O465">
        <v>17.294653988968296</v>
      </c>
      <c r="P465">
        <v>17.097666492655012</v>
      </c>
      <c r="Q465">
        <v>15.310982158872298</v>
      </c>
      <c r="R465">
        <v>16.299300353824663</v>
      </c>
      <c r="S465">
        <v>16.005569150767954</v>
      </c>
      <c r="T465">
        <v>15.810553168362809</v>
      </c>
    </row>
    <row r="466" spans="1:20" x14ac:dyDescent="0.25">
      <c r="A466" s="5" t="s">
        <v>484</v>
      </c>
      <c r="B466">
        <v>13.436513040956156</v>
      </c>
      <c r="C466">
        <v>15.714337853103507</v>
      </c>
      <c r="D466">
        <v>14.588160747026361</v>
      </c>
      <c r="E466">
        <v>15.000831231761289</v>
      </c>
      <c r="F466">
        <v>14.528982811091586</v>
      </c>
      <c r="G466">
        <v>15.150208855799516</v>
      </c>
      <c r="H466">
        <v>13.781821449819493</v>
      </c>
      <c r="I466">
        <v>14.642471866904184</v>
      </c>
      <c r="J466">
        <v>14.034328143749375</v>
      </c>
      <c r="K466">
        <v>15.358678900903593</v>
      </c>
      <c r="L466">
        <v>15.346606068603018</v>
      </c>
      <c r="M466">
        <v>13.933824543264544</v>
      </c>
      <c r="N466">
        <v>12.805772841758897</v>
      </c>
      <c r="O466">
        <v>14.75365077712833</v>
      </c>
      <c r="P466">
        <v>13.155899034765536</v>
      </c>
      <c r="Q466">
        <v>12.639219325398015</v>
      </c>
      <c r="R466">
        <v>12.965668873675193</v>
      </c>
      <c r="S466">
        <v>13.449365643028219</v>
      </c>
      <c r="T466">
        <v>12.143189542295307</v>
      </c>
    </row>
    <row r="467" spans="1:20" x14ac:dyDescent="0.25">
      <c r="A467" s="6" t="s">
        <v>485</v>
      </c>
      <c r="B467">
        <v>0</v>
      </c>
      <c r="C467">
        <v>13.342104676368077</v>
      </c>
      <c r="D467">
        <v>13.454215042689613</v>
      </c>
      <c r="E467">
        <v>13.363232387190427</v>
      </c>
      <c r="F467">
        <v>14.913646661326911</v>
      </c>
      <c r="G467">
        <v>0</v>
      </c>
      <c r="H467">
        <v>0</v>
      </c>
      <c r="I467">
        <v>14.349614818475356</v>
      </c>
      <c r="J467">
        <v>0</v>
      </c>
      <c r="K467">
        <v>14.093625327433148</v>
      </c>
      <c r="L467">
        <v>15.124213647266568</v>
      </c>
      <c r="M467">
        <v>0</v>
      </c>
      <c r="N467">
        <v>14.108838421379655</v>
      </c>
      <c r="O467">
        <v>14.044043298582588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25">
      <c r="A468" s="5" t="s">
        <v>486</v>
      </c>
      <c r="B468">
        <v>16.797347629563539</v>
      </c>
      <c r="C468">
        <v>16.103749544706854</v>
      </c>
      <c r="D468">
        <v>16.446141742153934</v>
      </c>
      <c r="E468">
        <v>16.433317701796351</v>
      </c>
      <c r="F468">
        <v>16.15546458125101</v>
      </c>
      <c r="G468">
        <v>16.322759326648651</v>
      </c>
      <c r="H468">
        <v>16.05382431937517</v>
      </c>
      <c r="I468">
        <v>16.144972207433366</v>
      </c>
      <c r="J468">
        <v>0</v>
      </c>
      <c r="K468">
        <v>15.904768509980459</v>
      </c>
      <c r="L468">
        <v>16.276216740711622</v>
      </c>
      <c r="M468">
        <v>17.185255802898716</v>
      </c>
      <c r="N468">
        <v>17.168156994854169</v>
      </c>
      <c r="O468">
        <v>16.59528518145974</v>
      </c>
      <c r="P468">
        <v>0</v>
      </c>
      <c r="Q468">
        <v>15.124213647266568</v>
      </c>
      <c r="R468">
        <v>15.691254239990466</v>
      </c>
      <c r="S468">
        <v>15.827231909509438</v>
      </c>
      <c r="T468">
        <v>15.093625327433148</v>
      </c>
    </row>
    <row r="469" spans="1:20" x14ac:dyDescent="0.25">
      <c r="A469" s="6" t="s">
        <v>487</v>
      </c>
      <c r="B469">
        <v>15.259143227352677</v>
      </c>
      <c r="C469">
        <v>0</v>
      </c>
      <c r="D469">
        <v>15.895944659593452</v>
      </c>
      <c r="E469">
        <v>16.113945311812746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15.794065045574239</v>
      </c>
      <c r="L469">
        <v>0</v>
      </c>
      <c r="M469">
        <v>0</v>
      </c>
      <c r="N469">
        <v>0</v>
      </c>
      <c r="O469">
        <v>14.982033636307161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 s="5" t="s">
        <v>488</v>
      </c>
      <c r="B470">
        <v>0</v>
      </c>
      <c r="C470">
        <v>13.737796825927495</v>
      </c>
      <c r="D470">
        <v>14.757641637324365</v>
      </c>
      <c r="E470">
        <v>14.745702024012841</v>
      </c>
      <c r="F470">
        <v>0</v>
      </c>
      <c r="G470">
        <v>12.650872023355799</v>
      </c>
      <c r="H470">
        <v>13.428537923683015</v>
      </c>
      <c r="I470">
        <v>0</v>
      </c>
      <c r="J470">
        <v>14.48200719471094</v>
      </c>
      <c r="K470">
        <v>13.266758656554622</v>
      </c>
      <c r="L470">
        <v>13.214426830662381</v>
      </c>
      <c r="M470">
        <v>13.970408311187535</v>
      </c>
      <c r="N470">
        <v>0</v>
      </c>
      <c r="O470">
        <v>15.203648114760977</v>
      </c>
      <c r="P470">
        <v>13.239601772431222</v>
      </c>
      <c r="Q470">
        <v>12.84426485762609</v>
      </c>
      <c r="R470">
        <v>12.914971966709698</v>
      </c>
      <c r="S470">
        <v>11.987711692088117</v>
      </c>
      <c r="T470">
        <v>12.633240176017656</v>
      </c>
    </row>
    <row r="471" spans="1:20" x14ac:dyDescent="0.25">
      <c r="A471" s="6" t="s">
        <v>489</v>
      </c>
      <c r="B471">
        <v>0</v>
      </c>
      <c r="C471">
        <v>14.609640474436812</v>
      </c>
      <c r="D471">
        <v>0</v>
      </c>
      <c r="E471">
        <v>0</v>
      </c>
      <c r="F471">
        <v>15.465594104820106</v>
      </c>
      <c r="G471">
        <v>0</v>
      </c>
      <c r="H471">
        <v>14.475419534676179</v>
      </c>
      <c r="I471">
        <v>15.103749544706854</v>
      </c>
      <c r="J471">
        <v>14.869792371737484</v>
      </c>
      <c r="K471">
        <v>15.098678555159433</v>
      </c>
      <c r="L471">
        <v>15.287712379549449</v>
      </c>
      <c r="M471">
        <v>0</v>
      </c>
      <c r="N471">
        <v>0</v>
      </c>
      <c r="O471">
        <v>0</v>
      </c>
      <c r="P471">
        <v>0</v>
      </c>
      <c r="Q471">
        <v>13.48200719471094</v>
      </c>
      <c r="R471">
        <v>13.73189622448781</v>
      </c>
      <c r="S471">
        <v>13.480357457491845</v>
      </c>
      <c r="T471">
        <v>13.442925029470389</v>
      </c>
    </row>
    <row r="472" spans="1:20" x14ac:dyDescent="0.25">
      <c r="A472" s="5" t="s">
        <v>490</v>
      </c>
      <c r="B472">
        <v>16.358678900903591</v>
      </c>
      <c r="C472">
        <v>16.734646835503845</v>
      </c>
      <c r="D472">
        <v>17.451303447269712</v>
      </c>
      <c r="E472">
        <v>17.187407473753765</v>
      </c>
      <c r="F472">
        <v>16.113945311812746</v>
      </c>
      <c r="G472">
        <v>16.253496664211536</v>
      </c>
      <c r="H472">
        <v>16.446141742153934</v>
      </c>
      <c r="I472">
        <v>16.659545380263125</v>
      </c>
      <c r="J472">
        <v>16.59528518145974</v>
      </c>
      <c r="K472">
        <v>16.936988845108427</v>
      </c>
      <c r="L472">
        <v>16.433317701796351</v>
      </c>
      <c r="M472">
        <v>17.007468683683435</v>
      </c>
      <c r="N472">
        <v>17.292336406074899</v>
      </c>
      <c r="O472">
        <v>17.055788506255688</v>
      </c>
      <c r="P472">
        <v>16.395515669083963</v>
      </c>
      <c r="Q472">
        <v>17.566996137028319</v>
      </c>
      <c r="R472">
        <v>16.446141742153934</v>
      </c>
      <c r="S472">
        <v>17.495939975272083</v>
      </c>
      <c r="T472">
        <v>17.48002773630634</v>
      </c>
    </row>
    <row r="473" spans="1:20" x14ac:dyDescent="0.25">
      <c r="A473" s="6" t="s">
        <v>491</v>
      </c>
      <c r="B473">
        <v>0</v>
      </c>
      <c r="C473">
        <v>15.595285181459742</v>
      </c>
      <c r="D473">
        <v>14.67606783617579</v>
      </c>
      <c r="E473">
        <v>15.574016564706092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15.452596764291233</v>
      </c>
      <c r="L473">
        <v>15.478709604610364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 s="5" t="s">
        <v>492</v>
      </c>
      <c r="B474">
        <v>0</v>
      </c>
      <c r="C474">
        <v>0</v>
      </c>
      <c r="D474">
        <v>0</v>
      </c>
      <c r="E474">
        <v>0</v>
      </c>
      <c r="F474">
        <v>14.818868436574812</v>
      </c>
      <c r="G474">
        <v>14.501952605122439</v>
      </c>
      <c r="H474">
        <v>13.783854846972021</v>
      </c>
      <c r="I474">
        <v>14.757641637324365</v>
      </c>
      <c r="J474">
        <v>15.310982158872298</v>
      </c>
      <c r="K474">
        <v>16.420606650046796</v>
      </c>
      <c r="L474">
        <v>0</v>
      </c>
      <c r="M474">
        <v>14.982033636307161</v>
      </c>
      <c r="N474">
        <v>14.714337853103507</v>
      </c>
      <c r="O474">
        <v>15.203648114760977</v>
      </c>
      <c r="P474">
        <v>14.844105728073835</v>
      </c>
      <c r="Q474">
        <v>14.501952605122439</v>
      </c>
      <c r="R474">
        <v>15.83564414932564</v>
      </c>
      <c r="S474">
        <v>13.940613708927183</v>
      </c>
      <c r="T474">
        <v>14.171347622857667</v>
      </c>
    </row>
    <row r="475" spans="1:20" x14ac:dyDescent="0.25">
      <c r="A475" s="6" t="s">
        <v>493</v>
      </c>
      <c r="B475">
        <v>16.198214228710349</v>
      </c>
      <c r="C475">
        <v>0</v>
      </c>
      <c r="D475">
        <v>16.06367210533152</v>
      </c>
      <c r="E475">
        <v>0</v>
      </c>
      <c r="F475">
        <v>16.073587574196605</v>
      </c>
      <c r="G475">
        <v>15.729934708154525</v>
      </c>
      <c r="H475">
        <v>14.968094445349289</v>
      </c>
      <c r="I475">
        <v>16.253496664211536</v>
      </c>
      <c r="J475">
        <v>0</v>
      </c>
      <c r="K475">
        <v>16.334633426936943</v>
      </c>
      <c r="L475">
        <v>16.750466018570375</v>
      </c>
      <c r="M475">
        <v>0</v>
      </c>
      <c r="N475">
        <v>16.837332499478411</v>
      </c>
      <c r="O475">
        <v>16.144972207433366</v>
      </c>
      <c r="P475">
        <v>15.019876987451834</v>
      </c>
      <c r="Q475">
        <v>14.810553168362809</v>
      </c>
      <c r="R475">
        <v>15.247872115017659</v>
      </c>
      <c r="S475">
        <v>15.340607327981576</v>
      </c>
      <c r="T475">
        <v>14.031909542946732</v>
      </c>
    </row>
    <row r="476" spans="1:20" x14ac:dyDescent="0.25">
      <c r="A476" s="5" t="s">
        <v>494</v>
      </c>
      <c r="B476">
        <v>12.999129382770702</v>
      </c>
      <c r="C476">
        <v>15.525576209648337</v>
      </c>
      <c r="D476">
        <v>14.337617285375762</v>
      </c>
      <c r="E476">
        <v>14.46233377565652</v>
      </c>
      <c r="F476">
        <v>14.182034301654912</v>
      </c>
      <c r="G476">
        <v>14.222829527964596</v>
      </c>
      <c r="H476">
        <v>13.638786820096328</v>
      </c>
      <c r="I476">
        <v>15.124213647266568</v>
      </c>
      <c r="J476">
        <v>13.607838231802827</v>
      </c>
      <c r="K476">
        <v>14.417446309153467</v>
      </c>
      <c r="L476">
        <v>15.150208855799516</v>
      </c>
      <c r="M476">
        <v>14.027084471422752</v>
      </c>
      <c r="N476">
        <v>13.73189622448781</v>
      </c>
      <c r="O476">
        <v>14.048925519962333</v>
      </c>
      <c r="P476">
        <v>13.444532489292275</v>
      </c>
      <c r="Q476">
        <v>12.980132306474474</v>
      </c>
      <c r="R476">
        <v>12.69607125628824</v>
      </c>
      <c r="S476">
        <v>13.627787821147072</v>
      </c>
      <c r="T476">
        <v>12.403583386229233</v>
      </c>
    </row>
    <row r="477" spans="1:20" x14ac:dyDescent="0.25">
      <c r="A477" s="6" t="s">
        <v>495</v>
      </c>
      <c r="B477">
        <v>14.134555591488031</v>
      </c>
      <c r="C477">
        <v>13.340607327981576</v>
      </c>
      <c r="D477">
        <v>13.351121549725512</v>
      </c>
      <c r="E477">
        <v>13.542690230512186</v>
      </c>
      <c r="F477">
        <v>13.869792371737484</v>
      </c>
      <c r="G477">
        <v>13.224886074907619</v>
      </c>
      <c r="H477">
        <v>14.802285552379209</v>
      </c>
      <c r="I477">
        <v>14.417446309153467</v>
      </c>
      <c r="J477">
        <v>14.389310519557256</v>
      </c>
      <c r="K477">
        <v>13.779790914592123</v>
      </c>
      <c r="L477">
        <v>13.600651691209556</v>
      </c>
      <c r="M477">
        <v>14.528982811091586</v>
      </c>
      <c r="N477">
        <v>14.06367210533152</v>
      </c>
      <c r="O477">
        <v>14.098678555159433</v>
      </c>
      <c r="P477">
        <v>15.478709604610364</v>
      </c>
      <c r="Q477">
        <v>14.346606068603018</v>
      </c>
      <c r="R477">
        <v>14.449365643028219</v>
      </c>
      <c r="S477">
        <v>14.334633426936943</v>
      </c>
      <c r="T477">
        <v>14.14236099397683</v>
      </c>
    </row>
    <row r="478" spans="1:20" x14ac:dyDescent="0.25">
      <c r="A478" s="5" t="s">
        <v>496</v>
      </c>
      <c r="B478">
        <v>13.927067177089235</v>
      </c>
      <c r="C478">
        <v>13.495273449484813</v>
      </c>
      <c r="D478">
        <v>13.720166931905704</v>
      </c>
      <c r="E478">
        <v>13.470498455291123</v>
      </c>
      <c r="F478">
        <v>13.854752972273344</v>
      </c>
      <c r="G478">
        <v>13.993753400520754</v>
      </c>
      <c r="H478">
        <v>14.139754498162349</v>
      </c>
      <c r="I478">
        <v>13.940613708927183</v>
      </c>
      <c r="J478">
        <v>13.991401818841355</v>
      </c>
      <c r="K478">
        <v>14.287712379549449</v>
      </c>
      <c r="L478">
        <v>13.984369985062118</v>
      </c>
      <c r="M478">
        <v>14.465594104820106</v>
      </c>
      <c r="N478">
        <v>14.40800661326716</v>
      </c>
      <c r="O478">
        <v>13.92257978609692</v>
      </c>
      <c r="P478">
        <v>15.12937535238235</v>
      </c>
      <c r="Q478">
        <v>16.073587574196605</v>
      </c>
      <c r="R478">
        <v>15.794065045574239</v>
      </c>
      <c r="S478">
        <v>15.769680886947281</v>
      </c>
      <c r="T478">
        <v>16.034328143749374</v>
      </c>
    </row>
    <row r="479" spans="1:20" x14ac:dyDescent="0.25">
      <c r="A479" s="6" t="s">
        <v>497</v>
      </c>
      <c r="B479">
        <v>15.346606068603018</v>
      </c>
      <c r="C479">
        <v>14.635111161952929</v>
      </c>
      <c r="D479">
        <v>14.343603580441494</v>
      </c>
      <c r="E479">
        <v>14.668534163490381</v>
      </c>
      <c r="F479">
        <v>16.083571662769224</v>
      </c>
      <c r="G479">
        <v>0</v>
      </c>
      <c r="H479">
        <v>16.220073662674086</v>
      </c>
      <c r="I479">
        <v>16.044043298582586</v>
      </c>
      <c r="J479">
        <v>16.581071322240042</v>
      </c>
      <c r="K479">
        <v>15.287712379549449</v>
      </c>
      <c r="L479">
        <v>15.166033822961197</v>
      </c>
      <c r="M479">
        <v>16.798991726654165</v>
      </c>
      <c r="N479">
        <v>16.753650777128332</v>
      </c>
      <c r="O479">
        <v>16.276216740711622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25">
      <c r="A480" s="5" t="s">
        <v>498</v>
      </c>
      <c r="B480">
        <v>13.79201721692538</v>
      </c>
      <c r="C480">
        <v>12.801090671441957</v>
      </c>
      <c r="D480">
        <v>13.161743946328421</v>
      </c>
      <c r="E480">
        <v>13.30659038975514</v>
      </c>
      <c r="F480">
        <v>14.343603580441494</v>
      </c>
      <c r="G480">
        <v>13.63144484475516</v>
      </c>
      <c r="H480">
        <v>14.355651208206025</v>
      </c>
      <c r="I480">
        <v>14.63144484475516</v>
      </c>
      <c r="J480">
        <v>14.225590667641651</v>
      </c>
      <c r="K480">
        <v>14.048925519962333</v>
      </c>
      <c r="L480">
        <v>13.635111161952929</v>
      </c>
      <c r="M480">
        <v>14.566996137028319</v>
      </c>
      <c r="N480">
        <v>15.532397475504352</v>
      </c>
      <c r="O480">
        <v>14.426948176920622</v>
      </c>
      <c r="P480">
        <v>15.546137532130656</v>
      </c>
      <c r="Q480">
        <v>16.692781709737059</v>
      </c>
      <c r="R480">
        <v>0</v>
      </c>
      <c r="S480">
        <v>0</v>
      </c>
      <c r="T480">
        <v>0</v>
      </c>
    </row>
    <row r="481" spans="1:20" x14ac:dyDescent="0.25">
      <c r="A481" s="6" t="s">
        <v>499</v>
      </c>
      <c r="B481">
        <v>13.712400048862014</v>
      </c>
      <c r="C481">
        <v>0</v>
      </c>
      <c r="D481">
        <v>14.267654727208196</v>
      </c>
      <c r="E481">
        <v>0</v>
      </c>
      <c r="F481">
        <v>13.714337853103505</v>
      </c>
      <c r="G481">
        <v>13.651725875803827</v>
      </c>
      <c r="H481">
        <v>13.420606650046794</v>
      </c>
      <c r="I481">
        <v>14.423773929125478</v>
      </c>
      <c r="J481">
        <v>14.144972207433367</v>
      </c>
      <c r="K481">
        <v>14.376979717646538</v>
      </c>
      <c r="L481">
        <v>14.6989078125339</v>
      </c>
      <c r="M481">
        <v>13.902557482665108</v>
      </c>
      <c r="N481">
        <v>13.422189420409488</v>
      </c>
      <c r="O481">
        <v>14.27621674071162</v>
      </c>
      <c r="P481">
        <v>13.076301396768269</v>
      </c>
      <c r="Q481">
        <v>12.890511807016056</v>
      </c>
      <c r="R481">
        <v>13.500279915032584</v>
      </c>
      <c r="S481">
        <v>13.909200756295721</v>
      </c>
      <c r="T481">
        <v>12.031867253510912</v>
      </c>
    </row>
    <row r="482" spans="1:20" x14ac:dyDescent="0.25">
      <c r="A482" s="5" t="s">
        <v>500</v>
      </c>
      <c r="B482">
        <v>18.547518762529016</v>
      </c>
      <c r="C482">
        <v>17.75524579668371</v>
      </c>
      <c r="D482">
        <v>18.680606995790956</v>
      </c>
      <c r="E482">
        <v>18.222277933600818</v>
      </c>
      <c r="F482">
        <v>18.787522199707468</v>
      </c>
      <c r="G482">
        <v>18.087584725275846</v>
      </c>
      <c r="H482">
        <v>17.044043298582586</v>
      </c>
      <c r="I482">
        <v>17.742534744934158</v>
      </c>
      <c r="J482">
        <v>19.226696604867822</v>
      </c>
      <c r="K482">
        <v>18.327497245655312</v>
      </c>
      <c r="L482">
        <v>18.217872754480815</v>
      </c>
      <c r="M482">
        <v>18.603881205148127</v>
      </c>
      <c r="N482">
        <v>18.592431184404589</v>
      </c>
      <c r="O482">
        <v>19.509335568641127</v>
      </c>
      <c r="P482">
        <v>17.787522199707468</v>
      </c>
      <c r="Q482">
        <v>18.059724920814855</v>
      </c>
      <c r="R482">
        <v>18.299300353824663</v>
      </c>
      <c r="S482">
        <v>17.850910905978949</v>
      </c>
      <c r="T482">
        <v>17.57824527816128</v>
      </c>
    </row>
    <row r="483" spans="1:20" x14ac:dyDescent="0.25">
      <c r="A483" s="6" t="s">
        <v>501</v>
      </c>
      <c r="B483">
        <v>0</v>
      </c>
      <c r="C483">
        <v>14.577539631269786</v>
      </c>
      <c r="D483">
        <v>14.40800661326716</v>
      </c>
      <c r="E483">
        <v>14.078570981710859</v>
      </c>
      <c r="F483">
        <v>0</v>
      </c>
      <c r="G483">
        <v>0</v>
      </c>
      <c r="H483">
        <v>0</v>
      </c>
      <c r="I483">
        <v>14.794065045574239</v>
      </c>
      <c r="J483">
        <v>15.192800732523983</v>
      </c>
      <c r="K483">
        <v>14.59886063568357</v>
      </c>
      <c r="L483">
        <v>15.113945311812744</v>
      </c>
      <c r="M483">
        <v>0</v>
      </c>
      <c r="N483">
        <v>15.922579786096922</v>
      </c>
      <c r="O483">
        <v>14.472136950686876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25">
      <c r="A484" s="5" t="s">
        <v>502</v>
      </c>
      <c r="B484">
        <v>18.42567763959422</v>
      </c>
      <c r="C484">
        <v>15.977372258937301</v>
      </c>
      <c r="D484">
        <v>15.426948176920622</v>
      </c>
      <c r="E484">
        <v>15.334633426936943</v>
      </c>
      <c r="F484">
        <v>18.11190038582772</v>
      </c>
      <c r="G484">
        <v>17.487961917848562</v>
      </c>
      <c r="H484">
        <v>17.895944659593454</v>
      </c>
      <c r="I484">
        <v>16.358678900903591</v>
      </c>
      <c r="J484">
        <v>18.153359992926088</v>
      </c>
      <c r="K484">
        <v>15.668534163490381</v>
      </c>
      <c r="L484">
        <v>15.794065045574239</v>
      </c>
      <c r="M484">
        <v>0</v>
      </c>
      <c r="N484">
        <v>0</v>
      </c>
      <c r="O484">
        <v>17.083571662769224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25">
      <c r="A485" s="6" t="s">
        <v>503</v>
      </c>
      <c r="B485">
        <v>14.40800661326716</v>
      </c>
      <c r="C485">
        <v>13.679849476718214</v>
      </c>
      <c r="D485">
        <v>13.915874762219028</v>
      </c>
      <c r="E485">
        <v>14.029494990013431</v>
      </c>
      <c r="F485">
        <v>14.152834325206339</v>
      </c>
      <c r="G485">
        <v>14.256317183273916</v>
      </c>
      <c r="H485">
        <v>0</v>
      </c>
      <c r="I485">
        <v>13.687442626040445</v>
      </c>
      <c r="J485">
        <v>0</v>
      </c>
      <c r="K485">
        <v>14.14758815564038</v>
      </c>
      <c r="L485">
        <v>13.800226030200914</v>
      </c>
      <c r="M485">
        <v>14.098678555159433</v>
      </c>
      <c r="N485">
        <v>13.777763233245141</v>
      </c>
      <c r="O485">
        <v>14.646166350461927</v>
      </c>
      <c r="P485">
        <v>14.214577674919234</v>
      </c>
      <c r="Q485">
        <v>13.600651691209556</v>
      </c>
      <c r="R485">
        <v>13.891552890476294</v>
      </c>
      <c r="S485">
        <v>14.144972207433367</v>
      </c>
      <c r="T485">
        <v>14.068621321303253</v>
      </c>
    </row>
    <row r="486" spans="1:20" x14ac:dyDescent="0.25">
      <c r="A486" s="5" t="s">
        <v>504</v>
      </c>
      <c r="B486">
        <v>14.27335708657238</v>
      </c>
      <c r="C486">
        <v>13.572258252433731</v>
      </c>
      <c r="D486">
        <v>13.664782028629272</v>
      </c>
      <c r="E486">
        <v>14.574016564706092</v>
      </c>
      <c r="F486">
        <v>13.602444973032609</v>
      </c>
      <c r="G486">
        <v>14.081069155566054</v>
      </c>
      <c r="H486">
        <v>14.322759326648649</v>
      </c>
      <c r="I486">
        <v>13.825136491507246</v>
      </c>
      <c r="J486">
        <v>14.404873723782199</v>
      </c>
      <c r="K486">
        <v>13.884990202703845</v>
      </c>
      <c r="L486">
        <v>13.726019658151142</v>
      </c>
      <c r="M486">
        <v>14.27621674071162</v>
      </c>
      <c r="N486">
        <v>14.039177543410771</v>
      </c>
      <c r="O486">
        <v>15.005569150767952</v>
      </c>
      <c r="P486">
        <v>14.61687204366789</v>
      </c>
      <c r="Q486">
        <v>14.15809964141898</v>
      </c>
      <c r="R486">
        <v>14.231128851183081</v>
      </c>
      <c r="S486">
        <v>14.331655727137047</v>
      </c>
      <c r="T486">
        <v>14.152834325206339</v>
      </c>
    </row>
    <row r="487" spans="1:20" x14ac:dyDescent="0.25">
      <c r="A487" s="6" t="s">
        <v>505</v>
      </c>
      <c r="B487">
        <v>0</v>
      </c>
      <c r="C487">
        <v>14.198214228710349</v>
      </c>
      <c r="D487">
        <v>14.386217924501876</v>
      </c>
      <c r="E487">
        <v>14.810553168362809</v>
      </c>
      <c r="F487">
        <v>0</v>
      </c>
      <c r="G487">
        <v>15.053824319375174</v>
      </c>
      <c r="H487">
        <v>15.383131944628133</v>
      </c>
      <c r="I487">
        <v>14.773716400182437</v>
      </c>
      <c r="J487">
        <v>15.401747622795478</v>
      </c>
      <c r="K487">
        <v>15.566996137028319</v>
      </c>
      <c r="L487">
        <v>14.546137532130656</v>
      </c>
      <c r="M487">
        <v>15.108838421379655</v>
      </c>
      <c r="N487">
        <v>14.913646661326911</v>
      </c>
      <c r="O487">
        <v>15.45908079786143</v>
      </c>
      <c r="P487">
        <v>0</v>
      </c>
      <c r="Q487">
        <v>0</v>
      </c>
      <c r="R487">
        <v>15.602444973032609</v>
      </c>
      <c r="S487">
        <v>0</v>
      </c>
      <c r="T487">
        <v>0</v>
      </c>
    </row>
    <row r="488" spans="1:20" x14ac:dyDescent="0.25">
      <c r="A488" s="5" t="s">
        <v>506</v>
      </c>
      <c r="B488">
        <v>0</v>
      </c>
      <c r="C488">
        <v>14.152834325206339</v>
      </c>
      <c r="D488">
        <v>14.43331770179635</v>
      </c>
      <c r="E488">
        <v>14.217323051658052</v>
      </c>
      <c r="F488">
        <v>14.501952605122439</v>
      </c>
      <c r="G488">
        <v>15.068621321303253</v>
      </c>
      <c r="H488">
        <v>14.977372258937299</v>
      </c>
      <c r="I488">
        <v>15.000831231761289</v>
      </c>
      <c r="J488">
        <v>14.972725894080934</v>
      </c>
      <c r="K488">
        <v>14.646166350461927</v>
      </c>
      <c r="L488">
        <v>14.749670926215785</v>
      </c>
      <c r="M488">
        <v>0</v>
      </c>
      <c r="N488">
        <v>14.918106309517611</v>
      </c>
      <c r="O488">
        <v>14.761643567881864</v>
      </c>
      <c r="P488">
        <v>0</v>
      </c>
      <c r="Q488">
        <v>15.328684160605755</v>
      </c>
      <c r="R488">
        <v>15.624140044131927</v>
      </c>
      <c r="S488">
        <v>0</v>
      </c>
      <c r="T488">
        <v>0</v>
      </c>
    </row>
    <row r="489" spans="1:20" x14ac:dyDescent="0.25">
      <c r="A489" s="6" t="s">
        <v>507</v>
      </c>
      <c r="B489">
        <v>8.7122166978467863</v>
      </c>
      <c r="C489">
        <v>8.1107446078939773</v>
      </c>
      <c r="D489">
        <v>8.6996562128219583</v>
      </c>
      <c r="E489">
        <v>8.6513348507523187</v>
      </c>
      <c r="F489">
        <v>8.428507602751127</v>
      </c>
      <c r="G489">
        <v>8.6504916648828836</v>
      </c>
      <c r="H489">
        <v>8.4682766603343858</v>
      </c>
      <c r="I489">
        <v>8.728082911171283</v>
      </c>
      <c r="J489">
        <v>8.8935920279969043</v>
      </c>
      <c r="K489">
        <v>8.755046946088223</v>
      </c>
      <c r="L489">
        <v>8.9493756844321517</v>
      </c>
      <c r="M489">
        <v>9.7136920329098277</v>
      </c>
      <c r="N489">
        <v>9.9446926446629362</v>
      </c>
      <c r="O489">
        <v>9.3712911509524233</v>
      </c>
      <c r="P489">
        <v>9.6481317421717101</v>
      </c>
      <c r="Q489">
        <v>9.9211985181830862</v>
      </c>
      <c r="R489">
        <v>10.310740263825586</v>
      </c>
      <c r="S489">
        <v>10.242341056033265</v>
      </c>
      <c r="T489">
        <v>10.264339912848193</v>
      </c>
    </row>
    <row r="490" spans="1:20" x14ac:dyDescent="0.25">
      <c r="A490" s="5" t="s">
        <v>508</v>
      </c>
      <c r="B490">
        <v>15.044043298582586</v>
      </c>
      <c r="C490">
        <v>12.965126565671978</v>
      </c>
      <c r="D490">
        <v>13.160145128567535</v>
      </c>
      <c r="E490">
        <v>13.262456741756155</v>
      </c>
      <c r="F490">
        <v>14.982033636307161</v>
      </c>
      <c r="G490">
        <v>14.414292876114592</v>
      </c>
      <c r="H490">
        <v>14.852617227929352</v>
      </c>
      <c r="I490">
        <v>14.602444973032609</v>
      </c>
      <c r="J490">
        <v>15.802285552379209</v>
      </c>
      <c r="K490">
        <v>13.629615174198079</v>
      </c>
      <c r="L490">
        <v>13.227014718790224</v>
      </c>
      <c r="M490">
        <v>15.192800732523983</v>
      </c>
      <c r="N490">
        <v>15.922579786096922</v>
      </c>
      <c r="O490">
        <v>14.584611679945288</v>
      </c>
      <c r="P490">
        <v>15.977372258937301</v>
      </c>
      <c r="Q490">
        <v>0</v>
      </c>
      <c r="R490">
        <v>16.6989078125339</v>
      </c>
      <c r="S490">
        <v>16.627057527514221</v>
      </c>
      <c r="T490">
        <v>15.827231909509438</v>
      </c>
    </row>
    <row r="491" spans="1:20" x14ac:dyDescent="0.25">
      <c r="A491" s="6" t="s">
        <v>509</v>
      </c>
      <c r="B491">
        <v>11.27585897380566</v>
      </c>
      <c r="C491">
        <v>9.9541641328755261</v>
      </c>
      <c r="D491">
        <v>10.329311394317173</v>
      </c>
      <c r="E491">
        <v>10.242531550161019</v>
      </c>
      <c r="F491">
        <v>11.273514220331796</v>
      </c>
      <c r="G491">
        <v>10.843026762376242</v>
      </c>
      <c r="H491">
        <v>11.44477376281753</v>
      </c>
      <c r="I491">
        <v>11.581376335969104</v>
      </c>
      <c r="J491">
        <v>11.396907732780388</v>
      </c>
      <c r="K491">
        <v>10.889342853668126</v>
      </c>
      <c r="L491">
        <v>10.802945220905054</v>
      </c>
      <c r="M491">
        <v>11.559574176130523</v>
      </c>
      <c r="N491">
        <v>12.357800215682094</v>
      </c>
      <c r="O491">
        <v>11.759651219825384</v>
      </c>
      <c r="P491">
        <v>12.514526215931356</v>
      </c>
      <c r="Q491">
        <v>12.411987352218905</v>
      </c>
      <c r="R491">
        <v>12.70010735948992</v>
      </c>
      <c r="S491">
        <v>13.460706369910472</v>
      </c>
      <c r="T491">
        <v>12.218738961377001</v>
      </c>
    </row>
    <row r="492" spans="1:20" x14ac:dyDescent="0.25">
      <c r="A492" s="5" t="s">
        <v>510</v>
      </c>
      <c r="B492">
        <v>12.403575569518953</v>
      </c>
      <c r="C492">
        <v>11.809082203743085</v>
      </c>
      <c r="D492">
        <v>11.529477436725951</v>
      </c>
      <c r="E492">
        <v>11.586815510493949</v>
      </c>
      <c r="F492">
        <v>12.314586063303059</v>
      </c>
      <c r="G492">
        <v>12.177195452916155</v>
      </c>
      <c r="H492">
        <v>12.383910531814667</v>
      </c>
      <c r="I492">
        <v>12.478215615548566</v>
      </c>
      <c r="J492">
        <v>12.552970248252391</v>
      </c>
      <c r="K492">
        <v>12.122996886574583</v>
      </c>
      <c r="L492">
        <v>12.139891222131135</v>
      </c>
      <c r="M492">
        <v>13.460706369910472</v>
      </c>
      <c r="N492">
        <v>14.261974818135842</v>
      </c>
      <c r="O492">
        <v>12.205009790219199</v>
      </c>
      <c r="P492">
        <v>13.454215042689613</v>
      </c>
      <c r="Q492">
        <v>14.126792191368347</v>
      </c>
      <c r="R492">
        <v>13.850484640636539</v>
      </c>
      <c r="S492">
        <v>13.7397690682591</v>
      </c>
      <c r="T492">
        <v>14.155464581251008</v>
      </c>
    </row>
    <row r="493" spans="1:20" x14ac:dyDescent="0.25">
      <c r="A493" s="6" t="s">
        <v>511</v>
      </c>
      <c r="B493">
        <v>14.602444973032609</v>
      </c>
      <c r="C493">
        <v>13.316858725208968</v>
      </c>
      <c r="D493">
        <v>14.051372840381076</v>
      </c>
      <c r="E493">
        <v>13.998468094392807</v>
      </c>
      <c r="F493">
        <v>15.098678555159433</v>
      </c>
      <c r="G493">
        <v>14.236688376524981</v>
      </c>
      <c r="H493">
        <v>14.4397154729945</v>
      </c>
      <c r="I493">
        <v>14.40800661326716</v>
      </c>
      <c r="J493">
        <v>15.171347622857667</v>
      </c>
      <c r="K493">
        <v>14.103749544706854</v>
      </c>
      <c r="L493">
        <v>14.113945311812744</v>
      </c>
      <c r="M493">
        <v>14.668534163490381</v>
      </c>
      <c r="N493">
        <v>15.078570981710859</v>
      </c>
      <c r="O493">
        <v>15.334633426936943</v>
      </c>
      <c r="P493">
        <v>15.931568569324174</v>
      </c>
      <c r="Q493">
        <v>15.000831231761289</v>
      </c>
      <c r="R493">
        <v>15.346606068603018</v>
      </c>
      <c r="S493">
        <v>15.465594104820106</v>
      </c>
      <c r="T493">
        <v>15.383131944628133</v>
      </c>
    </row>
    <row r="494" spans="1:20" x14ac:dyDescent="0.25">
      <c r="A494" s="5" t="s">
        <v>512</v>
      </c>
      <c r="B494">
        <v>15.6989078125339</v>
      </c>
      <c r="C494">
        <v>16.093625327433145</v>
      </c>
      <c r="D494">
        <v>16.609640474436812</v>
      </c>
      <c r="E494">
        <v>16.024677973715658</v>
      </c>
      <c r="F494">
        <v>15.949715916034434</v>
      </c>
      <c r="G494">
        <v>15.364753415313277</v>
      </c>
      <c r="H494">
        <v>14.958875915319911</v>
      </c>
      <c r="I494">
        <v>15.034328143749375</v>
      </c>
      <c r="J494">
        <v>15.827231909509438</v>
      </c>
      <c r="K494">
        <v>15.264811977439372</v>
      </c>
      <c r="L494">
        <v>15.7066022043239</v>
      </c>
      <c r="M494">
        <v>16.525576209648339</v>
      </c>
      <c r="N494">
        <v>15.214577674919234</v>
      </c>
      <c r="O494">
        <v>16.383131944628133</v>
      </c>
      <c r="P494">
        <v>14.823044112546006</v>
      </c>
      <c r="Q494">
        <v>14.627787821147072</v>
      </c>
      <c r="R494">
        <v>14.325718702129196</v>
      </c>
      <c r="S494">
        <v>14.710464843956299</v>
      </c>
      <c r="T494">
        <v>14.549593090766873</v>
      </c>
    </row>
    <row r="495" spans="1:20" x14ac:dyDescent="0.25">
      <c r="A495" s="6" t="s">
        <v>513</v>
      </c>
      <c r="B495">
        <v>12.180299016612041</v>
      </c>
      <c r="C495">
        <v>11.920514671394573</v>
      </c>
      <c r="D495">
        <v>11.744038335524545</v>
      </c>
      <c r="E495">
        <v>11.940721461401388</v>
      </c>
      <c r="F495">
        <v>12.174952205250108</v>
      </c>
      <c r="G495">
        <v>12.43989181316495</v>
      </c>
      <c r="H495">
        <v>12.386449639314733</v>
      </c>
      <c r="I495">
        <v>12.437016952606472</v>
      </c>
      <c r="J495">
        <v>12.321953948214141</v>
      </c>
      <c r="K495">
        <v>12.296917222536955</v>
      </c>
      <c r="L495">
        <v>12.515970444001466</v>
      </c>
      <c r="M495">
        <v>12.798364693626997</v>
      </c>
      <c r="N495">
        <v>12.703721620678975</v>
      </c>
      <c r="O495">
        <v>12.810470257237192</v>
      </c>
      <c r="P495">
        <v>13.965784284662087</v>
      </c>
      <c r="Q495">
        <v>14.386217924501876</v>
      </c>
      <c r="R495">
        <v>14.14758815564038</v>
      </c>
      <c r="S495">
        <v>15.646166350461927</v>
      </c>
      <c r="T495">
        <v>14.113945311812744</v>
      </c>
    </row>
    <row r="496" spans="1:20" x14ac:dyDescent="0.25">
      <c r="A496" s="5" t="s">
        <v>514</v>
      </c>
      <c r="B496">
        <v>14.664782028629272</v>
      </c>
      <c r="C496">
        <v>15.802285552379209</v>
      </c>
      <c r="D496">
        <v>15.247872115017659</v>
      </c>
      <c r="E496">
        <v>15.358678900903593</v>
      </c>
      <c r="F496">
        <v>15.638786820096328</v>
      </c>
      <c r="G496">
        <v>14.895944659593452</v>
      </c>
      <c r="H496">
        <v>15.322759326648649</v>
      </c>
      <c r="I496">
        <v>14.827231909509438</v>
      </c>
      <c r="J496">
        <v>15.010322680738586</v>
      </c>
      <c r="K496">
        <v>15.546137532130656</v>
      </c>
      <c r="L496">
        <v>15.498609162048069</v>
      </c>
      <c r="M496">
        <v>15.103749544706854</v>
      </c>
      <c r="N496">
        <v>14.370853614849695</v>
      </c>
      <c r="O496">
        <v>14.553056946070445</v>
      </c>
      <c r="P496">
        <v>15.236688376524983</v>
      </c>
      <c r="Q496">
        <v>15.376979717646538</v>
      </c>
      <c r="R496">
        <v>15.259143227352677</v>
      </c>
      <c r="S496">
        <v>15.525576209648337</v>
      </c>
      <c r="T496">
        <v>15.408006613267162</v>
      </c>
    </row>
    <row r="497" spans="1:20" x14ac:dyDescent="0.25">
      <c r="A497" s="6" t="s">
        <v>515</v>
      </c>
      <c r="B497">
        <v>10.252278495826101</v>
      </c>
      <c r="C497">
        <v>10.138791286987457</v>
      </c>
      <c r="D497">
        <v>9.8871225357373209</v>
      </c>
      <c r="E497">
        <v>9.9807356780935752</v>
      </c>
      <c r="F497">
        <v>10.607835980407829</v>
      </c>
      <c r="G497">
        <v>10.914738000805182</v>
      </c>
      <c r="H497">
        <v>10.770391327208854</v>
      </c>
      <c r="I497">
        <v>10.563802197188245</v>
      </c>
      <c r="J497">
        <v>10.752796671578649</v>
      </c>
      <c r="K497">
        <v>10.211813559107886</v>
      </c>
      <c r="L497">
        <v>10.462132284635814</v>
      </c>
      <c r="M497">
        <v>10.939683969319294</v>
      </c>
      <c r="N497">
        <v>10.820002502749839</v>
      </c>
      <c r="O497">
        <v>10.624272115063883</v>
      </c>
      <c r="P497">
        <v>11.938267835174585</v>
      </c>
      <c r="Q497">
        <v>12.127941126905526</v>
      </c>
      <c r="R497">
        <v>12.640646592262177</v>
      </c>
      <c r="S497">
        <v>12.532918922794606</v>
      </c>
      <c r="T497">
        <v>12.111810986461647</v>
      </c>
    </row>
    <row r="498" spans="1:20" x14ac:dyDescent="0.25">
      <c r="A498" s="5" t="s">
        <v>516</v>
      </c>
      <c r="B498">
        <v>16.472136950686878</v>
      </c>
      <c r="C498">
        <v>0</v>
      </c>
      <c r="D498">
        <v>0</v>
      </c>
      <c r="E498">
        <v>0</v>
      </c>
      <c r="F498">
        <v>15.827231909509438</v>
      </c>
      <c r="G498">
        <v>0</v>
      </c>
      <c r="H498">
        <v>16.005569150767954</v>
      </c>
      <c r="I498">
        <v>15.498609162048069</v>
      </c>
      <c r="J498">
        <v>16.176681067160704</v>
      </c>
      <c r="K498">
        <v>0</v>
      </c>
      <c r="L498">
        <v>16.745702024012843</v>
      </c>
      <c r="M498">
        <v>15.922579786096922</v>
      </c>
      <c r="N498">
        <v>15.395515669083965</v>
      </c>
      <c r="O498">
        <v>17.193881807914313</v>
      </c>
      <c r="P498">
        <v>15.166033822961197</v>
      </c>
      <c r="Q498">
        <v>13.655444164049936</v>
      </c>
      <c r="R498">
        <v>14.726019658151142</v>
      </c>
      <c r="S498">
        <v>14.319806009259304</v>
      </c>
      <c r="T498">
        <v>14.211837512574323</v>
      </c>
    </row>
    <row r="499" spans="1:20" x14ac:dyDescent="0.25">
      <c r="A499" s="6" t="s">
        <v>517</v>
      </c>
      <c r="B499">
        <v>6.5061535878452261</v>
      </c>
      <c r="C499">
        <v>6.7979095266088034</v>
      </c>
      <c r="D499">
        <v>6.5478147390516686</v>
      </c>
      <c r="E499">
        <v>6.6101825731296291</v>
      </c>
      <c r="F499">
        <v>6.7435582465727091</v>
      </c>
      <c r="G499">
        <v>6.8244870388793517</v>
      </c>
      <c r="H499">
        <v>6.7767590025706284</v>
      </c>
      <c r="I499">
        <v>6.649597840402075</v>
      </c>
      <c r="J499">
        <v>6.3555693358843168</v>
      </c>
      <c r="K499">
        <v>6.431479970214169</v>
      </c>
      <c r="L499">
        <v>6.5098553188706534</v>
      </c>
      <c r="M499">
        <v>6.484633263109818</v>
      </c>
      <c r="N499">
        <v>6.5655898557535748</v>
      </c>
      <c r="O499">
        <v>6.2481779350983828</v>
      </c>
      <c r="P499">
        <v>6.790877452168548</v>
      </c>
      <c r="Q499">
        <v>7.1784619489554542</v>
      </c>
      <c r="R499">
        <v>6.9966822490951515</v>
      </c>
      <c r="S499">
        <v>7.5433599242500859</v>
      </c>
      <c r="T499">
        <v>7.3680683905569566</v>
      </c>
    </row>
    <row r="500" spans="1:20" x14ac:dyDescent="0.25">
      <c r="A500" s="5" t="s">
        <v>518</v>
      </c>
      <c r="B500">
        <v>10.708496019651841</v>
      </c>
      <c r="C500">
        <v>10.721065245377572</v>
      </c>
      <c r="D500">
        <v>10.243904200785408</v>
      </c>
      <c r="E500">
        <v>10.340685900131144</v>
      </c>
      <c r="F500">
        <v>10.43232658845031</v>
      </c>
      <c r="G500">
        <v>10.691857874597686</v>
      </c>
      <c r="H500">
        <v>10.584290476790246</v>
      </c>
      <c r="I500">
        <v>10.399354874865166</v>
      </c>
      <c r="J500">
        <v>10.058445945999004</v>
      </c>
      <c r="K500">
        <v>10.221707599987308</v>
      </c>
      <c r="L500">
        <v>10.564081739732053</v>
      </c>
      <c r="M500">
        <v>10.345023353854087</v>
      </c>
      <c r="N500">
        <v>10.047940116842584</v>
      </c>
      <c r="O500">
        <v>9.8623282730602106</v>
      </c>
      <c r="P500">
        <v>10.150387564321415</v>
      </c>
      <c r="Q500">
        <v>10.017433127242878</v>
      </c>
      <c r="R500">
        <v>9.9339346122257446</v>
      </c>
      <c r="S500">
        <v>9.5875046210268007</v>
      </c>
      <c r="T500">
        <v>9.7254833900114157</v>
      </c>
    </row>
    <row r="501" spans="1:20" x14ac:dyDescent="0.25">
      <c r="A501" s="6" t="s">
        <v>519</v>
      </c>
      <c r="B501">
        <v>12.634973506779801</v>
      </c>
      <c r="C501">
        <v>12.742653392497109</v>
      </c>
      <c r="D501">
        <v>12.184698236994752</v>
      </c>
      <c r="E501">
        <v>12.122694465134339</v>
      </c>
      <c r="F501">
        <v>13.073637323159208</v>
      </c>
      <c r="G501">
        <v>13.164748169707112</v>
      </c>
      <c r="H501">
        <v>12.993176908400956</v>
      </c>
      <c r="I501">
        <v>12.93695490506598</v>
      </c>
      <c r="J501">
        <v>12.800761223196666</v>
      </c>
      <c r="K501">
        <v>12.770880273003314</v>
      </c>
      <c r="L501">
        <v>13.217020804360001</v>
      </c>
      <c r="M501">
        <v>13.763648703772239</v>
      </c>
      <c r="N501">
        <v>14.007943957955854</v>
      </c>
      <c r="O501">
        <v>12.242199512465948</v>
      </c>
      <c r="P501">
        <v>14.046482344034004</v>
      </c>
      <c r="Q501">
        <v>14.831431898038725</v>
      </c>
      <c r="R501">
        <v>14.190101582923029</v>
      </c>
      <c r="S501">
        <v>14.757641637324365</v>
      </c>
      <c r="T501">
        <v>14.810553168362809</v>
      </c>
    </row>
    <row r="502" spans="1:20" x14ac:dyDescent="0.25">
      <c r="A502" s="5" t="s">
        <v>520</v>
      </c>
      <c r="B502">
        <v>11.023217983981896</v>
      </c>
      <c r="C502">
        <v>11.135834084623051</v>
      </c>
      <c r="D502">
        <v>10.723048870954052</v>
      </c>
      <c r="E502">
        <v>10.885844395673191</v>
      </c>
      <c r="F502">
        <v>11.008024175931672</v>
      </c>
      <c r="G502">
        <v>11.563664629730397</v>
      </c>
      <c r="H502">
        <v>11.194973840531734</v>
      </c>
      <c r="I502">
        <v>10.813777440214807</v>
      </c>
      <c r="J502">
        <v>11.073509844876742</v>
      </c>
      <c r="K502">
        <v>10.962360507083899</v>
      </c>
      <c r="L502">
        <v>11.420254719678443</v>
      </c>
      <c r="M502">
        <v>11.636139402620213</v>
      </c>
      <c r="N502">
        <v>11.472899485344763</v>
      </c>
      <c r="O502">
        <v>10.951471844649397</v>
      </c>
      <c r="P502">
        <v>11.977471156745105</v>
      </c>
      <c r="Q502">
        <v>10.109314831543596</v>
      </c>
      <c r="R502">
        <v>11.124097721072758</v>
      </c>
      <c r="S502">
        <v>12.547156061527364</v>
      </c>
      <c r="T502">
        <v>11.341400729062725</v>
      </c>
    </row>
    <row r="503" spans="1:20" x14ac:dyDescent="0.25">
      <c r="A503" s="6" t="s">
        <v>521</v>
      </c>
      <c r="B503">
        <v>15.986710123516636</v>
      </c>
      <c r="C503">
        <v>13.977372258937299</v>
      </c>
      <c r="D503">
        <v>14.904768509980459</v>
      </c>
      <c r="E503">
        <v>15.376979717646538</v>
      </c>
      <c r="F503">
        <v>15.293494732143458</v>
      </c>
      <c r="G503">
        <v>14.722115203695225</v>
      </c>
      <c r="H503">
        <v>14.478709604610362</v>
      </c>
      <c r="I503">
        <v>0</v>
      </c>
      <c r="J503">
        <v>0</v>
      </c>
      <c r="K503">
        <v>15.95887591531991</v>
      </c>
      <c r="L503">
        <v>16.459080797861432</v>
      </c>
      <c r="M503">
        <v>12.811610703097228</v>
      </c>
      <c r="N503">
        <v>13.936084050446667</v>
      </c>
      <c r="O503">
        <v>13.293494732143458</v>
      </c>
      <c r="P503">
        <v>0</v>
      </c>
      <c r="Q503">
        <v>0</v>
      </c>
      <c r="R503">
        <v>0</v>
      </c>
      <c r="S503">
        <v>14.209102544853085</v>
      </c>
      <c r="T503">
        <v>13.542690230512186</v>
      </c>
    </row>
    <row r="504" spans="1:20" x14ac:dyDescent="0.25">
      <c r="A504" s="5" t="s">
        <v>522</v>
      </c>
      <c r="B504">
        <v>15.259143227352677</v>
      </c>
      <c r="C504">
        <v>13.324238255574564</v>
      </c>
      <c r="D504">
        <v>14.468861818654016</v>
      </c>
      <c r="E504">
        <v>14.465594104820106</v>
      </c>
      <c r="F504">
        <v>14.726019658151142</v>
      </c>
      <c r="G504">
        <v>13.798169443906975</v>
      </c>
      <c r="H504">
        <v>13.540969663771714</v>
      </c>
      <c r="I504">
        <v>0</v>
      </c>
      <c r="J504">
        <v>0</v>
      </c>
      <c r="K504">
        <v>15.446141742153934</v>
      </c>
      <c r="L504">
        <v>16.310982158872296</v>
      </c>
      <c r="M504">
        <v>11.966321067065017</v>
      </c>
      <c r="N504">
        <v>13.163450424736755</v>
      </c>
      <c r="O504">
        <v>12.475353809747764</v>
      </c>
      <c r="P504">
        <v>0</v>
      </c>
      <c r="Q504">
        <v>0</v>
      </c>
      <c r="R504">
        <v>0</v>
      </c>
      <c r="S504">
        <v>13.447752792059918</v>
      </c>
      <c r="T504">
        <v>12.841572628823876</v>
      </c>
    </row>
    <row r="505" spans="1:20" x14ac:dyDescent="0.25">
      <c r="A505" s="6" t="s">
        <v>523</v>
      </c>
      <c r="B505">
        <v>16.103749544706854</v>
      </c>
      <c r="C505">
        <v>13.460706369910472</v>
      </c>
      <c r="D505">
        <v>14.769680886947281</v>
      </c>
      <c r="E505">
        <v>14.856891883029679</v>
      </c>
      <c r="F505">
        <v>14.635111161952929</v>
      </c>
      <c r="G505">
        <v>13.722115203695225</v>
      </c>
      <c r="H505">
        <v>13.285261880314627</v>
      </c>
      <c r="I505">
        <v>0</v>
      </c>
      <c r="J505">
        <v>0</v>
      </c>
      <c r="K505">
        <v>15.802285552379209</v>
      </c>
      <c r="L505">
        <v>16.446141742153934</v>
      </c>
      <c r="M505">
        <v>12.211112241046029</v>
      </c>
      <c r="N505">
        <v>13.392409758216141</v>
      </c>
      <c r="O505">
        <v>12.611986760752615</v>
      </c>
      <c r="P505">
        <v>0</v>
      </c>
      <c r="Q505">
        <v>17.813873526654422</v>
      </c>
      <c r="R505">
        <v>0</v>
      </c>
      <c r="S505">
        <v>13.386217924501876</v>
      </c>
      <c r="T505">
        <v>12.731199580820849</v>
      </c>
    </row>
    <row r="506" spans="1:20" x14ac:dyDescent="0.25">
      <c r="A506" s="5" t="s">
        <v>524</v>
      </c>
      <c r="B506">
        <v>18.200385327751974</v>
      </c>
      <c r="C506">
        <v>17.21348098536366</v>
      </c>
      <c r="D506">
        <v>17.823880700009802</v>
      </c>
      <c r="E506">
        <v>17.572609743491846</v>
      </c>
      <c r="F506">
        <v>17.899467726157152</v>
      </c>
      <c r="G506">
        <v>17.990462258377743</v>
      </c>
      <c r="H506">
        <v>18.332250775625948</v>
      </c>
      <c r="I506">
        <v>18.200385327751974</v>
      </c>
      <c r="J506">
        <v>18.420606650046796</v>
      </c>
      <c r="K506">
        <v>17.380667904676653</v>
      </c>
      <c r="L506">
        <v>17.153359992926084</v>
      </c>
      <c r="M506">
        <v>17.665531675328857</v>
      </c>
      <c r="N506">
        <v>17.43843364701867</v>
      </c>
      <c r="O506">
        <v>18.226696604867822</v>
      </c>
      <c r="P506">
        <v>17.542001757561451</v>
      </c>
      <c r="Q506">
        <v>17.59528518145974</v>
      </c>
      <c r="R506">
        <v>17.224485577552468</v>
      </c>
      <c r="S506">
        <v>17.67455795111815</v>
      </c>
      <c r="T506">
        <v>17.938800138555251</v>
      </c>
    </row>
    <row r="507" spans="1:20" x14ac:dyDescent="0.25">
      <c r="A507" s="6" t="s">
        <v>525</v>
      </c>
      <c r="B507">
        <v>11.662544776471881</v>
      </c>
      <c r="C507">
        <v>11.620183527756883</v>
      </c>
      <c r="D507">
        <v>10.747566048214033</v>
      </c>
      <c r="E507">
        <v>10.751731615864713</v>
      </c>
      <c r="F507">
        <v>11.738590329289719</v>
      </c>
      <c r="G507">
        <v>11.047935535144431</v>
      </c>
      <c r="H507">
        <v>11.711407932073197</v>
      </c>
      <c r="I507">
        <v>12.118800826499392</v>
      </c>
      <c r="J507">
        <v>11.830690761904826</v>
      </c>
      <c r="K507">
        <v>11.197946460073842</v>
      </c>
      <c r="L507">
        <v>11.163453733825921</v>
      </c>
      <c r="M507">
        <v>12.37304071027004</v>
      </c>
      <c r="N507">
        <v>12.296097115617098</v>
      </c>
      <c r="O507">
        <v>11.204430921105965</v>
      </c>
      <c r="P507">
        <v>12.129181454789036</v>
      </c>
      <c r="Q507">
        <v>11.753795253133589</v>
      </c>
      <c r="R507">
        <v>11.93629323377934</v>
      </c>
      <c r="S507">
        <v>11.99392403930745</v>
      </c>
      <c r="T507">
        <v>11.660222269041602</v>
      </c>
    </row>
    <row r="508" spans="1:20" x14ac:dyDescent="0.25">
      <c r="A508" s="5" t="s">
        <v>526</v>
      </c>
      <c r="B508">
        <v>15.270503089517227</v>
      </c>
      <c r="C508">
        <v>15.376979717646538</v>
      </c>
      <c r="D508">
        <v>16.264811977439372</v>
      </c>
      <c r="E508">
        <v>15.209102544853085</v>
      </c>
      <c r="F508">
        <v>14.802285552379209</v>
      </c>
      <c r="G508">
        <v>14.606038237756618</v>
      </c>
      <c r="H508">
        <v>14.729934708154525</v>
      </c>
      <c r="I508">
        <v>14.785891114128539</v>
      </c>
      <c r="J508">
        <v>14.53582024114514</v>
      </c>
      <c r="K508">
        <v>15.103749544706854</v>
      </c>
      <c r="L508">
        <v>15.485312339434612</v>
      </c>
      <c r="M508">
        <v>15.305129432626858</v>
      </c>
      <c r="N508">
        <v>14.996108821518886</v>
      </c>
      <c r="O508">
        <v>15.532397475504352</v>
      </c>
      <c r="P508">
        <v>15.019876987451834</v>
      </c>
      <c r="Q508">
        <v>14.991401818841357</v>
      </c>
      <c r="R508">
        <v>14.714337853103507</v>
      </c>
      <c r="S508">
        <v>14.67606783617579</v>
      </c>
      <c r="T508">
        <v>15.019876987451834</v>
      </c>
    </row>
    <row r="509" spans="1:20" x14ac:dyDescent="0.25">
      <c r="A509" s="6" t="s">
        <v>527</v>
      </c>
      <c r="B509">
        <v>0</v>
      </c>
      <c r="C509">
        <v>11.158030409542999</v>
      </c>
      <c r="D509">
        <v>12.443061593927579</v>
      </c>
      <c r="E509">
        <v>12.516240869568012</v>
      </c>
      <c r="F509">
        <v>0</v>
      </c>
      <c r="G509">
        <v>12.754787047919757</v>
      </c>
      <c r="H509">
        <v>14.139754498162349</v>
      </c>
      <c r="I509">
        <v>13.246090897253655</v>
      </c>
      <c r="J509">
        <v>11.802605041654452</v>
      </c>
      <c r="K509">
        <v>13.518787043985698</v>
      </c>
      <c r="L509">
        <v>12.453454225750274</v>
      </c>
      <c r="M509">
        <v>0</v>
      </c>
      <c r="N509">
        <v>0</v>
      </c>
      <c r="O509">
        <v>13.441319358697088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 s="5" t="s">
        <v>528</v>
      </c>
      <c r="B510">
        <v>13.915874762219028</v>
      </c>
      <c r="C510">
        <v>12.100793526344269</v>
      </c>
      <c r="D510">
        <v>12.961554737962786</v>
      </c>
      <c r="E510">
        <v>12.847865874246285</v>
      </c>
      <c r="F510">
        <v>13.586385122136509</v>
      </c>
      <c r="G510">
        <v>12.322855410972865</v>
      </c>
      <c r="H510">
        <v>13.020727997100636</v>
      </c>
      <c r="I510">
        <v>12.866825804573919</v>
      </c>
      <c r="J510">
        <v>13.729934708154524</v>
      </c>
      <c r="K510">
        <v>12.70335593802681</v>
      </c>
      <c r="L510">
        <v>12.517762958597721</v>
      </c>
      <c r="M510">
        <v>13.918106309517611</v>
      </c>
      <c r="N510">
        <v>14.584611679945288</v>
      </c>
      <c r="O510">
        <v>12.981135149818414</v>
      </c>
      <c r="P510">
        <v>13.582840415093099</v>
      </c>
      <c r="Q510">
        <v>13.197292500069899</v>
      </c>
      <c r="R510">
        <v>13.178793221951482</v>
      </c>
      <c r="S510">
        <v>13.017781569449642</v>
      </c>
      <c r="T510">
        <v>13.039991414075503</v>
      </c>
    </row>
    <row r="511" spans="1:20" x14ac:dyDescent="0.25">
      <c r="A511" s="6" t="s">
        <v>529</v>
      </c>
      <c r="B511">
        <v>15.737796825927495</v>
      </c>
      <c r="C511">
        <v>13.455835138357777</v>
      </c>
      <c r="D511">
        <v>15.176681067160706</v>
      </c>
      <c r="E511">
        <v>14.256317183273916</v>
      </c>
      <c r="F511">
        <v>15.401747622795478</v>
      </c>
      <c r="G511">
        <v>14.62050146706858</v>
      </c>
      <c r="H511">
        <v>15.491945431767057</v>
      </c>
      <c r="I511">
        <v>14.602444973032609</v>
      </c>
      <c r="J511">
        <v>15.305129432626858</v>
      </c>
      <c r="K511">
        <v>15.073587574196603</v>
      </c>
      <c r="L511">
        <v>14.595285181459742</v>
      </c>
      <c r="M511">
        <v>15.310982158872298</v>
      </c>
      <c r="N511">
        <v>15.722115203695225</v>
      </c>
      <c r="O511">
        <v>15.588160747026361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25">
      <c r="A512" s="5" t="s">
        <v>530</v>
      </c>
      <c r="B512">
        <v>16.124213647266568</v>
      </c>
      <c r="C512">
        <v>15.553056946070447</v>
      </c>
      <c r="D512">
        <v>15.785891114128539</v>
      </c>
      <c r="E512">
        <v>15.683641055880589</v>
      </c>
      <c r="F512">
        <v>0</v>
      </c>
      <c r="G512">
        <v>14.284829871016328</v>
      </c>
      <c r="H512">
        <v>15.171347622857667</v>
      </c>
      <c r="I512">
        <v>14.741744010444156</v>
      </c>
      <c r="J512">
        <v>15.61687204366789</v>
      </c>
      <c r="K512">
        <v>15.446141742153934</v>
      </c>
      <c r="L512">
        <v>15.144972207433367</v>
      </c>
      <c r="M512">
        <v>15.566996137028319</v>
      </c>
      <c r="N512">
        <v>15.810553168362809</v>
      </c>
      <c r="O512">
        <v>15.352629856230788</v>
      </c>
      <c r="P512">
        <v>15.264811977439372</v>
      </c>
      <c r="Q512">
        <v>15.253496664211537</v>
      </c>
      <c r="R512">
        <v>15.472136950686876</v>
      </c>
      <c r="S512">
        <v>14.638786820096328</v>
      </c>
      <c r="T512">
        <v>14.936084050446668</v>
      </c>
    </row>
    <row r="513" spans="1:20" x14ac:dyDescent="0.25">
      <c r="A513" s="6" t="s">
        <v>531</v>
      </c>
      <c r="B513">
        <v>0</v>
      </c>
      <c r="C513">
        <v>14.798169443906975</v>
      </c>
      <c r="D513">
        <v>15.06367210533152</v>
      </c>
      <c r="E513">
        <v>15.264811977439372</v>
      </c>
      <c r="F513">
        <v>0</v>
      </c>
      <c r="G513">
        <v>15.192800732523983</v>
      </c>
      <c r="H513">
        <v>0</v>
      </c>
      <c r="I513">
        <v>15.852617227929352</v>
      </c>
      <c r="J513">
        <v>0</v>
      </c>
      <c r="K513">
        <v>16.15546458125101</v>
      </c>
      <c r="L513">
        <v>15.553056946070447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25">
      <c r="A514" s="5" t="s">
        <v>532</v>
      </c>
      <c r="B514">
        <v>14.491945431767057</v>
      </c>
      <c r="C514">
        <v>13.929316117592796</v>
      </c>
      <c r="D514">
        <v>14.270503089517227</v>
      </c>
      <c r="E514">
        <v>14.0860785183798</v>
      </c>
      <c r="F514">
        <v>14.802285552379209</v>
      </c>
      <c r="G514">
        <v>13.693163829999097</v>
      </c>
      <c r="H514">
        <v>14.119070343990613</v>
      </c>
      <c r="I514">
        <v>13.856891883029679</v>
      </c>
      <c r="J514">
        <v>14.67229608228658</v>
      </c>
      <c r="K514">
        <v>14.361712960993227</v>
      </c>
      <c r="L514">
        <v>14.091105335454632</v>
      </c>
      <c r="M514">
        <v>14.518787043985698</v>
      </c>
      <c r="N514">
        <v>14.646166350461927</v>
      </c>
      <c r="O514">
        <v>14.695075950942874</v>
      </c>
      <c r="P514">
        <v>14.308052827833627</v>
      </c>
      <c r="Q514">
        <v>13.687442626040445</v>
      </c>
      <c r="R514">
        <v>14.116505552131308</v>
      </c>
      <c r="S514">
        <v>13.92257978609692</v>
      </c>
      <c r="T514">
        <v>14.019876987451836</v>
      </c>
    </row>
    <row r="515" spans="1:20" x14ac:dyDescent="0.25">
      <c r="A515" s="6" t="s">
        <v>533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16.370853614849693</v>
      </c>
      <c r="Q515">
        <v>15.220073662674086</v>
      </c>
      <c r="R515">
        <v>15.566996137028319</v>
      </c>
      <c r="S515">
        <v>15.802285552379209</v>
      </c>
      <c r="T515">
        <v>15.124213647266568</v>
      </c>
    </row>
    <row r="516" spans="1:20" x14ac:dyDescent="0.25">
      <c r="A516" s="5" t="s">
        <v>534</v>
      </c>
      <c r="B516">
        <v>14.904768509980459</v>
      </c>
      <c r="C516">
        <v>0</v>
      </c>
      <c r="D516">
        <v>16.005569150767954</v>
      </c>
      <c r="E516">
        <v>0</v>
      </c>
      <c r="F516">
        <v>15.661039626943458</v>
      </c>
      <c r="G516">
        <v>15.986710123516636</v>
      </c>
      <c r="H516">
        <v>14.532397475504352</v>
      </c>
      <c r="I516">
        <v>0</v>
      </c>
      <c r="J516">
        <v>15.198214228710349</v>
      </c>
      <c r="K516">
        <v>15.264811977439372</v>
      </c>
      <c r="L516">
        <v>16.093625327433145</v>
      </c>
      <c r="M516">
        <v>14.67606783617579</v>
      </c>
      <c r="N516">
        <v>13.837754895921446</v>
      </c>
      <c r="O516">
        <v>0</v>
      </c>
      <c r="P516">
        <v>13.561753145040264</v>
      </c>
      <c r="Q516">
        <v>13.501952605122439</v>
      </c>
      <c r="R516">
        <v>13.556529137977249</v>
      </c>
      <c r="S516">
        <v>14.287712379549449</v>
      </c>
      <c r="T516">
        <v>13.741744010444156</v>
      </c>
    </row>
    <row r="517" spans="1:20" x14ac:dyDescent="0.25">
      <c r="A517" s="6" t="s">
        <v>535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16.113945311812746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15.761643567881864</v>
      </c>
      <c r="Q517">
        <v>14.852617227929352</v>
      </c>
      <c r="R517">
        <v>15.019876987451834</v>
      </c>
      <c r="S517">
        <v>14.4397154729945</v>
      </c>
      <c r="T517">
        <v>14.95428864582426</v>
      </c>
    </row>
    <row r="518" spans="1:20" x14ac:dyDescent="0.25">
      <c r="A518" s="5" t="s">
        <v>536</v>
      </c>
      <c r="B518">
        <v>13.434914486730678</v>
      </c>
      <c r="C518">
        <v>15.134555591488031</v>
      </c>
      <c r="D518">
        <v>14.373913414598753</v>
      </c>
      <c r="E518">
        <v>14.823044112546006</v>
      </c>
      <c r="F518">
        <v>14.061203849740769</v>
      </c>
      <c r="G518">
        <v>14.442925029470389</v>
      </c>
      <c r="H518">
        <v>13.214934278598911</v>
      </c>
      <c r="I518">
        <v>14.62050146706858</v>
      </c>
      <c r="J518">
        <v>13.525576209648337</v>
      </c>
      <c r="K518">
        <v>14.222829527964596</v>
      </c>
      <c r="L518">
        <v>15.63144484475516</v>
      </c>
      <c r="M518">
        <v>14.259143227352677</v>
      </c>
      <c r="N518">
        <v>13.640628166920497</v>
      </c>
      <c r="O518">
        <v>14.029494990013431</v>
      </c>
      <c r="P518">
        <v>12.930261719020512</v>
      </c>
      <c r="Q518">
        <v>12.79650575541868</v>
      </c>
      <c r="R518">
        <v>13.112283588727193</v>
      </c>
      <c r="S518">
        <v>13.924821736883588</v>
      </c>
      <c r="T518">
        <v>12.798148892841942</v>
      </c>
    </row>
    <row r="519" spans="1:20" x14ac:dyDescent="0.25">
      <c r="A519" s="6" t="s">
        <v>537</v>
      </c>
      <c r="B519">
        <v>14.083571662769224</v>
      </c>
      <c r="C519">
        <v>14.027084471422752</v>
      </c>
      <c r="D519">
        <v>13.134918905766432</v>
      </c>
      <c r="E519">
        <v>14.852617227929352</v>
      </c>
      <c r="F519">
        <v>14.176681067160706</v>
      </c>
      <c r="G519">
        <v>13.373913414598753</v>
      </c>
      <c r="H519">
        <v>11.464044529738157</v>
      </c>
      <c r="I519">
        <v>14.078570981710859</v>
      </c>
      <c r="J519">
        <v>14.0860785183798</v>
      </c>
      <c r="K519">
        <v>14.352629856230788</v>
      </c>
      <c r="L519">
        <v>13.386217924501876</v>
      </c>
      <c r="M519">
        <v>12.00057109709322</v>
      </c>
      <c r="N519">
        <v>12.293668561294927</v>
      </c>
      <c r="O519">
        <v>13.401747622795481</v>
      </c>
      <c r="P519">
        <v>12.551427898197817</v>
      </c>
      <c r="Q519">
        <v>13.727975855116467</v>
      </c>
      <c r="R519">
        <v>13.542690230512186</v>
      </c>
      <c r="S519">
        <v>12.862983738279524</v>
      </c>
      <c r="T519">
        <v>12.432910804275959</v>
      </c>
    </row>
    <row r="520" spans="1:20" x14ac:dyDescent="0.25">
      <c r="A520" s="5" t="s">
        <v>538</v>
      </c>
      <c r="B520">
        <v>10.274026809620796</v>
      </c>
      <c r="C520">
        <v>9.5017915243268281</v>
      </c>
      <c r="D520">
        <v>10.114501777576814</v>
      </c>
      <c r="E520">
        <v>9.7514493088756709</v>
      </c>
      <c r="F520">
        <v>10.262575475598226</v>
      </c>
      <c r="G520">
        <v>9.7260074402570691</v>
      </c>
      <c r="H520">
        <v>9.2402036546320474</v>
      </c>
      <c r="I520">
        <v>9.2044990113004683</v>
      </c>
      <c r="J520">
        <v>9.9999859655309056</v>
      </c>
      <c r="K520">
        <v>9.9521762440907171</v>
      </c>
      <c r="L520">
        <v>9.8602309060588169</v>
      </c>
      <c r="M520">
        <v>9.915764668942753</v>
      </c>
      <c r="N520">
        <v>9.8699867599131501</v>
      </c>
      <c r="O520">
        <v>10.050001829514088</v>
      </c>
      <c r="P520">
        <v>9.5970505718413612</v>
      </c>
      <c r="Q520">
        <v>9.2344898034236298</v>
      </c>
      <c r="R520">
        <v>9.3080226500709351</v>
      </c>
      <c r="S520">
        <v>9.2442173830389844</v>
      </c>
      <c r="T520">
        <v>9.4050908485114064</v>
      </c>
    </row>
    <row r="521" spans="1:20" x14ac:dyDescent="0.25">
      <c r="A521" s="6" t="s">
        <v>539</v>
      </c>
      <c r="B521">
        <v>12.749333144608853</v>
      </c>
      <c r="C521">
        <v>12.13850505087794</v>
      </c>
      <c r="D521">
        <v>12.10952042164142</v>
      </c>
      <c r="E521">
        <v>12.211728014259906</v>
      </c>
      <c r="F521">
        <v>12.302991798209481</v>
      </c>
      <c r="G521">
        <v>12.26842323099175</v>
      </c>
      <c r="H521">
        <v>12.137789708963249</v>
      </c>
      <c r="I521">
        <v>11.879843015812801</v>
      </c>
      <c r="J521">
        <v>12.5387445747334</v>
      </c>
      <c r="K521">
        <v>12.549255809412768</v>
      </c>
      <c r="L521">
        <v>12.546819349368288</v>
      </c>
      <c r="M521">
        <v>13.40800661326716</v>
      </c>
      <c r="N521">
        <v>13.500279915032584</v>
      </c>
      <c r="O521">
        <v>12.660796706521264</v>
      </c>
      <c r="P521">
        <v>13.360195133350974</v>
      </c>
      <c r="Q521">
        <v>14.253496664211537</v>
      </c>
      <c r="R521">
        <v>14.091105335454632</v>
      </c>
      <c r="S521">
        <v>15.512029677810389</v>
      </c>
      <c r="T521">
        <v>14.334633426936943</v>
      </c>
    </row>
    <row r="522" spans="1:20" x14ac:dyDescent="0.25">
      <c r="A522" s="5" t="s">
        <v>540</v>
      </c>
      <c r="B522">
        <v>0</v>
      </c>
      <c r="C522">
        <v>13.331655727137047</v>
      </c>
      <c r="D522">
        <v>12.928832299455124</v>
      </c>
      <c r="E522">
        <v>13.191949955457201</v>
      </c>
      <c r="F522">
        <v>13.129297790217825</v>
      </c>
      <c r="G522">
        <v>13.031776637465317</v>
      </c>
      <c r="H522">
        <v>13.238736897499253</v>
      </c>
      <c r="I522">
        <v>12.9196928060943</v>
      </c>
      <c r="J522">
        <v>13.179355201459032</v>
      </c>
      <c r="K522">
        <v>13.457457055381768</v>
      </c>
      <c r="L522">
        <v>13.258337240599278</v>
      </c>
      <c r="M522">
        <v>14.056279971101485</v>
      </c>
      <c r="N522">
        <v>14.233905935853656</v>
      </c>
      <c r="O522">
        <v>13.321281912243151</v>
      </c>
      <c r="P522">
        <v>13.560009706712211</v>
      </c>
      <c r="Q522">
        <v>14.14758815564038</v>
      </c>
      <c r="R522">
        <v>13.687442626040445</v>
      </c>
      <c r="S522">
        <v>13.624140044131927</v>
      </c>
      <c r="T522">
        <v>14.184718386226123</v>
      </c>
    </row>
    <row r="523" spans="1:20" x14ac:dyDescent="0.25">
      <c r="A523" s="6" t="s">
        <v>541</v>
      </c>
      <c r="B523">
        <v>14.789972290940359</v>
      </c>
      <c r="C523">
        <v>13.283980629925928</v>
      </c>
      <c r="D523">
        <v>14.488625073475445</v>
      </c>
      <c r="E523">
        <v>14.264811977439372</v>
      </c>
      <c r="F523">
        <v>14.376979717646538</v>
      </c>
      <c r="G523">
        <v>13.510345270099036</v>
      </c>
      <c r="H523">
        <v>14.874118297140276</v>
      </c>
      <c r="I523">
        <v>13.505303814622076</v>
      </c>
      <c r="J523">
        <v>14.198214228710349</v>
      </c>
      <c r="K523">
        <v>14.46233377565652</v>
      </c>
      <c r="L523">
        <v>14.019876987451836</v>
      </c>
      <c r="M523">
        <v>0</v>
      </c>
      <c r="N523">
        <v>14.46233377565652</v>
      </c>
      <c r="O523">
        <v>13.970408311187535</v>
      </c>
      <c r="P523">
        <v>12.350458394098625</v>
      </c>
      <c r="Q523">
        <v>14.150208855799516</v>
      </c>
      <c r="R523">
        <v>14.071102310807008</v>
      </c>
      <c r="S523">
        <v>13.606038237756618</v>
      </c>
      <c r="T523">
        <v>14.695075950942874</v>
      </c>
    </row>
    <row r="524" spans="1:20" x14ac:dyDescent="0.25">
      <c r="A524" s="5" t="s">
        <v>542</v>
      </c>
      <c r="B524">
        <v>12.147686346030802</v>
      </c>
      <c r="C524">
        <v>12.219069081805397</v>
      </c>
      <c r="D524">
        <v>12.328669318140532</v>
      </c>
      <c r="E524">
        <v>12.147156197297436</v>
      </c>
      <c r="F524">
        <v>12.198654968853401</v>
      </c>
      <c r="G524">
        <v>11.8788918450206</v>
      </c>
      <c r="H524">
        <v>12.277204637975178</v>
      </c>
      <c r="I524">
        <v>11.912405987411775</v>
      </c>
      <c r="J524">
        <v>11.924361852983454</v>
      </c>
      <c r="K524">
        <v>12.54241480190484</v>
      </c>
      <c r="L524">
        <v>12.461926752084659</v>
      </c>
      <c r="M524">
        <v>12.508444253112469</v>
      </c>
      <c r="N524">
        <v>12.860417304665448</v>
      </c>
      <c r="O524">
        <v>12.005225128004351</v>
      </c>
      <c r="P524">
        <v>12.377570729740514</v>
      </c>
      <c r="Q524">
        <v>12.529238630764372</v>
      </c>
      <c r="R524">
        <v>12.483163134254978</v>
      </c>
      <c r="S524">
        <v>13.008098455812409</v>
      </c>
      <c r="T524">
        <v>12.849408880813719</v>
      </c>
    </row>
    <row r="525" spans="1:20" x14ac:dyDescent="0.25">
      <c r="A525" s="6" t="s">
        <v>543</v>
      </c>
      <c r="B525">
        <v>13.309516749867798</v>
      </c>
      <c r="C525">
        <v>12.830969300333233</v>
      </c>
      <c r="D525">
        <v>12.882961816305402</v>
      </c>
      <c r="E525">
        <v>13.18100225900395</v>
      </c>
      <c r="F525">
        <v>13.299300353824661</v>
      </c>
      <c r="G525">
        <v>12.856068026926508</v>
      </c>
      <c r="H525">
        <v>13.196181786428834</v>
      </c>
      <c r="I525">
        <v>12.805442322697122</v>
      </c>
      <c r="J525">
        <v>13.593500771781558</v>
      </c>
      <c r="K525">
        <v>13.083346259278274</v>
      </c>
      <c r="L525">
        <v>12.836561944624513</v>
      </c>
      <c r="M525">
        <v>13.219743312321716</v>
      </c>
      <c r="N525">
        <v>12.982827570441604</v>
      </c>
      <c r="O525">
        <v>13.313917449896843</v>
      </c>
      <c r="P525">
        <v>13.12782490081895</v>
      </c>
      <c r="Q525">
        <v>12.583637215172754</v>
      </c>
      <c r="R525">
        <v>12.806878565099035</v>
      </c>
      <c r="S525">
        <v>13.002807421280348</v>
      </c>
      <c r="T525">
        <v>12.643468445458234</v>
      </c>
    </row>
    <row r="526" spans="1:20" x14ac:dyDescent="0.25">
      <c r="A526" s="5" t="s">
        <v>544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17.375752414262536</v>
      </c>
      <c r="Q526">
        <v>15.039177543410771</v>
      </c>
      <c r="R526">
        <v>15.683641055880589</v>
      </c>
      <c r="S526">
        <v>15.653583822024411</v>
      </c>
      <c r="T526">
        <v>15.452596764291233</v>
      </c>
    </row>
    <row r="527" spans="1:20" x14ac:dyDescent="0.25">
      <c r="A527" s="6" t="s">
        <v>545</v>
      </c>
      <c r="B527">
        <v>11.474450395484753</v>
      </c>
      <c r="C527">
        <v>11.374020625220071</v>
      </c>
      <c r="D527">
        <v>11.014617275095663</v>
      </c>
      <c r="E527">
        <v>11.144041420604127</v>
      </c>
      <c r="F527">
        <v>10.871948305634383</v>
      </c>
      <c r="G527">
        <v>11.733030216146451</v>
      </c>
      <c r="H527">
        <v>11.718352536034079</v>
      </c>
      <c r="I527">
        <v>11.639338977419222</v>
      </c>
      <c r="J527">
        <v>11.456726967066373</v>
      </c>
      <c r="K527">
        <v>11.444134476169912</v>
      </c>
      <c r="L527">
        <v>11.38782138066021</v>
      </c>
      <c r="M527">
        <v>11.640715689389362</v>
      </c>
      <c r="N527">
        <v>10.956514516895778</v>
      </c>
      <c r="O527">
        <v>11.321359438880551</v>
      </c>
      <c r="P527">
        <v>12.025327332600764</v>
      </c>
      <c r="Q527">
        <v>13.245446273912375</v>
      </c>
      <c r="R527">
        <v>12.683432259866123</v>
      </c>
      <c r="S527">
        <v>13.387763393359778</v>
      </c>
      <c r="T527">
        <v>12.611878386580498</v>
      </c>
    </row>
    <row r="528" spans="1:20" x14ac:dyDescent="0.25">
      <c r="A528" s="5" t="s">
        <v>546</v>
      </c>
      <c r="B528">
        <v>0</v>
      </c>
      <c r="C528">
        <v>15.316858725208965</v>
      </c>
      <c r="D528">
        <v>15.986710123516636</v>
      </c>
      <c r="E528">
        <v>15.691254239990466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16.553056946070445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25">
      <c r="A529" s="6" t="s">
        <v>547</v>
      </c>
      <c r="B529">
        <v>14.679849476718214</v>
      </c>
      <c r="C529">
        <v>14.525576209648337</v>
      </c>
      <c r="D529">
        <v>14.765656630388486</v>
      </c>
      <c r="E529">
        <v>16.358678900903591</v>
      </c>
      <c r="F529">
        <v>15.150208855799516</v>
      </c>
      <c r="G529">
        <v>14.646166350461927</v>
      </c>
      <c r="H529">
        <v>14.765656630388486</v>
      </c>
      <c r="I529">
        <v>14.781821449819493</v>
      </c>
      <c r="J529">
        <v>15.015091924886457</v>
      </c>
      <c r="K529">
        <v>14.187407473753764</v>
      </c>
      <c r="L529">
        <v>14.305129432626858</v>
      </c>
      <c r="M529">
        <v>13.833536486363649</v>
      </c>
      <c r="N529">
        <v>14.331655727137047</v>
      </c>
      <c r="O529">
        <v>14.856891883029679</v>
      </c>
      <c r="P529">
        <v>14.40800661326716</v>
      </c>
      <c r="Q529">
        <v>14.179355201459032</v>
      </c>
      <c r="R529">
        <v>14.316858725208965</v>
      </c>
      <c r="S529">
        <v>13.163278362558218</v>
      </c>
      <c r="T529">
        <v>13.629615174198079</v>
      </c>
    </row>
    <row r="530" spans="1:20" x14ac:dyDescent="0.25">
      <c r="A530" s="5" t="s">
        <v>548</v>
      </c>
      <c r="B530">
        <v>13.865479378866404</v>
      </c>
      <c r="C530">
        <v>13.622319608507558</v>
      </c>
      <c r="D530">
        <v>14.27621674071162</v>
      </c>
      <c r="E530">
        <v>14.349614818475356</v>
      </c>
      <c r="F530">
        <v>13.958875915319911</v>
      </c>
      <c r="G530">
        <v>13.572258252433731</v>
      </c>
      <c r="H530">
        <v>14.044043298582588</v>
      </c>
      <c r="I530">
        <v>14.515404404591045</v>
      </c>
      <c r="J530">
        <v>13.874118297140276</v>
      </c>
      <c r="K530">
        <v>14.144972207433367</v>
      </c>
      <c r="L530">
        <v>14.206372752097511</v>
      </c>
      <c r="M530">
        <v>14.048925519962333</v>
      </c>
      <c r="N530">
        <v>14.613251727989191</v>
      </c>
      <c r="O530">
        <v>14.818868436574812</v>
      </c>
      <c r="P530">
        <v>13.965784284662087</v>
      </c>
      <c r="Q530">
        <v>13.45908079786143</v>
      </c>
      <c r="R530">
        <v>14.267654727208196</v>
      </c>
      <c r="S530">
        <v>13.517094732893247</v>
      </c>
      <c r="T530">
        <v>13.446141742153932</v>
      </c>
    </row>
    <row r="531" spans="1:20" x14ac:dyDescent="0.25">
      <c r="A531" s="6" t="s">
        <v>549</v>
      </c>
      <c r="B531">
        <v>14.46233377565652</v>
      </c>
      <c r="C531">
        <v>14.92257978609692</v>
      </c>
      <c r="D531">
        <v>14.798169443906975</v>
      </c>
      <c r="E531">
        <v>14.119070343990613</v>
      </c>
      <c r="F531">
        <v>0</v>
      </c>
      <c r="G531">
        <v>14.346606068603018</v>
      </c>
      <c r="H531">
        <v>13.88280925740432</v>
      </c>
      <c r="I531">
        <v>0</v>
      </c>
      <c r="J531">
        <v>0</v>
      </c>
      <c r="K531">
        <v>14.649870319225345</v>
      </c>
      <c r="L531">
        <v>0</v>
      </c>
      <c r="M531">
        <v>15.108838421379655</v>
      </c>
      <c r="N531">
        <v>0</v>
      </c>
      <c r="O531">
        <v>0</v>
      </c>
      <c r="P531">
        <v>13.455835138357777</v>
      </c>
      <c r="Q531">
        <v>13.522177633186471</v>
      </c>
      <c r="R531">
        <v>15.383131944628133</v>
      </c>
      <c r="S531">
        <v>13.777763233245141</v>
      </c>
      <c r="T531">
        <v>12.870764574639612</v>
      </c>
    </row>
    <row r="532" spans="1:20" x14ac:dyDescent="0.25">
      <c r="A532" s="5" t="s">
        <v>550</v>
      </c>
      <c r="B532">
        <v>12.071437571498045</v>
      </c>
      <c r="C532">
        <v>10.805633394795512</v>
      </c>
      <c r="D532">
        <v>11.308949303783663</v>
      </c>
      <c r="E532">
        <v>10.932831480089025</v>
      </c>
      <c r="F532">
        <v>12.001836738461899</v>
      </c>
      <c r="G532">
        <v>11.15962028352005</v>
      </c>
      <c r="H532">
        <v>11.776370853628416</v>
      </c>
      <c r="I532">
        <v>11.978972909204854</v>
      </c>
      <c r="J532">
        <v>12.018553526554964</v>
      </c>
      <c r="K532">
        <v>11.377056458785463</v>
      </c>
      <c r="L532">
        <v>11.256200727758115</v>
      </c>
      <c r="M532">
        <v>11.905676011551151</v>
      </c>
      <c r="N532">
        <v>12.521151139042848</v>
      </c>
      <c r="O532">
        <v>12.272814392502944</v>
      </c>
      <c r="P532">
        <v>12.7103294767779</v>
      </c>
      <c r="Q532">
        <v>12.286688429529677</v>
      </c>
      <c r="R532">
        <v>13.163000459303703</v>
      </c>
      <c r="S532">
        <v>12.450673375348941</v>
      </c>
      <c r="T532">
        <v>12.101053362347335</v>
      </c>
    </row>
    <row r="533" spans="1:20" x14ac:dyDescent="0.25">
      <c r="A533" s="6" t="s">
        <v>551</v>
      </c>
      <c r="B533">
        <v>0</v>
      </c>
      <c r="C533">
        <v>0</v>
      </c>
      <c r="D533">
        <v>15.525576209648337</v>
      </c>
      <c r="E533">
        <v>0</v>
      </c>
      <c r="F533">
        <v>15.478709604610364</v>
      </c>
      <c r="G533">
        <v>0</v>
      </c>
      <c r="H533">
        <v>15.505303814622076</v>
      </c>
      <c r="I533">
        <v>14.972725894080934</v>
      </c>
      <c r="J533">
        <v>15.485312339434612</v>
      </c>
      <c r="K533">
        <v>15.653583822024411</v>
      </c>
      <c r="L533">
        <v>15.777763233245141</v>
      </c>
      <c r="M533">
        <v>0</v>
      </c>
      <c r="N533">
        <v>15.253496664211537</v>
      </c>
      <c r="O533">
        <v>16.525576209648339</v>
      </c>
      <c r="P533">
        <v>15.729934708154525</v>
      </c>
      <c r="Q533">
        <v>15.340607327981576</v>
      </c>
      <c r="R533">
        <v>16.253496664211536</v>
      </c>
      <c r="S533">
        <v>15.878457232864612</v>
      </c>
      <c r="T533">
        <v>15.253496664211537</v>
      </c>
    </row>
    <row r="534" spans="1:20" x14ac:dyDescent="0.25">
      <c r="A534" s="5" t="s">
        <v>552</v>
      </c>
      <c r="B534">
        <v>15.108838421379655</v>
      </c>
      <c r="C534">
        <v>15.015091924886457</v>
      </c>
      <c r="D534">
        <v>15.088589737535848</v>
      </c>
      <c r="E534">
        <v>15.150208855799516</v>
      </c>
      <c r="F534">
        <v>14.777763233245141</v>
      </c>
      <c r="G534">
        <v>0</v>
      </c>
      <c r="H534">
        <v>15.370853614849695</v>
      </c>
      <c r="I534">
        <v>14.560009706712211</v>
      </c>
      <c r="J534">
        <v>15.166033822961197</v>
      </c>
      <c r="K534">
        <v>15.225590667641651</v>
      </c>
      <c r="L534">
        <v>15.996108821518886</v>
      </c>
      <c r="M534">
        <v>15.12937535238235</v>
      </c>
      <c r="N534">
        <v>14.92257978609692</v>
      </c>
      <c r="O534">
        <v>14.909200756295721</v>
      </c>
      <c r="P534">
        <v>15.264811977439372</v>
      </c>
      <c r="Q534">
        <v>15.293494732143458</v>
      </c>
      <c r="R534">
        <v>15.150208855799516</v>
      </c>
      <c r="S534">
        <v>0</v>
      </c>
      <c r="T534">
        <v>0</v>
      </c>
    </row>
    <row r="535" spans="1:20" x14ac:dyDescent="0.25">
      <c r="A535" s="6" t="s">
        <v>553</v>
      </c>
      <c r="B535">
        <v>0</v>
      </c>
      <c r="C535">
        <v>0</v>
      </c>
      <c r="D535">
        <v>0</v>
      </c>
      <c r="E535">
        <v>17.917213276347105</v>
      </c>
      <c r="F535">
        <v>0</v>
      </c>
      <c r="G535">
        <v>17.091608981834643</v>
      </c>
      <c r="H535">
        <v>16.015091924886459</v>
      </c>
      <c r="I535">
        <v>16.62268351191241</v>
      </c>
      <c r="J535">
        <v>0</v>
      </c>
      <c r="K535">
        <v>17.079569732211727</v>
      </c>
      <c r="L535">
        <v>17.603881205148127</v>
      </c>
      <c r="M535">
        <v>0</v>
      </c>
      <c r="N535">
        <v>0</v>
      </c>
      <c r="O535">
        <v>0</v>
      </c>
      <c r="P535">
        <v>16.652097273679708</v>
      </c>
      <c r="Q535">
        <v>15.949715916034434</v>
      </c>
      <c r="R535">
        <v>16.15546458125101</v>
      </c>
      <c r="S535">
        <v>15.818868436574812</v>
      </c>
      <c r="T535">
        <v>15.802285552379209</v>
      </c>
    </row>
    <row r="536" spans="1:20" x14ac:dyDescent="0.25">
      <c r="A536" s="5" t="s">
        <v>554</v>
      </c>
      <c r="B536">
        <v>16.06367210533152</v>
      </c>
      <c r="C536">
        <v>16.093625327433145</v>
      </c>
      <c r="D536">
        <v>0</v>
      </c>
      <c r="E536">
        <v>16.334633426936943</v>
      </c>
      <c r="F536">
        <v>0</v>
      </c>
      <c r="G536">
        <v>0</v>
      </c>
      <c r="H536">
        <v>15.986710123516636</v>
      </c>
      <c r="I536">
        <v>15.75365077712833</v>
      </c>
      <c r="J536">
        <v>16.276216740711622</v>
      </c>
      <c r="K536">
        <v>16.722115203695225</v>
      </c>
      <c r="L536">
        <v>16.581071322240042</v>
      </c>
      <c r="M536">
        <v>16.209102544853081</v>
      </c>
      <c r="N536">
        <v>0</v>
      </c>
      <c r="O536">
        <v>16.566996137028319</v>
      </c>
      <c r="P536">
        <v>15.532397475504352</v>
      </c>
      <c r="Q536">
        <v>15.176681067160706</v>
      </c>
      <c r="R536">
        <v>15.67606783617579</v>
      </c>
      <c r="S536">
        <v>16.015091924886459</v>
      </c>
      <c r="T536">
        <v>0</v>
      </c>
    </row>
    <row r="537" spans="1:20" x14ac:dyDescent="0.25">
      <c r="A537" s="6" t="s">
        <v>555</v>
      </c>
      <c r="B537">
        <v>0</v>
      </c>
      <c r="C537">
        <v>17.172412735523903</v>
      </c>
      <c r="D537">
        <v>17.6989078125339</v>
      </c>
      <c r="E537">
        <v>17.733074415685092</v>
      </c>
      <c r="F537">
        <v>0</v>
      </c>
      <c r="G537">
        <v>16.866340946548558</v>
      </c>
      <c r="H537">
        <v>17.013182334877825</v>
      </c>
      <c r="I537">
        <v>16.883681239927625</v>
      </c>
      <c r="J537">
        <v>0</v>
      </c>
      <c r="K537">
        <v>17.244507880984283</v>
      </c>
      <c r="L537">
        <v>17.368410438921366</v>
      </c>
      <c r="M537">
        <v>0</v>
      </c>
      <c r="N537">
        <v>0</v>
      </c>
      <c r="O537">
        <v>0</v>
      </c>
      <c r="P537">
        <v>0</v>
      </c>
      <c r="Q537">
        <v>16.253496664211536</v>
      </c>
      <c r="R537">
        <v>16.553056946070445</v>
      </c>
      <c r="S537">
        <v>16.553056946070445</v>
      </c>
      <c r="T537">
        <v>16.944247703394922</v>
      </c>
    </row>
    <row r="538" spans="1:20" x14ac:dyDescent="0.25">
      <c r="A538" s="5" t="s">
        <v>556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15.6989078125339</v>
      </c>
      <c r="Q538">
        <v>0</v>
      </c>
      <c r="R538">
        <v>13.933824543264544</v>
      </c>
      <c r="S538">
        <v>15.383131944628133</v>
      </c>
      <c r="T538">
        <v>15.073587574196603</v>
      </c>
    </row>
    <row r="539" spans="1:20" x14ac:dyDescent="0.25">
      <c r="A539" s="6" t="s">
        <v>557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16.322759326648651</v>
      </c>
      <c r="L539">
        <v>0</v>
      </c>
      <c r="M539">
        <v>0</v>
      </c>
      <c r="N539">
        <v>0</v>
      </c>
      <c r="O539">
        <v>0</v>
      </c>
      <c r="P539">
        <v>15.220073662674086</v>
      </c>
      <c r="Q539">
        <v>15.225590667641651</v>
      </c>
      <c r="R539">
        <v>15.352629856230788</v>
      </c>
      <c r="S539">
        <v>16.124213647266568</v>
      </c>
      <c r="T539">
        <v>15.949715916034434</v>
      </c>
    </row>
    <row r="540" spans="1:20" x14ac:dyDescent="0.25">
      <c r="A540" s="5" t="s">
        <v>558</v>
      </c>
      <c r="B540">
        <v>16.220073662674086</v>
      </c>
      <c r="C540">
        <v>15.977372258937301</v>
      </c>
      <c r="D540">
        <v>16.850910905978949</v>
      </c>
      <c r="E540">
        <v>16.187407473753765</v>
      </c>
      <c r="F540">
        <v>0</v>
      </c>
      <c r="G540">
        <v>15.729934708154525</v>
      </c>
      <c r="H540">
        <v>15.134555591488031</v>
      </c>
      <c r="I540">
        <v>15.922579786096922</v>
      </c>
      <c r="J540">
        <v>0</v>
      </c>
      <c r="K540">
        <v>16.652097273679708</v>
      </c>
      <c r="L540">
        <v>16.220073662674086</v>
      </c>
      <c r="M540">
        <v>16.553056946070445</v>
      </c>
      <c r="N540">
        <v>0</v>
      </c>
      <c r="O540">
        <v>16.103749544706854</v>
      </c>
      <c r="P540">
        <v>15.785891114128539</v>
      </c>
      <c r="Q540">
        <v>15.364753415313277</v>
      </c>
      <c r="R540">
        <v>15.683641055880589</v>
      </c>
      <c r="S540">
        <v>16.044043298582586</v>
      </c>
      <c r="T540">
        <v>16.083571662769224</v>
      </c>
    </row>
    <row r="541" spans="1:20" x14ac:dyDescent="0.25">
      <c r="A541" s="6" t="s">
        <v>559</v>
      </c>
      <c r="B541">
        <v>13.549593090766873</v>
      </c>
      <c r="C541">
        <v>12.784994802476215</v>
      </c>
      <c r="D541">
        <v>13.211153284417845</v>
      </c>
      <c r="E541">
        <v>13.00773006515727</v>
      </c>
      <c r="F541">
        <v>13.547864276850122</v>
      </c>
      <c r="G541">
        <v>12.934084206583464</v>
      </c>
      <c r="H541">
        <v>12.619938308153312</v>
      </c>
      <c r="I541">
        <v>13.130358167564472</v>
      </c>
      <c r="J541">
        <v>13.729934708154524</v>
      </c>
      <c r="K541">
        <v>13.755644827260419</v>
      </c>
      <c r="L541">
        <v>13.205922832314348</v>
      </c>
      <c r="M541">
        <v>13.446141742153932</v>
      </c>
      <c r="N541">
        <v>13.954288645824258</v>
      </c>
      <c r="O541">
        <v>13.566996137028319</v>
      </c>
      <c r="P541">
        <v>13.180506604895486</v>
      </c>
      <c r="Q541">
        <v>13.034086101128073</v>
      </c>
      <c r="R541">
        <v>13.082782904575156</v>
      </c>
      <c r="S541">
        <v>13.305129432626858</v>
      </c>
      <c r="T541">
        <v>13.178552440588339</v>
      </c>
    </row>
    <row r="542" spans="1:20" x14ac:dyDescent="0.25">
      <c r="A542" s="5" t="s">
        <v>560</v>
      </c>
      <c r="B542">
        <v>16.103749544706854</v>
      </c>
      <c r="C542">
        <v>15.465594104820106</v>
      </c>
      <c r="D542">
        <v>16.209102544853081</v>
      </c>
      <c r="E542">
        <v>16.187407473753765</v>
      </c>
      <c r="F542">
        <v>16.310982158872296</v>
      </c>
      <c r="G542">
        <v>16.113945311812746</v>
      </c>
      <c r="H542">
        <v>16.073587574196605</v>
      </c>
      <c r="I542">
        <v>15.108838421379655</v>
      </c>
      <c r="J542">
        <v>15.574016564706092</v>
      </c>
      <c r="K542">
        <v>16.176681067160704</v>
      </c>
      <c r="L542">
        <v>16.134555591488027</v>
      </c>
      <c r="M542">
        <v>16.609640474436812</v>
      </c>
      <c r="N542">
        <v>15.769680886947281</v>
      </c>
      <c r="O542">
        <v>15.95887591531991</v>
      </c>
      <c r="P542">
        <v>16.539251146545414</v>
      </c>
      <c r="Q542">
        <v>0</v>
      </c>
      <c r="R542">
        <v>0</v>
      </c>
      <c r="S542">
        <v>16.977372258937301</v>
      </c>
      <c r="T542">
        <v>16.581071322240042</v>
      </c>
    </row>
    <row r="543" spans="1:20" x14ac:dyDescent="0.25">
      <c r="A543" s="6" t="s">
        <v>561</v>
      </c>
      <c r="B543">
        <v>0</v>
      </c>
      <c r="C543">
        <v>14.891552890476294</v>
      </c>
      <c r="D543">
        <v>14.909200756295721</v>
      </c>
      <c r="E543">
        <v>15.068621321303253</v>
      </c>
      <c r="F543">
        <v>0</v>
      </c>
      <c r="G543">
        <v>0</v>
      </c>
      <c r="H543">
        <v>15.931568569324174</v>
      </c>
      <c r="I543">
        <v>0</v>
      </c>
      <c r="J543">
        <v>0</v>
      </c>
      <c r="K543">
        <v>15.794065045574239</v>
      </c>
      <c r="L543">
        <v>15.602444973032609</v>
      </c>
      <c r="M543">
        <v>0</v>
      </c>
      <c r="N543">
        <v>0</v>
      </c>
      <c r="O543">
        <v>0</v>
      </c>
      <c r="P543">
        <v>0</v>
      </c>
      <c r="Q543">
        <v>15.088589737535848</v>
      </c>
      <c r="R543">
        <v>15.370853614849695</v>
      </c>
      <c r="S543">
        <v>15.340607327981576</v>
      </c>
      <c r="T543">
        <v>15.305129432626858</v>
      </c>
    </row>
    <row r="544" spans="1:20" x14ac:dyDescent="0.25">
      <c r="A544" s="5" t="s">
        <v>562</v>
      </c>
      <c r="B544">
        <v>11.96054815901163</v>
      </c>
      <c r="C544">
        <v>10.679014299626843</v>
      </c>
      <c r="D544">
        <v>11.211050678177562</v>
      </c>
      <c r="E544">
        <v>11.075759469283049</v>
      </c>
      <c r="F544">
        <v>11.300165939597694</v>
      </c>
      <c r="G544">
        <v>10.898660514586412</v>
      </c>
      <c r="H544">
        <v>11.353864069360991</v>
      </c>
      <c r="I544">
        <v>11.338954563415069</v>
      </c>
      <c r="J544">
        <v>11.379372123100637</v>
      </c>
      <c r="K544">
        <v>11.557155020967375</v>
      </c>
      <c r="L544">
        <v>11.009980497869433</v>
      </c>
      <c r="M544">
        <v>11.685687907075845</v>
      </c>
      <c r="N544">
        <v>11.839937486955771</v>
      </c>
      <c r="O544">
        <v>11.487792033272184</v>
      </c>
      <c r="P544">
        <v>11.529166143918117</v>
      </c>
      <c r="Q544">
        <v>11.47427798977996</v>
      </c>
      <c r="R544">
        <v>11.590819388690351</v>
      </c>
      <c r="S544">
        <v>10.982208731281695</v>
      </c>
      <c r="T544">
        <v>11.489827820557103</v>
      </c>
    </row>
    <row r="545" spans="1:20" x14ac:dyDescent="0.25">
      <c r="A545" s="6" t="s">
        <v>563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17.539251146545414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16.736220971001956</v>
      </c>
      <c r="R545">
        <v>17.356256238636739</v>
      </c>
      <c r="S545">
        <v>16.103749544706854</v>
      </c>
      <c r="T545">
        <v>16.408006613267162</v>
      </c>
    </row>
    <row r="546" spans="1:20" x14ac:dyDescent="0.25">
      <c r="A546" s="5" t="s">
        <v>564</v>
      </c>
      <c r="B546">
        <v>16.512029677810389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16.322759326648651</v>
      </c>
      <c r="O546">
        <v>0</v>
      </c>
      <c r="P546">
        <v>15.895944659593452</v>
      </c>
      <c r="Q546">
        <v>16.774524859178594</v>
      </c>
      <c r="R546">
        <v>16.668534163490381</v>
      </c>
      <c r="S546">
        <v>16.581071322240042</v>
      </c>
      <c r="T546">
        <v>0</v>
      </c>
    </row>
    <row r="547" spans="1:20" x14ac:dyDescent="0.25">
      <c r="A547" s="6" t="s">
        <v>565</v>
      </c>
      <c r="B547">
        <v>15.485312339434612</v>
      </c>
      <c r="C547">
        <v>15.729934708154525</v>
      </c>
      <c r="D547">
        <v>0</v>
      </c>
      <c r="E547">
        <v>0</v>
      </c>
      <c r="F547">
        <v>15.518787043985698</v>
      </c>
      <c r="G547">
        <v>15.785891114128539</v>
      </c>
      <c r="H547">
        <v>16.034328143749374</v>
      </c>
      <c r="I547">
        <v>15.722115203695225</v>
      </c>
      <c r="J547">
        <v>15.068621321303253</v>
      </c>
      <c r="K547">
        <v>16.498609162048069</v>
      </c>
      <c r="L547">
        <v>0</v>
      </c>
      <c r="M547">
        <v>15.7066022043239</v>
      </c>
      <c r="N547">
        <v>14.874118297140276</v>
      </c>
      <c r="O547">
        <v>15.940613708927183</v>
      </c>
      <c r="P547">
        <v>15.015091924886457</v>
      </c>
      <c r="Q547">
        <v>14.638786820096328</v>
      </c>
      <c r="R547">
        <v>14.75365077712833</v>
      </c>
      <c r="S547">
        <v>14.182034301654912</v>
      </c>
      <c r="T547">
        <v>14.005569150767952</v>
      </c>
    </row>
    <row r="548" spans="1:20" x14ac:dyDescent="0.25">
      <c r="A548" s="5" t="s">
        <v>566</v>
      </c>
      <c r="B548">
        <v>14.627787821147072</v>
      </c>
      <c r="C548">
        <v>12.800236320501813</v>
      </c>
      <c r="D548">
        <v>14.861179241432778</v>
      </c>
      <c r="E548">
        <v>14.823044112546006</v>
      </c>
      <c r="F548">
        <v>13.644317926069556</v>
      </c>
      <c r="G548">
        <v>11.645898182078179</v>
      </c>
      <c r="H548">
        <v>13.189131123947909</v>
      </c>
      <c r="I548">
        <v>13.570502080529854</v>
      </c>
      <c r="J548">
        <v>14.349614818475356</v>
      </c>
      <c r="K548">
        <v>12.834495091254697</v>
      </c>
      <c r="L548">
        <v>12.366428400508529</v>
      </c>
      <c r="M548">
        <v>13.450980299090315</v>
      </c>
      <c r="N548">
        <v>13.718221287590733</v>
      </c>
      <c r="O548">
        <v>15.426948176920622</v>
      </c>
      <c r="P548">
        <v>12.874226611644691</v>
      </c>
      <c r="Q548">
        <v>12.36221419475307</v>
      </c>
      <c r="R548">
        <v>12.415884498285209</v>
      </c>
      <c r="S548">
        <v>11.161053330377905</v>
      </c>
      <c r="T548">
        <v>12.406063420504502</v>
      </c>
    </row>
    <row r="549" spans="1:20" x14ac:dyDescent="0.25">
      <c r="A549" s="6" t="s">
        <v>567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16.977372258937301</v>
      </c>
      <c r="M549">
        <v>0</v>
      </c>
      <c r="N549">
        <v>0</v>
      </c>
      <c r="O549">
        <v>0</v>
      </c>
      <c r="P549">
        <v>15.931568569324174</v>
      </c>
      <c r="Q549">
        <v>15.546137532130656</v>
      </c>
      <c r="R549">
        <v>0</v>
      </c>
      <c r="S549">
        <v>15.940613708927183</v>
      </c>
      <c r="T549">
        <v>16.083571662769224</v>
      </c>
    </row>
    <row r="550" spans="1:20" x14ac:dyDescent="0.25">
      <c r="A550" s="5" t="s">
        <v>568</v>
      </c>
      <c r="B550">
        <v>7.0011474102596933</v>
      </c>
      <c r="C550">
        <v>7.4380593283916596</v>
      </c>
      <c r="D550">
        <v>7.2496059166706743</v>
      </c>
      <c r="E550">
        <v>7.1258527050716118</v>
      </c>
      <c r="F550">
        <v>7.0694465520247949</v>
      </c>
      <c r="G550">
        <v>7.1573467171552352</v>
      </c>
      <c r="H550">
        <v>7.4170081117093787</v>
      </c>
      <c r="I550">
        <v>7.1057775765928222</v>
      </c>
      <c r="J550">
        <v>6.9699528370827446</v>
      </c>
      <c r="K550">
        <v>7.2113664294526938</v>
      </c>
      <c r="L550">
        <v>7.4595020007889472</v>
      </c>
      <c r="M550">
        <v>7.0596766116030851</v>
      </c>
      <c r="N550">
        <v>7.2493659740361016</v>
      </c>
      <c r="O550">
        <v>7.0100061587695723</v>
      </c>
      <c r="P550">
        <v>6.9006421574591554</v>
      </c>
      <c r="Q550">
        <v>6.9918163741978478</v>
      </c>
      <c r="R550">
        <v>6.3157574575155593</v>
      </c>
      <c r="S550">
        <v>6.770841831829677</v>
      </c>
      <c r="T550">
        <v>6.8610200801054493</v>
      </c>
    </row>
    <row r="551" spans="1:20" x14ac:dyDescent="0.25">
      <c r="A551" s="6" t="s">
        <v>569</v>
      </c>
      <c r="B551">
        <v>6.8260320739834102</v>
      </c>
      <c r="C551">
        <v>7.2729045298467616</v>
      </c>
      <c r="D551">
        <v>7.3504430904829459</v>
      </c>
      <c r="E551">
        <v>7.3093734944335678</v>
      </c>
      <c r="F551">
        <v>7.2000745160618287</v>
      </c>
      <c r="G551">
        <v>7.212917328621387</v>
      </c>
      <c r="H551">
        <v>7.3169921438658099</v>
      </c>
      <c r="I551">
        <v>7.1947235804875387</v>
      </c>
      <c r="J551">
        <v>6.884262627306823</v>
      </c>
      <c r="K551">
        <v>7.0520865952507119</v>
      </c>
      <c r="L551">
        <v>7.0769935067455707</v>
      </c>
      <c r="M551">
        <v>7.3590364933906631</v>
      </c>
      <c r="N551">
        <v>6.9878752085305074</v>
      </c>
      <c r="O551">
        <v>7.0597674573564841</v>
      </c>
      <c r="P551">
        <v>7.6392644813651609</v>
      </c>
      <c r="Q551">
        <v>8.7426812019312017</v>
      </c>
      <c r="R551">
        <v>8.2406753044724024</v>
      </c>
      <c r="S551">
        <v>8.7988889156766845</v>
      </c>
      <c r="T551">
        <v>8.8025760528138015</v>
      </c>
    </row>
    <row r="552" spans="1:20" x14ac:dyDescent="0.25">
      <c r="A552" s="5" t="s">
        <v>570</v>
      </c>
      <c r="B552">
        <v>11.906345936786195</v>
      </c>
      <c r="C552">
        <v>11.790927933061635</v>
      </c>
      <c r="D552">
        <v>11.870262188004977</v>
      </c>
      <c r="E552">
        <v>12.159366181882991</v>
      </c>
      <c r="F552">
        <v>11.690734314642489</v>
      </c>
      <c r="G552">
        <v>11.587028533673204</v>
      </c>
      <c r="H552">
        <v>11.841832093492872</v>
      </c>
      <c r="I552">
        <v>11.522665686110965</v>
      </c>
      <c r="J552">
        <v>11.626519172713275</v>
      </c>
      <c r="K552">
        <v>11.821314960585678</v>
      </c>
      <c r="L552">
        <v>11.571770700387678</v>
      </c>
      <c r="M552">
        <v>12.235352135267782</v>
      </c>
      <c r="N552">
        <v>11.814216373670183</v>
      </c>
      <c r="O552">
        <v>11.697929720664739</v>
      </c>
      <c r="P552">
        <v>11.800992858641969</v>
      </c>
      <c r="Q552">
        <v>12.251996984741243</v>
      </c>
      <c r="R552">
        <v>11.980581167605015</v>
      </c>
      <c r="S552">
        <v>11.959777881614302</v>
      </c>
      <c r="T552">
        <v>12.655565169353659</v>
      </c>
    </row>
    <row r="553" spans="1:20" x14ac:dyDescent="0.25">
      <c r="A553" s="6" t="s">
        <v>571</v>
      </c>
      <c r="B553">
        <v>0</v>
      </c>
      <c r="C553">
        <v>0</v>
      </c>
      <c r="D553">
        <v>15.512029677810389</v>
      </c>
      <c r="E553">
        <v>16.334633426936943</v>
      </c>
      <c r="F553">
        <v>15.310982158872298</v>
      </c>
      <c r="G553">
        <v>14.553056946070445</v>
      </c>
      <c r="H553">
        <v>15.236688376524983</v>
      </c>
      <c r="I553">
        <v>15.661039626943458</v>
      </c>
      <c r="J553">
        <v>0</v>
      </c>
      <c r="K553">
        <v>15.376979717646538</v>
      </c>
      <c r="L553">
        <v>15.446141742153934</v>
      </c>
      <c r="M553">
        <v>15.761643567881864</v>
      </c>
      <c r="N553">
        <v>15.913646661326911</v>
      </c>
      <c r="O553">
        <v>16.024677973715658</v>
      </c>
      <c r="P553">
        <v>15.376979717646538</v>
      </c>
      <c r="Q553">
        <v>15.093625327433148</v>
      </c>
      <c r="R553">
        <v>15.334633426936943</v>
      </c>
      <c r="S553">
        <v>15.401747622795478</v>
      </c>
      <c r="T553">
        <v>13.909200756295721</v>
      </c>
    </row>
    <row r="554" spans="1:20" x14ac:dyDescent="0.25">
      <c r="A554" s="5" t="s">
        <v>572</v>
      </c>
      <c r="B554">
        <v>10.644184007329498</v>
      </c>
      <c r="C554">
        <v>11.423635215117304</v>
      </c>
      <c r="D554">
        <v>12.01088820422458</v>
      </c>
      <c r="E554">
        <v>12.452944540996713</v>
      </c>
      <c r="F554">
        <v>11.333006096802437</v>
      </c>
      <c r="G554">
        <v>10.131372397448802</v>
      </c>
      <c r="H554">
        <v>10.782001797971597</v>
      </c>
      <c r="I554">
        <v>12.250119304009216</v>
      </c>
      <c r="J554">
        <v>10.533861853077182</v>
      </c>
      <c r="K554">
        <v>10.359139288029311</v>
      </c>
      <c r="L554">
        <v>10.779580410104305</v>
      </c>
      <c r="M554">
        <v>10.234077943709636</v>
      </c>
      <c r="N554">
        <v>11.460690105120072</v>
      </c>
      <c r="O554">
        <v>10.718726902744965</v>
      </c>
      <c r="P554">
        <v>10.106681408605352</v>
      </c>
      <c r="Q554">
        <v>9.857566297223137</v>
      </c>
      <c r="R554">
        <v>10.223512418092588</v>
      </c>
      <c r="S554">
        <v>9.9608313680835057</v>
      </c>
      <c r="T554">
        <v>10.414121605619998</v>
      </c>
    </row>
    <row r="555" spans="1:20" x14ac:dyDescent="0.25">
      <c r="A555" s="6" t="s">
        <v>573</v>
      </c>
      <c r="B555">
        <v>12.811942638513115</v>
      </c>
      <c r="C555">
        <v>12.865447080085248</v>
      </c>
      <c r="D555">
        <v>12.940704447317783</v>
      </c>
      <c r="E555">
        <v>12.69893658998263</v>
      </c>
      <c r="F555">
        <v>14.192800732523983</v>
      </c>
      <c r="G555">
        <v>13.336124584734696</v>
      </c>
      <c r="H555">
        <v>13.22466509710102</v>
      </c>
      <c r="I555">
        <v>13.602444973032609</v>
      </c>
      <c r="J555">
        <v>12.798971163872531</v>
      </c>
      <c r="K555">
        <v>13.237593826407775</v>
      </c>
      <c r="L555">
        <v>13.895944659593452</v>
      </c>
      <c r="M555">
        <v>13.363232387190427</v>
      </c>
      <c r="N555">
        <v>13.221051392265919</v>
      </c>
      <c r="O555">
        <v>12.639974219701271</v>
      </c>
      <c r="P555">
        <v>15.203648114760977</v>
      </c>
      <c r="Q555">
        <v>0</v>
      </c>
      <c r="R555">
        <v>14.963477817278919</v>
      </c>
      <c r="S555">
        <v>14.831431898038725</v>
      </c>
      <c r="T555">
        <v>0</v>
      </c>
    </row>
    <row r="556" spans="1:20" x14ac:dyDescent="0.25">
      <c r="A556" s="5" t="s">
        <v>574</v>
      </c>
      <c r="B556">
        <v>14.588160747026361</v>
      </c>
      <c r="C556">
        <v>0</v>
      </c>
      <c r="D556">
        <v>14.856891883029679</v>
      </c>
      <c r="E556">
        <v>14.861179241432778</v>
      </c>
      <c r="F556">
        <v>14.627787821147072</v>
      </c>
      <c r="G556">
        <v>14.088589737535848</v>
      </c>
      <c r="H556">
        <v>13.812627496600667</v>
      </c>
      <c r="I556">
        <v>14.308052827833627</v>
      </c>
      <c r="J556">
        <v>14.302211949244565</v>
      </c>
      <c r="K556">
        <v>14.498609162048069</v>
      </c>
      <c r="L556">
        <v>14.638786820096328</v>
      </c>
      <c r="M556">
        <v>0</v>
      </c>
      <c r="N556">
        <v>14.63144484475516</v>
      </c>
      <c r="O556">
        <v>14.769680886947281</v>
      </c>
      <c r="P556">
        <v>13.638786820096328</v>
      </c>
      <c r="Q556">
        <v>12.836298150554477</v>
      </c>
      <c r="R556">
        <v>13.096440318409401</v>
      </c>
      <c r="S556">
        <v>13.264613194573974</v>
      </c>
      <c r="T556">
        <v>12.779669173311859</v>
      </c>
    </row>
    <row r="557" spans="1:20" x14ac:dyDescent="0.25">
      <c r="A557" s="6" t="s">
        <v>575</v>
      </c>
      <c r="B557">
        <v>13.278508552219609</v>
      </c>
      <c r="C557">
        <v>15.119070343990609</v>
      </c>
      <c r="D557">
        <v>15.019876987451834</v>
      </c>
      <c r="E557">
        <v>14.691254239990466</v>
      </c>
      <c r="F557">
        <v>11.76573700561015</v>
      </c>
      <c r="G557">
        <v>12.892210804164474</v>
      </c>
      <c r="H557">
        <v>12.046250457376537</v>
      </c>
      <c r="I557">
        <v>12.545231817810876</v>
      </c>
      <c r="J557">
        <v>12.24868631663672</v>
      </c>
      <c r="K557">
        <v>13.404873723782199</v>
      </c>
      <c r="L557">
        <v>12.52373148845566</v>
      </c>
      <c r="M557">
        <v>12.986956058405015</v>
      </c>
      <c r="N557">
        <v>12.937135927852983</v>
      </c>
      <c r="O557">
        <v>12.946557772971969</v>
      </c>
      <c r="P557">
        <v>11.972517159095673</v>
      </c>
      <c r="Q557">
        <v>9.8203259401309779</v>
      </c>
      <c r="R557">
        <v>10.148930669762075</v>
      </c>
      <c r="S557">
        <v>9.3372952911682248</v>
      </c>
      <c r="T557">
        <v>9.9824903869473776</v>
      </c>
    </row>
    <row r="558" spans="1:20" x14ac:dyDescent="0.25">
      <c r="A558" s="5" t="s">
        <v>576</v>
      </c>
      <c r="B558">
        <v>15.088589737535848</v>
      </c>
      <c r="C558">
        <v>15.949715916034434</v>
      </c>
      <c r="D558">
        <v>0</v>
      </c>
      <c r="E558">
        <v>15.653583822024411</v>
      </c>
      <c r="F558">
        <v>15.566996137028319</v>
      </c>
      <c r="G558">
        <v>0</v>
      </c>
      <c r="H558">
        <v>15.802285552379209</v>
      </c>
      <c r="I558">
        <v>16.005569150767954</v>
      </c>
      <c r="J558">
        <v>15.253496664211537</v>
      </c>
      <c r="K558">
        <v>16.310982158872296</v>
      </c>
      <c r="L558">
        <v>16.525576209648339</v>
      </c>
      <c r="M558">
        <v>0</v>
      </c>
      <c r="N558">
        <v>0</v>
      </c>
      <c r="O558">
        <v>16.310982158872296</v>
      </c>
      <c r="P558">
        <v>0</v>
      </c>
      <c r="Q558">
        <v>16.358678900903591</v>
      </c>
      <c r="R558">
        <v>17.130409913230476</v>
      </c>
      <c r="S558">
        <v>15.869792371737484</v>
      </c>
      <c r="T558">
        <v>0</v>
      </c>
    </row>
    <row r="559" spans="1:20" x14ac:dyDescent="0.25">
      <c r="A559" s="6" t="s">
        <v>577</v>
      </c>
      <c r="B559">
        <v>14.124213647266572</v>
      </c>
      <c r="C559">
        <v>13.105236184699461</v>
      </c>
      <c r="D559">
        <v>13.633276838704052</v>
      </c>
      <c r="E559">
        <v>13.239169270155228</v>
      </c>
      <c r="F559">
        <v>13.687442626040445</v>
      </c>
      <c r="G559">
        <v>13.428537923683015</v>
      </c>
      <c r="H559">
        <v>13.911421996212397</v>
      </c>
      <c r="I559">
        <v>14.192800732523983</v>
      </c>
      <c r="J559">
        <v>13.844105728073835</v>
      </c>
      <c r="K559">
        <v>13.59171856643955</v>
      </c>
      <c r="L559">
        <v>13.558268372715785</v>
      </c>
      <c r="M559">
        <v>14.103749544706854</v>
      </c>
      <c r="N559">
        <v>14.501952605122439</v>
      </c>
      <c r="O559">
        <v>14.668534163490381</v>
      </c>
      <c r="P559">
        <v>14.485312339434612</v>
      </c>
      <c r="Q559">
        <v>13.979701064997272</v>
      </c>
      <c r="R559">
        <v>14.358678900903593</v>
      </c>
      <c r="S559">
        <v>13.977372258937299</v>
      </c>
      <c r="T559">
        <v>14.247872115017659</v>
      </c>
    </row>
    <row r="560" spans="1:20" x14ac:dyDescent="0.25">
      <c r="A560" s="5" t="s">
        <v>578</v>
      </c>
      <c r="B560">
        <v>13.328684160605755</v>
      </c>
      <c r="C560">
        <v>13.475419534676179</v>
      </c>
      <c r="D560">
        <v>13.893747103889208</v>
      </c>
      <c r="E560">
        <v>13.43331770179635</v>
      </c>
      <c r="F560">
        <v>13.535820241145142</v>
      </c>
      <c r="G560">
        <v>12.720020917529697</v>
      </c>
      <c r="H560">
        <v>13.175332510608543</v>
      </c>
      <c r="I560">
        <v>13.185672438558468</v>
      </c>
      <c r="J560">
        <v>13.395515669083965</v>
      </c>
      <c r="K560">
        <v>13.588160747026361</v>
      </c>
      <c r="L560">
        <v>13.518787043985698</v>
      </c>
      <c r="M560">
        <v>13.019841040348828</v>
      </c>
      <c r="N560">
        <v>13.268693727859683</v>
      </c>
      <c r="O560">
        <v>13.584611679945288</v>
      </c>
      <c r="P560">
        <v>13.034800243691032</v>
      </c>
      <c r="Q560">
        <v>13.054266028326184</v>
      </c>
      <c r="R560">
        <v>13.122359945053086</v>
      </c>
      <c r="S560">
        <v>12.497273951364249</v>
      </c>
      <c r="T560">
        <v>12.859784451934216</v>
      </c>
    </row>
    <row r="561" spans="1:20" x14ac:dyDescent="0.25">
      <c r="A561" s="6" t="s">
        <v>579</v>
      </c>
      <c r="B561">
        <v>12.337609818029454</v>
      </c>
      <c r="C561">
        <v>10.541322212783784</v>
      </c>
      <c r="D561">
        <v>11.0715027701252</v>
      </c>
      <c r="E561">
        <v>10.8556536019042</v>
      </c>
      <c r="F561">
        <v>11.476241349019613</v>
      </c>
      <c r="G561">
        <v>10.953287121979185</v>
      </c>
      <c r="H561">
        <v>11.575578863784296</v>
      </c>
      <c r="I561">
        <v>11.411240617672881</v>
      </c>
      <c r="J561">
        <v>11.498521500950192</v>
      </c>
      <c r="K561">
        <v>10.573128349164337</v>
      </c>
      <c r="L561">
        <v>10.497870470920605</v>
      </c>
      <c r="M561">
        <v>11.594258876236051</v>
      </c>
      <c r="N561">
        <v>12.006144682569408</v>
      </c>
      <c r="O561">
        <v>11.494340830411264</v>
      </c>
      <c r="P561">
        <v>12.037302530191738</v>
      </c>
      <c r="Q561">
        <v>11.945032484567891</v>
      </c>
      <c r="R561">
        <v>12.318972791123684</v>
      </c>
      <c r="S561">
        <v>11.856907936847199</v>
      </c>
      <c r="T561">
        <v>11.988754999671077</v>
      </c>
    </row>
    <row r="562" spans="1:20" x14ac:dyDescent="0.25">
      <c r="A562" s="5" t="s">
        <v>580</v>
      </c>
      <c r="B562">
        <v>12.807809269408281</v>
      </c>
      <c r="C562">
        <v>13.051311606746768</v>
      </c>
      <c r="D562">
        <v>13.098210388002514</v>
      </c>
      <c r="E562">
        <v>0</v>
      </c>
      <c r="F562">
        <v>12.836424765688475</v>
      </c>
      <c r="G562">
        <v>11.72401242484826</v>
      </c>
      <c r="H562">
        <v>12.493433770716127</v>
      </c>
      <c r="I562">
        <v>12.330852800794702</v>
      </c>
      <c r="J562">
        <v>12.240634721688981</v>
      </c>
      <c r="K562">
        <v>12.719115958095173</v>
      </c>
      <c r="L562">
        <v>12.216533220617285</v>
      </c>
      <c r="M562">
        <v>12.264989485288366</v>
      </c>
      <c r="N562">
        <v>12.257694188226525</v>
      </c>
      <c r="O562">
        <v>13.170935103000522</v>
      </c>
      <c r="P562">
        <v>12.585090294536915</v>
      </c>
      <c r="Q562">
        <v>12.940103411790144</v>
      </c>
      <c r="R562">
        <v>13.065810557933585</v>
      </c>
      <c r="S562">
        <v>13.945157634072132</v>
      </c>
      <c r="T562">
        <v>13.135334234148409</v>
      </c>
    </row>
    <row r="563" spans="1:20" x14ac:dyDescent="0.25">
      <c r="A563" s="6" t="s">
        <v>581</v>
      </c>
      <c r="B563">
        <v>13.823044112546006</v>
      </c>
      <c r="C563">
        <v>13.624140044131927</v>
      </c>
      <c r="D563">
        <v>13.491945431767057</v>
      </c>
      <c r="E563">
        <v>13.310982158872298</v>
      </c>
      <c r="F563">
        <v>13.615060750221065</v>
      </c>
      <c r="G563">
        <v>14.595285181459742</v>
      </c>
      <c r="H563">
        <v>14.945157634072132</v>
      </c>
      <c r="I563">
        <v>14.236688376524981</v>
      </c>
      <c r="J563">
        <v>14.45908079786143</v>
      </c>
      <c r="K563">
        <v>13.800226030200914</v>
      </c>
      <c r="L563">
        <v>13.979701064997272</v>
      </c>
      <c r="M563">
        <v>14.729934708154525</v>
      </c>
      <c r="N563">
        <v>15.139754498162349</v>
      </c>
      <c r="O563">
        <v>14.518787043985698</v>
      </c>
      <c r="P563">
        <v>15.913646661326911</v>
      </c>
      <c r="Q563">
        <v>16.837332499478411</v>
      </c>
      <c r="R563">
        <v>16.869792371737486</v>
      </c>
      <c r="S563">
        <v>17.176681067160704</v>
      </c>
      <c r="T563">
        <v>16.334633426936943</v>
      </c>
    </row>
    <row r="564" spans="1:20" x14ac:dyDescent="0.25">
      <c r="A564" s="5" t="s">
        <v>582</v>
      </c>
      <c r="B564">
        <v>0</v>
      </c>
      <c r="C564">
        <v>17.310982158872296</v>
      </c>
      <c r="D564">
        <v>16.420606650046796</v>
      </c>
      <c r="E564">
        <v>17.935179822876556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17.589582822095558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25">
      <c r="A565" s="6" t="s">
        <v>583</v>
      </c>
      <c r="B565">
        <v>11.630195843225803</v>
      </c>
      <c r="C565">
        <v>11.288809244642076</v>
      </c>
      <c r="D565">
        <v>12.226931725786889</v>
      </c>
      <c r="E565">
        <v>12.010870342198086</v>
      </c>
      <c r="F565">
        <v>10.885173006583948</v>
      </c>
      <c r="G565">
        <v>9.7802957432604032</v>
      </c>
      <c r="H565">
        <v>10.607676140342527</v>
      </c>
      <c r="I565">
        <v>10.932614338608957</v>
      </c>
      <c r="J565">
        <v>10.928320528970415</v>
      </c>
      <c r="K565">
        <v>10.265795645696905</v>
      </c>
      <c r="L565">
        <v>11.151360192267191</v>
      </c>
      <c r="M565">
        <v>11.091083304939405</v>
      </c>
      <c r="N565">
        <v>11.721023847368667</v>
      </c>
      <c r="O565">
        <v>11.716598682404125</v>
      </c>
      <c r="P565">
        <v>9.9944154740794264</v>
      </c>
      <c r="Q565">
        <v>9.5932366436708794</v>
      </c>
      <c r="R565">
        <v>9.8555079130024712</v>
      </c>
      <c r="S565">
        <v>8.8089954947258668</v>
      </c>
      <c r="T565">
        <v>9.8293356253849424</v>
      </c>
    </row>
    <row r="566" spans="1:20" x14ac:dyDescent="0.25">
      <c r="A566" s="5" t="s">
        <v>584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16.310982158872296</v>
      </c>
      <c r="K566">
        <v>16.264811977439372</v>
      </c>
      <c r="L566">
        <v>0</v>
      </c>
      <c r="M566">
        <v>0</v>
      </c>
      <c r="N566">
        <v>12.797398979247337</v>
      </c>
      <c r="O566">
        <v>0</v>
      </c>
      <c r="P566">
        <v>0</v>
      </c>
      <c r="Q566">
        <v>15.334633426936943</v>
      </c>
      <c r="R566">
        <v>14.848355201075194</v>
      </c>
      <c r="S566">
        <v>15.532397475504352</v>
      </c>
      <c r="T566">
        <v>13.977372258937299</v>
      </c>
    </row>
    <row r="567" spans="1:20" x14ac:dyDescent="0.25">
      <c r="A567" s="6" t="s">
        <v>585</v>
      </c>
      <c r="B567">
        <v>13.7085322314223</v>
      </c>
      <c r="C567">
        <v>12.614445428117451</v>
      </c>
      <c r="D567">
        <v>11.858873202737295</v>
      </c>
      <c r="E567">
        <v>12.179308361471335</v>
      </c>
      <c r="F567">
        <v>12.847174716992546</v>
      </c>
      <c r="G567">
        <v>12.994859969437812</v>
      </c>
      <c r="H567">
        <v>13.231989175848952</v>
      </c>
      <c r="I567">
        <v>12.729248807011695</v>
      </c>
      <c r="J567">
        <v>12.792242335842204</v>
      </c>
      <c r="K567">
        <v>12.096629864878855</v>
      </c>
      <c r="L567">
        <v>12.249796055093427</v>
      </c>
      <c r="M567">
        <v>13.340607327981576</v>
      </c>
      <c r="N567">
        <v>13.534107843269455</v>
      </c>
      <c r="O567">
        <v>12.873685120424547</v>
      </c>
      <c r="P567">
        <v>13.390859306652745</v>
      </c>
      <c r="Q567">
        <v>0</v>
      </c>
      <c r="R567">
        <v>14.765656630388486</v>
      </c>
      <c r="S567">
        <v>14.346606068603018</v>
      </c>
      <c r="T567">
        <v>0</v>
      </c>
    </row>
    <row r="568" spans="1:20" x14ac:dyDescent="0.25">
      <c r="A568" s="5" t="s">
        <v>586</v>
      </c>
      <c r="B568">
        <v>16.395515669083963</v>
      </c>
      <c r="C568">
        <v>16.671542913362721</v>
      </c>
      <c r="D568">
        <v>16.926168581581585</v>
      </c>
      <c r="E568">
        <v>16.856035938156815</v>
      </c>
      <c r="F568">
        <v>17.601010169293374</v>
      </c>
      <c r="G568">
        <v>16.671542913362721</v>
      </c>
      <c r="H568">
        <v>16.641734104146664</v>
      </c>
      <c r="I568">
        <v>16.334633426936943</v>
      </c>
      <c r="J568">
        <v>16.861179241432779</v>
      </c>
      <c r="K568">
        <v>16.849206599766699</v>
      </c>
      <c r="L568">
        <v>17.12009753879434</v>
      </c>
      <c r="M568">
        <v>16.525576209648339</v>
      </c>
      <c r="N568">
        <v>16.667032138325148</v>
      </c>
      <c r="O568">
        <v>16.459080797861432</v>
      </c>
      <c r="P568">
        <v>16.264811977439372</v>
      </c>
      <c r="Q568">
        <v>16.808895850500033</v>
      </c>
      <c r="R568">
        <v>16.808895850500033</v>
      </c>
      <c r="S568">
        <v>17.485312339434611</v>
      </c>
      <c r="T568">
        <v>17.522856708294746</v>
      </c>
    </row>
    <row r="569" spans="1:20" x14ac:dyDescent="0.25">
      <c r="A569" s="6" t="s">
        <v>587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16.782634464797837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17.036265947990866</v>
      </c>
      <c r="N569">
        <v>16.643210007130513</v>
      </c>
      <c r="O569">
        <v>17.459080797861432</v>
      </c>
      <c r="P569">
        <v>0</v>
      </c>
      <c r="Q569">
        <v>16.944247703394922</v>
      </c>
      <c r="R569">
        <v>17.122154125088276</v>
      </c>
      <c r="S569">
        <v>16.842409437412936</v>
      </c>
      <c r="T569">
        <v>16.868065627018016</v>
      </c>
    </row>
    <row r="570" spans="1:20" x14ac:dyDescent="0.25">
      <c r="A570" s="5" t="s">
        <v>588</v>
      </c>
      <c r="B570">
        <v>15.316858725208965</v>
      </c>
      <c r="C570">
        <v>14.798169443906975</v>
      </c>
      <c r="D570">
        <v>15.119070343990609</v>
      </c>
      <c r="E570">
        <v>15.113945311812744</v>
      </c>
      <c r="F570">
        <v>15.171347622857667</v>
      </c>
      <c r="G570">
        <v>15.525576209648337</v>
      </c>
      <c r="H570">
        <v>16.073587574196605</v>
      </c>
      <c r="I570">
        <v>15.553056946070447</v>
      </c>
      <c r="J570">
        <v>15.560009706712211</v>
      </c>
      <c r="K570">
        <v>15.802285552379209</v>
      </c>
      <c r="L570">
        <v>15.019876987451834</v>
      </c>
      <c r="M570">
        <v>15.683641055880589</v>
      </c>
      <c r="N570">
        <v>15.058739809789289</v>
      </c>
      <c r="O570">
        <v>15.383131944628133</v>
      </c>
      <c r="P570">
        <v>15.729934708154525</v>
      </c>
      <c r="Q570">
        <v>15.729934708154525</v>
      </c>
      <c r="R570">
        <v>16.044043298582586</v>
      </c>
      <c r="S570">
        <v>16.498609162048069</v>
      </c>
      <c r="T570">
        <v>16.242269408788282</v>
      </c>
    </row>
    <row r="571" spans="1:20" x14ac:dyDescent="0.25">
      <c r="A571" s="6" t="s">
        <v>589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17.026602850640149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16.717443763971328</v>
      </c>
      <c r="Q571">
        <v>15.352629856230788</v>
      </c>
      <c r="R571">
        <v>15.844105728073835</v>
      </c>
      <c r="S571">
        <v>15.389310519557258</v>
      </c>
      <c r="T571">
        <v>16.446141742153934</v>
      </c>
    </row>
    <row r="572" spans="1:20" x14ac:dyDescent="0.25">
      <c r="A572" s="5" t="s">
        <v>590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16.951543269085441</v>
      </c>
      <c r="R572">
        <v>16.512029677810389</v>
      </c>
      <c r="S572">
        <v>17.517433036339721</v>
      </c>
      <c r="T572">
        <v>17.705060039515494</v>
      </c>
    </row>
    <row r="573" spans="1:20" x14ac:dyDescent="0.25">
      <c r="A573" s="6" t="s">
        <v>591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13.769680886947281</v>
      </c>
      <c r="R573">
        <v>14.913646661326911</v>
      </c>
      <c r="S573">
        <v>13.463963019241179</v>
      </c>
      <c r="T573">
        <v>13.965784284662087</v>
      </c>
    </row>
    <row r="574" spans="1:20" x14ac:dyDescent="0.25">
      <c r="A574" s="5" t="s">
        <v>592</v>
      </c>
      <c r="B574">
        <v>0</v>
      </c>
      <c r="C574">
        <v>0</v>
      </c>
      <c r="D574">
        <v>0</v>
      </c>
      <c r="E574">
        <v>0</v>
      </c>
      <c r="F574">
        <v>14.287712379549449</v>
      </c>
      <c r="G574">
        <v>12.691836397096814</v>
      </c>
      <c r="H574">
        <v>13.889362009203486</v>
      </c>
      <c r="I574">
        <v>14.878457232864612</v>
      </c>
      <c r="J574">
        <v>14.217323051658052</v>
      </c>
      <c r="K574">
        <v>14.570502080529854</v>
      </c>
      <c r="L574">
        <v>14.968094445349289</v>
      </c>
      <c r="M574">
        <v>0</v>
      </c>
      <c r="N574">
        <v>0</v>
      </c>
      <c r="O574">
        <v>16.408006613267162</v>
      </c>
      <c r="P574">
        <v>12.811652190847877</v>
      </c>
      <c r="Q574">
        <v>11.504062959645646</v>
      </c>
      <c r="R574">
        <v>11.818170191066129</v>
      </c>
      <c r="S574">
        <v>11.621001227594126</v>
      </c>
      <c r="T574">
        <v>11.711911164593996</v>
      </c>
    </row>
    <row r="575" spans="1:20" x14ac:dyDescent="0.25">
      <c r="A575" s="6" t="s">
        <v>593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14.152834325206339</v>
      </c>
      <c r="H575">
        <v>15.45908079786143</v>
      </c>
      <c r="I575">
        <v>0</v>
      </c>
      <c r="J575">
        <v>0</v>
      </c>
      <c r="K575">
        <v>14.874118297140276</v>
      </c>
      <c r="L575">
        <v>15.358678900903593</v>
      </c>
      <c r="M575">
        <v>15.098678555159433</v>
      </c>
      <c r="N575">
        <v>15.986710123516636</v>
      </c>
      <c r="O575">
        <v>0</v>
      </c>
      <c r="P575">
        <v>15.039177543410771</v>
      </c>
      <c r="Q575">
        <v>14.63144484475516</v>
      </c>
      <c r="R575">
        <v>15.171347622857667</v>
      </c>
      <c r="S575">
        <v>13.577539631269786</v>
      </c>
      <c r="T575">
        <v>13.485312339434611</v>
      </c>
    </row>
    <row r="576" spans="1:20" x14ac:dyDescent="0.25">
      <c r="A576" s="5" t="s">
        <v>594</v>
      </c>
      <c r="B576">
        <v>14.48200719471094</v>
      </c>
      <c r="C576">
        <v>13.727975855116467</v>
      </c>
      <c r="D576">
        <v>14.367800290872141</v>
      </c>
      <c r="E576">
        <v>0</v>
      </c>
      <c r="F576">
        <v>14.182034301654912</v>
      </c>
      <c r="G576">
        <v>12.148485209520418</v>
      </c>
      <c r="H576">
        <v>14.166033822961197</v>
      </c>
      <c r="I576">
        <v>13.442925029470389</v>
      </c>
      <c r="J576">
        <v>14.096149728848694</v>
      </c>
      <c r="K576">
        <v>13.726019658151142</v>
      </c>
      <c r="L576">
        <v>13.589938559994264</v>
      </c>
      <c r="M576">
        <v>13.406439318120201</v>
      </c>
      <c r="N576">
        <v>12.78779762734106</v>
      </c>
      <c r="O576">
        <v>14.044043298582588</v>
      </c>
      <c r="P576">
        <v>12.984592135112822</v>
      </c>
      <c r="Q576">
        <v>13.00702919433583</v>
      </c>
      <c r="R576">
        <v>12.549368227769749</v>
      </c>
      <c r="S576">
        <v>10.791756327582799</v>
      </c>
      <c r="T576">
        <v>11.622151334221622</v>
      </c>
    </row>
    <row r="577" spans="1:20" x14ac:dyDescent="0.25">
      <c r="A577" s="6" t="s">
        <v>595</v>
      </c>
      <c r="B577">
        <v>0</v>
      </c>
      <c r="C577">
        <v>0</v>
      </c>
      <c r="D577">
        <v>14.299300353824661</v>
      </c>
      <c r="E577">
        <v>0</v>
      </c>
      <c r="F577">
        <v>0</v>
      </c>
      <c r="G577">
        <v>13.204887186785204</v>
      </c>
      <c r="H577">
        <v>14.116505552131308</v>
      </c>
      <c r="I577">
        <v>14.452596764291233</v>
      </c>
      <c r="J577">
        <v>14.287712379549449</v>
      </c>
      <c r="K577">
        <v>14.12937535238235</v>
      </c>
      <c r="L577">
        <v>14.376979717646538</v>
      </c>
      <c r="M577">
        <v>14.398628280951302</v>
      </c>
      <c r="N577">
        <v>14.861179241432778</v>
      </c>
      <c r="O577">
        <v>0</v>
      </c>
      <c r="P577">
        <v>14.144972207433367</v>
      </c>
      <c r="Q577">
        <v>13.436513040956156</v>
      </c>
      <c r="R577">
        <v>13.581071322240041</v>
      </c>
      <c r="S577">
        <v>12.741358684464208</v>
      </c>
      <c r="T577">
        <v>13.331655727137047</v>
      </c>
    </row>
    <row r="578" spans="1:20" x14ac:dyDescent="0.25">
      <c r="A578" s="5" t="s">
        <v>596</v>
      </c>
      <c r="B578">
        <v>10.701142169988911</v>
      </c>
      <c r="C578">
        <v>11.136577689152235</v>
      </c>
      <c r="D578">
        <v>11.0527420907188</v>
      </c>
      <c r="E578">
        <v>10.705214181835306</v>
      </c>
      <c r="F578">
        <v>10.43306836371984</v>
      </c>
      <c r="G578">
        <v>11.187737231852575</v>
      </c>
      <c r="H578">
        <v>10.608842704355274</v>
      </c>
      <c r="I578">
        <v>10.416828876267193</v>
      </c>
      <c r="J578">
        <v>10.281324582770742</v>
      </c>
      <c r="K578">
        <v>10.579706181655858</v>
      </c>
      <c r="L578">
        <v>10.832023503257995</v>
      </c>
      <c r="M578">
        <v>10.583050639042122</v>
      </c>
      <c r="N578">
        <v>9.9974634572369201</v>
      </c>
      <c r="O578">
        <v>10.452105571440347</v>
      </c>
      <c r="P578">
        <v>9.9811730616410657</v>
      </c>
      <c r="Q578">
        <v>9.8609457884684399</v>
      </c>
      <c r="R578">
        <v>9.68384276254376</v>
      </c>
      <c r="S578">
        <v>10.102898910250115</v>
      </c>
      <c r="T578">
        <v>10.005499449874691</v>
      </c>
    </row>
    <row r="579" spans="1:20" x14ac:dyDescent="0.25">
      <c r="A579" s="6" t="s">
        <v>597</v>
      </c>
      <c r="B579">
        <v>16.446141742153934</v>
      </c>
      <c r="C579">
        <v>15.144972207433367</v>
      </c>
      <c r="D579">
        <v>15.491945431767057</v>
      </c>
      <c r="E579">
        <v>16.242269408788282</v>
      </c>
      <c r="F579">
        <v>16.472136950686878</v>
      </c>
      <c r="G579">
        <v>15.661039626943458</v>
      </c>
      <c r="H579">
        <v>16.92796633264398</v>
      </c>
      <c r="I579">
        <v>16.34660606860302</v>
      </c>
      <c r="J579">
        <v>15.852617227929352</v>
      </c>
      <c r="K579">
        <v>15.264811977439372</v>
      </c>
      <c r="L579">
        <v>15.340607327981576</v>
      </c>
      <c r="M579">
        <v>16.566996137028319</v>
      </c>
      <c r="N579">
        <v>16.878457232864612</v>
      </c>
      <c r="O579">
        <v>16.609640474436812</v>
      </c>
      <c r="P579">
        <v>16.553056946070445</v>
      </c>
      <c r="Q579">
        <v>16.231128851183083</v>
      </c>
      <c r="R579">
        <v>16.808895850500033</v>
      </c>
      <c r="S579">
        <v>16.99422417717394</v>
      </c>
      <c r="T579">
        <v>16.433317701796351</v>
      </c>
    </row>
    <row r="580" spans="1:20" x14ac:dyDescent="0.25">
      <c r="A580" s="5" t="s">
        <v>598</v>
      </c>
      <c r="B580">
        <v>16.753650777128332</v>
      </c>
      <c r="C580">
        <v>16.15546458125101</v>
      </c>
      <c r="D580">
        <v>17.408006613267162</v>
      </c>
      <c r="E580">
        <v>0</v>
      </c>
      <c r="F580">
        <v>0</v>
      </c>
      <c r="G580">
        <v>0</v>
      </c>
      <c r="H580">
        <v>17.083571662769224</v>
      </c>
      <c r="I580">
        <v>16.512029677810389</v>
      </c>
      <c r="J580">
        <v>0</v>
      </c>
      <c r="K580">
        <v>16.525576209648339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25">
      <c r="A581" s="6" t="s">
        <v>599</v>
      </c>
      <c r="B581">
        <v>13.781821449819493</v>
      </c>
      <c r="C581">
        <v>0</v>
      </c>
      <c r="D581">
        <v>13.993753400520754</v>
      </c>
      <c r="E581">
        <v>14.683641055880589</v>
      </c>
      <c r="F581">
        <v>14.745702024012841</v>
      </c>
      <c r="G581">
        <v>0</v>
      </c>
      <c r="H581">
        <v>13.763648703772239</v>
      </c>
      <c r="I581">
        <v>14.67229608228658</v>
      </c>
      <c r="J581">
        <v>13.909200756295721</v>
      </c>
      <c r="K581">
        <v>14.646166350461927</v>
      </c>
      <c r="L581">
        <v>14.745702024012841</v>
      </c>
      <c r="M581">
        <v>13.781821449819493</v>
      </c>
      <c r="N581">
        <v>13.343603580441494</v>
      </c>
      <c r="O581">
        <v>14.264811977439372</v>
      </c>
      <c r="P581">
        <v>13.143744348441912</v>
      </c>
      <c r="Q581">
        <v>13.248756527949853</v>
      </c>
      <c r="R581">
        <v>13.510345270099036</v>
      </c>
      <c r="S581">
        <v>14.259143227352677</v>
      </c>
      <c r="T581">
        <v>13.059022960320673</v>
      </c>
    </row>
    <row r="582" spans="1:20" x14ac:dyDescent="0.25">
      <c r="A582" s="5" t="s">
        <v>600</v>
      </c>
      <c r="B582">
        <v>13.078858051670672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13.322759326648649</v>
      </c>
      <c r="I582">
        <v>14.160739523291683</v>
      </c>
      <c r="J582">
        <v>13.468861818654016</v>
      </c>
      <c r="K582">
        <v>0</v>
      </c>
      <c r="L582">
        <v>0</v>
      </c>
      <c r="M582">
        <v>14.051372840381076</v>
      </c>
      <c r="N582">
        <v>13.220941192421241</v>
      </c>
      <c r="O582">
        <v>0</v>
      </c>
      <c r="P582">
        <v>12.797481142543177</v>
      </c>
      <c r="Q582">
        <v>12.96367372367618</v>
      </c>
      <c r="R582">
        <v>12.754019468686323</v>
      </c>
      <c r="S582">
        <v>13.970408311187535</v>
      </c>
      <c r="T582">
        <v>13.069737238626562</v>
      </c>
    </row>
    <row r="583" spans="1:20" x14ac:dyDescent="0.25">
      <c r="A583" s="6" t="s">
        <v>601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15.352629856230788</v>
      </c>
      <c r="Q583">
        <v>13.835644149325638</v>
      </c>
      <c r="R583">
        <v>13.924821736883588</v>
      </c>
      <c r="S583">
        <v>14.62050146706858</v>
      </c>
      <c r="T583">
        <v>13.084486160344509</v>
      </c>
    </row>
    <row r="584" spans="1:20" x14ac:dyDescent="0.25">
      <c r="A584" s="5" t="s">
        <v>602</v>
      </c>
      <c r="B584">
        <v>17.982967721830818</v>
      </c>
      <c r="C584">
        <v>16.408006613267162</v>
      </c>
      <c r="D584">
        <v>16.854325570391715</v>
      </c>
      <c r="E584">
        <v>17.220073662674086</v>
      </c>
      <c r="F584">
        <v>17.395515669083967</v>
      </c>
      <c r="G584">
        <v>17.107819209015901</v>
      </c>
      <c r="H584">
        <v>17.075578872015694</v>
      </c>
      <c r="I584">
        <v>17.248995271976597</v>
      </c>
      <c r="J584">
        <v>18.547518762529016</v>
      </c>
      <c r="K584">
        <v>16.815536575877065</v>
      </c>
      <c r="L584">
        <v>16.91899989582112</v>
      </c>
      <c r="M584">
        <v>17.75524579668371</v>
      </c>
      <c r="N584">
        <v>17.794065045574239</v>
      </c>
      <c r="O584">
        <v>17.975511916911771</v>
      </c>
      <c r="P584">
        <v>0</v>
      </c>
      <c r="Q584">
        <v>16.632910253759658</v>
      </c>
      <c r="R584">
        <v>17.308638218403996</v>
      </c>
      <c r="S584">
        <v>17.255752638151904</v>
      </c>
      <c r="T584">
        <v>16.553056946070445</v>
      </c>
    </row>
    <row r="585" spans="1:20" x14ac:dyDescent="0.25">
      <c r="A585" s="6" t="s">
        <v>603</v>
      </c>
      <c r="B585">
        <v>11.161572087539598</v>
      </c>
      <c r="C585">
        <v>11.8574003406782</v>
      </c>
      <c r="D585">
        <v>11.608338128480126</v>
      </c>
      <c r="E585">
        <v>11.817383766930607</v>
      </c>
      <c r="F585">
        <v>10.926168581581585</v>
      </c>
      <c r="G585">
        <v>11.202002203994182</v>
      </c>
      <c r="H585">
        <v>11.238946093893986</v>
      </c>
      <c r="I585">
        <v>11.124964172686926</v>
      </c>
      <c r="J585">
        <v>11.162633312091188</v>
      </c>
      <c r="K585">
        <v>11.700284977199143</v>
      </c>
      <c r="L585">
        <v>11.65002794875986</v>
      </c>
      <c r="M585">
        <v>11.117143118196211</v>
      </c>
      <c r="N585">
        <v>10.97584020921372</v>
      </c>
      <c r="O585">
        <v>11.296307541069742</v>
      </c>
      <c r="P585">
        <v>10.75198039027441</v>
      </c>
      <c r="Q585">
        <v>10.387454167114701</v>
      </c>
      <c r="R585">
        <v>10.612939900920972</v>
      </c>
      <c r="S585">
        <v>10.060421060990333</v>
      </c>
      <c r="T585">
        <v>9.8299907117224237</v>
      </c>
    </row>
    <row r="586" spans="1:20" x14ac:dyDescent="0.25">
      <c r="A586" s="5" t="s">
        <v>604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15.922579786096922</v>
      </c>
      <c r="H586">
        <v>0</v>
      </c>
      <c r="I586">
        <v>0</v>
      </c>
      <c r="J586">
        <v>0</v>
      </c>
      <c r="K586">
        <v>15.810553168362809</v>
      </c>
      <c r="L586">
        <v>0</v>
      </c>
      <c r="M586">
        <v>0</v>
      </c>
      <c r="N586">
        <v>0</v>
      </c>
      <c r="O586">
        <v>17.888924231915681</v>
      </c>
      <c r="P586">
        <v>14.501952605122439</v>
      </c>
      <c r="Q586">
        <v>15.287712379549449</v>
      </c>
      <c r="R586">
        <v>16.990462258377743</v>
      </c>
      <c r="S586">
        <v>16.124213647266568</v>
      </c>
      <c r="T586">
        <v>16.459080797861432</v>
      </c>
    </row>
    <row r="587" spans="1:20" x14ac:dyDescent="0.25">
      <c r="A587" s="6" t="s">
        <v>605</v>
      </c>
      <c r="B587">
        <v>10.983160452224569</v>
      </c>
      <c r="C587">
        <v>10.8053829405779</v>
      </c>
      <c r="D587">
        <v>11.199055141899976</v>
      </c>
      <c r="E587">
        <v>10.949404925506187</v>
      </c>
      <c r="F587">
        <v>11.0313840336909</v>
      </c>
      <c r="G587">
        <v>11.140379627820813</v>
      </c>
      <c r="H587">
        <v>10.479267603996597</v>
      </c>
      <c r="I587">
        <v>11.217680334666946</v>
      </c>
      <c r="J587">
        <v>11.087321025527453</v>
      </c>
      <c r="K587">
        <v>10.709389508733727</v>
      </c>
      <c r="L587">
        <v>10.945723786771293</v>
      </c>
      <c r="M587">
        <v>11.054729354544618</v>
      </c>
      <c r="N587">
        <v>11.268967835628667</v>
      </c>
      <c r="O587">
        <v>11.381999503669322</v>
      </c>
      <c r="P587">
        <v>10.38638398300585</v>
      </c>
      <c r="Q587">
        <v>10.258095179006434</v>
      </c>
      <c r="R587">
        <v>10.239413408728145</v>
      </c>
      <c r="S587">
        <v>10.075880918089398</v>
      </c>
      <c r="T587">
        <v>10.802873054967</v>
      </c>
    </row>
    <row r="588" spans="1:20" x14ac:dyDescent="0.25">
      <c r="A588" s="5" t="s">
        <v>606</v>
      </c>
      <c r="B588">
        <v>9.4133836033403799</v>
      </c>
      <c r="C588">
        <v>9.2338442612640179</v>
      </c>
      <c r="D588">
        <v>9.0365977551021608</v>
      </c>
      <c r="E588">
        <v>8.9327306603374055</v>
      </c>
      <c r="F588">
        <v>9.5337795092094115</v>
      </c>
      <c r="G588">
        <v>9.8397114117367686</v>
      </c>
      <c r="H588">
        <v>10.032046992174914</v>
      </c>
      <c r="I588">
        <v>9.8087121090655831</v>
      </c>
      <c r="J588">
        <v>9.5923398605647954</v>
      </c>
      <c r="K588">
        <v>10.005463859227964</v>
      </c>
      <c r="L588">
        <v>9.7038298997754833</v>
      </c>
      <c r="M588">
        <v>9.6975487319997438</v>
      </c>
      <c r="N588">
        <v>8.9943764768826355</v>
      </c>
      <c r="O588">
        <v>9.4495582976365355</v>
      </c>
      <c r="P588">
        <v>10.386494055570997</v>
      </c>
      <c r="Q588">
        <v>11.409583462209584</v>
      </c>
      <c r="R588">
        <v>11.326385399035518</v>
      </c>
      <c r="S588">
        <v>11.698155006578808</v>
      </c>
      <c r="T588">
        <v>12.08916793676365</v>
      </c>
    </row>
    <row r="589" spans="1:20" x14ac:dyDescent="0.25">
      <c r="A589" s="6" t="s">
        <v>607</v>
      </c>
      <c r="B589">
        <v>10.576094133252294</v>
      </c>
      <c r="C589">
        <v>9.9925624332412539</v>
      </c>
      <c r="D589">
        <v>9.7568101293329619</v>
      </c>
      <c r="E589">
        <v>9.8260070300462186</v>
      </c>
      <c r="F589">
        <v>9.6713629171369941</v>
      </c>
      <c r="G589">
        <v>10.178405316202289</v>
      </c>
      <c r="H589">
        <v>10.251972355134624</v>
      </c>
      <c r="I589">
        <v>9.8377575362881391</v>
      </c>
      <c r="J589">
        <v>9.2545519503763671</v>
      </c>
      <c r="K589">
        <v>10.108822490647812</v>
      </c>
      <c r="L589">
        <v>9.8285811350561492</v>
      </c>
      <c r="M589">
        <v>8.489547781259299</v>
      </c>
      <c r="N589">
        <v>8.5138262645189222</v>
      </c>
      <c r="O589">
        <v>8.853250947108112</v>
      </c>
      <c r="P589">
        <v>8.9645844614453427</v>
      </c>
      <c r="Q589">
        <v>7.9619996539295697</v>
      </c>
      <c r="R589">
        <v>8.1409830371294678</v>
      </c>
      <c r="S589">
        <v>7.3598656911268012</v>
      </c>
      <c r="T589">
        <v>8.0217028550283977</v>
      </c>
    </row>
    <row r="590" spans="1:20" x14ac:dyDescent="0.25">
      <c r="A590" s="5" t="s">
        <v>608</v>
      </c>
      <c r="B590">
        <v>10.765626490834771</v>
      </c>
      <c r="C590">
        <v>11.020677042254794</v>
      </c>
      <c r="D590">
        <v>10.315446164677494</v>
      </c>
      <c r="E590">
        <v>10.218099567928174</v>
      </c>
      <c r="F590">
        <v>11.135204431184546</v>
      </c>
      <c r="G590">
        <v>11.414627601291574</v>
      </c>
      <c r="H590">
        <v>10.688635055064362</v>
      </c>
      <c r="I590">
        <v>10.8630455392969</v>
      </c>
      <c r="J590">
        <v>10.65202762929478</v>
      </c>
      <c r="K590">
        <v>11.049387133955744</v>
      </c>
      <c r="L590">
        <v>11.259663115551424</v>
      </c>
      <c r="M590">
        <v>10.913696755774421</v>
      </c>
      <c r="N590">
        <v>10.45845544063376</v>
      </c>
      <c r="O590">
        <v>10.519369234702911</v>
      </c>
      <c r="P590">
        <v>10.828863202647534</v>
      </c>
      <c r="Q590">
        <v>11.126353513602282</v>
      </c>
      <c r="R590">
        <v>10.174011880384722</v>
      </c>
      <c r="S590">
        <v>10.296062652304229</v>
      </c>
      <c r="T590">
        <v>10.782517565694048</v>
      </c>
    </row>
    <row r="591" spans="1:20" x14ac:dyDescent="0.25">
      <c r="A591" s="6" t="s">
        <v>609</v>
      </c>
      <c r="B591">
        <v>15.581071322240042</v>
      </c>
      <c r="C591">
        <v>15.383131944628133</v>
      </c>
      <c r="D591">
        <v>0</v>
      </c>
      <c r="E591">
        <v>16.242269408788282</v>
      </c>
      <c r="F591">
        <v>14.909200756295721</v>
      </c>
      <c r="G591">
        <v>15.638786820096328</v>
      </c>
      <c r="H591">
        <v>15.904768509980459</v>
      </c>
      <c r="I591">
        <v>15.214577674919234</v>
      </c>
      <c r="J591">
        <v>15.093625327433148</v>
      </c>
      <c r="K591">
        <v>0</v>
      </c>
      <c r="L591">
        <v>16.287712379549451</v>
      </c>
      <c r="M591">
        <v>15.588160747026361</v>
      </c>
      <c r="N591">
        <v>14.936084050446668</v>
      </c>
      <c r="O591">
        <v>15.810553168362809</v>
      </c>
      <c r="P591">
        <v>14.134555591488031</v>
      </c>
      <c r="Q591">
        <v>14.63144484475516</v>
      </c>
      <c r="R591">
        <v>13.938347101955237</v>
      </c>
      <c r="S591">
        <v>14.036750806016231</v>
      </c>
      <c r="T591">
        <v>13.945157634072132</v>
      </c>
    </row>
    <row r="592" spans="1:20" x14ac:dyDescent="0.25">
      <c r="A592" s="5" t="s">
        <v>610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14.635111161952929</v>
      </c>
      <c r="O592">
        <v>0</v>
      </c>
      <c r="P592">
        <v>14.358678900903593</v>
      </c>
      <c r="Q592">
        <v>14.358678900903593</v>
      </c>
      <c r="R592">
        <v>13.841985676199466</v>
      </c>
      <c r="S592">
        <v>14.420606650046794</v>
      </c>
      <c r="T592">
        <v>13.501952605122439</v>
      </c>
    </row>
    <row r="593" spans="1:20" x14ac:dyDescent="0.25">
      <c r="A593" s="6" t="s">
        <v>611</v>
      </c>
      <c r="B593">
        <v>0</v>
      </c>
      <c r="C593">
        <v>15.364753415313277</v>
      </c>
      <c r="D593">
        <v>15.588160747026361</v>
      </c>
      <c r="E593">
        <v>16.034328143749374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16.525576209648339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25">
      <c r="A594" s="5" t="s">
        <v>612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16.459080797861432</v>
      </c>
      <c r="Q594">
        <v>15.408006613267162</v>
      </c>
      <c r="R594">
        <v>0</v>
      </c>
      <c r="S594">
        <v>16.383131944628133</v>
      </c>
      <c r="T594">
        <v>16.525576209648339</v>
      </c>
    </row>
    <row r="595" spans="1:20" x14ac:dyDescent="0.25">
      <c r="A595" s="6" t="s">
        <v>613</v>
      </c>
      <c r="B595">
        <v>16.005569150767954</v>
      </c>
      <c r="C595">
        <v>15.844105728073835</v>
      </c>
      <c r="D595">
        <v>16.334633426936943</v>
      </c>
      <c r="E595">
        <v>15.661039626943458</v>
      </c>
      <c r="F595">
        <v>16.144972207433366</v>
      </c>
      <c r="G595">
        <v>15.505303814622076</v>
      </c>
      <c r="H595">
        <v>15.06367210533152</v>
      </c>
      <c r="I595">
        <v>15.485312339434612</v>
      </c>
      <c r="J595">
        <v>15.574016564706092</v>
      </c>
      <c r="K595">
        <v>16.485312339434611</v>
      </c>
      <c r="L595">
        <v>15.609640474436812</v>
      </c>
      <c r="M595">
        <v>15.247872115017659</v>
      </c>
      <c r="N595">
        <v>15.602444973032609</v>
      </c>
      <c r="O595">
        <v>15.532397475504352</v>
      </c>
      <c r="P595">
        <v>15.996108821518886</v>
      </c>
      <c r="Q595">
        <v>14.733860411368322</v>
      </c>
      <c r="R595">
        <v>14.59886063568357</v>
      </c>
      <c r="S595">
        <v>15.646166350461927</v>
      </c>
      <c r="T595">
        <v>15.12937535238235</v>
      </c>
    </row>
    <row r="596" spans="1:20" x14ac:dyDescent="0.25">
      <c r="A596" s="5" t="s">
        <v>614</v>
      </c>
      <c r="B596">
        <v>13.796115785139001</v>
      </c>
      <c r="C596">
        <v>0</v>
      </c>
      <c r="D596">
        <v>13.825136491507246</v>
      </c>
      <c r="E596">
        <v>14.395515669083965</v>
      </c>
      <c r="F596">
        <v>0</v>
      </c>
      <c r="G596">
        <v>12.093228136538754</v>
      </c>
      <c r="H596">
        <v>13.007611249525823</v>
      </c>
      <c r="I596">
        <v>13.865479378866404</v>
      </c>
      <c r="J596">
        <v>0</v>
      </c>
      <c r="K596">
        <v>12.710774302353213</v>
      </c>
      <c r="L596">
        <v>12.850463330675153</v>
      </c>
      <c r="M596">
        <v>13.098691210434596</v>
      </c>
      <c r="N596">
        <v>14.029494990013431</v>
      </c>
      <c r="O596">
        <v>0</v>
      </c>
      <c r="P596">
        <v>12.352079141595956</v>
      </c>
      <c r="Q596">
        <v>11.820234639976565</v>
      </c>
      <c r="R596">
        <v>12.334484395890801</v>
      </c>
      <c r="S596">
        <v>11.266179351582689</v>
      </c>
      <c r="T596">
        <v>11.803569091270168</v>
      </c>
    </row>
    <row r="597" spans="1:20" x14ac:dyDescent="0.25">
      <c r="A597" s="6" t="s">
        <v>615</v>
      </c>
      <c r="B597">
        <v>15.638786820096328</v>
      </c>
      <c r="C597">
        <v>13.691254239990464</v>
      </c>
      <c r="D597">
        <v>13.657306908067127</v>
      </c>
      <c r="E597">
        <v>13.568748043789912</v>
      </c>
      <c r="F597">
        <v>15.364753415313277</v>
      </c>
      <c r="G597">
        <v>13.741744010444156</v>
      </c>
      <c r="H597">
        <v>14.40800661326716</v>
      </c>
      <c r="I597">
        <v>14.895944659593452</v>
      </c>
      <c r="J597">
        <v>15.198214228710349</v>
      </c>
      <c r="K597">
        <v>14.465594104820106</v>
      </c>
      <c r="L597">
        <v>14.242269408788282</v>
      </c>
      <c r="M597">
        <v>15.203648114760977</v>
      </c>
      <c r="N597">
        <v>15.595285181459742</v>
      </c>
      <c r="O597">
        <v>14.546137532130656</v>
      </c>
      <c r="P597">
        <v>15.253496664211537</v>
      </c>
      <c r="Q597">
        <v>14.702749878828294</v>
      </c>
      <c r="R597">
        <v>14.936084050446668</v>
      </c>
      <c r="S597">
        <v>15.068621321303253</v>
      </c>
      <c r="T597">
        <v>14.48200719471094</v>
      </c>
    </row>
    <row r="598" spans="1:20" x14ac:dyDescent="0.25">
      <c r="A598" s="5" t="s">
        <v>616</v>
      </c>
      <c r="B598">
        <v>12.196154706532052</v>
      </c>
      <c r="C598">
        <v>11.943423574149779</v>
      </c>
      <c r="D598">
        <v>11.160663559206608</v>
      </c>
      <c r="E598">
        <v>11.505563858674817</v>
      </c>
      <c r="F598">
        <v>12.228654809647491</v>
      </c>
      <c r="G598">
        <v>12.664201320241075</v>
      </c>
      <c r="H598">
        <v>12.479895868928994</v>
      </c>
      <c r="I598">
        <v>12.17606004047953</v>
      </c>
      <c r="J598">
        <v>12.222195212632881</v>
      </c>
      <c r="K598">
        <v>11.613527457336019</v>
      </c>
      <c r="L598">
        <v>11.513986057721878</v>
      </c>
      <c r="M598">
        <v>12.740677205895732</v>
      </c>
      <c r="N598">
        <v>12.048063828193085</v>
      </c>
      <c r="O598">
        <v>11.512973805856634</v>
      </c>
      <c r="P598">
        <v>12.711422445937464</v>
      </c>
      <c r="Q598">
        <v>13.430129424165303</v>
      </c>
      <c r="R598">
        <v>12.768059773634423</v>
      </c>
      <c r="S598">
        <v>12.53228637175218</v>
      </c>
      <c r="T598">
        <v>12.456199910742971</v>
      </c>
    </row>
    <row r="599" spans="1:20" x14ac:dyDescent="0.25">
      <c r="A599" s="6" t="s">
        <v>617</v>
      </c>
      <c r="B599">
        <v>13.831431898038725</v>
      </c>
      <c r="C599">
        <v>14.749670926215785</v>
      </c>
      <c r="D599">
        <v>15.426948176920622</v>
      </c>
      <c r="E599">
        <v>15.058739809789289</v>
      </c>
      <c r="F599">
        <v>14.168688276407176</v>
      </c>
      <c r="G599">
        <v>14.986710123516636</v>
      </c>
      <c r="H599">
        <v>13.292046969813342</v>
      </c>
      <c r="I599">
        <v>13.887174449965721</v>
      </c>
      <c r="J599">
        <v>13.861179241432778</v>
      </c>
      <c r="K599">
        <v>14.334633426936943</v>
      </c>
      <c r="L599">
        <v>14.355651208206025</v>
      </c>
      <c r="M599">
        <v>13.59886063568357</v>
      </c>
      <c r="N599">
        <v>14.022275483500353</v>
      </c>
      <c r="O599">
        <v>13.952000469228988</v>
      </c>
      <c r="P599">
        <v>13.887174449965721</v>
      </c>
      <c r="Q599">
        <v>13.171693698228724</v>
      </c>
      <c r="R599">
        <v>13.470498455291123</v>
      </c>
      <c r="S599">
        <v>14.203648114760977</v>
      </c>
      <c r="T599">
        <v>13.139754498162349</v>
      </c>
    </row>
    <row r="600" spans="1:20" x14ac:dyDescent="0.25">
      <c r="A600" s="5" t="s">
        <v>618</v>
      </c>
      <c r="B600">
        <v>16.093625327433145</v>
      </c>
      <c r="C600">
        <v>13.549593090766873</v>
      </c>
      <c r="D600">
        <v>14.256317183273916</v>
      </c>
      <c r="E600">
        <v>13.759641214970715</v>
      </c>
      <c r="F600">
        <v>14.661039626943458</v>
      </c>
      <c r="G600">
        <v>14.12937535238235</v>
      </c>
      <c r="H600">
        <v>13.442925029470389</v>
      </c>
      <c r="I600">
        <v>14.389310519557256</v>
      </c>
      <c r="J600">
        <v>15.019876987451834</v>
      </c>
      <c r="K600">
        <v>14.352629856230788</v>
      </c>
      <c r="L600">
        <v>14.414292876114592</v>
      </c>
      <c r="M600">
        <v>15.532397475504352</v>
      </c>
      <c r="N600">
        <v>15.491945431767057</v>
      </c>
      <c r="O600">
        <v>14.478709604610362</v>
      </c>
      <c r="P600">
        <v>15.029494990013431</v>
      </c>
      <c r="Q600">
        <v>15.214577674919234</v>
      </c>
      <c r="R600">
        <v>14.865479378866404</v>
      </c>
      <c r="S600">
        <v>14.95428864582426</v>
      </c>
      <c r="T600">
        <v>14.649870319225345</v>
      </c>
    </row>
    <row r="601" spans="1:20" x14ac:dyDescent="0.25">
      <c r="A601" s="6" t="s">
        <v>619</v>
      </c>
      <c r="B601">
        <v>14.472136950686876</v>
      </c>
      <c r="C601">
        <v>13.330169178792346</v>
      </c>
      <c r="D601">
        <v>13.549593090766873</v>
      </c>
      <c r="E601">
        <v>13.455835138357777</v>
      </c>
      <c r="F601">
        <v>14.977372258937299</v>
      </c>
      <c r="G601">
        <v>13.378515316557763</v>
      </c>
      <c r="H601">
        <v>14.144972207433367</v>
      </c>
      <c r="I601">
        <v>13.952000469228988</v>
      </c>
      <c r="J601">
        <v>14.702749878828294</v>
      </c>
      <c r="K601">
        <v>13.649870319225345</v>
      </c>
      <c r="L601">
        <v>13.46722703656307</v>
      </c>
      <c r="M601">
        <v>14.729934708154525</v>
      </c>
      <c r="N601">
        <v>14.895944659593452</v>
      </c>
      <c r="O601">
        <v>14.340607327981576</v>
      </c>
      <c r="P601">
        <v>14.991401818841357</v>
      </c>
      <c r="Q601">
        <v>14.761643567881864</v>
      </c>
      <c r="R601">
        <v>15.029494990013431</v>
      </c>
      <c r="S601">
        <v>14.781821449819493</v>
      </c>
      <c r="T601">
        <v>14.977372258937299</v>
      </c>
    </row>
    <row r="602" spans="1:20" x14ac:dyDescent="0.25">
      <c r="A602" s="5" t="s">
        <v>620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15.364753415313277</v>
      </c>
      <c r="R602">
        <v>15.949715916034434</v>
      </c>
      <c r="S602">
        <v>16.772908393977676</v>
      </c>
      <c r="T602">
        <v>15.818868436574812</v>
      </c>
    </row>
    <row r="603" spans="1:20" x14ac:dyDescent="0.25">
      <c r="A603" s="6" t="s">
        <v>621</v>
      </c>
      <c r="B603">
        <v>14.206372752097511</v>
      </c>
      <c r="C603">
        <v>16.798991726654165</v>
      </c>
      <c r="D603">
        <v>16.093625327433145</v>
      </c>
      <c r="E603">
        <v>18.11190038582772</v>
      </c>
      <c r="F603">
        <v>13.161717505182198</v>
      </c>
      <c r="G603">
        <v>12.171687042150177</v>
      </c>
      <c r="H603">
        <v>14.155464581251008</v>
      </c>
      <c r="I603">
        <v>14.041608369665534</v>
      </c>
      <c r="J603">
        <v>12.19901444126547</v>
      </c>
      <c r="K603">
        <v>11.267316857433304</v>
      </c>
      <c r="L603">
        <v>14.63144484475516</v>
      </c>
      <c r="M603">
        <v>13.446141742153932</v>
      </c>
      <c r="N603">
        <v>14.861179241432778</v>
      </c>
      <c r="O603">
        <v>12.78893049371014</v>
      </c>
      <c r="P603">
        <v>12.531654097930833</v>
      </c>
      <c r="Q603">
        <v>10.376517438652906</v>
      </c>
      <c r="R603">
        <v>12.129284863595803</v>
      </c>
      <c r="S603">
        <v>10.61031915155591</v>
      </c>
      <c r="T603">
        <v>11.159075834803389</v>
      </c>
    </row>
    <row r="604" spans="1:20" x14ac:dyDescent="0.25">
      <c r="A604" s="5" t="s">
        <v>622</v>
      </c>
      <c r="B604">
        <v>16.187407473753765</v>
      </c>
      <c r="C604">
        <v>16.446141742153934</v>
      </c>
      <c r="D604">
        <v>15.986710123516636</v>
      </c>
      <c r="E604">
        <v>16.383131944628133</v>
      </c>
      <c r="F604">
        <v>15.465594104820106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16.485312339434611</v>
      </c>
      <c r="N604">
        <v>0</v>
      </c>
      <c r="O604">
        <v>16.705060039515494</v>
      </c>
      <c r="P604">
        <v>16.459080797861432</v>
      </c>
      <c r="Q604">
        <v>0</v>
      </c>
      <c r="R604">
        <v>0</v>
      </c>
      <c r="S604">
        <v>0</v>
      </c>
      <c r="T604">
        <v>0</v>
      </c>
    </row>
    <row r="605" spans="1:20" x14ac:dyDescent="0.25">
      <c r="A605" s="6" t="s">
        <v>623</v>
      </c>
      <c r="B605">
        <v>11.303436573738908</v>
      </c>
      <c r="C605">
        <v>10.936166024084628</v>
      </c>
      <c r="D605">
        <v>10.875678811127891</v>
      </c>
      <c r="E605">
        <v>10.904862553749922</v>
      </c>
      <c r="F605">
        <v>11.014784429535126</v>
      </c>
      <c r="G605">
        <v>10.74474615893009</v>
      </c>
      <c r="H605">
        <v>10.662350701635962</v>
      </c>
      <c r="I605">
        <v>10.215793575443561</v>
      </c>
      <c r="J605">
        <v>10.792633819426706</v>
      </c>
      <c r="K605">
        <v>10.947825330156716</v>
      </c>
      <c r="L605">
        <v>10.873863790060014</v>
      </c>
      <c r="M605">
        <v>11.003926884667523</v>
      </c>
      <c r="N605">
        <v>11.570453815992153</v>
      </c>
      <c r="O605">
        <v>11.067082152446142</v>
      </c>
      <c r="P605">
        <v>10.86767739411137</v>
      </c>
      <c r="Q605">
        <v>10.534204111719786</v>
      </c>
      <c r="R605">
        <v>10.598243237053993</v>
      </c>
      <c r="S605">
        <v>9.979415584129125</v>
      </c>
      <c r="T605">
        <v>10.881221967754112</v>
      </c>
    </row>
    <row r="606" spans="1:20" x14ac:dyDescent="0.25">
      <c r="A606" s="5" t="s">
        <v>624</v>
      </c>
      <c r="B606">
        <v>0</v>
      </c>
      <c r="C606">
        <v>0</v>
      </c>
      <c r="D606">
        <v>0</v>
      </c>
      <c r="E606">
        <v>0</v>
      </c>
      <c r="F606">
        <v>18.888924231915681</v>
      </c>
      <c r="G606">
        <v>16.975511916911771</v>
      </c>
      <c r="H606">
        <v>18.34660606860302</v>
      </c>
      <c r="I606">
        <v>19.244507880984283</v>
      </c>
      <c r="J606">
        <v>0</v>
      </c>
      <c r="K606">
        <v>18.621228448712024</v>
      </c>
      <c r="L606">
        <v>17.536505769806599</v>
      </c>
      <c r="M606">
        <v>16.789155131450435</v>
      </c>
      <c r="N606">
        <v>19.036265947990866</v>
      </c>
      <c r="O606">
        <v>0</v>
      </c>
      <c r="P606">
        <v>15.478709604610364</v>
      </c>
      <c r="Q606">
        <v>16.789155131450435</v>
      </c>
      <c r="R606">
        <v>16.876720092328554</v>
      </c>
      <c r="S606">
        <v>19.091608981834643</v>
      </c>
      <c r="T606">
        <v>0</v>
      </c>
    </row>
    <row r="607" spans="1:20" x14ac:dyDescent="0.25">
      <c r="A607" s="6" t="s">
        <v>625</v>
      </c>
      <c r="B607">
        <v>15.785891114128539</v>
      </c>
      <c r="C607">
        <v>14.316858725208965</v>
      </c>
      <c r="D607">
        <v>0</v>
      </c>
      <c r="E607">
        <v>0</v>
      </c>
      <c r="F607">
        <v>13.683641055880589</v>
      </c>
      <c r="G607">
        <v>14.209102544853085</v>
      </c>
      <c r="H607">
        <v>0</v>
      </c>
      <c r="I607">
        <v>13.841985676199466</v>
      </c>
      <c r="J607">
        <v>14.7066022043239</v>
      </c>
      <c r="K607">
        <v>14.053824319375174</v>
      </c>
      <c r="L607">
        <v>14.027084471422752</v>
      </c>
      <c r="M607">
        <v>15.452596764291233</v>
      </c>
      <c r="N607">
        <v>15.414292876114592</v>
      </c>
      <c r="O607">
        <v>14.313917449896843</v>
      </c>
      <c r="P607">
        <v>13.455835138357777</v>
      </c>
      <c r="Q607">
        <v>14.206372752097511</v>
      </c>
      <c r="R607">
        <v>12.935032939411599</v>
      </c>
      <c r="S607">
        <v>0</v>
      </c>
      <c r="T607">
        <v>0</v>
      </c>
    </row>
    <row r="608" spans="1:20" x14ac:dyDescent="0.25">
      <c r="A608" s="5" t="s">
        <v>626</v>
      </c>
      <c r="B608">
        <v>12.328365081249762</v>
      </c>
      <c r="C608">
        <v>12.846452014389637</v>
      </c>
      <c r="D608">
        <v>12.588125213103355</v>
      </c>
      <c r="E608">
        <v>12.240194929908158</v>
      </c>
      <c r="F608">
        <v>12.11904467348873</v>
      </c>
      <c r="G608">
        <v>12.96690425061683</v>
      </c>
      <c r="H608">
        <v>12.817170308530162</v>
      </c>
      <c r="I608">
        <v>12.865996257730551</v>
      </c>
      <c r="J608">
        <v>12.886158363629857</v>
      </c>
      <c r="K608">
        <v>12.149028951570179</v>
      </c>
      <c r="L608">
        <v>12.423631252055898</v>
      </c>
      <c r="M608">
        <v>12.037072114218546</v>
      </c>
      <c r="N608">
        <v>11.89603263148536</v>
      </c>
      <c r="O608">
        <v>12.507687907796987</v>
      </c>
      <c r="P608">
        <v>12.916142365714567</v>
      </c>
      <c r="Q608">
        <v>12.963558481397236</v>
      </c>
      <c r="R608">
        <v>12.959392897084435</v>
      </c>
      <c r="S608">
        <v>13.305129432626858</v>
      </c>
      <c r="T608">
        <v>12.825167900304315</v>
      </c>
    </row>
    <row r="609" spans="1:20" x14ac:dyDescent="0.25">
      <c r="A609" s="6" t="s">
        <v>627</v>
      </c>
      <c r="B609">
        <v>15.546137532130656</v>
      </c>
      <c r="C609">
        <v>16.124213647266568</v>
      </c>
      <c r="D609">
        <v>15.691254239990466</v>
      </c>
      <c r="E609">
        <v>15.904768509980459</v>
      </c>
      <c r="F609">
        <v>15.691254239990466</v>
      </c>
      <c r="G609">
        <v>15.861179241432778</v>
      </c>
      <c r="H609">
        <v>15.214577674919234</v>
      </c>
      <c r="I609">
        <v>15.588160747026361</v>
      </c>
      <c r="J609">
        <v>15.588160747026361</v>
      </c>
      <c r="K609">
        <v>15.383131944628133</v>
      </c>
      <c r="L609">
        <v>15.996108821518886</v>
      </c>
      <c r="M609">
        <v>15.358678900903593</v>
      </c>
      <c r="N609">
        <v>15.426948176920622</v>
      </c>
      <c r="O609">
        <v>15.63144484475516</v>
      </c>
      <c r="P609">
        <v>14.729934708154525</v>
      </c>
      <c r="Q609">
        <v>14.485312339434612</v>
      </c>
      <c r="R609">
        <v>14.67229608228658</v>
      </c>
      <c r="S609">
        <v>14.305129432626858</v>
      </c>
      <c r="T609">
        <v>14.518787043985698</v>
      </c>
    </row>
    <row r="610" spans="1:20" x14ac:dyDescent="0.25">
      <c r="A610" s="5" t="s">
        <v>628</v>
      </c>
      <c r="B610">
        <v>14.931568569324176</v>
      </c>
      <c r="C610">
        <v>0</v>
      </c>
      <c r="D610">
        <v>0</v>
      </c>
      <c r="E610">
        <v>0</v>
      </c>
      <c r="F610">
        <v>15.408006613267162</v>
      </c>
      <c r="G610">
        <v>15.328684160605755</v>
      </c>
      <c r="H610">
        <v>14.096149728848694</v>
      </c>
      <c r="I610">
        <v>15.465594104820106</v>
      </c>
      <c r="J610">
        <v>16.682123228238336</v>
      </c>
      <c r="K610">
        <v>16.566996137028319</v>
      </c>
      <c r="L610">
        <v>14.182034301654912</v>
      </c>
      <c r="M610">
        <v>15.376979717646538</v>
      </c>
      <c r="N610">
        <v>14.602444973032609</v>
      </c>
      <c r="O610">
        <v>14.67606783617579</v>
      </c>
      <c r="P610">
        <v>13.574016564706092</v>
      </c>
      <c r="Q610">
        <v>14.349614818475356</v>
      </c>
      <c r="R610">
        <v>15.150208855799516</v>
      </c>
      <c r="S610">
        <v>12.842345865295352</v>
      </c>
      <c r="T610">
        <v>14.710464843956299</v>
      </c>
    </row>
    <row r="611" spans="1:20" x14ac:dyDescent="0.25">
      <c r="A611" s="6" t="s">
        <v>629</v>
      </c>
      <c r="B611">
        <v>13.404873723782199</v>
      </c>
      <c r="C611">
        <v>0</v>
      </c>
      <c r="D611">
        <v>0</v>
      </c>
      <c r="E611">
        <v>0</v>
      </c>
      <c r="F611">
        <v>14.247872115017659</v>
      </c>
      <c r="G611">
        <v>14.331655727137047</v>
      </c>
      <c r="H611">
        <v>12.922703002891575</v>
      </c>
      <c r="I611">
        <v>14.668534163490381</v>
      </c>
      <c r="J611">
        <v>15.844105728073835</v>
      </c>
      <c r="K611">
        <v>15.43331770179635</v>
      </c>
      <c r="L611">
        <v>12.862113431240809</v>
      </c>
      <c r="M611">
        <v>14.031909542946732</v>
      </c>
      <c r="N611">
        <v>13.190290359110268</v>
      </c>
      <c r="O611">
        <v>13.348109659193405</v>
      </c>
      <c r="P611">
        <v>12.585294197126688</v>
      </c>
      <c r="Q611">
        <v>13.570502080529854</v>
      </c>
      <c r="R611">
        <v>13.794065045574239</v>
      </c>
      <c r="S611">
        <v>11.55619457581459</v>
      </c>
      <c r="T611">
        <v>14.119070343990613</v>
      </c>
    </row>
    <row r="612" spans="1:20" x14ac:dyDescent="0.25">
      <c r="A612" s="5" t="s">
        <v>630</v>
      </c>
      <c r="B612">
        <v>0</v>
      </c>
      <c r="C612">
        <v>0</v>
      </c>
      <c r="D612">
        <v>13.714337853103505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12.852083785497358</v>
      </c>
      <c r="L612">
        <v>12.617180189836615</v>
      </c>
      <c r="M612">
        <v>12.532277825664096</v>
      </c>
      <c r="N612">
        <v>12.446149792929972</v>
      </c>
      <c r="O612">
        <v>12.602166868332464</v>
      </c>
      <c r="P612">
        <v>12.071803963931947</v>
      </c>
      <c r="Q612">
        <v>0</v>
      </c>
      <c r="R612">
        <v>11.791889324097772</v>
      </c>
      <c r="S612">
        <v>12.057410976014479</v>
      </c>
      <c r="T612">
        <v>12.285117862840996</v>
      </c>
    </row>
    <row r="613" spans="1:20" x14ac:dyDescent="0.25">
      <c r="A613" s="6" t="s">
        <v>631</v>
      </c>
      <c r="B613">
        <v>13.563498692792091</v>
      </c>
      <c r="C613">
        <v>15.785891114128539</v>
      </c>
      <c r="D613">
        <v>15.745702024012841</v>
      </c>
      <c r="E613">
        <v>0</v>
      </c>
      <c r="F613">
        <v>14.485312339434612</v>
      </c>
      <c r="G613">
        <v>14.046482344034004</v>
      </c>
      <c r="H613">
        <v>12.876600740726381</v>
      </c>
      <c r="I613">
        <v>14.233905935853656</v>
      </c>
      <c r="J613">
        <v>14.977372258937299</v>
      </c>
      <c r="K613">
        <v>14.827231909509438</v>
      </c>
      <c r="L613">
        <v>12.642481091326518</v>
      </c>
      <c r="M613">
        <v>13.884990202703845</v>
      </c>
      <c r="N613">
        <v>12.718863060183484</v>
      </c>
      <c r="O613">
        <v>12.782603968466253</v>
      </c>
      <c r="P613">
        <v>12.360369602290897</v>
      </c>
      <c r="Q613">
        <v>13.425360180017432</v>
      </c>
      <c r="R613">
        <v>13.956580457332247</v>
      </c>
      <c r="S613">
        <v>11.130481066551837</v>
      </c>
      <c r="T613">
        <v>13.339111532056094</v>
      </c>
    </row>
    <row r="614" spans="1:20" x14ac:dyDescent="0.25">
      <c r="A614" s="5" t="s">
        <v>632</v>
      </c>
      <c r="B614">
        <v>11.078411869708688</v>
      </c>
      <c r="C614">
        <v>11.490857172675195</v>
      </c>
      <c r="D614">
        <v>11.03591149867688</v>
      </c>
      <c r="E614">
        <v>10.848844693928093</v>
      </c>
      <c r="F614">
        <v>11.479636290248191</v>
      </c>
      <c r="G614">
        <v>11.980108992828487</v>
      </c>
      <c r="H614">
        <v>12.495006925367873</v>
      </c>
      <c r="I614">
        <v>13.312449057870957</v>
      </c>
      <c r="J614">
        <v>11.571994690327061</v>
      </c>
      <c r="K614">
        <v>11.78535122337321</v>
      </c>
      <c r="L614">
        <v>11.774560239605718</v>
      </c>
      <c r="M614">
        <v>11.791336957327049</v>
      </c>
      <c r="N614">
        <v>11.786339478862537</v>
      </c>
      <c r="O614">
        <v>11.28843390746691</v>
      </c>
      <c r="P614">
        <v>13.096579316718628</v>
      </c>
      <c r="Q614">
        <v>12.509100073280241</v>
      </c>
      <c r="R614">
        <v>12.329144352782974</v>
      </c>
      <c r="S614">
        <v>13.947434974783196</v>
      </c>
      <c r="T614">
        <v>12.208467407035558</v>
      </c>
    </row>
    <row r="615" spans="1:20" x14ac:dyDescent="0.25">
      <c r="A615" s="6" t="s">
        <v>633</v>
      </c>
      <c r="B615">
        <v>12.698418683710726</v>
      </c>
      <c r="C615">
        <v>11.928674812277013</v>
      </c>
      <c r="D615">
        <v>11.647619024663733</v>
      </c>
      <c r="E615">
        <v>11.462085477618649</v>
      </c>
      <c r="F615">
        <v>11.532000105356428</v>
      </c>
      <c r="G615">
        <v>12.040781429113361</v>
      </c>
      <c r="H615">
        <v>12.371946748111061</v>
      </c>
      <c r="I615">
        <v>11.688451723419933</v>
      </c>
      <c r="J615">
        <v>12.094539912640149</v>
      </c>
      <c r="K615">
        <v>11.348418088910355</v>
      </c>
      <c r="L615">
        <v>11.443877233182091</v>
      </c>
      <c r="M615">
        <v>11.314953565251432</v>
      </c>
      <c r="N615">
        <v>11.678586251783836</v>
      </c>
      <c r="O615">
        <v>11.835828716417833</v>
      </c>
      <c r="P615">
        <v>12.284030994689012</v>
      </c>
      <c r="Q615">
        <v>11.276710604784556</v>
      </c>
      <c r="R615">
        <v>11.38820028839042</v>
      </c>
      <c r="S615">
        <v>10.548326531644515</v>
      </c>
      <c r="T615">
        <v>10.765674212085599</v>
      </c>
    </row>
    <row r="616" spans="1:20" x14ac:dyDescent="0.25">
      <c r="A616" s="5" t="s">
        <v>634</v>
      </c>
      <c r="B616">
        <v>0</v>
      </c>
      <c r="C616">
        <v>14.171347622857667</v>
      </c>
      <c r="D616">
        <v>14.101211821904954</v>
      </c>
      <c r="E616">
        <v>13.998468094392807</v>
      </c>
      <c r="F616">
        <v>0</v>
      </c>
      <c r="G616">
        <v>14.646166350461927</v>
      </c>
      <c r="H616">
        <v>0</v>
      </c>
      <c r="I616">
        <v>0</v>
      </c>
      <c r="J616">
        <v>0</v>
      </c>
      <c r="K616">
        <v>14.316858725208965</v>
      </c>
      <c r="L616">
        <v>14.044043298582588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14.691254239990466</v>
      </c>
    </row>
    <row r="617" spans="1:20" x14ac:dyDescent="0.25">
      <c r="A617" s="6" t="s">
        <v>635</v>
      </c>
      <c r="B617">
        <v>0</v>
      </c>
      <c r="C617">
        <v>12.543224023120338</v>
      </c>
      <c r="D617">
        <v>0</v>
      </c>
      <c r="E617">
        <v>12.826068576709691</v>
      </c>
      <c r="F617">
        <v>12.913134684497356</v>
      </c>
      <c r="G617">
        <v>12.416026411245861</v>
      </c>
      <c r="H617">
        <v>12.472284506588935</v>
      </c>
      <c r="I617">
        <v>12.655248715380944</v>
      </c>
      <c r="J617">
        <v>12.441519969841249</v>
      </c>
      <c r="K617">
        <v>12.590187628725506</v>
      </c>
      <c r="L617">
        <v>12.374434226549136</v>
      </c>
      <c r="M617">
        <v>12.694989851022964</v>
      </c>
      <c r="N617">
        <v>11.920408417556407</v>
      </c>
      <c r="O617">
        <v>12.477170562956045</v>
      </c>
      <c r="P617">
        <v>12.741141366484342</v>
      </c>
      <c r="Q617">
        <v>12.548011145497426</v>
      </c>
      <c r="R617">
        <v>13.316858725208968</v>
      </c>
      <c r="S617">
        <v>12.966419210173937</v>
      </c>
      <c r="T617">
        <v>12.693804108268287</v>
      </c>
    </row>
    <row r="618" spans="1:20" x14ac:dyDescent="0.25">
      <c r="A618" s="5" t="s">
        <v>636</v>
      </c>
      <c r="B618">
        <v>10.327178428671116</v>
      </c>
      <c r="C618">
        <v>9.7511857064111513</v>
      </c>
      <c r="D618">
        <v>9.1175982371563009</v>
      </c>
      <c r="E618">
        <v>9.1816874127470349</v>
      </c>
      <c r="F618">
        <v>9.5325887221936849</v>
      </c>
      <c r="G618">
        <v>10.466004205103264</v>
      </c>
      <c r="H618">
        <v>9.6935771114438385</v>
      </c>
      <c r="I618">
        <v>9.4208973539098189</v>
      </c>
      <c r="J618">
        <v>10.18937199295832</v>
      </c>
      <c r="K618">
        <v>9.99629742143299</v>
      </c>
      <c r="L618">
        <v>9.85282265586447</v>
      </c>
      <c r="M618">
        <v>10.100799863251007</v>
      </c>
      <c r="N618">
        <v>9.1522505657222926</v>
      </c>
      <c r="O618">
        <v>9.1006628338496824</v>
      </c>
      <c r="P618">
        <v>10.658766184433567</v>
      </c>
      <c r="Q618">
        <v>0</v>
      </c>
      <c r="R618">
        <v>0</v>
      </c>
      <c r="S618">
        <v>0</v>
      </c>
      <c r="T618">
        <v>0</v>
      </c>
    </row>
    <row r="619" spans="1:20" x14ac:dyDescent="0.25">
      <c r="A619" s="6" t="s">
        <v>637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12.247163572115703</v>
      </c>
      <c r="H619">
        <v>0</v>
      </c>
      <c r="I619">
        <v>0</v>
      </c>
      <c r="J619">
        <v>0</v>
      </c>
      <c r="K619">
        <v>12.89235339168436</v>
      </c>
      <c r="L619">
        <v>13.014960559630234</v>
      </c>
      <c r="M619">
        <v>0</v>
      </c>
      <c r="N619">
        <v>13.303669953452426</v>
      </c>
      <c r="O619">
        <v>0</v>
      </c>
      <c r="P619">
        <v>12.717667259096602</v>
      </c>
      <c r="Q619">
        <v>11.869921960944351</v>
      </c>
      <c r="R619">
        <v>11.81705578289513</v>
      </c>
      <c r="S619">
        <v>10.440659544824253</v>
      </c>
      <c r="T619">
        <v>11.798719293580056</v>
      </c>
    </row>
    <row r="620" spans="1:20" x14ac:dyDescent="0.25">
      <c r="A620" s="5" t="s">
        <v>638</v>
      </c>
      <c r="B620">
        <v>13.196154706532052</v>
      </c>
      <c r="C620">
        <v>12.670244620389965</v>
      </c>
      <c r="D620">
        <v>12.411680751269071</v>
      </c>
      <c r="E620">
        <v>12.642481091326518</v>
      </c>
      <c r="F620">
        <v>12.349178160594711</v>
      </c>
      <c r="G620">
        <v>0</v>
      </c>
      <c r="H620">
        <v>12.412270426325126</v>
      </c>
      <c r="I620">
        <v>12.068584138920526</v>
      </c>
      <c r="J620">
        <v>13.390859306652745</v>
      </c>
      <c r="K620">
        <v>12.522899161103931</v>
      </c>
      <c r="L620">
        <v>12.567530243149291</v>
      </c>
      <c r="M620">
        <v>12.841106768582495</v>
      </c>
      <c r="N620">
        <v>11.731268249053382</v>
      </c>
      <c r="O620">
        <v>12.604141675349304</v>
      </c>
      <c r="P620">
        <v>13.287697952671175</v>
      </c>
      <c r="Q620">
        <v>0</v>
      </c>
      <c r="R620">
        <v>0</v>
      </c>
      <c r="S620">
        <v>12.74940268141612</v>
      </c>
      <c r="T620">
        <v>0</v>
      </c>
    </row>
    <row r="621" spans="1:20" x14ac:dyDescent="0.25">
      <c r="A621" s="6" t="s">
        <v>639</v>
      </c>
      <c r="B621">
        <v>13.253863020011245</v>
      </c>
      <c r="C621">
        <v>12.480126644749831</v>
      </c>
      <c r="D621">
        <v>12.948141680961831</v>
      </c>
      <c r="E621">
        <v>13.327200669430427</v>
      </c>
      <c r="F621">
        <v>13.077236232824001</v>
      </c>
      <c r="G621">
        <v>12.709739810835641</v>
      </c>
      <c r="H621">
        <v>13.593500771781558</v>
      </c>
      <c r="I621">
        <v>13.422189420409488</v>
      </c>
      <c r="J621">
        <v>12.946330015578727</v>
      </c>
      <c r="K621">
        <v>13.478709604610362</v>
      </c>
      <c r="L621">
        <v>13.034207117362753</v>
      </c>
      <c r="M621">
        <v>13.651725875803827</v>
      </c>
      <c r="N621">
        <v>13.965784284662087</v>
      </c>
      <c r="O621">
        <v>12.927786456695751</v>
      </c>
      <c r="P621">
        <v>13.515404404591045</v>
      </c>
      <c r="Q621">
        <v>14.710464843956299</v>
      </c>
      <c r="R621">
        <v>14.256317183273916</v>
      </c>
      <c r="S621">
        <v>14.488625073475445</v>
      </c>
      <c r="T621">
        <v>14.328684160605755</v>
      </c>
    </row>
    <row r="622" spans="1:20" x14ac:dyDescent="0.25">
      <c r="A622" s="5" t="s">
        <v>640</v>
      </c>
      <c r="B622">
        <v>14.977372258937299</v>
      </c>
      <c r="C622">
        <v>15.61687204366789</v>
      </c>
      <c r="D622">
        <v>15.904768509980459</v>
      </c>
      <c r="E622">
        <v>15.904768509980459</v>
      </c>
      <c r="F622">
        <v>14.613251727989191</v>
      </c>
      <c r="G622">
        <v>14.635111161952929</v>
      </c>
      <c r="H622">
        <v>14.53582024114514</v>
      </c>
      <c r="I622">
        <v>14.745702024012841</v>
      </c>
      <c r="J622">
        <v>14.45908079786143</v>
      </c>
      <c r="K622">
        <v>14.296394622649251</v>
      </c>
      <c r="L622">
        <v>15.505303814622076</v>
      </c>
      <c r="M622">
        <v>14.449365643028219</v>
      </c>
      <c r="N622">
        <v>14.53582024114514</v>
      </c>
      <c r="O622">
        <v>14.958875915319911</v>
      </c>
      <c r="P622">
        <v>13.22445796114296</v>
      </c>
      <c r="Q622">
        <v>12.80422418766647</v>
      </c>
      <c r="R622">
        <v>12.821006960680712</v>
      </c>
      <c r="S622">
        <v>12.676625005318197</v>
      </c>
      <c r="T622">
        <v>12.611806141654927</v>
      </c>
    </row>
    <row r="623" spans="1:20" x14ac:dyDescent="0.25">
      <c r="A623" s="6" t="s">
        <v>641</v>
      </c>
      <c r="B623">
        <v>17.153359992926084</v>
      </c>
      <c r="C623">
        <v>0</v>
      </c>
      <c r="D623">
        <v>0</v>
      </c>
      <c r="E623">
        <v>0</v>
      </c>
      <c r="F623">
        <v>17.572609743491846</v>
      </c>
      <c r="G623">
        <v>16.287712379549451</v>
      </c>
      <c r="H623">
        <v>15.931568569324174</v>
      </c>
      <c r="I623">
        <v>17.260275196842599</v>
      </c>
      <c r="J623">
        <v>16.408006613267162</v>
      </c>
      <c r="K623">
        <v>16.656561521824305</v>
      </c>
      <c r="L623">
        <v>16.581071322240042</v>
      </c>
      <c r="M623">
        <v>15.638786820096328</v>
      </c>
      <c r="N623">
        <v>15.95887591531991</v>
      </c>
      <c r="O623">
        <v>17.126276113723463</v>
      </c>
      <c r="P623">
        <v>15.525576209648337</v>
      </c>
      <c r="Q623">
        <v>15.281953110260764</v>
      </c>
      <c r="R623">
        <v>15.287712379549449</v>
      </c>
      <c r="S623">
        <v>14.668534163490381</v>
      </c>
      <c r="T623">
        <v>15.358678900903593</v>
      </c>
    </row>
    <row r="624" spans="1:20" x14ac:dyDescent="0.25">
      <c r="A624" s="5" t="s">
        <v>642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17.581071322240042</v>
      </c>
      <c r="M624">
        <v>0</v>
      </c>
      <c r="N624">
        <v>17.711238614444618</v>
      </c>
      <c r="O624">
        <v>0</v>
      </c>
      <c r="P624">
        <v>16.113945311812746</v>
      </c>
      <c r="Q624">
        <v>16.093625327433145</v>
      </c>
      <c r="R624">
        <v>14.785891114128539</v>
      </c>
      <c r="S624">
        <v>15.83564414932564</v>
      </c>
      <c r="T624">
        <v>15.904768509980459</v>
      </c>
    </row>
    <row r="625" spans="1:20" x14ac:dyDescent="0.25">
      <c r="A625" s="6" t="s">
        <v>643</v>
      </c>
      <c r="B625">
        <v>11.21459824581267</v>
      </c>
      <c r="C625">
        <v>11.285542755745611</v>
      </c>
      <c r="D625">
        <v>11.703009587310119</v>
      </c>
      <c r="E625">
        <v>11.255477502482794</v>
      </c>
      <c r="F625">
        <v>11.249588792269172</v>
      </c>
      <c r="G625">
        <v>11.357955461643787</v>
      </c>
      <c r="H625">
        <v>10.7185494310898</v>
      </c>
      <c r="I625">
        <v>10.916094973978719</v>
      </c>
      <c r="J625">
        <v>11.261018534793379</v>
      </c>
      <c r="K625">
        <v>11.029540225725979</v>
      </c>
      <c r="L625">
        <v>11.741867534143097</v>
      </c>
      <c r="M625">
        <v>11.52663139605519</v>
      </c>
      <c r="N625">
        <v>11.590552414108259</v>
      </c>
      <c r="O625">
        <v>11.524186073953508</v>
      </c>
      <c r="P625">
        <v>12.060094510938793</v>
      </c>
      <c r="Q625">
        <v>12.595561962626281</v>
      </c>
      <c r="R625">
        <v>12.53839265497537</v>
      </c>
      <c r="S625">
        <v>12.748042355492432</v>
      </c>
      <c r="T625">
        <v>12.571933199429724</v>
      </c>
    </row>
    <row r="626" spans="1:20" x14ac:dyDescent="0.25">
      <c r="A626" s="5" t="s">
        <v>644</v>
      </c>
      <c r="B626">
        <v>11.05614787347222</v>
      </c>
      <c r="C626">
        <v>11.126053612199598</v>
      </c>
      <c r="D626">
        <v>11.38666207725829</v>
      </c>
      <c r="E626">
        <v>11.052279402175008</v>
      </c>
      <c r="F626">
        <v>11.007780564763884</v>
      </c>
      <c r="G626">
        <v>10.951783281094746</v>
      </c>
      <c r="H626">
        <v>10.82029985378299</v>
      </c>
      <c r="I626">
        <v>10.954297233320297</v>
      </c>
      <c r="J626">
        <v>11.271290941962027</v>
      </c>
      <c r="K626">
        <v>10.981724353776933</v>
      </c>
      <c r="L626">
        <v>11.476771667731658</v>
      </c>
      <c r="M626">
        <v>11.428617457024135</v>
      </c>
      <c r="N626">
        <v>11.374365284759465</v>
      </c>
      <c r="O626">
        <v>11.41640885732855</v>
      </c>
      <c r="P626">
        <v>11.628463672042397</v>
      </c>
      <c r="Q626">
        <v>12.137477670886444</v>
      </c>
      <c r="R626">
        <v>12.002410782927178</v>
      </c>
      <c r="S626">
        <v>12.220287054152697</v>
      </c>
      <c r="T626">
        <v>11.833499629661866</v>
      </c>
    </row>
    <row r="627" spans="1:20" x14ac:dyDescent="0.25">
      <c r="A627" s="6" t="s">
        <v>645</v>
      </c>
      <c r="B627">
        <v>16.986710123516637</v>
      </c>
      <c r="C627">
        <v>16.822208009919944</v>
      </c>
      <c r="D627">
        <v>16.299300353824663</v>
      </c>
      <c r="E627">
        <v>16.774524859178594</v>
      </c>
      <c r="F627">
        <v>17.077572922147784</v>
      </c>
      <c r="G627">
        <v>0</v>
      </c>
      <c r="H627">
        <v>0</v>
      </c>
      <c r="I627">
        <v>0</v>
      </c>
      <c r="J627">
        <v>17.085576798659602</v>
      </c>
      <c r="K627">
        <v>17.005569150767954</v>
      </c>
      <c r="L627">
        <v>16.792426550178487</v>
      </c>
      <c r="M627">
        <v>0</v>
      </c>
      <c r="N627">
        <v>17.318036916406246</v>
      </c>
      <c r="O627">
        <v>17.837332499478411</v>
      </c>
      <c r="P627">
        <v>0</v>
      </c>
      <c r="Q627">
        <v>16.722115203695225</v>
      </c>
      <c r="R627">
        <v>17.271644010921797</v>
      </c>
      <c r="S627">
        <v>16.34660606860302</v>
      </c>
      <c r="T627">
        <v>16.777763233245139</v>
      </c>
    </row>
    <row r="628" spans="1:20" x14ac:dyDescent="0.25">
      <c r="A628" s="5" t="s">
        <v>646</v>
      </c>
      <c r="B628">
        <v>14.745702024012841</v>
      </c>
      <c r="C628">
        <v>14.222829527964596</v>
      </c>
      <c r="D628">
        <v>14.831431898038725</v>
      </c>
      <c r="E628">
        <v>14.785891114128539</v>
      </c>
      <c r="F628">
        <v>14.179355201459032</v>
      </c>
      <c r="G628">
        <v>13.528982811091586</v>
      </c>
      <c r="H628">
        <v>14.609640474436812</v>
      </c>
      <c r="I628">
        <v>14.508662826711991</v>
      </c>
      <c r="J628">
        <v>14.900349838713455</v>
      </c>
      <c r="K628">
        <v>14.14236099397683</v>
      </c>
      <c r="L628">
        <v>13.931568569324176</v>
      </c>
      <c r="M628">
        <v>15.044043298582586</v>
      </c>
      <c r="N628">
        <v>15.044043298582586</v>
      </c>
      <c r="O628">
        <v>15.019876987451834</v>
      </c>
      <c r="P628">
        <v>14.501952605122439</v>
      </c>
      <c r="Q628">
        <v>14.14758815564038</v>
      </c>
      <c r="R628">
        <v>14.051372840381076</v>
      </c>
      <c r="S628">
        <v>14.048925519962333</v>
      </c>
      <c r="T628">
        <v>14.532397475504352</v>
      </c>
    </row>
    <row r="629" spans="1:20" x14ac:dyDescent="0.25">
      <c r="A629" s="6" t="s">
        <v>647</v>
      </c>
      <c r="B629">
        <v>12.993553366952655</v>
      </c>
      <c r="C629">
        <v>12.840514073030224</v>
      </c>
      <c r="D629">
        <v>12.95986408625715</v>
      </c>
      <c r="E629">
        <v>12.796043960004576</v>
      </c>
      <c r="F629">
        <v>13.302211949244565</v>
      </c>
      <c r="G629">
        <v>12.711664365174071</v>
      </c>
      <c r="H629">
        <v>12.441279239815513</v>
      </c>
      <c r="I629">
        <v>12.843395163619538</v>
      </c>
      <c r="J629">
        <v>13.140184245703285</v>
      </c>
      <c r="K629">
        <v>12.79862164141883</v>
      </c>
      <c r="L629">
        <v>12.657297588361823</v>
      </c>
      <c r="M629">
        <v>12.993776935705235</v>
      </c>
      <c r="N629">
        <v>13.04348290091731</v>
      </c>
      <c r="O629">
        <v>12.552060235580973</v>
      </c>
      <c r="P629">
        <v>12.758721065030604</v>
      </c>
      <c r="Q629">
        <v>12.884575569315819</v>
      </c>
      <c r="R629">
        <v>12.268537118228366</v>
      </c>
      <c r="S629">
        <v>12.759291088760797</v>
      </c>
      <c r="T629">
        <v>13.265252236992891</v>
      </c>
    </row>
    <row r="630" spans="1:20" x14ac:dyDescent="0.25">
      <c r="A630" s="5" t="s">
        <v>648</v>
      </c>
      <c r="B630">
        <v>13.428537923683015</v>
      </c>
      <c r="C630">
        <v>12.989535042499437</v>
      </c>
      <c r="D630">
        <v>13.002665329335203</v>
      </c>
      <c r="E630">
        <v>12.813489219287323</v>
      </c>
      <c r="F630">
        <v>12.658351096220677</v>
      </c>
      <c r="G630">
        <v>12.628664661758073</v>
      </c>
      <c r="H630">
        <v>13.023572331293101</v>
      </c>
      <c r="I630">
        <v>12.654569504508009</v>
      </c>
      <c r="J630">
        <v>13.636947820432548</v>
      </c>
      <c r="K630">
        <v>12.796690514981064</v>
      </c>
      <c r="L630">
        <v>13.011430124150381</v>
      </c>
      <c r="M630">
        <v>13.40800661326716</v>
      </c>
      <c r="N630">
        <v>13.182047709663696</v>
      </c>
      <c r="O630">
        <v>13.588160747026361</v>
      </c>
      <c r="P630">
        <v>13.556529137977249</v>
      </c>
      <c r="Q630">
        <v>13.553056946070445</v>
      </c>
      <c r="R630">
        <v>13.059823468923838</v>
      </c>
      <c r="S630">
        <v>12.856688550135317</v>
      </c>
      <c r="T630">
        <v>12.939275980145545</v>
      </c>
    </row>
    <row r="631" spans="1:20" x14ac:dyDescent="0.25">
      <c r="A631" s="6" t="s">
        <v>649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15.553056946070447</v>
      </c>
      <c r="H631">
        <v>0</v>
      </c>
      <c r="I631">
        <v>15.024677973715658</v>
      </c>
      <c r="J631">
        <v>15.878457232864612</v>
      </c>
      <c r="K631">
        <v>15.653583822024411</v>
      </c>
      <c r="L631">
        <v>15.358678900903593</v>
      </c>
      <c r="M631">
        <v>0</v>
      </c>
      <c r="N631">
        <v>0</v>
      </c>
      <c r="O631">
        <v>0</v>
      </c>
      <c r="P631">
        <v>14.945157634072132</v>
      </c>
      <c r="Q631">
        <v>15.574016564706092</v>
      </c>
      <c r="R631">
        <v>14.59886063568357</v>
      </c>
      <c r="S631">
        <v>15.259143227352677</v>
      </c>
      <c r="T631">
        <v>15.044043298582586</v>
      </c>
    </row>
    <row r="632" spans="1:20" x14ac:dyDescent="0.25">
      <c r="A632" s="5" t="s">
        <v>650</v>
      </c>
      <c r="B632">
        <v>12.776709964137531</v>
      </c>
      <c r="C632">
        <v>13.965784284662087</v>
      </c>
      <c r="D632">
        <v>13.074607770975486</v>
      </c>
      <c r="E632">
        <v>12.884193775539943</v>
      </c>
      <c r="F632">
        <v>12.151009117688044</v>
      </c>
      <c r="G632">
        <v>12.044811153119237</v>
      </c>
      <c r="H632">
        <v>13.491945431767057</v>
      </c>
      <c r="I632">
        <v>13.324238255574564</v>
      </c>
      <c r="J632">
        <v>13.370853614849695</v>
      </c>
      <c r="K632">
        <v>11.814569695226298</v>
      </c>
      <c r="L632">
        <v>13.40800661326716</v>
      </c>
      <c r="M632">
        <v>13.042508814462742</v>
      </c>
      <c r="N632">
        <v>14.088589737535848</v>
      </c>
      <c r="O632">
        <v>14.131963146871506</v>
      </c>
      <c r="P632">
        <v>11.125953658917604</v>
      </c>
      <c r="Q632">
        <v>10.806940593377</v>
      </c>
      <c r="R632">
        <v>11.269473469693983</v>
      </c>
      <c r="S632">
        <v>11.720678098630167</v>
      </c>
      <c r="T632">
        <v>10.851827803173631</v>
      </c>
    </row>
    <row r="633" spans="1:20" x14ac:dyDescent="0.25">
      <c r="A633" s="6" t="s">
        <v>651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16.166033822961197</v>
      </c>
      <c r="J633">
        <v>16.673049644612874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15.334633426936943</v>
      </c>
      <c r="R633">
        <v>14.308052827833627</v>
      </c>
      <c r="S633">
        <v>15.4397154729945</v>
      </c>
      <c r="T633">
        <v>16.924373067919969</v>
      </c>
    </row>
    <row r="634" spans="1:20" x14ac:dyDescent="0.25">
      <c r="A634" s="5" t="s">
        <v>652</v>
      </c>
      <c r="B634">
        <v>15.220073662674086</v>
      </c>
      <c r="C634">
        <v>14.963477817278919</v>
      </c>
      <c r="D634">
        <v>14.106291739269308</v>
      </c>
      <c r="E634">
        <v>14.155464581251008</v>
      </c>
      <c r="F634">
        <v>15.160739523291683</v>
      </c>
      <c r="G634">
        <v>0</v>
      </c>
      <c r="H634">
        <v>15.546137532130656</v>
      </c>
      <c r="I634">
        <v>0</v>
      </c>
      <c r="J634">
        <v>0</v>
      </c>
      <c r="K634">
        <v>0</v>
      </c>
      <c r="L634">
        <v>0</v>
      </c>
      <c r="M634">
        <v>15.053824319375174</v>
      </c>
      <c r="N634">
        <v>15.588160747026361</v>
      </c>
      <c r="O634">
        <v>14.687442626040445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s="6" t="s">
        <v>653</v>
      </c>
      <c r="B635">
        <v>10.809084792152062</v>
      </c>
      <c r="C635">
        <v>10.135548434574646</v>
      </c>
      <c r="D635">
        <v>9.9595034977936159</v>
      </c>
      <c r="E635">
        <v>10.026142451102087</v>
      </c>
      <c r="F635">
        <v>10.658316122332417</v>
      </c>
      <c r="G635">
        <v>10.33781518413768</v>
      </c>
      <c r="H635">
        <v>10.593913220384584</v>
      </c>
      <c r="I635">
        <v>10.400128622356597</v>
      </c>
      <c r="J635">
        <v>10.720485781325007</v>
      </c>
      <c r="K635">
        <v>10.657178767396209</v>
      </c>
      <c r="L635">
        <v>10.439489067788859</v>
      </c>
      <c r="M635">
        <v>10.886144711428237</v>
      </c>
      <c r="N635">
        <v>10.652591845510646</v>
      </c>
      <c r="O635">
        <v>10.112048864872509</v>
      </c>
      <c r="P635">
        <v>11.189030072002804</v>
      </c>
      <c r="Q635">
        <v>12.120521469808883</v>
      </c>
      <c r="R635">
        <v>11.964803585434245</v>
      </c>
      <c r="S635">
        <v>12.217515423821935</v>
      </c>
      <c r="T635">
        <v>12.309809712614442</v>
      </c>
    </row>
    <row r="636" spans="1:20" x14ac:dyDescent="0.25">
      <c r="A636" s="5" t="s">
        <v>654</v>
      </c>
      <c r="B636">
        <v>0</v>
      </c>
      <c r="C636">
        <v>14.761643567881864</v>
      </c>
      <c r="D636">
        <v>14.865479378866404</v>
      </c>
      <c r="E636">
        <v>14.539251146545414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15.426948176920622</v>
      </c>
      <c r="L636">
        <v>15.358678900903593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25">
      <c r="A637" s="6" t="s">
        <v>655</v>
      </c>
      <c r="B637">
        <v>7.1537979217997334</v>
      </c>
      <c r="C637">
        <v>7.1749843104902968</v>
      </c>
      <c r="D637">
        <v>7.6150279415005029</v>
      </c>
      <c r="E637">
        <v>7.6888070984773673</v>
      </c>
      <c r="F637">
        <v>6.306491500199769</v>
      </c>
      <c r="G637">
        <v>6.6253282634275203</v>
      </c>
      <c r="H637">
        <v>6.1429674756607353</v>
      </c>
      <c r="I637">
        <v>6.6205761361914588</v>
      </c>
      <c r="J637">
        <v>6.9719161275548727</v>
      </c>
      <c r="K637">
        <v>6.808209042556836</v>
      </c>
      <c r="L637">
        <v>6.5842281827340692</v>
      </c>
      <c r="M637">
        <v>6.6264403468304236</v>
      </c>
      <c r="N637">
        <v>6.3446200908612518</v>
      </c>
      <c r="O637">
        <v>6.6727586228212976</v>
      </c>
      <c r="P637">
        <v>6.2941866647054123</v>
      </c>
      <c r="Q637">
        <v>6.2409330099680096</v>
      </c>
      <c r="R637">
        <v>6.5096244709205688</v>
      </c>
      <c r="S637">
        <v>6.4186633317179291</v>
      </c>
      <c r="T637">
        <v>6.2381823469926765</v>
      </c>
    </row>
    <row r="638" spans="1:20" x14ac:dyDescent="0.25">
      <c r="A638" s="5" t="s">
        <v>656</v>
      </c>
      <c r="B638">
        <v>8.288198018327634</v>
      </c>
      <c r="C638">
        <v>8.1914754094837576</v>
      </c>
      <c r="D638">
        <v>8.5545847659710681</v>
      </c>
      <c r="E638">
        <v>8.3109322188831758</v>
      </c>
      <c r="F638">
        <v>6.9422576318310627</v>
      </c>
      <c r="G638">
        <v>7.7182067051673879</v>
      </c>
      <c r="H638">
        <v>7.1195766275274206</v>
      </c>
      <c r="I638">
        <v>7.6022750760882261</v>
      </c>
      <c r="J638">
        <v>7.2947776678232268</v>
      </c>
      <c r="K638">
        <v>8.0148314452108913</v>
      </c>
      <c r="L638">
        <v>8.2052916473411344</v>
      </c>
      <c r="M638">
        <v>7.7699790654991592</v>
      </c>
      <c r="N638">
        <v>7.3017523000500679</v>
      </c>
      <c r="O638">
        <v>8.0410101584422353</v>
      </c>
      <c r="P638">
        <v>6.3313802516718267</v>
      </c>
      <c r="Q638">
        <v>5.7194245414314819</v>
      </c>
      <c r="R638">
        <v>6.176998256991209</v>
      </c>
      <c r="S638">
        <v>6.0412491851413979</v>
      </c>
      <c r="T638">
        <v>6.1790224405051202</v>
      </c>
    </row>
    <row r="639" spans="1:20" x14ac:dyDescent="0.25">
      <c r="A639" s="6" t="s">
        <v>657</v>
      </c>
      <c r="B639">
        <v>15.539251146545414</v>
      </c>
      <c r="C639">
        <v>15.000831231761289</v>
      </c>
      <c r="D639">
        <v>15.139754498162349</v>
      </c>
      <c r="E639">
        <v>14.831431898038725</v>
      </c>
      <c r="F639">
        <v>15.293494732143458</v>
      </c>
      <c r="G639">
        <v>15.539251146545414</v>
      </c>
      <c r="H639">
        <v>15.996108821518886</v>
      </c>
      <c r="I639">
        <v>15.43331770179635</v>
      </c>
      <c r="J639">
        <v>16.310982158872296</v>
      </c>
      <c r="K639">
        <v>15.073587574196603</v>
      </c>
      <c r="L639">
        <v>15.478709604610364</v>
      </c>
      <c r="M639">
        <v>15.609640474436812</v>
      </c>
      <c r="N639">
        <v>16.176681067160704</v>
      </c>
      <c r="O639">
        <v>15.931568569324174</v>
      </c>
      <c r="P639">
        <v>0</v>
      </c>
      <c r="Q639">
        <v>0</v>
      </c>
      <c r="R639">
        <v>15.63144484475516</v>
      </c>
      <c r="S639">
        <v>15.83564414932564</v>
      </c>
      <c r="T639">
        <v>16.553056946070445</v>
      </c>
    </row>
    <row r="640" spans="1:20" x14ac:dyDescent="0.25">
      <c r="A640" s="5" t="s">
        <v>658</v>
      </c>
      <c r="B640">
        <v>13.816785122074323</v>
      </c>
      <c r="C640">
        <v>13.867634263570075</v>
      </c>
      <c r="D640">
        <v>13.902557482665108</v>
      </c>
      <c r="E640">
        <v>13.664782028629272</v>
      </c>
      <c r="F640">
        <v>13.358678900903593</v>
      </c>
      <c r="G640">
        <v>13.348109659193405</v>
      </c>
      <c r="H640">
        <v>13.743721659884601</v>
      </c>
      <c r="I640">
        <v>13.664782028629272</v>
      </c>
      <c r="J640">
        <v>13.337617285375762</v>
      </c>
      <c r="K640">
        <v>13.400187108807861</v>
      </c>
      <c r="L640">
        <v>13.702749878828293</v>
      </c>
      <c r="M640">
        <v>13.863327708011353</v>
      </c>
      <c r="N640">
        <v>13.683641055880589</v>
      </c>
      <c r="O640">
        <v>13.554791997441193</v>
      </c>
      <c r="P640">
        <v>13.337617285375762</v>
      </c>
      <c r="Q640">
        <v>13.364753415313277</v>
      </c>
      <c r="R640">
        <v>13.554791997441193</v>
      </c>
      <c r="S640">
        <v>13.278537222914688</v>
      </c>
      <c r="T640">
        <v>13.607838231802827</v>
      </c>
    </row>
    <row r="641" spans="1:20" x14ac:dyDescent="0.25">
      <c r="A641" s="6" t="s">
        <v>659</v>
      </c>
      <c r="B641">
        <v>17.575424759098897</v>
      </c>
      <c r="C641">
        <v>0</v>
      </c>
      <c r="D641">
        <v>0</v>
      </c>
      <c r="E641">
        <v>0</v>
      </c>
      <c r="F641">
        <v>16.63731543287966</v>
      </c>
      <c r="G641">
        <v>15.729934708154525</v>
      </c>
      <c r="H641">
        <v>17.069613205179305</v>
      </c>
      <c r="I641">
        <v>17.285405912166279</v>
      </c>
      <c r="J641">
        <v>16.984837709183864</v>
      </c>
      <c r="K641">
        <v>0</v>
      </c>
      <c r="L641">
        <v>16.525576209648339</v>
      </c>
      <c r="M641">
        <v>0</v>
      </c>
      <c r="N641">
        <v>16.446141742153934</v>
      </c>
      <c r="O641">
        <v>0</v>
      </c>
      <c r="P641">
        <v>15.887174449965721</v>
      </c>
      <c r="Q641">
        <v>15.638786820096328</v>
      </c>
      <c r="R641">
        <v>15.512029677810389</v>
      </c>
      <c r="S641">
        <v>15.322759326648649</v>
      </c>
      <c r="T641">
        <v>15.134555591488031</v>
      </c>
    </row>
    <row r="642" spans="1:20" x14ac:dyDescent="0.25">
      <c r="A642" s="5" t="s">
        <v>660</v>
      </c>
      <c r="B642">
        <v>11.877767554855845</v>
      </c>
      <c r="C642">
        <v>11.563507425839353</v>
      </c>
      <c r="D642">
        <v>0</v>
      </c>
      <c r="E642">
        <v>11.791316503359395</v>
      </c>
      <c r="F642">
        <v>11.885126621316861</v>
      </c>
      <c r="G642">
        <v>12.29711324631058</v>
      </c>
      <c r="H642">
        <v>12.276488702909029</v>
      </c>
      <c r="I642">
        <v>11.631632517166469</v>
      </c>
      <c r="J642">
        <v>11.486706901505556</v>
      </c>
      <c r="K642">
        <v>12.140301471798535</v>
      </c>
      <c r="L642">
        <v>11.808595665341798</v>
      </c>
      <c r="M642">
        <v>11.961566245782185</v>
      </c>
      <c r="N642">
        <v>11.230979734161934</v>
      </c>
      <c r="O642">
        <v>12.003992065378418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25">
      <c r="A643" s="6" t="s">
        <v>661</v>
      </c>
      <c r="B643">
        <v>15.904768509980459</v>
      </c>
      <c r="C643">
        <v>15.691254239990466</v>
      </c>
      <c r="D643">
        <v>15.034328143749375</v>
      </c>
      <c r="E643">
        <v>14.996108821518886</v>
      </c>
      <c r="F643">
        <v>16.034328143749374</v>
      </c>
      <c r="G643">
        <v>0</v>
      </c>
      <c r="H643">
        <v>16.103749544706854</v>
      </c>
      <c r="I643">
        <v>16.794065045574239</v>
      </c>
      <c r="J643">
        <v>15.869792371737484</v>
      </c>
      <c r="K643">
        <v>15.668534163490381</v>
      </c>
      <c r="L643">
        <v>15.887174449965721</v>
      </c>
      <c r="M643">
        <v>16.299300353824663</v>
      </c>
      <c r="N643">
        <v>16.929766326690189</v>
      </c>
      <c r="O643">
        <v>16.310982158872296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25">
      <c r="A644" s="5" t="s">
        <v>662</v>
      </c>
      <c r="B644">
        <v>14.657306908067127</v>
      </c>
      <c r="C644">
        <v>14.874118297140276</v>
      </c>
      <c r="D644">
        <v>13.777763233245141</v>
      </c>
      <c r="E644">
        <v>14.279082074406009</v>
      </c>
      <c r="F644">
        <v>14.986710123516636</v>
      </c>
      <c r="G644">
        <v>15.485312339434612</v>
      </c>
      <c r="H644">
        <v>15.498609162048069</v>
      </c>
      <c r="I644">
        <v>15.247872115017659</v>
      </c>
      <c r="J644">
        <v>15.310982158872298</v>
      </c>
      <c r="K644">
        <v>15.198214228710349</v>
      </c>
      <c r="L644">
        <v>14.963477817278919</v>
      </c>
      <c r="M644">
        <v>14.982033636307161</v>
      </c>
      <c r="N644">
        <v>15.785891114128539</v>
      </c>
      <c r="O644">
        <v>15.15546458125101</v>
      </c>
      <c r="P644">
        <v>0</v>
      </c>
      <c r="Q644">
        <v>16.485312339434611</v>
      </c>
      <c r="R644">
        <v>16.764853124357753</v>
      </c>
      <c r="S644">
        <v>0</v>
      </c>
      <c r="T644">
        <v>15.761643567881864</v>
      </c>
    </row>
    <row r="645" spans="1:20" x14ac:dyDescent="0.25">
      <c r="A645" s="6" t="s">
        <v>663</v>
      </c>
      <c r="B645">
        <v>0</v>
      </c>
      <c r="C645">
        <v>0</v>
      </c>
      <c r="D645">
        <v>14.560009706712211</v>
      </c>
      <c r="E645">
        <v>0</v>
      </c>
      <c r="F645">
        <v>13.938347101955237</v>
      </c>
      <c r="G645">
        <v>13.40800661326716</v>
      </c>
      <c r="H645">
        <v>13.568748043789912</v>
      </c>
      <c r="I645">
        <v>15.06367210533152</v>
      </c>
      <c r="J645">
        <v>13.271216059653254</v>
      </c>
      <c r="K645">
        <v>14.83564414932564</v>
      </c>
      <c r="L645">
        <v>14.577539631269786</v>
      </c>
      <c r="M645">
        <v>13.488625073475445</v>
      </c>
      <c r="N645">
        <v>13.761643567881864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25">
      <c r="A646" s="5" t="s">
        <v>664</v>
      </c>
      <c r="B646">
        <v>14.7066022043239</v>
      </c>
      <c r="C646">
        <v>15.452596764291233</v>
      </c>
      <c r="D646">
        <v>14.904768509980459</v>
      </c>
      <c r="E646">
        <v>0</v>
      </c>
      <c r="F646">
        <v>15.6989078125339</v>
      </c>
      <c r="G646">
        <v>15.015091924886457</v>
      </c>
      <c r="H646">
        <v>15.566996137028319</v>
      </c>
      <c r="I646">
        <v>15.668534163490381</v>
      </c>
      <c r="J646">
        <v>14.761643567881864</v>
      </c>
      <c r="K646">
        <v>0</v>
      </c>
      <c r="L646">
        <v>15.358678900903593</v>
      </c>
      <c r="M646">
        <v>14.642471866904184</v>
      </c>
      <c r="N646">
        <v>15.827231909509438</v>
      </c>
      <c r="O646">
        <v>16.209102544853081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25">
      <c r="A647" s="6" t="s">
        <v>665</v>
      </c>
      <c r="B647">
        <v>15.977372258937301</v>
      </c>
      <c r="C647">
        <v>14.512029677810389</v>
      </c>
      <c r="D647">
        <v>15.058739809789289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15.63144484475516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15.581071322240042</v>
      </c>
    </row>
    <row r="648" spans="1:20" x14ac:dyDescent="0.25">
      <c r="A648" s="5" t="s">
        <v>666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15.4397154729945</v>
      </c>
      <c r="R648">
        <v>15.119070343990609</v>
      </c>
      <c r="S648">
        <v>15.264811977439372</v>
      </c>
      <c r="T648">
        <v>15.401747622795478</v>
      </c>
    </row>
    <row r="649" spans="1:20" x14ac:dyDescent="0.25">
      <c r="A649" s="6" t="s">
        <v>667</v>
      </c>
      <c r="B649">
        <v>14.259143227352677</v>
      </c>
      <c r="C649">
        <v>14.852617227929352</v>
      </c>
      <c r="D649">
        <v>14.627787821147072</v>
      </c>
      <c r="E649">
        <v>14.729934708154525</v>
      </c>
      <c r="F649">
        <v>13.808481818343115</v>
      </c>
      <c r="G649">
        <v>12.384627820498681</v>
      </c>
      <c r="H649">
        <v>12.931771462580565</v>
      </c>
      <c r="I649">
        <v>13.515404404591045</v>
      </c>
      <c r="J649">
        <v>13.59528518145974</v>
      </c>
      <c r="K649">
        <v>13.373913414598753</v>
      </c>
      <c r="L649">
        <v>13.214015517379357</v>
      </c>
      <c r="M649">
        <v>13.577539631269786</v>
      </c>
      <c r="N649">
        <v>14.190101582923029</v>
      </c>
      <c r="O649">
        <v>14.370853614849695</v>
      </c>
      <c r="P649">
        <v>12.591567180458458</v>
      </c>
      <c r="Q649">
        <v>11.934773105294321</v>
      </c>
      <c r="R649">
        <v>12.218725207998315</v>
      </c>
      <c r="S649">
        <v>10.800045961815394</v>
      </c>
      <c r="T649">
        <v>11.445397239581389</v>
      </c>
    </row>
    <row r="650" spans="1:20" x14ac:dyDescent="0.25">
      <c r="A650" s="5" t="s">
        <v>668</v>
      </c>
      <c r="B650">
        <v>5.7432205019421518</v>
      </c>
      <c r="C650">
        <v>5.9858186865370779</v>
      </c>
      <c r="D650">
        <v>6.1151363584695044</v>
      </c>
      <c r="E650">
        <v>5.7838880723263495</v>
      </c>
      <c r="F650">
        <v>5.8801785380356826</v>
      </c>
      <c r="G650">
        <v>6.2675959277348632</v>
      </c>
      <c r="H650">
        <v>6.8379278501482803</v>
      </c>
      <c r="I650">
        <v>6.0797478047954927</v>
      </c>
      <c r="J650">
        <v>6.020107762973157</v>
      </c>
      <c r="K650">
        <v>6.4637697049447613</v>
      </c>
      <c r="L650">
        <v>6.5769894110992615</v>
      </c>
      <c r="M650">
        <v>6.3201762267843939</v>
      </c>
      <c r="N650">
        <v>6.6549159028044169</v>
      </c>
      <c r="O650">
        <v>6.2162293152719945</v>
      </c>
      <c r="P650">
        <v>7.5653783349227455</v>
      </c>
      <c r="Q650">
        <v>8.1140792117648957</v>
      </c>
      <c r="R650">
        <v>8.4022068327871064</v>
      </c>
      <c r="S650">
        <v>8.8981042698556543</v>
      </c>
      <c r="T650">
        <v>8.6235487195677862</v>
      </c>
    </row>
    <row r="651" spans="1:20" x14ac:dyDescent="0.25">
      <c r="A651" s="6" t="s">
        <v>669</v>
      </c>
      <c r="B651">
        <v>5.6145554089918379</v>
      </c>
      <c r="C651">
        <v>6.1948048468317012</v>
      </c>
      <c r="D651">
        <v>6.0747317483785492</v>
      </c>
      <c r="E651">
        <v>5.9459598086090217</v>
      </c>
      <c r="F651">
        <v>5.9024028375802962</v>
      </c>
      <c r="G651">
        <v>6.0112451189838447</v>
      </c>
      <c r="H651">
        <v>5.8372255999898472</v>
      </c>
      <c r="I651">
        <v>5.7538217212112315</v>
      </c>
      <c r="J651">
        <v>5.4816420922602553</v>
      </c>
      <c r="K651">
        <v>5.8205848727105183</v>
      </c>
      <c r="L651">
        <v>6.1326627491765757</v>
      </c>
      <c r="M651">
        <v>5.8267496119162301</v>
      </c>
      <c r="N651">
        <v>5.9096288597958777</v>
      </c>
      <c r="O651">
        <v>5.8091808901220361</v>
      </c>
      <c r="P651">
        <v>5.6281912814562798</v>
      </c>
      <c r="Q651">
        <v>6.1183279890887201</v>
      </c>
      <c r="R651">
        <v>5.8607528660911532</v>
      </c>
      <c r="S651">
        <v>6.3190993788608054</v>
      </c>
      <c r="T651">
        <v>6.336207692218558</v>
      </c>
    </row>
    <row r="652" spans="1:20" x14ac:dyDescent="0.25">
      <c r="A652" s="5" t="s">
        <v>670</v>
      </c>
      <c r="B652">
        <v>13.039432587803901</v>
      </c>
      <c r="C652">
        <v>13.417446309153467</v>
      </c>
      <c r="D652">
        <v>13.343603580441494</v>
      </c>
      <c r="E652">
        <v>13.190142032883756</v>
      </c>
      <c r="F652">
        <v>13.258902798214402</v>
      </c>
      <c r="G652">
        <v>13.299300353824661</v>
      </c>
      <c r="H652">
        <v>13.046018607984591</v>
      </c>
      <c r="I652">
        <v>12.819608737375603</v>
      </c>
      <c r="J652">
        <v>12.69072000741969</v>
      </c>
      <c r="K652">
        <v>13.245208116420486</v>
      </c>
      <c r="L652">
        <v>13.224996576504914</v>
      </c>
      <c r="M652">
        <v>13.528982811091586</v>
      </c>
      <c r="N652">
        <v>13.924821736883588</v>
      </c>
      <c r="O652">
        <v>13.152177509788261</v>
      </c>
      <c r="P652">
        <v>13.310982158872298</v>
      </c>
      <c r="Q652">
        <v>14.078570981710859</v>
      </c>
      <c r="R652">
        <v>14.340607327981576</v>
      </c>
      <c r="S652">
        <v>14.556529137977249</v>
      </c>
      <c r="T652">
        <v>14.386217924501876</v>
      </c>
    </row>
    <row r="653" spans="1:20" x14ac:dyDescent="0.25">
      <c r="A653" s="6" t="s">
        <v>671</v>
      </c>
      <c r="B653">
        <v>13.577539631269786</v>
      </c>
      <c r="C653">
        <v>13.261053941393724</v>
      </c>
      <c r="D653">
        <v>13.058444407602632</v>
      </c>
      <c r="E653">
        <v>13.219825892818447</v>
      </c>
      <c r="F653">
        <v>13.18859226201325</v>
      </c>
      <c r="G653">
        <v>13.720166931905704</v>
      </c>
      <c r="H653">
        <v>14.284829871016328</v>
      </c>
      <c r="I653">
        <v>14.546137532130656</v>
      </c>
      <c r="J653">
        <v>13.942883882552009</v>
      </c>
      <c r="K653">
        <v>13.387763393359778</v>
      </c>
      <c r="L653">
        <v>13.653583822024411</v>
      </c>
      <c r="M653">
        <v>14.606038237756618</v>
      </c>
      <c r="N653">
        <v>0</v>
      </c>
      <c r="O653">
        <v>14.253496664211537</v>
      </c>
      <c r="P653">
        <v>14.465594104820106</v>
      </c>
      <c r="Q653">
        <v>15.4397154729945</v>
      </c>
      <c r="R653">
        <v>15.015091924886457</v>
      </c>
      <c r="S653">
        <v>15.668534163490381</v>
      </c>
      <c r="T653">
        <v>14.927067177089235</v>
      </c>
    </row>
    <row r="654" spans="1:20" x14ac:dyDescent="0.25">
      <c r="A654" s="5" t="s">
        <v>672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15.802285552379209</v>
      </c>
      <c r="O654">
        <v>0</v>
      </c>
      <c r="P654">
        <v>15.293494732143458</v>
      </c>
      <c r="Q654">
        <v>14.566996137028319</v>
      </c>
      <c r="R654">
        <v>15.024677973715658</v>
      </c>
      <c r="S654">
        <v>15.124213647266568</v>
      </c>
      <c r="T654">
        <v>14.325718702129196</v>
      </c>
    </row>
    <row r="655" spans="1:20" x14ac:dyDescent="0.25">
      <c r="A655" s="6" t="s">
        <v>673</v>
      </c>
      <c r="B655">
        <v>16.512029677810389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16.276216740711622</v>
      </c>
      <c r="M655">
        <v>0</v>
      </c>
      <c r="N655">
        <v>0</v>
      </c>
      <c r="O655">
        <v>0</v>
      </c>
      <c r="P655">
        <v>15.968094445349289</v>
      </c>
      <c r="Q655">
        <v>15.395515669083965</v>
      </c>
      <c r="R655">
        <v>16.689728385759505</v>
      </c>
      <c r="S655">
        <v>0</v>
      </c>
      <c r="T655">
        <v>14.485312339434612</v>
      </c>
    </row>
    <row r="656" spans="1:20" x14ac:dyDescent="0.25">
      <c r="A656" s="5" t="s">
        <v>674</v>
      </c>
      <c r="B656">
        <v>13.498609162048069</v>
      </c>
      <c r="C656">
        <v>15.395515669083965</v>
      </c>
      <c r="D656">
        <v>14.401747622795481</v>
      </c>
      <c r="E656">
        <v>14.769680886947281</v>
      </c>
      <c r="F656">
        <v>14.024677973715656</v>
      </c>
      <c r="G656">
        <v>15.638786820096328</v>
      </c>
      <c r="H656">
        <v>13.884990202703845</v>
      </c>
      <c r="I656">
        <v>15.150208855799516</v>
      </c>
      <c r="J656">
        <v>14.225590667641651</v>
      </c>
      <c r="K656">
        <v>14.12937535238235</v>
      </c>
      <c r="L656">
        <v>15.505303814622076</v>
      </c>
      <c r="M656">
        <v>13.735827276077723</v>
      </c>
      <c r="N656">
        <v>13.527278504879339</v>
      </c>
      <c r="O656">
        <v>15.472136950686876</v>
      </c>
      <c r="P656">
        <v>13.600651691209556</v>
      </c>
      <c r="Q656">
        <v>12.302437843424961</v>
      </c>
      <c r="R656">
        <v>12.574738092623551</v>
      </c>
      <c r="S656">
        <v>13.726019658151142</v>
      </c>
      <c r="T656">
        <v>11.664444814656177</v>
      </c>
    </row>
    <row r="657" spans="1:20" x14ac:dyDescent="0.25">
      <c r="A657" s="6" t="s">
        <v>675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15.869792371737484</v>
      </c>
      <c r="Q657">
        <v>15.27621674071162</v>
      </c>
      <c r="R657">
        <v>15.4397154729945</v>
      </c>
      <c r="S657">
        <v>15.334633426936943</v>
      </c>
      <c r="T657">
        <v>15.525576209648337</v>
      </c>
    </row>
    <row r="658" spans="1:20" x14ac:dyDescent="0.25">
      <c r="A658" s="5" t="s">
        <v>676</v>
      </c>
      <c r="B658">
        <v>0</v>
      </c>
      <c r="C658">
        <v>12.734302722194906</v>
      </c>
      <c r="D658">
        <v>13.902557482665108</v>
      </c>
      <c r="E658">
        <v>13.109271804765491</v>
      </c>
      <c r="F658">
        <v>13.285535553128353</v>
      </c>
      <c r="G658">
        <v>12.637922198280785</v>
      </c>
      <c r="H658">
        <v>12.400327485965434</v>
      </c>
      <c r="I658">
        <v>13.46233377565652</v>
      </c>
      <c r="J658">
        <v>13.729934708154524</v>
      </c>
      <c r="K658">
        <v>12.344916400198803</v>
      </c>
      <c r="L658">
        <v>12.245110062996824</v>
      </c>
      <c r="M658">
        <v>13.186075748951414</v>
      </c>
      <c r="N658">
        <v>13.266772875552192</v>
      </c>
      <c r="O658">
        <v>14.003198246305205</v>
      </c>
      <c r="P658">
        <v>13.570502080529854</v>
      </c>
      <c r="Q658">
        <v>0</v>
      </c>
      <c r="R658">
        <v>12.931309358346802</v>
      </c>
      <c r="S658">
        <v>12.055530554216833</v>
      </c>
      <c r="T658">
        <v>12.805907136760133</v>
      </c>
    </row>
    <row r="659" spans="1:20" x14ac:dyDescent="0.25">
      <c r="A659" s="6" t="s">
        <v>677</v>
      </c>
      <c r="B659">
        <v>16.310982158872296</v>
      </c>
      <c r="C659">
        <v>15.139754498162349</v>
      </c>
      <c r="D659">
        <v>15.485312339434612</v>
      </c>
      <c r="E659">
        <v>15.281953110260764</v>
      </c>
      <c r="F659">
        <v>0</v>
      </c>
      <c r="G659">
        <v>14.865479378866404</v>
      </c>
      <c r="H659">
        <v>15.253496664211537</v>
      </c>
      <c r="I659">
        <v>15.203648114760977</v>
      </c>
      <c r="J659">
        <v>15.61687204366789</v>
      </c>
      <c r="K659">
        <v>15.144972207433367</v>
      </c>
      <c r="L659">
        <v>14.848355201075194</v>
      </c>
      <c r="M659">
        <v>0</v>
      </c>
      <c r="N659">
        <v>0</v>
      </c>
      <c r="O659">
        <v>15.624140044131927</v>
      </c>
      <c r="P659">
        <v>15.446141742153934</v>
      </c>
      <c r="Q659">
        <v>15.247872115017659</v>
      </c>
      <c r="R659">
        <v>15.714337853103507</v>
      </c>
      <c r="S659">
        <v>15.044043298582586</v>
      </c>
      <c r="T659">
        <v>14.996108821518886</v>
      </c>
    </row>
    <row r="660" spans="1:20" x14ac:dyDescent="0.25">
      <c r="A660" s="5" t="s">
        <v>678</v>
      </c>
      <c r="B660">
        <v>10.36463928256207</v>
      </c>
      <c r="C660">
        <v>10.677633650923157</v>
      </c>
      <c r="D660">
        <v>10.090205505351305</v>
      </c>
      <c r="E660">
        <v>9.9593928970844345</v>
      </c>
      <c r="F660">
        <v>10.17518571420441</v>
      </c>
      <c r="G660">
        <v>11.201713343160087</v>
      </c>
      <c r="H660">
        <v>10.824940202016357</v>
      </c>
      <c r="I660">
        <v>10.503677505810357</v>
      </c>
      <c r="J660">
        <v>10.662009380324834</v>
      </c>
      <c r="K660">
        <v>10.221528448050604</v>
      </c>
      <c r="L660">
        <v>10.819786048878422</v>
      </c>
      <c r="M660">
        <v>10.893791022214936</v>
      </c>
      <c r="N660">
        <v>10.79666228629433</v>
      </c>
      <c r="O660">
        <v>10.100213817137266</v>
      </c>
      <c r="P660">
        <v>11.625525113123732</v>
      </c>
      <c r="Q660">
        <v>12.443889290422556</v>
      </c>
      <c r="R660">
        <v>12.293465762654375</v>
      </c>
      <c r="S660">
        <v>11.668299368951512</v>
      </c>
      <c r="T660">
        <v>12.47076867887329</v>
      </c>
    </row>
    <row r="661" spans="1:20" x14ac:dyDescent="0.25">
      <c r="A661" s="6" t="s">
        <v>679</v>
      </c>
      <c r="B661">
        <v>9.0120042751214271</v>
      </c>
      <c r="C661">
        <v>9.2447082886606537</v>
      </c>
      <c r="D661">
        <v>8.9381270058339464</v>
      </c>
      <c r="E661">
        <v>8.9762361477505301</v>
      </c>
      <c r="F661">
        <v>8.9077539317566448</v>
      </c>
      <c r="G661">
        <v>9.2505234670308472</v>
      </c>
      <c r="H661">
        <v>9.5771351425321729</v>
      </c>
      <c r="I661">
        <v>9.3390405203173081</v>
      </c>
      <c r="J661">
        <v>9.047183570230132</v>
      </c>
      <c r="K661">
        <v>9.1102043390454224</v>
      </c>
      <c r="L661">
        <v>9.0650646753028994</v>
      </c>
      <c r="M661">
        <v>9.1770117226633001</v>
      </c>
      <c r="N661">
        <v>8.9678061952404473</v>
      </c>
      <c r="O661">
        <v>8.9317151004804263</v>
      </c>
      <c r="P661">
        <v>9.5659492936574484</v>
      </c>
      <c r="Q661">
        <v>9.9058310079105674</v>
      </c>
      <c r="R661">
        <v>9.7378534902676321</v>
      </c>
      <c r="S661">
        <v>9.8327127005286403</v>
      </c>
      <c r="T661">
        <v>9.7275966347246001</v>
      </c>
    </row>
    <row r="662" spans="1:20" x14ac:dyDescent="0.25">
      <c r="A662" s="5" t="s">
        <v>680</v>
      </c>
      <c r="B662">
        <v>9.0864337473559882</v>
      </c>
      <c r="C662">
        <v>9.3045463760370968</v>
      </c>
      <c r="D662">
        <v>9.3212957559799996</v>
      </c>
      <c r="E662">
        <v>9.3630670720198736</v>
      </c>
      <c r="F662">
        <v>9.062968993740693</v>
      </c>
      <c r="G662">
        <v>9.4212692238246181</v>
      </c>
      <c r="H662">
        <v>9.6016904022369154</v>
      </c>
      <c r="I662">
        <v>9.3780400660071841</v>
      </c>
      <c r="J662">
        <v>9.0912328043255712</v>
      </c>
      <c r="K662">
        <v>9.2149780029046209</v>
      </c>
      <c r="L662">
        <v>9.312836201181069</v>
      </c>
      <c r="M662">
        <v>9.5014119050253569</v>
      </c>
      <c r="N662">
        <v>9.2168036032199474</v>
      </c>
      <c r="O662">
        <v>9.2068748168693304</v>
      </c>
      <c r="P662">
        <v>9.4761879168594305</v>
      </c>
      <c r="Q662">
        <v>9.7044496531775994</v>
      </c>
      <c r="R662">
        <v>9.638981201384194</v>
      </c>
      <c r="S662">
        <v>9.6587300343642593</v>
      </c>
      <c r="T662">
        <v>9.4348445904083427</v>
      </c>
    </row>
    <row r="663" spans="1:20" x14ac:dyDescent="0.25">
      <c r="A663" s="6" t="s">
        <v>681</v>
      </c>
      <c r="B663">
        <v>10.01332546648575</v>
      </c>
      <c r="C663">
        <v>7.8381562871245221</v>
      </c>
      <c r="D663">
        <v>10.509386036934336</v>
      </c>
      <c r="E663">
        <v>9.8674172825956248</v>
      </c>
      <c r="F663">
        <v>9.9172774446714431</v>
      </c>
      <c r="G663">
        <v>9.1600304055610255</v>
      </c>
      <c r="H663">
        <v>8.8555526873833692</v>
      </c>
      <c r="I663">
        <v>8.1251365587629589</v>
      </c>
      <c r="J663">
        <v>9.0789930254962865</v>
      </c>
      <c r="K663">
        <v>8.369763218134521</v>
      </c>
      <c r="L663">
        <v>7.2102014642066088</v>
      </c>
      <c r="M663">
        <v>9.9550416772290156</v>
      </c>
      <c r="N663">
        <v>8.0570436095344196</v>
      </c>
      <c r="O663">
        <v>9.2537159381162457</v>
      </c>
      <c r="P663">
        <v>7.9586515885135185</v>
      </c>
      <c r="Q663">
        <v>6.660843418810555</v>
      </c>
      <c r="R663">
        <v>6.5499941203626921</v>
      </c>
      <c r="S663">
        <v>5.736159064584001</v>
      </c>
      <c r="T663">
        <v>6.3775325848821485</v>
      </c>
    </row>
    <row r="664" spans="1:20" x14ac:dyDescent="0.25">
      <c r="A664" s="5" t="s">
        <v>682</v>
      </c>
      <c r="B664">
        <v>13.254412728204587</v>
      </c>
      <c r="C664">
        <v>12.879196151450131</v>
      </c>
      <c r="D664">
        <v>12.582884670220967</v>
      </c>
      <c r="E664">
        <v>12.54161463585945</v>
      </c>
      <c r="F664">
        <v>13.67606783617579</v>
      </c>
      <c r="G664">
        <v>13.406439318120201</v>
      </c>
      <c r="H664">
        <v>13.327200669430427</v>
      </c>
      <c r="I664">
        <v>12.922837433216255</v>
      </c>
      <c r="J664">
        <v>13.230338359929359</v>
      </c>
      <c r="K664">
        <v>13.73189622448781</v>
      </c>
      <c r="L664">
        <v>13.403309826565764</v>
      </c>
      <c r="M664">
        <v>12.745949760776718</v>
      </c>
      <c r="N664">
        <v>12.825953342547784</v>
      </c>
      <c r="O664">
        <v>12.379983340907664</v>
      </c>
      <c r="P664">
        <v>13.789972290940359</v>
      </c>
      <c r="Q664">
        <v>14.452596764291233</v>
      </c>
      <c r="R664">
        <v>13.927067177089235</v>
      </c>
      <c r="S664">
        <v>14.071102310807008</v>
      </c>
      <c r="T664">
        <v>14.27335708657238</v>
      </c>
    </row>
    <row r="665" spans="1:20" x14ac:dyDescent="0.25">
      <c r="A665" s="6" t="s">
        <v>683</v>
      </c>
      <c r="B665">
        <v>14.279082074406009</v>
      </c>
      <c r="C665">
        <v>14.810553168362809</v>
      </c>
      <c r="D665">
        <v>14.891552890476294</v>
      </c>
      <c r="E665">
        <v>15.525576209648337</v>
      </c>
      <c r="F665">
        <v>15.364753415313277</v>
      </c>
      <c r="G665">
        <v>14.687442626040445</v>
      </c>
      <c r="H665">
        <v>14.563498692792091</v>
      </c>
      <c r="I665">
        <v>14.155464581251008</v>
      </c>
      <c r="J665">
        <v>0</v>
      </c>
      <c r="K665">
        <v>15.166033822961197</v>
      </c>
      <c r="L665">
        <v>14.865479378866404</v>
      </c>
      <c r="M665">
        <v>13.7085322314223</v>
      </c>
      <c r="N665">
        <v>13.724066110065387</v>
      </c>
      <c r="O665">
        <v>14.515404404591045</v>
      </c>
      <c r="P665">
        <v>14.59886063568357</v>
      </c>
      <c r="Q665">
        <v>14.426948176920622</v>
      </c>
      <c r="R665">
        <v>14.646166350461927</v>
      </c>
      <c r="S665">
        <v>0</v>
      </c>
      <c r="T665">
        <v>13.745702024012841</v>
      </c>
    </row>
    <row r="666" spans="1:20" x14ac:dyDescent="0.25">
      <c r="A666" s="5" t="s">
        <v>684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15.299300353824661</v>
      </c>
      <c r="Q666">
        <v>14.895944659593452</v>
      </c>
      <c r="R666">
        <v>14.940613708927183</v>
      </c>
      <c r="S666">
        <v>15.370853614849695</v>
      </c>
      <c r="T666">
        <v>15.383131944628133</v>
      </c>
    </row>
    <row r="667" spans="1:20" x14ac:dyDescent="0.25">
      <c r="A667" s="6" t="s">
        <v>685</v>
      </c>
      <c r="B667">
        <v>13.312449057870957</v>
      </c>
      <c r="C667">
        <v>15.264811977439372</v>
      </c>
      <c r="D667">
        <v>14.722115203695225</v>
      </c>
      <c r="E667">
        <v>14.765656630388486</v>
      </c>
      <c r="F667">
        <v>14.501952605122439</v>
      </c>
      <c r="G667">
        <v>14.0860785183798</v>
      </c>
      <c r="H667">
        <v>14.14758815564038</v>
      </c>
      <c r="I667">
        <v>15.281953110260764</v>
      </c>
      <c r="J667">
        <v>13.434914486730678</v>
      </c>
      <c r="K667">
        <v>13.856891883029679</v>
      </c>
      <c r="L667">
        <v>14.649870319225345</v>
      </c>
      <c r="M667">
        <v>14.103749544706854</v>
      </c>
      <c r="N667">
        <v>14.606038237756618</v>
      </c>
      <c r="O667">
        <v>14.078570981710859</v>
      </c>
      <c r="P667">
        <v>12.701403991439923</v>
      </c>
      <c r="Q667">
        <v>12.002126691138278</v>
      </c>
      <c r="R667">
        <v>12.462822355570051</v>
      </c>
      <c r="S667">
        <v>12.680171373725058</v>
      </c>
      <c r="T667">
        <v>12.709536866839684</v>
      </c>
    </row>
    <row r="668" spans="1:20" x14ac:dyDescent="0.25">
      <c r="A668" s="5" t="s">
        <v>686</v>
      </c>
      <c r="B668">
        <v>15.638786820096328</v>
      </c>
      <c r="C668">
        <v>14.726019658151142</v>
      </c>
      <c r="D668">
        <v>14.702749878828294</v>
      </c>
      <c r="E668">
        <v>14.609640474436812</v>
      </c>
      <c r="F668">
        <v>15.45908079786143</v>
      </c>
      <c r="G668">
        <v>14.958875915319911</v>
      </c>
      <c r="H668">
        <v>14.781821449819493</v>
      </c>
      <c r="I668">
        <v>15.414292876114592</v>
      </c>
      <c r="J668">
        <v>15.869792371737484</v>
      </c>
      <c r="K668">
        <v>14.442925029470389</v>
      </c>
      <c r="L668">
        <v>14.401747622795481</v>
      </c>
      <c r="M668">
        <v>15.683641055880589</v>
      </c>
      <c r="N668">
        <v>15.225590667641651</v>
      </c>
      <c r="O668">
        <v>15.259143227352677</v>
      </c>
      <c r="P668">
        <v>15.624140044131927</v>
      </c>
      <c r="Q668">
        <v>15.560009706712211</v>
      </c>
      <c r="R668">
        <v>0</v>
      </c>
      <c r="S668">
        <v>16.459080797861432</v>
      </c>
      <c r="T668">
        <v>15.182034301654912</v>
      </c>
    </row>
    <row r="669" spans="1:20" x14ac:dyDescent="0.25">
      <c r="A669" s="6" t="s">
        <v>687</v>
      </c>
      <c r="B669">
        <v>15.887174449965721</v>
      </c>
      <c r="C669">
        <v>14.729934708154525</v>
      </c>
      <c r="D669">
        <v>14.553056946070445</v>
      </c>
      <c r="E669">
        <v>14.729934708154525</v>
      </c>
      <c r="F669">
        <v>16.034328143749374</v>
      </c>
      <c r="G669">
        <v>16.034328143749374</v>
      </c>
      <c r="H669">
        <v>16.459080797861432</v>
      </c>
      <c r="I669">
        <v>15.827231909509438</v>
      </c>
      <c r="J669">
        <v>16.134555591488027</v>
      </c>
      <c r="K669">
        <v>15.414292876114592</v>
      </c>
      <c r="L669">
        <v>15.376979717646538</v>
      </c>
      <c r="M669">
        <v>16.034328143749374</v>
      </c>
      <c r="N669">
        <v>16.512029677810389</v>
      </c>
      <c r="O669">
        <v>16.91899989582112</v>
      </c>
      <c r="P669">
        <v>0</v>
      </c>
      <c r="Q669">
        <v>16.781008892748794</v>
      </c>
      <c r="R669">
        <v>17.235574756214277</v>
      </c>
      <c r="S669">
        <v>0</v>
      </c>
      <c r="T669">
        <v>16.408006613267162</v>
      </c>
    </row>
    <row r="670" spans="1:20" x14ac:dyDescent="0.25">
      <c r="A670" s="5" t="s">
        <v>688</v>
      </c>
      <c r="B670">
        <v>10.404060285661563</v>
      </c>
      <c r="C670">
        <v>11.017820456632514</v>
      </c>
      <c r="D670">
        <v>11.318490039768623</v>
      </c>
      <c r="E670">
        <v>10.412270426325124</v>
      </c>
      <c r="F670">
        <v>10.596363588285923</v>
      </c>
      <c r="G670">
        <v>10.321305908138116</v>
      </c>
      <c r="H670">
        <v>10.625194671625522</v>
      </c>
      <c r="I670">
        <v>10.750575378044843</v>
      </c>
      <c r="J670">
        <v>10.066226564649</v>
      </c>
      <c r="K670">
        <v>11.324656327784412</v>
      </c>
      <c r="L670">
        <v>11.208730306516578</v>
      </c>
      <c r="M670">
        <v>9.6856249385509692</v>
      </c>
      <c r="N670">
        <v>10.715681309501072</v>
      </c>
      <c r="O670">
        <v>10.936233867859279</v>
      </c>
      <c r="P670">
        <v>9.9694389281914884</v>
      </c>
      <c r="Q670">
        <v>8.6573902056069674</v>
      </c>
      <c r="R670">
        <v>8.9723541058994609</v>
      </c>
      <c r="S670">
        <v>9.023853168309472</v>
      </c>
      <c r="T670">
        <v>8.5877005394205312</v>
      </c>
    </row>
    <row r="671" spans="1:20" x14ac:dyDescent="0.25">
      <c r="A671" s="6" t="s">
        <v>689</v>
      </c>
      <c r="B671">
        <v>15.940613708927183</v>
      </c>
      <c r="C671">
        <v>0</v>
      </c>
      <c r="D671">
        <v>16.103749544706854</v>
      </c>
      <c r="E671">
        <v>16.619774851570526</v>
      </c>
      <c r="F671">
        <v>15.878457232864612</v>
      </c>
      <c r="G671">
        <v>14.687442626040445</v>
      </c>
      <c r="H671">
        <v>15.518787043985698</v>
      </c>
      <c r="I671">
        <v>15.777763233245141</v>
      </c>
      <c r="J671">
        <v>16.06367210533152</v>
      </c>
      <c r="K671">
        <v>16.420606650046796</v>
      </c>
      <c r="L671">
        <v>16.894186347321096</v>
      </c>
      <c r="M671">
        <v>15.638786820096328</v>
      </c>
      <c r="N671">
        <v>16.209102544853081</v>
      </c>
      <c r="O671">
        <v>17.18956235845744</v>
      </c>
      <c r="P671">
        <v>15.777763233245141</v>
      </c>
      <c r="Q671">
        <v>14.259143227352677</v>
      </c>
      <c r="R671">
        <v>15.253496664211537</v>
      </c>
      <c r="S671">
        <v>13.902557482665108</v>
      </c>
      <c r="T671">
        <v>14.068621321303253</v>
      </c>
    </row>
    <row r="672" spans="1:20" x14ac:dyDescent="0.25">
      <c r="A672" s="5" t="s">
        <v>690</v>
      </c>
      <c r="B672">
        <v>13.151954260647376</v>
      </c>
      <c r="C672">
        <v>0</v>
      </c>
      <c r="D672">
        <v>13.286890277652933</v>
      </c>
      <c r="E672">
        <v>12.688232708361046</v>
      </c>
      <c r="F672">
        <v>12.328483800208117</v>
      </c>
      <c r="G672">
        <v>12.248314253712485</v>
      </c>
      <c r="H672">
        <v>12.479162576554595</v>
      </c>
      <c r="I672">
        <v>13.165503517849221</v>
      </c>
      <c r="J672">
        <v>12.885383123236091</v>
      </c>
      <c r="K672">
        <v>12.962015122352721</v>
      </c>
      <c r="L672">
        <v>12.634257911529465</v>
      </c>
      <c r="M672">
        <v>12.727633329116038</v>
      </c>
      <c r="N672">
        <v>13.017685851618747</v>
      </c>
      <c r="O672">
        <v>12.56647973063067</v>
      </c>
      <c r="P672">
        <v>11.87940811706515</v>
      </c>
      <c r="Q672">
        <v>12.103013145423324</v>
      </c>
      <c r="R672">
        <v>10.781316087086251</v>
      </c>
      <c r="S672">
        <v>11.090787499178482</v>
      </c>
      <c r="T672">
        <v>11.510867226190925</v>
      </c>
    </row>
    <row r="673" spans="1:20" x14ac:dyDescent="0.25">
      <c r="A673" s="6" t="s">
        <v>691</v>
      </c>
      <c r="B673">
        <v>9.5552499652086151</v>
      </c>
      <c r="C673">
        <v>9.7062068674746946</v>
      </c>
      <c r="D673">
        <v>9.5108230209770976</v>
      </c>
      <c r="E673">
        <v>9.8666533919398898</v>
      </c>
      <c r="F673">
        <v>9.6777837088222167</v>
      </c>
      <c r="G673">
        <v>9.9318376908619825</v>
      </c>
      <c r="H673">
        <v>9.8774079126899856</v>
      </c>
      <c r="I673">
        <v>9.6425053057157655</v>
      </c>
      <c r="J673">
        <v>9.709896870427313</v>
      </c>
      <c r="K673">
        <v>9.8328074251230468</v>
      </c>
      <c r="L673">
        <v>9.5605270701071188</v>
      </c>
      <c r="M673">
        <v>9.759352354713954</v>
      </c>
      <c r="N673">
        <v>9.0893180236268272</v>
      </c>
      <c r="O673">
        <v>9.5741243310129676</v>
      </c>
      <c r="P673">
        <v>9.9233570681843037</v>
      </c>
      <c r="Q673">
        <v>9.7723771240424533</v>
      </c>
      <c r="R673">
        <v>9.9638293153564792</v>
      </c>
      <c r="S673">
        <v>9.5731942869713915</v>
      </c>
      <c r="T673">
        <v>9.4196538685026194</v>
      </c>
    </row>
    <row r="674" spans="1:20" x14ac:dyDescent="0.25">
      <c r="A674" s="5" t="s">
        <v>692</v>
      </c>
      <c r="B674">
        <v>12.978617702567915</v>
      </c>
      <c r="C674">
        <v>13.202423704732462</v>
      </c>
      <c r="D674">
        <v>13.275715891881424</v>
      </c>
      <c r="E674">
        <v>13.238179188702231</v>
      </c>
      <c r="F674">
        <v>12.562259136497223</v>
      </c>
      <c r="G674">
        <v>13.130565161365304</v>
      </c>
      <c r="H674">
        <v>13.401747622795481</v>
      </c>
      <c r="I674">
        <v>13.412718740616482</v>
      </c>
      <c r="J674">
        <v>13.036350786383203</v>
      </c>
      <c r="K674">
        <v>13.233753057196314</v>
      </c>
      <c r="L674">
        <v>13.360195133350974</v>
      </c>
      <c r="M674">
        <v>13.381591426552351</v>
      </c>
      <c r="N674">
        <v>12.79310220405914</v>
      </c>
      <c r="O674">
        <v>13.018439801504437</v>
      </c>
      <c r="P674">
        <v>13.322759326648649</v>
      </c>
      <c r="Q674">
        <v>13.428537923683015</v>
      </c>
      <c r="R674">
        <v>13.029639749286517</v>
      </c>
      <c r="S674">
        <v>13.235992263102121</v>
      </c>
      <c r="T674">
        <v>13.351121549725512</v>
      </c>
    </row>
    <row r="675" spans="1:20" x14ac:dyDescent="0.25">
      <c r="A675" s="6" t="s">
        <v>693</v>
      </c>
      <c r="B675">
        <v>0</v>
      </c>
      <c r="C675">
        <v>13.412718740616482</v>
      </c>
      <c r="D675">
        <v>13.977372258937299</v>
      </c>
      <c r="E675">
        <v>0</v>
      </c>
      <c r="F675">
        <v>13.219371758571205</v>
      </c>
      <c r="G675">
        <v>12.161730725694735</v>
      </c>
      <c r="H675">
        <v>12.380629437424963</v>
      </c>
      <c r="I675">
        <v>12.747000637490176</v>
      </c>
      <c r="J675">
        <v>12.898707337047268</v>
      </c>
      <c r="K675">
        <v>13.520481342525573</v>
      </c>
      <c r="L675">
        <v>12.162715994753118</v>
      </c>
      <c r="M675">
        <v>0</v>
      </c>
      <c r="N675">
        <v>12.128826043536778</v>
      </c>
      <c r="O675">
        <v>13.263435258357577</v>
      </c>
      <c r="P675">
        <v>12.645648552866897</v>
      </c>
      <c r="Q675">
        <v>12.888344381550377</v>
      </c>
      <c r="R675">
        <v>12.65297972701191</v>
      </c>
      <c r="S675">
        <v>0</v>
      </c>
      <c r="T675">
        <v>13.67229608228658</v>
      </c>
    </row>
    <row r="676" spans="1:20" x14ac:dyDescent="0.25">
      <c r="A676" s="5" t="s">
        <v>694</v>
      </c>
      <c r="B676">
        <v>11.070854019774488</v>
      </c>
      <c r="C676">
        <v>12.023566324681346</v>
      </c>
      <c r="D676">
        <v>11.275458380172202</v>
      </c>
      <c r="E676">
        <v>10.759798799491483</v>
      </c>
      <c r="F676">
        <v>10.530341306200398</v>
      </c>
      <c r="G676">
        <v>11.527223148693629</v>
      </c>
      <c r="H676">
        <v>9.6452337554006817</v>
      </c>
      <c r="I676">
        <v>11.25046019925726</v>
      </c>
      <c r="J676">
        <v>10.63824407138887</v>
      </c>
      <c r="K676">
        <v>10.718802274024883</v>
      </c>
      <c r="L676">
        <v>11.74164519909924</v>
      </c>
      <c r="M676">
        <v>10.798518856810462</v>
      </c>
      <c r="N676">
        <v>10.657644788038352</v>
      </c>
      <c r="O676">
        <v>11.159709394693195</v>
      </c>
      <c r="P676">
        <v>10.182708208337331</v>
      </c>
      <c r="Q676">
        <v>10.150385924693074</v>
      </c>
      <c r="R676">
        <v>9.7389650539958001</v>
      </c>
      <c r="S676">
        <v>10.728149595814944</v>
      </c>
      <c r="T676">
        <v>9.8130362315976818</v>
      </c>
    </row>
    <row r="677" spans="1:20" x14ac:dyDescent="0.25">
      <c r="A677" s="6" t="s">
        <v>695</v>
      </c>
      <c r="B677">
        <v>8.6815153593432957</v>
      </c>
      <c r="C677">
        <v>8.9024428780208069</v>
      </c>
      <c r="D677">
        <v>8.3516671860893812</v>
      </c>
      <c r="E677">
        <v>8.2958064705877135</v>
      </c>
      <c r="F677">
        <v>9.4766380419334482</v>
      </c>
      <c r="G677">
        <v>9.1624390264861226</v>
      </c>
      <c r="H677">
        <v>8.7326766685776072</v>
      </c>
      <c r="I677">
        <v>8.4735429311956239</v>
      </c>
      <c r="J677">
        <v>9.572363690759726</v>
      </c>
      <c r="K677">
        <v>9.0743580982344074</v>
      </c>
      <c r="L677">
        <v>8.8323976544355354</v>
      </c>
      <c r="M677">
        <v>8.6640830997932348</v>
      </c>
      <c r="N677">
        <v>8.1901736352047187</v>
      </c>
      <c r="O677">
        <v>9.6548299859450371</v>
      </c>
      <c r="P677">
        <v>9.1885931038280457</v>
      </c>
      <c r="Q677">
        <v>10.691709924965688</v>
      </c>
      <c r="R677">
        <v>10.507225891895791</v>
      </c>
      <c r="S677">
        <v>10.684642747802807</v>
      </c>
      <c r="T677">
        <v>10.772931112968445</v>
      </c>
    </row>
    <row r="678" spans="1:20" x14ac:dyDescent="0.25">
      <c r="A678" s="5" t="s">
        <v>696</v>
      </c>
      <c r="B678">
        <v>11.163867429754722</v>
      </c>
      <c r="C678">
        <v>10.887600763754532</v>
      </c>
      <c r="D678">
        <v>10.793496481666873</v>
      </c>
      <c r="E678">
        <v>11.23906465198411</v>
      </c>
      <c r="F678">
        <v>10.504169815624143</v>
      </c>
      <c r="G678">
        <v>11.033387430887036</v>
      </c>
      <c r="H678">
        <v>11.311180103173177</v>
      </c>
      <c r="I678">
        <v>10.803901760533668</v>
      </c>
      <c r="J678">
        <v>10.917442063425289</v>
      </c>
      <c r="K678">
        <v>11.268206158347185</v>
      </c>
      <c r="L678">
        <v>11.318408982861754</v>
      </c>
      <c r="M678">
        <v>11.226693147493128</v>
      </c>
      <c r="N678">
        <v>10.603115784772895</v>
      </c>
      <c r="O678">
        <v>10.930450350586895</v>
      </c>
      <c r="P678">
        <v>11.409815035392802</v>
      </c>
      <c r="Q678">
        <v>10.944014626004005</v>
      </c>
      <c r="R678">
        <v>11.222474414910964</v>
      </c>
      <c r="S678">
        <v>11.219086277647499</v>
      </c>
      <c r="T678">
        <v>11.356948553402756</v>
      </c>
    </row>
    <row r="679" spans="1:20" x14ac:dyDescent="0.25">
      <c r="A679" s="6" t="s">
        <v>697</v>
      </c>
      <c r="B679">
        <v>15.986710123516636</v>
      </c>
      <c r="C679">
        <v>14.150208855799516</v>
      </c>
      <c r="D679">
        <v>13.386217924501876</v>
      </c>
      <c r="E679">
        <v>12.571836576171702</v>
      </c>
      <c r="F679">
        <v>14.904768509980459</v>
      </c>
      <c r="G679">
        <v>0</v>
      </c>
      <c r="H679">
        <v>13.177710022138706</v>
      </c>
      <c r="I679">
        <v>13.2493042934939</v>
      </c>
      <c r="J679">
        <v>0</v>
      </c>
      <c r="K679">
        <v>0</v>
      </c>
      <c r="L679">
        <v>13.655444164049936</v>
      </c>
      <c r="M679">
        <v>0</v>
      </c>
      <c r="N679">
        <v>13.052818709102031</v>
      </c>
      <c r="O679">
        <v>12.183597173643703</v>
      </c>
      <c r="P679">
        <v>15.139754498162349</v>
      </c>
      <c r="Q679">
        <v>13.624140044131927</v>
      </c>
      <c r="R679">
        <v>14.691254239990466</v>
      </c>
      <c r="S679">
        <v>14.313917449896843</v>
      </c>
      <c r="T679">
        <v>14.887174449965721</v>
      </c>
    </row>
    <row r="680" spans="1:20" x14ac:dyDescent="0.25">
      <c r="A680" s="5" t="s">
        <v>698</v>
      </c>
      <c r="B680">
        <v>0</v>
      </c>
      <c r="C680">
        <v>0</v>
      </c>
      <c r="D680">
        <v>0</v>
      </c>
      <c r="E680">
        <v>0</v>
      </c>
      <c r="F680">
        <v>14.613251727989191</v>
      </c>
      <c r="G680">
        <v>15.646166350461927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15.505303814622076</v>
      </c>
      <c r="O680">
        <v>0</v>
      </c>
      <c r="P680">
        <v>14.113945311812744</v>
      </c>
      <c r="Q680">
        <v>12.781963694370907</v>
      </c>
      <c r="R680">
        <v>13.488625073475445</v>
      </c>
      <c r="S680">
        <v>12.512889483585043</v>
      </c>
      <c r="T680">
        <v>12.507486282662835</v>
      </c>
    </row>
    <row r="681" spans="1:20" x14ac:dyDescent="0.25">
      <c r="A681" s="6" t="s">
        <v>699</v>
      </c>
      <c r="B681">
        <v>13.604240486694223</v>
      </c>
      <c r="C681">
        <v>14.420606650046794</v>
      </c>
      <c r="D681">
        <v>14.376979717646538</v>
      </c>
      <c r="E681">
        <v>14.67229608228658</v>
      </c>
      <c r="F681">
        <v>13.321281912243151</v>
      </c>
      <c r="G681">
        <v>14.325718702129196</v>
      </c>
      <c r="H681">
        <v>14.328684160605755</v>
      </c>
      <c r="I681">
        <v>14.061203849740769</v>
      </c>
      <c r="J681">
        <v>13.75365077712833</v>
      </c>
      <c r="K681">
        <v>14.0860785183798</v>
      </c>
      <c r="L681">
        <v>13.936084050446667</v>
      </c>
      <c r="M681">
        <v>13.470498455291123</v>
      </c>
      <c r="N681">
        <v>13.859033969601219</v>
      </c>
      <c r="O681">
        <v>13.441319358697088</v>
      </c>
      <c r="P681">
        <v>13.706602204323898</v>
      </c>
      <c r="Q681">
        <v>13.920341313900922</v>
      </c>
      <c r="R681">
        <v>13.984369985062118</v>
      </c>
      <c r="S681">
        <v>14.206372752097511</v>
      </c>
      <c r="T681">
        <v>13.769680886947281</v>
      </c>
    </row>
    <row r="682" spans="1:20" x14ac:dyDescent="0.25">
      <c r="A682" s="5" t="s">
        <v>700</v>
      </c>
      <c r="B682">
        <v>15.691254239990466</v>
      </c>
      <c r="C682">
        <v>15.187407473753764</v>
      </c>
      <c r="D682">
        <v>15.340607327981576</v>
      </c>
      <c r="E682">
        <v>15.171347622857667</v>
      </c>
      <c r="F682">
        <v>16.05382431937517</v>
      </c>
      <c r="G682">
        <v>15.539251146545414</v>
      </c>
      <c r="H682">
        <v>16.242269408788282</v>
      </c>
      <c r="I682">
        <v>16.299300353824663</v>
      </c>
      <c r="J682">
        <v>15.913646661326911</v>
      </c>
      <c r="K682">
        <v>15.287712379549449</v>
      </c>
      <c r="L682">
        <v>15.566996137028319</v>
      </c>
      <c r="M682">
        <v>0</v>
      </c>
      <c r="N682">
        <v>0</v>
      </c>
      <c r="O682">
        <v>15.777763233245141</v>
      </c>
      <c r="P682">
        <v>17.047947753038503</v>
      </c>
      <c r="Q682">
        <v>0</v>
      </c>
      <c r="R682">
        <v>17.368410438921366</v>
      </c>
      <c r="S682">
        <v>0</v>
      </c>
      <c r="T682">
        <v>0</v>
      </c>
    </row>
    <row r="683" spans="1:20" x14ac:dyDescent="0.25">
      <c r="A683" s="6" t="s">
        <v>701</v>
      </c>
      <c r="B683">
        <v>13.710464843956299</v>
      </c>
      <c r="C683">
        <v>13.655444164049936</v>
      </c>
      <c r="D683">
        <v>13.869792371737484</v>
      </c>
      <c r="E683">
        <v>13.889362009203486</v>
      </c>
      <c r="F683">
        <v>13.579304396065853</v>
      </c>
      <c r="G683">
        <v>12.810604990236085</v>
      </c>
      <c r="H683">
        <v>13.833536486363649</v>
      </c>
      <c r="I683">
        <v>14.322759326648649</v>
      </c>
      <c r="J683">
        <v>13.537534673956392</v>
      </c>
      <c r="K683">
        <v>13.447752792059918</v>
      </c>
      <c r="L683">
        <v>14.034328143749375</v>
      </c>
      <c r="M683">
        <v>14.124213647266572</v>
      </c>
      <c r="N683">
        <v>15.187407473753764</v>
      </c>
      <c r="O683">
        <v>14.389310519557256</v>
      </c>
      <c r="P683">
        <v>13.783854846972021</v>
      </c>
      <c r="Q683">
        <v>13.512029677810389</v>
      </c>
      <c r="R683">
        <v>13.865479378866404</v>
      </c>
      <c r="S683">
        <v>12.921807120699057</v>
      </c>
      <c r="T683">
        <v>13.438113368398</v>
      </c>
    </row>
    <row r="684" spans="1:20" x14ac:dyDescent="0.25">
      <c r="A684" s="5" t="s">
        <v>702</v>
      </c>
      <c r="B684">
        <v>11.942531771616812</v>
      </c>
      <c r="C684">
        <v>11.365267124458702</v>
      </c>
      <c r="D684">
        <v>12.011805418765347</v>
      </c>
      <c r="E684">
        <v>11.749050065061956</v>
      </c>
      <c r="F684">
        <v>11.347248661826432</v>
      </c>
      <c r="G684">
        <v>11.100555912432245</v>
      </c>
      <c r="H684">
        <v>11.246707763127679</v>
      </c>
      <c r="I684">
        <v>11.206086423274208</v>
      </c>
      <c r="J684">
        <v>11.754851862265401</v>
      </c>
      <c r="K684">
        <v>11.870775380575076</v>
      </c>
      <c r="L684">
        <v>11.278164548313624</v>
      </c>
      <c r="M684">
        <v>11.549026676040794</v>
      </c>
      <c r="N684">
        <v>11.870537668689431</v>
      </c>
      <c r="O684">
        <v>11.96514387022542</v>
      </c>
      <c r="P684">
        <v>11.093048490860916</v>
      </c>
      <c r="Q684">
        <v>11.203100402936515</v>
      </c>
      <c r="R684">
        <v>10.986528627034772</v>
      </c>
      <c r="S684">
        <v>10.407998772554549</v>
      </c>
      <c r="T684">
        <v>11.373986163794347</v>
      </c>
    </row>
    <row r="685" spans="1:20" x14ac:dyDescent="0.25">
      <c r="A685" s="6" t="s">
        <v>703</v>
      </c>
      <c r="B685">
        <v>9.6163046378186117</v>
      </c>
      <c r="C685">
        <v>10.003549190797505</v>
      </c>
      <c r="D685">
        <v>9.5030251922642126</v>
      </c>
      <c r="E685">
        <v>9.8996165448276532</v>
      </c>
      <c r="F685">
        <v>10.008453566483482</v>
      </c>
      <c r="G685">
        <v>10.166562664957402</v>
      </c>
      <c r="H685">
        <v>10.328719412072664</v>
      </c>
      <c r="I685">
        <v>10.162024913439152</v>
      </c>
      <c r="J685">
        <v>10.576122764730576</v>
      </c>
      <c r="K685">
        <v>10.087655367322222</v>
      </c>
      <c r="L685">
        <v>10.169575288387266</v>
      </c>
      <c r="M685">
        <v>10.127954041493151</v>
      </c>
      <c r="N685">
        <v>10.854680839324608</v>
      </c>
      <c r="O685">
        <v>10.005824255092222</v>
      </c>
      <c r="P685">
        <v>11.248037023924164</v>
      </c>
      <c r="Q685">
        <v>11.62599013831119</v>
      </c>
      <c r="R685">
        <v>12.214776539176762</v>
      </c>
      <c r="S685">
        <v>12.262789930135133</v>
      </c>
      <c r="T685">
        <v>11.456491795070846</v>
      </c>
    </row>
    <row r="686" spans="1:20" x14ac:dyDescent="0.25">
      <c r="A686" s="5" t="s">
        <v>704</v>
      </c>
      <c r="B686">
        <v>8.3677812279029364</v>
      </c>
      <c r="C686">
        <v>8.2700621156352092</v>
      </c>
      <c r="D686">
        <v>8.2198310542564439</v>
      </c>
      <c r="E686">
        <v>8.1390015278026802</v>
      </c>
      <c r="F686">
        <v>7.8119397207793044</v>
      </c>
      <c r="G686">
        <v>8.1570685127102607</v>
      </c>
      <c r="H686">
        <v>8.3594458205949316</v>
      </c>
      <c r="I686">
        <v>8.3988191468619959</v>
      </c>
      <c r="J686">
        <v>8.2180252482307061</v>
      </c>
      <c r="K686">
        <v>8.2570867317258525</v>
      </c>
      <c r="L686">
        <v>8.1796086656278248</v>
      </c>
      <c r="M686">
        <v>8.0149613059899476</v>
      </c>
      <c r="N686">
        <v>8.9175501918952467</v>
      </c>
      <c r="O686">
        <v>8.1893159831140547</v>
      </c>
      <c r="P686">
        <v>8.0217579704768003</v>
      </c>
      <c r="Q686">
        <v>7.9792113397578719</v>
      </c>
      <c r="R686">
        <v>7.9416703141148162</v>
      </c>
      <c r="S686">
        <v>7.7470660327704586</v>
      </c>
      <c r="T686">
        <v>7.9724164262787607</v>
      </c>
    </row>
    <row r="687" spans="1:20" x14ac:dyDescent="0.25">
      <c r="A687" s="6" t="s">
        <v>705</v>
      </c>
      <c r="B687">
        <v>12.065025266325724</v>
      </c>
      <c r="C687">
        <v>12.487812749832434</v>
      </c>
      <c r="D687">
        <v>12.395041585362346</v>
      </c>
      <c r="E687">
        <v>12.511979116954294</v>
      </c>
      <c r="F687">
        <v>11.876372915082049</v>
      </c>
      <c r="G687">
        <v>12.052769672868013</v>
      </c>
      <c r="H687">
        <v>12.46038110893719</v>
      </c>
      <c r="I687">
        <v>12.322825845883829</v>
      </c>
      <c r="J687">
        <v>12.017739692117209</v>
      </c>
      <c r="K687">
        <v>12.262038592901837</v>
      </c>
      <c r="L687">
        <v>12.326007566295694</v>
      </c>
      <c r="M687">
        <v>11.869835566846422</v>
      </c>
      <c r="N687">
        <v>12.618504154377812</v>
      </c>
      <c r="O687">
        <v>12.317145820643361</v>
      </c>
      <c r="P687">
        <v>11.505085749294835</v>
      </c>
      <c r="Q687">
        <v>11.453078012457498</v>
      </c>
      <c r="R687">
        <v>11.38137588523089</v>
      </c>
      <c r="S687">
        <v>11.215647750501898</v>
      </c>
      <c r="T687">
        <v>11.253302955958628</v>
      </c>
    </row>
    <row r="688" spans="1:20" x14ac:dyDescent="0.25">
      <c r="A688" s="5" t="s">
        <v>706</v>
      </c>
      <c r="B688">
        <v>5.3373775328548865</v>
      </c>
      <c r="C688">
        <v>5.4277459984052072</v>
      </c>
      <c r="D688">
        <v>5.5014445818211088</v>
      </c>
      <c r="E688">
        <v>5.1711384372613027</v>
      </c>
      <c r="F688">
        <v>5.0690668582068863</v>
      </c>
      <c r="G688">
        <v>5.5447417965888208</v>
      </c>
      <c r="H688">
        <v>5.727948862950945</v>
      </c>
      <c r="I688">
        <v>5.8077650635312956</v>
      </c>
      <c r="J688">
        <v>5.4798251110818246</v>
      </c>
      <c r="K688">
        <v>5.632593290158975</v>
      </c>
      <c r="L688">
        <v>5.6459675311919186</v>
      </c>
      <c r="M688">
        <v>5.4385432586890543</v>
      </c>
      <c r="N688">
        <v>6.054296419960278</v>
      </c>
      <c r="O688">
        <v>5.4045650252556765</v>
      </c>
      <c r="P688">
        <v>5.8464973387233155</v>
      </c>
      <c r="Q688">
        <v>6.2195670918859802</v>
      </c>
      <c r="R688">
        <v>6.34586471761894</v>
      </c>
      <c r="S688">
        <v>6.4247479035720545</v>
      </c>
      <c r="T688">
        <v>6.1003858445043546</v>
      </c>
    </row>
    <row r="689" spans="1:20" x14ac:dyDescent="0.25">
      <c r="A689" s="6" t="s">
        <v>707</v>
      </c>
      <c r="B689">
        <v>10.622396930301178</v>
      </c>
      <c r="C689">
        <v>10.414483856848403</v>
      </c>
      <c r="D689">
        <v>10.530955928242175</v>
      </c>
      <c r="E689">
        <v>10.49956960858456</v>
      </c>
      <c r="F689">
        <v>9.8419737597147527</v>
      </c>
      <c r="G689">
        <v>10.163026923974078</v>
      </c>
      <c r="H689">
        <v>10.233407402687295</v>
      </c>
      <c r="I689">
        <v>10.174643697804589</v>
      </c>
      <c r="J689">
        <v>10.310143030078011</v>
      </c>
      <c r="K689">
        <v>10.298998611973493</v>
      </c>
      <c r="L689">
        <v>10.216965857108285</v>
      </c>
      <c r="M689">
        <v>10.61656849341926</v>
      </c>
      <c r="N689">
        <v>11.145802257177055</v>
      </c>
      <c r="O689">
        <v>10.557468064314225</v>
      </c>
      <c r="P689">
        <v>10.635239651965755</v>
      </c>
      <c r="Q689">
        <v>10.69376826428986</v>
      </c>
      <c r="R689">
        <v>10.732816604130438</v>
      </c>
      <c r="S689">
        <v>10.366933180676851</v>
      </c>
      <c r="T689">
        <v>10.859481531720828</v>
      </c>
    </row>
    <row r="690" spans="1:20" x14ac:dyDescent="0.25">
      <c r="A690" s="5" t="s">
        <v>708</v>
      </c>
      <c r="B690">
        <v>11.230750886853032</v>
      </c>
      <c r="C690">
        <v>11.700702705019888</v>
      </c>
      <c r="D690">
        <v>11.294719224845164</v>
      </c>
      <c r="E690">
        <v>11.57490972860484</v>
      </c>
      <c r="F690">
        <v>10.835812895456119</v>
      </c>
      <c r="G690">
        <v>11.027996981558912</v>
      </c>
      <c r="H690">
        <v>11.142853498808215</v>
      </c>
      <c r="I690">
        <v>11.512463731385424</v>
      </c>
      <c r="J690">
        <v>10.871902343615838</v>
      </c>
      <c r="K690">
        <v>11.168661707682377</v>
      </c>
      <c r="L690">
        <v>10.979849653923297</v>
      </c>
      <c r="M690">
        <v>11.062113527579754</v>
      </c>
      <c r="N690">
        <v>11.964082908128693</v>
      </c>
      <c r="O690">
        <v>10.969606715048807</v>
      </c>
      <c r="P690">
        <v>10.954091147522105</v>
      </c>
      <c r="Q690">
        <v>10.668590519866134</v>
      </c>
      <c r="R690">
        <v>10.264598996845885</v>
      </c>
      <c r="S690">
        <v>10.732495018106606</v>
      </c>
      <c r="T690">
        <v>10.539334876812305</v>
      </c>
    </row>
    <row r="691" spans="1:20" x14ac:dyDescent="0.25">
      <c r="A691" s="6" t="s">
        <v>709</v>
      </c>
      <c r="B691">
        <v>12.818138934245097</v>
      </c>
      <c r="C691">
        <v>11.645764116576681</v>
      </c>
      <c r="D691">
        <v>11.713785313648119</v>
      </c>
      <c r="E691">
        <v>11.933660866492565</v>
      </c>
      <c r="F691">
        <v>12.579542804785012</v>
      </c>
      <c r="G691">
        <v>12.272279039202408</v>
      </c>
      <c r="H691">
        <v>12.959438859985871</v>
      </c>
      <c r="I691">
        <v>13.355651208206025</v>
      </c>
      <c r="J691">
        <v>12.985457677305615</v>
      </c>
      <c r="K691">
        <v>12.305465321784911</v>
      </c>
      <c r="L691">
        <v>12.204485393004475</v>
      </c>
      <c r="M691">
        <v>13.334633426936943</v>
      </c>
      <c r="N691">
        <v>14.182034301654912</v>
      </c>
      <c r="O691">
        <v>13.272814392502944</v>
      </c>
      <c r="P691">
        <v>13.876286133822985</v>
      </c>
      <c r="Q691">
        <v>13.693163829999097</v>
      </c>
      <c r="R691">
        <v>14.606038237756618</v>
      </c>
      <c r="S691">
        <v>13.794065045574239</v>
      </c>
      <c r="T691">
        <v>13.668534163490381</v>
      </c>
    </row>
    <row r="692" spans="1:20" x14ac:dyDescent="0.25">
      <c r="A692" s="5" t="s">
        <v>710</v>
      </c>
      <c r="B692">
        <v>5.6805308560223198</v>
      </c>
      <c r="C692">
        <v>5.7513979368102834</v>
      </c>
      <c r="D692">
        <v>5.8466239389566894</v>
      </c>
      <c r="E692">
        <v>5.6702870110760921</v>
      </c>
      <c r="F692">
        <v>5.7918146719001662</v>
      </c>
      <c r="G692">
        <v>5.8248360158617425</v>
      </c>
      <c r="H692">
        <v>6.0263211017786151</v>
      </c>
      <c r="I692">
        <v>6.1620627242201857</v>
      </c>
      <c r="J692">
        <v>5.7910203528179292</v>
      </c>
      <c r="K692">
        <v>6.0000440432664881</v>
      </c>
      <c r="L692">
        <v>6.040649698237373</v>
      </c>
      <c r="M692">
        <v>5.7734195000000499</v>
      </c>
      <c r="N692">
        <v>6.38549839762043</v>
      </c>
      <c r="O692">
        <v>5.6527045555646493</v>
      </c>
      <c r="P692">
        <v>5.8674265474205658</v>
      </c>
      <c r="Q692">
        <v>6.3916944053957137</v>
      </c>
      <c r="R692">
        <v>6.2170856276367212</v>
      </c>
      <c r="S692">
        <v>6.3093470646737515</v>
      </c>
      <c r="T692">
        <v>6.3551895705104799</v>
      </c>
    </row>
    <row r="693" spans="1:20" x14ac:dyDescent="0.25">
      <c r="A693" s="6" t="s">
        <v>711</v>
      </c>
      <c r="B693">
        <v>9.4288779594137058</v>
      </c>
      <c r="C693">
        <v>8.2730348373484048</v>
      </c>
      <c r="D693">
        <v>8.3105364254384053</v>
      </c>
      <c r="E693">
        <v>8.1874495305421675</v>
      </c>
      <c r="F693">
        <v>8.8014903571169167</v>
      </c>
      <c r="G693">
        <v>8.0534547987761904</v>
      </c>
      <c r="H693">
        <v>8.622560684251102</v>
      </c>
      <c r="I693">
        <v>8.7822564828781715</v>
      </c>
      <c r="J693">
        <v>9.0044402625016229</v>
      </c>
      <c r="K693">
        <v>8.290182854613354</v>
      </c>
      <c r="L693">
        <v>8.330743176547454</v>
      </c>
      <c r="M693">
        <v>9.5589570367239158</v>
      </c>
      <c r="N693">
        <v>9.9239119255706072</v>
      </c>
      <c r="O693">
        <v>8.6604715141252733</v>
      </c>
      <c r="P693">
        <v>8.9428405739513259</v>
      </c>
      <c r="Q693">
        <v>9.2501930992418639</v>
      </c>
      <c r="R693">
        <v>9.3407588638161467</v>
      </c>
      <c r="S693">
        <v>8.2725462448927285</v>
      </c>
      <c r="T693">
        <v>9.4364570616359789</v>
      </c>
    </row>
    <row r="694" spans="1:20" x14ac:dyDescent="0.25">
      <c r="A694" s="5" t="s">
        <v>712</v>
      </c>
      <c r="B694">
        <v>15.225590667641651</v>
      </c>
      <c r="C694">
        <v>14.931568569324176</v>
      </c>
      <c r="D694">
        <v>15.383131944628133</v>
      </c>
      <c r="E694">
        <v>15.810553168362809</v>
      </c>
      <c r="F694">
        <v>15.904768509980459</v>
      </c>
      <c r="G694">
        <v>15.827231909509438</v>
      </c>
      <c r="H694">
        <v>15.408006613267162</v>
      </c>
      <c r="I694">
        <v>15.010322680738586</v>
      </c>
      <c r="J694">
        <v>15.878457232864612</v>
      </c>
      <c r="K694">
        <v>14.62050146706858</v>
      </c>
      <c r="L694">
        <v>15.293494732143458</v>
      </c>
      <c r="M694">
        <v>15.446141742153934</v>
      </c>
      <c r="N694">
        <v>14.802285552379209</v>
      </c>
      <c r="O694">
        <v>15.395515669083965</v>
      </c>
      <c r="P694">
        <v>15.005569150767952</v>
      </c>
      <c r="Q694">
        <v>14.4397154729945</v>
      </c>
      <c r="R694">
        <v>13.196032853286351</v>
      </c>
      <c r="S694">
        <v>14.646166350461927</v>
      </c>
      <c r="T694">
        <v>14.729934708154525</v>
      </c>
    </row>
    <row r="695" spans="1:20" x14ac:dyDescent="0.25">
      <c r="A695" s="6" t="s">
        <v>713</v>
      </c>
      <c r="B695">
        <v>11.249142751262118</v>
      </c>
      <c r="C695">
        <v>11.159745700823281</v>
      </c>
      <c r="D695">
        <v>10.620131301570362</v>
      </c>
      <c r="E695">
        <v>10.731273154052204</v>
      </c>
      <c r="F695">
        <v>10.275134767443101</v>
      </c>
      <c r="G695">
        <v>11.130451957950759</v>
      </c>
      <c r="H695">
        <v>11.093253351757442</v>
      </c>
      <c r="I695">
        <v>12.053732313696695</v>
      </c>
      <c r="J695">
        <v>11.173778561329927</v>
      </c>
      <c r="K695">
        <v>11.037117588140614</v>
      </c>
      <c r="L695">
        <v>11.262570158948556</v>
      </c>
      <c r="M695">
        <v>11.243374220356666</v>
      </c>
      <c r="N695">
        <v>11.602314885128568</v>
      </c>
      <c r="O695">
        <v>10.775740927038871</v>
      </c>
      <c r="P695">
        <v>10.672404382650189</v>
      </c>
      <c r="Q695">
        <v>10.629254088501183</v>
      </c>
      <c r="R695">
        <v>10.450449281493416</v>
      </c>
      <c r="S695">
        <v>9.980040511172108</v>
      </c>
      <c r="T695">
        <v>10.493019958172148</v>
      </c>
    </row>
    <row r="696" spans="1:20" x14ac:dyDescent="0.25">
      <c r="A696" s="5" t="s">
        <v>714</v>
      </c>
      <c r="B696">
        <v>11.431850218931372</v>
      </c>
      <c r="C696">
        <v>11.556598667124515</v>
      </c>
      <c r="D696">
        <v>11.175038932735511</v>
      </c>
      <c r="E696">
        <v>11.542931273685475</v>
      </c>
      <c r="F696">
        <v>11.934857828669013</v>
      </c>
      <c r="G696">
        <v>12.091388614908544</v>
      </c>
      <c r="H696">
        <v>13.294943948780526</v>
      </c>
      <c r="I696">
        <v>12.845665955047092</v>
      </c>
      <c r="J696">
        <v>11.869630401596316</v>
      </c>
      <c r="K696">
        <v>12.400678488629046</v>
      </c>
      <c r="L696">
        <v>12.096547725017835</v>
      </c>
      <c r="M696">
        <v>12.724310158960645</v>
      </c>
      <c r="N696">
        <v>14.068621321303253</v>
      </c>
      <c r="O696">
        <v>12.396915513446716</v>
      </c>
      <c r="P696">
        <v>13.019625376538039</v>
      </c>
      <c r="Q696">
        <v>14.495273449484813</v>
      </c>
      <c r="R696">
        <v>13.911421996212397</v>
      </c>
      <c r="S696">
        <v>14.963477817278919</v>
      </c>
      <c r="T696">
        <v>14.525576209648337</v>
      </c>
    </row>
    <row r="697" spans="1:20" x14ac:dyDescent="0.25">
      <c r="A697" s="6" t="s">
        <v>715</v>
      </c>
      <c r="B697">
        <v>8.8568564314821518</v>
      </c>
      <c r="C697">
        <v>8.8908637735438703</v>
      </c>
      <c r="D697">
        <v>9.0692473686263035</v>
      </c>
      <c r="E697">
        <v>9.0070878346671996</v>
      </c>
      <c r="F697">
        <v>8.0129367332562929</v>
      </c>
      <c r="G697">
        <v>8.1249118165083267</v>
      </c>
      <c r="H697">
        <v>8.4548193281351871</v>
      </c>
      <c r="I697">
        <v>8.2853190412347928</v>
      </c>
      <c r="J697">
        <v>7.7561088390740718</v>
      </c>
      <c r="K697">
        <v>8.3286006737250933</v>
      </c>
      <c r="L697">
        <v>8.4263748076772913</v>
      </c>
      <c r="M697">
        <v>8.1693410243649502</v>
      </c>
      <c r="N697">
        <v>8.6561720942333125</v>
      </c>
      <c r="O697">
        <v>8.1119989710156464</v>
      </c>
      <c r="P697">
        <v>6.9408361344691345</v>
      </c>
      <c r="Q697">
        <v>6.9958662932217486</v>
      </c>
      <c r="R697">
        <v>6.2927108373156582</v>
      </c>
      <c r="S697">
        <v>6.5851812991293066</v>
      </c>
      <c r="T697">
        <v>7.1858673578374095</v>
      </c>
    </row>
    <row r="698" spans="1:20" x14ac:dyDescent="0.25">
      <c r="A698" s="5" t="s">
        <v>716</v>
      </c>
      <c r="B698">
        <v>7.2490749352540211</v>
      </c>
      <c r="C698">
        <v>0</v>
      </c>
      <c r="D698">
        <v>6.7052951733649033</v>
      </c>
      <c r="E698">
        <v>6.4708483993802908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6.498540937251903</v>
      </c>
      <c r="L698">
        <v>0</v>
      </c>
      <c r="M698">
        <v>0</v>
      </c>
      <c r="N698">
        <v>0</v>
      </c>
      <c r="O698">
        <v>6.653345638978104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25">
      <c r="A699" s="6" t="s">
        <v>717</v>
      </c>
      <c r="B699">
        <v>11.093521290676671</v>
      </c>
      <c r="C699">
        <v>11.06274292857378</v>
      </c>
      <c r="D699">
        <v>10.774064992565991</v>
      </c>
      <c r="E699">
        <v>10.503484817504873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11.040793586570466</v>
      </c>
      <c r="L699">
        <v>11.248900471824932</v>
      </c>
      <c r="M699">
        <v>0</v>
      </c>
      <c r="N699">
        <v>11.670028351771462</v>
      </c>
      <c r="O699">
        <v>11.200140915938233</v>
      </c>
      <c r="P699">
        <v>11.502814797677837</v>
      </c>
      <c r="Q699">
        <v>11.481895778057625</v>
      </c>
      <c r="R699">
        <v>0</v>
      </c>
      <c r="S699">
        <v>10.803656764096795</v>
      </c>
      <c r="T699">
        <v>11.450661261277601</v>
      </c>
    </row>
    <row r="700" spans="1:20" x14ac:dyDescent="0.25">
      <c r="A700" s="5" t="s">
        <v>718</v>
      </c>
      <c r="B700">
        <v>7.5418646400782867</v>
      </c>
      <c r="C700">
        <v>7.7029260185999524</v>
      </c>
      <c r="D700">
        <v>7.4783362670569211</v>
      </c>
      <c r="E700">
        <v>7.5791744467922797</v>
      </c>
      <c r="F700">
        <v>7.9319722704590365</v>
      </c>
      <c r="G700">
        <v>7.8874429309833465</v>
      </c>
      <c r="H700">
        <v>7.7829191283164736</v>
      </c>
      <c r="I700">
        <v>8.0817748922905093</v>
      </c>
      <c r="J700">
        <v>7.7778914630244742</v>
      </c>
      <c r="K700">
        <v>7.9000675729321035</v>
      </c>
      <c r="L700">
        <v>8.0052410669019007</v>
      </c>
      <c r="M700">
        <v>7.9893872858465542</v>
      </c>
      <c r="N700">
        <v>8.3716007544675328</v>
      </c>
      <c r="O700">
        <v>8.0081890824462683</v>
      </c>
      <c r="P700">
        <v>7.8075448624772603</v>
      </c>
      <c r="Q700">
        <v>8.0636775092721233</v>
      </c>
      <c r="R700">
        <v>7.9944684530921259</v>
      </c>
      <c r="S700">
        <v>8.129092593767222</v>
      </c>
      <c r="T700">
        <v>8.0227838019764306</v>
      </c>
    </row>
    <row r="701" spans="1:20" x14ac:dyDescent="0.25">
      <c r="A701" s="6" t="s">
        <v>719</v>
      </c>
      <c r="B701">
        <v>0</v>
      </c>
      <c r="C701">
        <v>15.019876987451834</v>
      </c>
      <c r="D701">
        <v>15.426948176920622</v>
      </c>
      <c r="E701">
        <v>15.785891114128539</v>
      </c>
      <c r="F701">
        <v>16.67003775408077</v>
      </c>
      <c r="G701">
        <v>15.922579786096922</v>
      </c>
      <c r="H701">
        <v>15.653583822024411</v>
      </c>
      <c r="I701">
        <v>16.220073662674086</v>
      </c>
      <c r="J701">
        <v>0</v>
      </c>
      <c r="K701">
        <v>16.015091924886459</v>
      </c>
      <c r="L701">
        <v>15.977372258937301</v>
      </c>
      <c r="M701">
        <v>0</v>
      </c>
      <c r="N701">
        <v>0</v>
      </c>
      <c r="O701">
        <v>16.512029677810389</v>
      </c>
      <c r="P701">
        <v>0</v>
      </c>
      <c r="Q701">
        <v>16.05382431937517</v>
      </c>
      <c r="R701">
        <v>16.420606650046796</v>
      </c>
      <c r="S701">
        <v>0</v>
      </c>
      <c r="T701">
        <v>15.887174449965721</v>
      </c>
    </row>
    <row r="702" spans="1:20" x14ac:dyDescent="0.25">
      <c r="A702" s="5" t="s">
        <v>720</v>
      </c>
      <c r="B702">
        <v>13.687442626040445</v>
      </c>
      <c r="C702">
        <v>14.078570981710859</v>
      </c>
      <c r="D702">
        <v>14.022275483500353</v>
      </c>
      <c r="E702">
        <v>13.358678900903593</v>
      </c>
      <c r="F702">
        <v>13.178338446440895</v>
      </c>
      <c r="G702">
        <v>13.909200756295721</v>
      </c>
      <c r="H702">
        <v>13.436513040956156</v>
      </c>
      <c r="I702">
        <v>13.191544999792695</v>
      </c>
      <c r="J702">
        <v>13.313917449896843</v>
      </c>
      <c r="K702">
        <v>13.691254239990464</v>
      </c>
      <c r="L702">
        <v>13.575777022570529</v>
      </c>
      <c r="M702">
        <v>13.767667355509634</v>
      </c>
      <c r="N702">
        <v>13.393961877828884</v>
      </c>
      <c r="O702">
        <v>13.253708011972867</v>
      </c>
      <c r="P702">
        <v>13.606038237756618</v>
      </c>
      <c r="Q702">
        <v>14.126792191368347</v>
      </c>
      <c r="R702">
        <v>14.370853614849695</v>
      </c>
      <c r="S702">
        <v>14.322759326648649</v>
      </c>
      <c r="T702">
        <v>13.812627496600667</v>
      </c>
    </row>
    <row r="703" spans="1:20" x14ac:dyDescent="0.25">
      <c r="A703" s="6" t="s">
        <v>721</v>
      </c>
      <c r="B703">
        <v>13.761643567881864</v>
      </c>
      <c r="C703">
        <v>14.411146320797728</v>
      </c>
      <c r="D703">
        <v>14.373913414598753</v>
      </c>
      <c r="E703">
        <v>13.961175031409498</v>
      </c>
      <c r="F703">
        <v>13.812627496600667</v>
      </c>
      <c r="G703">
        <v>14.088589737535848</v>
      </c>
      <c r="H703">
        <v>13.61687204366789</v>
      </c>
      <c r="I703">
        <v>13.887174449965721</v>
      </c>
      <c r="J703">
        <v>13.327200669430427</v>
      </c>
      <c r="K703">
        <v>14.182034301654912</v>
      </c>
      <c r="L703">
        <v>14.051372840381076</v>
      </c>
      <c r="M703">
        <v>13.938347101955237</v>
      </c>
      <c r="N703">
        <v>13.518787043985698</v>
      </c>
      <c r="O703">
        <v>13.222801943237089</v>
      </c>
      <c r="P703">
        <v>14.150208855799516</v>
      </c>
      <c r="Q703">
        <v>14.106291739269308</v>
      </c>
      <c r="R703">
        <v>14.119070343990613</v>
      </c>
      <c r="S703">
        <v>14.733860411368322</v>
      </c>
      <c r="T703">
        <v>14.029494990013431</v>
      </c>
    </row>
    <row r="704" spans="1:20" x14ac:dyDescent="0.25">
      <c r="A704" s="5" t="s">
        <v>722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13.194787832302746</v>
      </c>
      <c r="R704">
        <v>14.27335708657238</v>
      </c>
      <c r="S704">
        <v>14.95428864582426</v>
      </c>
      <c r="T704">
        <v>14.449365643028219</v>
      </c>
    </row>
    <row r="705" spans="1:20" x14ac:dyDescent="0.25">
      <c r="A705" s="6" t="s">
        <v>723</v>
      </c>
      <c r="B705">
        <v>8.3444464609985776</v>
      </c>
      <c r="C705">
        <v>8.9807014219821131</v>
      </c>
      <c r="D705">
        <v>8.8648416117864386</v>
      </c>
      <c r="E705">
        <v>8.7820176747689107</v>
      </c>
      <c r="F705">
        <v>9.0452485863095848</v>
      </c>
      <c r="G705">
        <v>9.1851407453008775</v>
      </c>
      <c r="H705">
        <v>9.2541219910463113</v>
      </c>
      <c r="I705">
        <v>9.0581998234436618</v>
      </c>
      <c r="J705">
        <v>8.8875016892182526</v>
      </c>
      <c r="K705">
        <v>8.7333445534038674</v>
      </c>
      <c r="L705">
        <v>8.6567268711559109</v>
      </c>
      <c r="M705">
        <v>8.796642398233061</v>
      </c>
      <c r="N705">
        <v>8.6619708114192662</v>
      </c>
      <c r="O705">
        <v>8.5912900516974684</v>
      </c>
      <c r="P705">
        <v>9.0938854521519854</v>
      </c>
      <c r="Q705">
        <v>10.241998579400303</v>
      </c>
      <c r="R705">
        <v>9.7812691151208515</v>
      </c>
      <c r="S705">
        <v>10.531675454010918</v>
      </c>
      <c r="T705">
        <v>10.16574710255497</v>
      </c>
    </row>
    <row r="706" spans="1:20" x14ac:dyDescent="0.25">
      <c r="A706" s="5" t="s">
        <v>724</v>
      </c>
      <c r="B706">
        <v>11.419416759275515</v>
      </c>
      <c r="C706">
        <v>14.512029677810389</v>
      </c>
      <c r="D706">
        <v>12.804729898532804</v>
      </c>
      <c r="E706">
        <v>13.563498692792091</v>
      </c>
      <c r="F706">
        <v>12.971995453722041</v>
      </c>
      <c r="G706">
        <v>13.342104676368077</v>
      </c>
      <c r="H706">
        <v>12.207163860383037</v>
      </c>
      <c r="I706">
        <v>12.750784178245476</v>
      </c>
      <c r="J706">
        <v>12.016926316510375</v>
      </c>
      <c r="K706">
        <v>13.121652561904616</v>
      </c>
      <c r="L706">
        <v>14.005569150767952</v>
      </c>
      <c r="M706">
        <v>12.220459167048576</v>
      </c>
      <c r="N706">
        <v>12.430272745360931</v>
      </c>
      <c r="O706">
        <v>12.644419527889445</v>
      </c>
      <c r="P706">
        <v>12.084172910971672</v>
      </c>
      <c r="Q706">
        <v>11.923352865533596</v>
      </c>
      <c r="R706">
        <v>11.488148399560327</v>
      </c>
      <c r="S706">
        <v>13.486967755612673</v>
      </c>
      <c r="T706">
        <v>12.115743405745214</v>
      </c>
    </row>
    <row r="707" spans="1:20" x14ac:dyDescent="0.25">
      <c r="A707" s="6" t="s">
        <v>725</v>
      </c>
      <c r="B707">
        <v>14.714337853103507</v>
      </c>
      <c r="C707">
        <v>14.515404404591045</v>
      </c>
      <c r="D707">
        <v>14.539251146545414</v>
      </c>
      <c r="E707">
        <v>14.340607327981576</v>
      </c>
      <c r="F707">
        <v>14.325718702129196</v>
      </c>
      <c r="G707">
        <v>13.800226030200914</v>
      </c>
      <c r="H707">
        <v>14.299300353824661</v>
      </c>
      <c r="I707">
        <v>14.92257978609692</v>
      </c>
      <c r="J707">
        <v>14.334633426936943</v>
      </c>
      <c r="K707">
        <v>14.404873723782199</v>
      </c>
      <c r="L707">
        <v>13.525576209648337</v>
      </c>
      <c r="M707">
        <v>15.299300353824661</v>
      </c>
      <c r="N707">
        <v>14.861179241432778</v>
      </c>
      <c r="O707">
        <v>14.574016564706092</v>
      </c>
      <c r="P707">
        <v>13.818868436574812</v>
      </c>
      <c r="Q707">
        <v>12.60622713164245</v>
      </c>
      <c r="R707">
        <v>13.128173607172595</v>
      </c>
      <c r="S707">
        <v>14.913646661326911</v>
      </c>
      <c r="T707">
        <v>13.733860411368322</v>
      </c>
    </row>
    <row r="708" spans="1:20" x14ac:dyDescent="0.25">
      <c r="A708" s="5" t="s">
        <v>726</v>
      </c>
      <c r="B708">
        <v>13.166378625844278</v>
      </c>
      <c r="C708">
        <v>13.607838231802827</v>
      </c>
      <c r="D708">
        <v>13.114444202198541</v>
      </c>
      <c r="E708">
        <v>12.670517353126248</v>
      </c>
      <c r="F708">
        <v>12.960795424765843</v>
      </c>
      <c r="G708">
        <v>14.022275483500353</v>
      </c>
      <c r="H708">
        <v>13.517094732893247</v>
      </c>
      <c r="I708">
        <v>13.183912636391781</v>
      </c>
      <c r="J708">
        <v>13.239239019817582</v>
      </c>
      <c r="K708">
        <v>13.154596066519368</v>
      </c>
      <c r="L708">
        <v>13.309516749867798</v>
      </c>
      <c r="M708">
        <v>13.381591426552351</v>
      </c>
      <c r="N708">
        <v>13.972725894080934</v>
      </c>
      <c r="O708">
        <v>12.78481153458225</v>
      </c>
      <c r="P708">
        <v>14.468861818654016</v>
      </c>
      <c r="Q708">
        <v>14.653583822024411</v>
      </c>
      <c r="R708">
        <v>14.563498692792091</v>
      </c>
      <c r="S708">
        <v>15.45908079786143</v>
      </c>
      <c r="T708">
        <v>13.775738397767649</v>
      </c>
    </row>
    <row r="709" spans="1:20" x14ac:dyDescent="0.25">
      <c r="A709" s="6" t="s">
        <v>727</v>
      </c>
      <c r="B709">
        <v>16.187407473753765</v>
      </c>
      <c r="C709">
        <v>0</v>
      </c>
      <c r="D709">
        <v>0</v>
      </c>
      <c r="E709">
        <v>0</v>
      </c>
      <c r="F709">
        <v>14.475419534676179</v>
      </c>
      <c r="G709">
        <v>14.63144484475516</v>
      </c>
      <c r="H709">
        <v>15.472136950686876</v>
      </c>
      <c r="I709">
        <v>15.019876987451834</v>
      </c>
      <c r="J709">
        <v>15.6989078125339</v>
      </c>
      <c r="K709">
        <v>14.927067177089235</v>
      </c>
      <c r="L709">
        <v>0</v>
      </c>
      <c r="M709">
        <v>15.322759326648649</v>
      </c>
      <c r="N709">
        <v>15.638786820096328</v>
      </c>
      <c r="O709">
        <v>0</v>
      </c>
      <c r="P709">
        <v>13.816785122074323</v>
      </c>
      <c r="Q709">
        <v>12.220707045696571</v>
      </c>
      <c r="R709">
        <v>12.816587363581435</v>
      </c>
      <c r="S709">
        <v>13.683641055880589</v>
      </c>
      <c r="T709">
        <v>11.826943609003447</v>
      </c>
    </row>
    <row r="710" spans="1:20" x14ac:dyDescent="0.25">
      <c r="A710" s="5" t="s">
        <v>728</v>
      </c>
      <c r="B710">
        <v>15.220073662674086</v>
      </c>
      <c r="C710">
        <v>14.757641637324365</v>
      </c>
      <c r="D710">
        <v>14.865479378866404</v>
      </c>
      <c r="E710">
        <v>15.225590667641651</v>
      </c>
      <c r="F710">
        <v>14.501952605122439</v>
      </c>
      <c r="G710">
        <v>14.749670926215785</v>
      </c>
      <c r="H710">
        <v>14.958875915319911</v>
      </c>
      <c r="I710">
        <v>14.556529137977249</v>
      </c>
      <c r="J710">
        <v>14.949715916034434</v>
      </c>
      <c r="K710">
        <v>15.225590667641651</v>
      </c>
      <c r="L710">
        <v>15.609640474436812</v>
      </c>
      <c r="M710">
        <v>15.465594104820106</v>
      </c>
      <c r="N710">
        <v>14.729934708154525</v>
      </c>
      <c r="O710">
        <v>14.891552890476294</v>
      </c>
      <c r="P710">
        <v>15.328684160605755</v>
      </c>
      <c r="Q710">
        <v>16.015091924886459</v>
      </c>
      <c r="R710">
        <v>15.986710123516636</v>
      </c>
      <c r="S710">
        <v>17.253496664211536</v>
      </c>
      <c r="T710">
        <v>15.729934708154525</v>
      </c>
    </row>
    <row r="711" spans="1:20" x14ac:dyDescent="0.25">
      <c r="A711" s="6" t="s">
        <v>729</v>
      </c>
      <c r="B711">
        <v>8.8939042553154479</v>
      </c>
      <c r="C711">
        <v>8.8793761843551078</v>
      </c>
      <c r="D711">
        <v>8.5144328342821378</v>
      </c>
      <c r="E711">
        <v>8.3905455429810356</v>
      </c>
      <c r="F711">
        <v>8.6426004376082943</v>
      </c>
      <c r="G711">
        <v>8.8763796950877598</v>
      </c>
      <c r="H711">
        <v>9.1698154069482314</v>
      </c>
      <c r="I711">
        <v>8.7504038861982476</v>
      </c>
      <c r="J711">
        <v>9.0585713308185838</v>
      </c>
      <c r="K711">
        <v>8.3078310817247338</v>
      </c>
      <c r="L711">
        <v>8.4088340479310997</v>
      </c>
      <c r="M711">
        <v>9.7009524391820481</v>
      </c>
      <c r="N711">
        <v>9.9241277610865435</v>
      </c>
      <c r="O711">
        <v>8.5847241179466369</v>
      </c>
      <c r="P711">
        <v>9.7232415302563417</v>
      </c>
      <c r="Q711">
        <v>10.645537620413776</v>
      </c>
      <c r="R711">
        <v>10.265799198061131</v>
      </c>
      <c r="S711">
        <v>10.250261626766521</v>
      </c>
      <c r="T711">
        <v>10.245204614397743</v>
      </c>
    </row>
    <row r="712" spans="1:20" x14ac:dyDescent="0.25">
      <c r="A712" s="5" t="s">
        <v>730</v>
      </c>
      <c r="B712">
        <v>5.3785918393280303</v>
      </c>
      <c r="C712">
        <v>5.5086799041691368</v>
      </c>
      <c r="D712">
        <v>5.4789800194733518</v>
      </c>
      <c r="E712">
        <v>5.3204833535088385</v>
      </c>
      <c r="F712">
        <v>4.9471341330843721</v>
      </c>
      <c r="G712">
        <v>6.0344002916521156</v>
      </c>
      <c r="H712">
        <v>5.6668903041719929</v>
      </c>
      <c r="I712">
        <v>5.9902397529178293</v>
      </c>
      <c r="J712">
        <v>5.6949839467896384</v>
      </c>
      <c r="K712">
        <v>5.690287429967297</v>
      </c>
      <c r="L712">
        <v>5.8269481951514441</v>
      </c>
      <c r="M712">
        <v>5.3419764635736051</v>
      </c>
      <c r="N712">
        <v>5.8211832205872343</v>
      </c>
      <c r="O712">
        <v>5.7656049853923044</v>
      </c>
      <c r="P712">
        <v>5.9926805670841041</v>
      </c>
      <c r="Q712">
        <v>6.2847460716938395</v>
      </c>
      <c r="R712">
        <v>5.9834171010311978</v>
      </c>
      <c r="S712">
        <v>6.4799594831316467</v>
      </c>
      <c r="T712">
        <v>6.0904920489845962</v>
      </c>
    </row>
    <row r="713" spans="1:20" x14ac:dyDescent="0.25">
      <c r="A713" s="6" t="s">
        <v>731</v>
      </c>
      <c r="B713">
        <v>7.1588671839268558</v>
      </c>
      <c r="C713">
        <v>7.4607638064186483</v>
      </c>
      <c r="D713">
        <v>7.0897062788348597</v>
      </c>
      <c r="E713">
        <v>7.2636935148329274</v>
      </c>
      <c r="F713">
        <v>6.691808506652742</v>
      </c>
      <c r="G713">
        <v>7.3907910281930311</v>
      </c>
      <c r="H713">
        <v>6.6866089873024626</v>
      </c>
      <c r="I713">
        <v>7.1921453028376865</v>
      </c>
      <c r="J713">
        <v>7.6661366547711749</v>
      </c>
      <c r="K713">
        <v>6.9799581917812272</v>
      </c>
      <c r="L713">
        <v>6.8734788995582754</v>
      </c>
      <c r="M713">
        <v>6.6027445842973869</v>
      </c>
      <c r="N713">
        <v>6.7458198485062022</v>
      </c>
      <c r="O713">
        <v>7.2983989510831293</v>
      </c>
      <c r="P713">
        <v>6.8180284012317092</v>
      </c>
      <c r="Q713">
        <v>6.8316014667319358</v>
      </c>
      <c r="R713">
        <v>6.5463922319197598</v>
      </c>
      <c r="S713">
        <v>6.7382722286571344</v>
      </c>
      <c r="T713">
        <v>6.985985737584488</v>
      </c>
    </row>
    <row r="714" spans="1:20" x14ac:dyDescent="0.25">
      <c r="A714" s="5" t="s">
        <v>732</v>
      </c>
      <c r="B714">
        <v>15.414292876114592</v>
      </c>
      <c r="C714">
        <v>15.103749544706854</v>
      </c>
      <c r="D714">
        <v>14.963477817278919</v>
      </c>
      <c r="E714">
        <v>15.299300353824661</v>
      </c>
      <c r="F714">
        <v>16.971798414112708</v>
      </c>
      <c r="G714">
        <v>16.609640474436812</v>
      </c>
      <c r="H714">
        <v>17.18956235845744</v>
      </c>
      <c r="I714">
        <v>16.512029677810389</v>
      </c>
      <c r="J714">
        <v>16.242269408788282</v>
      </c>
      <c r="K714">
        <v>16.370853614849693</v>
      </c>
      <c r="L714">
        <v>16.044043298582586</v>
      </c>
      <c r="M714">
        <v>17.299300353824663</v>
      </c>
      <c r="N714">
        <v>17.717443763971328</v>
      </c>
      <c r="O714">
        <v>17.318036916406246</v>
      </c>
      <c r="P714">
        <v>0</v>
      </c>
      <c r="Q714">
        <v>0</v>
      </c>
      <c r="R714">
        <v>0</v>
      </c>
      <c r="S714">
        <v>0</v>
      </c>
      <c r="T714">
        <v>17.612528753761641</v>
      </c>
    </row>
    <row r="715" spans="1:20" x14ac:dyDescent="0.25">
      <c r="A715" s="6" t="s">
        <v>733</v>
      </c>
      <c r="B715">
        <v>10.341032042688223</v>
      </c>
      <c r="C715">
        <v>10.65685264249154</v>
      </c>
      <c r="D715">
        <v>13.075790609027985</v>
      </c>
      <c r="E715">
        <v>10.857247784566889</v>
      </c>
      <c r="F715">
        <v>10.849587231052084</v>
      </c>
      <c r="G715">
        <v>11.149674501834729</v>
      </c>
      <c r="H715">
        <v>10.043889472114016</v>
      </c>
      <c r="I715">
        <v>10.39988885269239</v>
      </c>
      <c r="J715">
        <v>11.00485154103046</v>
      </c>
      <c r="K715">
        <v>12.501801983572754</v>
      </c>
      <c r="L715">
        <v>12.403911726310616</v>
      </c>
      <c r="M715">
        <v>12.256091338714768</v>
      </c>
      <c r="N715">
        <v>10.89196130990976</v>
      </c>
      <c r="O715">
        <v>11.291739507396624</v>
      </c>
      <c r="P715">
        <v>10.901331823131672</v>
      </c>
      <c r="Q715">
        <v>11.402337155977191</v>
      </c>
      <c r="R715">
        <v>10.099564692623016</v>
      </c>
      <c r="S715">
        <v>10.680981167563061</v>
      </c>
      <c r="T715">
        <v>10.852956066293391</v>
      </c>
    </row>
    <row r="716" spans="1:20" x14ac:dyDescent="0.25">
      <c r="A716" s="5" t="s">
        <v>734</v>
      </c>
      <c r="B716">
        <v>16.005569150767954</v>
      </c>
      <c r="C716">
        <v>15.761643567881864</v>
      </c>
      <c r="D716">
        <v>14.710464843956299</v>
      </c>
      <c r="E716">
        <v>14.733860411368322</v>
      </c>
      <c r="F716">
        <v>15.968094445349289</v>
      </c>
      <c r="G716">
        <v>15.913646661326911</v>
      </c>
      <c r="H716">
        <v>16.103749544706854</v>
      </c>
      <c r="I716">
        <v>15.61687204366789</v>
      </c>
      <c r="J716">
        <v>15.478709604610364</v>
      </c>
      <c r="K716">
        <v>16.299300353824663</v>
      </c>
      <c r="L716">
        <v>16.883681239927625</v>
      </c>
      <c r="M716">
        <v>16.539251146545414</v>
      </c>
      <c r="N716">
        <v>16.264811977439372</v>
      </c>
      <c r="O716">
        <v>15.134555591488031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 s="6" t="s">
        <v>735</v>
      </c>
      <c r="B717">
        <v>14.401747622795481</v>
      </c>
      <c r="C717">
        <v>13.438113368398</v>
      </c>
      <c r="D717">
        <v>13.201675965396111</v>
      </c>
      <c r="E717">
        <v>13.25176477944175</v>
      </c>
      <c r="F717">
        <v>13.702749878828293</v>
      </c>
      <c r="G717">
        <v>13.581071322240041</v>
      </c>
      <c r="H717">
        <v>13.636947820432548</v>
      </c>
      <c r="I717">
        <v>13.43331770179635</v>
      </c>
      <c r="J717">
        <v>13.898145567786724</v>
      </c>
      <c r="K717">
        <v>13.438113368398</v>
      </c>
      <c r="L717">
        <v>13.378515316557763</v>
      </c>
      <c r="M717">
        <v>14.491945431767057</v>
      </c>
      <c r="N717">
        <v>14.918106309517611</v>
      </c>
      <c r="O717">
        <v>13.272186264828278</v>
      </c>
      <c r="P717">
        <v>14.722115203695225</v>
      </c>
      <c r="Q717">
        <v>14.909200756295721</v>
      </c>
      <c r="R717">
        <v>14.918106309517611</v>
      </c>
      <c r="S717">
        <v>15.383131944628133</v>
      </c>
      <c r="T717">
        <v>14.15809964141898</v>
      </c>
    </row>
    <row r="718" spans="1:20" x14ac:dyDescent="0.25">
      <c r="A718" s="5" t="s">
        <v>736</v>
      </c>
      <c r="B718">
        <v>13.028397704657529</v>
      </c>
      <c r="C718">
        <v>13.936084050446667</v>
      </c>
      <c r="D718">
        <v>13.409575612922502</v>
      </c>
      <c r="E718">
        <v>13.43172268224097</v>
      </c>
      <c r="F718">
        <v>12.777226375019673</v>
      </c>
      <c r="G718">
        <v>13.236423813855984</v>
      </c>
      <c r="H718">
        <v>13.173798558627585</v>
      </c>
      <c r="I718">
        <v>13.177897183732917</v>
      </c>
      <c r="J718">
        <v>12.990227463838874</v>
      </c>
      <c r="K718">
        <v>13.104041669226977</v>
      </c>
      <c r="L718">
        <v>12.927527924304943</v>
      </c>
      <c r="M718">
        <v>13.167639183643931</v>
      </c>
      <c r="N718">
        <v>12.571573091081651</v>
      </c>
      <c r="O718">
        <v>13.081056653930091</v>
      </c>
      <c r="P718">
        <v>12.396262083711751</v>
      </c>
      <c r="Q718">
        <v>12.589191611693936</v>
      </c>
      <c r="R718">
        <v>12.439955942207638</v>
      </c>
      <c r="S718">
        <v>12.488285168136995</v>
      </c>
      <c r="T718">
        <v>12.412309746566411</v>
      </c>
    </row>
    <row r="719" spans="1:20" x14ac:dyDescent="0.25">
      <c r="A719" s="6" t="s">
        <v>737</v>
      </c>
      <c r="B719">
        <v>11.076569321174961</v>
      </c>
      <c r="C719">
        <v>11.438177418434231</v>
      </c>
      <c r="D719">
        <v>11.885099336562281</v>
      </c>
      <c r="E719">
        <v>12.168455816653516</v>
      </c>
      <c r="F719">
        <v>11.207129751940158</v>
      </c>
      <c r="G719">
        <v>11.760396776694236</v>
      </c>
      <c r="H719">
        <v>11.462158741447718</v>
      </c>
      <c r="I719">
        <v>11.5851567813454</v>
      </c>
      <c r="J719">
        <v>11.161734030841799</v>
      </c>
      <c r="K719">
        <v>11.63847402472604</v>
      </c>
      <c r="L719">
        <v>11.847935008186488</v>
      </c>
      <c r="M719">
        <v>11.986903354542335</v>
      </c>
      <c r="N719">
        <v>11.430451916879854</v>
      </c>
      <c r="O719">
        <v>11.656282101240285</v>
      </c>
      <c r="P719">
        <v>11.074576656750693</v>
      </c>
      <c r="Q719">
        <v>10.875708629041871</v>
      </c>
      <c r="R719">
        <v>11.432850976083401</v>
      </c>
      <c r="S719">
        <v>11.399056790734514</v>
      </c>
      <c r="T719">
        <v>10.943400846221191</v>
      </c>
    </row>
    <row r="720" spans="1:20" x14ac:dyDescent="0.25">
      <c r="A720" s="5" t="s">
        <v>738</v>
      </c>
      <c r="B720">
        <v>12.989159630898959</v>
      </c>
      <c r="C720">
        <v>12.034074000062896</v>
      </c>
      <c r="D720">
        <v>12.236013141618477</v>
      </c>
      <c r="E720">
        <v>12.454854763110795</v>
      </c>
      <c r="F720">
        <v>12.367868919646982</v>
      </c>
      <c r="G720">
        <v>12.379645024840011</v>
      </c>
      <c r="H720">
        <v>13.123853018583056</v>
      </c>
      <c r="I720">
        <v>12.217577263179786</v>
      </c>
      <c r="J720">
        <v>12.945225902014172</v>
      </c>
      <c r="K720">
        <v>12.40413848093857</v>
      </c>
      <c r="L720">
        <v>12.065062357097972</v>
      </c>
      <c r="M720">
        <v>12.890851446416828</v>
      </c>
      <c r="N720">
        <v>12.087289635910606</v>
      </c>
      <c r="O720">
        <v>12.636718110211396</v>
      </c>
      <c r="P720">
        <v>13.22391954679247</v>
      </c>
      <c r="Q720">
        <v>13.283333239550542</v>
      </c>
      <c r="R720">
        <v>13.441319358697088</v>
      </c>
      <c r="S720">
        <v>12.444476197941844</v>
      </c>
      <c r="T720">
        <v>13.046921810466065</v>
      </c>
    </row>
    <row r="721" spans="1:20" x14ac:dyDescent="0.25">
      <c r="A721" s="6" t="s">
        <v>739</v>
      </c>
      <c r="B721">
        <v>11.799428755064659</v>
      </c>
      <c r="C721">
        <v>12.509015977109302</v>
      </c>
      <c r="D721">
        <v>12.151225658266723</v>
      </c>
      <c r="E721">
        <v>12.271009262037376</v>
      </c>
      <c r="F721">
        <v>11.712022480108153</v>
      </c>
      <c r="G721">
        <v>11.882607686454406</v>
      </c>
      <c r="H721">
        <v>11.88995869463996</v>
      </c>
      <c r="I721">
        <v>12.016746957138608</v>
      </c>
      <c r="J721">
        <v>11.628477374997191</v>
      </c>
      <c r="K721">
        <v>11.864021271344789</v>
      </c>
      <c r="L721">
        <v>11.7957977295445</v>
      </c>
      <c r="M721">
        <v>12.075672281572809</v>
      </c>
      <c r="N721">
        <v>11.502442233790308</v>
      </c>
      <c r="O721">
        <v>11.909345033013764</v>
      </c>
      <c r="P721">
        <v>11.647401493061231</v>
      </c>
      <c r="Q721">
        <v>11.616197071056224</v>
      </c>
      <c r="R721">
        <v>11.420839999529822</v>
      </c>
      <c r="S721">
        <v>11.813084249340879</v>
      </c>
      <c r="T721">
        <v>11.455871611446254</v>
      </c>
    </row>
    <row r="722" spans="1:20" x14ac:dyDescent="0.25">
      <c r="A722" s="5" t="s">
        <v>740</v>
      </c>
      <c r="B722">
        <v>15.346606068603018</v>
      </c>
      <c r="C722">
        <v>0</v>
      </c>
      <c r="D722">
        <v>16.566996137028319</v>
      </c>
      <c r="E722">
        <v>16.395515669083963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16.383131944628133</v>
      </c>
      <c r="N722">
        <v>16.908313217023871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25">
      <c r="A723" s="6" t="s">
        <v>741</v>
      </c>
      <c r="B723">
        <v>13.706602204323898</v>
      </c>
      <c r="C723">
        <v>13.283851128608134</v>
      </c>
      <c r="D723">
        <v>12.936909652918056</v>
      </c>
      <c r="E723">
        <v>13.542690230512186</v>
      </c>
      <c r="F723">
        <v>14.206372752097511</v>
      </c>
      <c r="G723">
        <v>14.491945431767057</v>
      </c>
      <c r="H723">
        <v>14.182034301654912</v>
      </c>
      <c r="I723">
        <v>15.346606068603018</v>
      </c>
      <c r="J723">
        <v>14.113945311812744</v>
      </c>
      <c r="K723">
        <v>13.518787043985698</v>
      </c>
      <c r="L723">
        <v>13.835644149325638</v>
      </c>
      <c r="M723">
        <v>14.515404404591045</v>
      </c>
      <c r="N723">
        <v>14.963477817278919</v>
      </c>
      <c r="O723">
        <v>14.577539631269786</v>
      </c>
      <c r="P723">
        <v>15.150208855799516</v>
      </c>
      <c r="Q723">
        <v>15.171347622857667</v>
      </c>
      <c r="R723">
        <v>15.968094445349289</v>
      </c>
      <c r="S723">
        <v>0</v>
      </c>
      <c r="T723">
        <v>15.299300353824661</v>
      </c>
    </row>
    <row r="724" spans="1:20" x14ac:dyDescent="0.25">
      <c r="A724" s="5" t="s">
        <v>742</v>
      </c>
      <c r="B724">
        <v>13.037757406580726</v>
      </c>
      <c r="C724">
        <v>12.372734623294468</v>
      </c>
      <c r="D724">
        <v>11.739379336677274</v>
      </c>
      <c r="E724">
        <v>11.924103933502458</v>
      </c>
      <c r="F724">
        <v>13.92257978609692</v>
      </c>
      <c r="G724">
        <v>13.833536486363649</v>
      </c>
      <c r="H724">
        <v>13.026241740536667</v>
      </c>
      <c r="I724">
        <v>13.544412851661193</v>
      </c>
      <c r="J724">
        <v>14.144972207433367</v>
      </c>
      <c r="K724">
        <v>13.116723382213877</v>
      </c>
      <c r="L724">
        <v>13.720166931905704</v>
      </c>
      <c r="M724">
        <v>13.909200756295721</v>
      </c>
      <c r="N724">
        <v>14.542690230512186</v>
      </c>
      <c r="O724">
        <v>14.101211821904954</v>
      </c>
      <c r="P724">
        <v>15.058739809789289</v>
      </c>
      <c r="Q724">
        <v>15.073587574196603</v>
      </c>
      <c r="R724">
        <v>15.574016564706092</v>
      </c>
      <c r="S724">
        <v>0</v>
      </c>
      <c r="T724">
        <v>15.4397154729945</v>
      </c>
    </row>
    <row r="725" spans="1:20" x14ac:dyDescent="0.25">
      <c r="A725" s="6" t="s">
        <v>743</v>
      </c>
      <c r="B725">
        <v>18.075578872015694</v>
      </c>
      <c r="C725">
        <v>0</v>
      </c>
      <c r="D725">
        <v>17.820537256935431</v>
      </c>
      <c r="E725">
        <v>18.12009753879434</v>
      </c>
      <c r="F725">
        <v>17.353837637834097</v>
      </c>
      <c r="G725">
        <v>17.96439996179155</v>
      </c>
      <c r="H725">
        <v>17.671542913362721</v>
      </c>
      <c r="I725">
        <v>0</v>
      </c>
      <c r="J725">
        <v>0</v>
      </c>
      <c r="K725">
        <v>0</v>
      </c>
      <c r="L725">
        <v>0</v>
      </c>
      <c r="M725">
        <v>17.313329913728719</v>
      </c>
      <c r="N725">
        <v>17.982967721830818</v>
      </c>
      <c r="O725">
        <v>0</v>
      </c>
      <c r="P725">
        <v>0</v>
      </c>
      <c r="Q725">
        <v>17.837332499478411</v>
      </c>
      <c r="R725">
        <v>0</v>
      </c>
      <c r="S725">
        <v>0</v>
      </c>
      <c r="T725">
        <v>0</v>
      </c>
    </row>
    <row r="726" spans="1:20" x14ac:dyDescent="0.25">
      <c r="A726" s="5" t="s">
        <v>744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15.401747622795478</v>
      </c>
      <c r="Q726">
        <v>14.831431898038725</v>
      </c>
      <c r="R726">
        <v>15.12937535238235</v>
      </c>
      <c r="S726">
        <v>15.044043298582586</v>
      </c>
      <c r="T726">
        <v>14.638786820096328</v>
      </c>
    </row>
    <row r="727" spans="1:20" x14ac:dyDescent="0.25">
      <c r="A727" s="6" t="s">
        <v>745</v>
      </c>
      <c r="B727">
        <v>15.293494732143458</v>
      </c>
      <c r="C727">
        <v>14.810553168362809</v>
      </c>
      <c r="D727">
        <v>14.206372752097511</v>
      </c>
      <c r="E727">
        <v>14.346606068603018</v>
      </c>
      <c r="F727">
        <v>0</v>
      </c>
      <c r="G727">
        <v>0</v>
      </c>
      <c r="H727">
        <v>14.53582024114514</v>
      </c>
      <c r="I727">
        <v>14.761643567881864</v>
      </c>
      <c r="J727">
        <v>14.874118297140276</v>
      </c>
      <c r="K727">
        <v>14.904768509980459</v>
      </c>
      <c r="L727">
        <v>14.794065045574239</v>
      </c>
      <c r="M727">
        <v>0</v>
      </c>
      <c r="N727">
        <v>0</v>
      </c>
      <c r="O727">
        <v>15.581071322240042</v>
      </c>
      <c r="P727">
        <v>15.7066022043239</v>
      </c>
      <c r="Q727">
        <v>0</v>
      </c>
      <c r="R727">
        <v>0</v>
      </c>
      <c r="S727">
        <v>0</v>
      </c>
      <c r="T727">
        <v>0</v>
      </c>
    </row>
    <row r="728" spans="1:20" x14ac:dyDescent="0.25">
      <c r="A728" s="5" t="s">
        <v>746</v>
      </c>
      <c r="B728">
        <v>0</v>
      </c>
      <c r="C728">
        <v>15.093625327433148</v>
      </c>
      <c r="D728">
        <v>15.192800732523983</v>
      </c>
      <c r="E728">
        <v>15.299300353824661</v>
      </c>
      <c r="F728">
        <v>16.144972207433366</v>
      </c>
      <c r="G728">
        <v>15.192800732523983</v>
      </c>
      <c r="H728">
        <v>15.574016564706092</v>
      </c>
      <c r="I728">
        <v>0</v>
      </c>
      <c r="J728">
        <v>16.673049644612874</v>
      </c>
      <c r="K728">
        <v>15.214577674919234</v>
      </c>
      <c r="L728">
        <v>14.991401818841357</v>
      </c>
      <c r="M728">
        <v>16.276216740711622</v>
      </c>
      <c r="N728">
        <v>16.264811977439372</v>
      </c>
      <c r="O728">
        <v>15.869792371737484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 s="6" t="s">
        <v>747</v>
      </c>
      <c r="B729">
        <v>13.310982158872298</v>
      </c>
      <c r="C729">
        <v>14.370853614849695</v>
      </c>
      <c r="D729">
        <v>14.287712379549449</v>
      </c>
      <c r="E729">
        <v>14.0760771262223</v>
      </c>
      <c r="F729">
        <v>14.000831231761289</v>
      </c>
      <c r="G729">
        <v>14.098678555159433</v>
      </c>
      <c r="H729">
        <v>13.970408311187535</v>
      </c>
      <c r="I729">
        <v>13.56524635507836</v>
      </c>
      <c r="J729">
        <v>13.276646178143244</v>
      </c>
      <c r="K729">
        <v>13.989054063984934</v>
      </c>
      <c r="L729">
        <v>14.131963146871506</v>
      </c>
      <c r="M729">
        <v>13.878457232864612</v>
      </c>
      <c r="N729">
        <v>13.677957417377007</v>
      </c>
      <c r="O729">
        <v>13.561753145040264</v>
      </c>
      <c r="P729">
        <v>13.173785227065016</v>
      </c>
      <c r="Q729">
        <v>12.979351504350836</v>
      </c>
      <c r="R729">
        <v>12.755634850150789</v>
      </c>
      <c r="S729">
        <v>13.244171888658681</v>
      </c>
      <c r="T729">
        <v>13.101934618203245</v>
      </c>
    </row>
    <row r="730" spans="1:20" x14ac:dyDescent="0.25">
      <c r="A730" s="5" t="s">
        <v>748</v>
      </c>
      <c r="B730">
        <v>12.795223355182697</v>
      </c>
      <c r="C730">
        <v>13.259680802118451</v>
      </c>
      <c r="D730">
        <v>13.131509947626805</v>
      </c>
      <c r="E730">
        <v>12.802223723916628</v>
      </c>
      <c r="F730">
        <v>13.162484495240056</v>
      </c>
      <c r="G730">
        <v>13.277720331302007</v>
      </c>
      <c r="H730">
        <v>13.586385122136509</v>
      </c>
      <c r="I730">
        <v>13.029338183856993</v>
      </c>
      <c r="J730">
        <v>12.949613196152043</v>
      </c>
      <c r="K730">
        <v>13.009061469188575</v>
      </c>
      <c r="L730">
        <v>13.613251727989191</v>
      </c>
      <c r="M730">
        <v>13.425360180017432</v>
      </c>
      <c r="N730">
        <v>13.287712379549449</v>
      </c>
      <c r="O730">
        <v>12.82750453752789</v>
      </c>
      <c r="P730">
        <v>12.988362205454713</v>
      </c>
      <c r="Q730">
        <v>13.972725894080934</v>
      </c>
      <c r="R730">
        <v>12.878066193835339</v>
      </c>
      <c r="S730">
        <v>14.498609162048069</v>
      </c>
      <c r="T730">
        <v>14.027084471422752</v>
      </c>
    </row>
    <row r="731" spans="1:20" x14ac:dyDescent="0.25">
      <c r="A731" s="6" t="s">
        <v>749</v>
      </c>
      <c r="B731">
        <v>12.358762252289551</v>
      </c>
      <c r="C731">
        <v>10.735837117141582</v>
      </c>
      <c r="D731">
        <v>14.389310519557256</v>
      </c>
      <c r="E731">
        <v>13.008169768096128</v>
      </c>
      <c r="F731">
        <v>9.522440736859993</v>
      </c>
      <c r="G731">
        <v>11.151379881222045</v>
      </c>
      <c r="H731">
        <v>0</v>
      </c>
      <c r="I731">
        <v>10.287133614271314</v>
      </c>
      <c r="J731">
        <v>10.954866984741704</v>
      </c>
      <c r="K731">
        <v>10.901450478864342</v>
      </c>
      <c r="L731">
        <v>11.524700310562411</v>
      </c>
      <c r="M731">
        <v>0</v>
      </c>
      <c r="N731">
        <v>0</v>
      </c>
      <c r="O731">
        <v>0</v>
      </c>
      <c r="P731">
        <v>14.556529137977249</v>
      </c>
      <c r="Q731">
        <v>10.012431126820818</v>
      </c>
      <c r="R731">
        <v>10.231505180098148</v>
      </c>
      <c r="S731">
        <v>0</v>
      </c>
      <c r="T731">
        <v>10.111290664403066</v>
      </c>
    </row>
    <row r="732" spans="1:20" x14ac:dyDescent="0.25">
      <c r="A732" s="5" t="s">
        <v>750</v>
      </c>
      <c r="B732">
        <v>10.665611348187877</v>
      </c>
      <c r="C732">
        <v>10.387145007134755</v>
      </c>
      <c r="D732">
        <v>10.575215643351637</v>
      </c>
      <c r="E732">
        <v>10.364064951438342</v>
      </c>
      <c r="F732">
        <v>10.187281310744176</v>
      </c>
      <c r="G732">
        <v>10.079369926790609</v>
      </c>
      <c r="H732">
        <v>10.382584872362827</v>
      </c>
      <c r="I732">
        <v>9.8809974922777197</v>
      </c>
      <c r="J732">
        <v>10.198354911895075</v>
      </c>
      <c r="K732">
        <v>10.382918099433924</v>
      </c>
      <c r="L732">
        <v>10.438621843870479</v>
      </c>
      <c r="M732">
        <v>10.398844467706434</v>
      </c>
      <c r="N732">
        <v>10.131463017268638</v>
      </c>
      <c r="O732">
        <v>10.31972856605196</v>
      </c>
      <c r="P732">
        <v>9.9611275751163113</v>
      </c>
      <c r="Q732">
        <v>9.3295684904669915</v>
      </c>
      <c r="R732">
        <v>9.4123471017882832</v>
      </c>
      <c r="S732">
        <v>9.3990567907345142</v>
      </c>
      <c r="T732">
        <v>9.3399620757883692</v>
      </c>
    </row>
    <row r="733" spans="1:20" x14ac:dyDescent="0.25">
      <c r="A733" s="6" t="s">
        <v>751</v>
      </c>
      <c r="B733">
        <v>11.466785962815486</v>
      </c>
      <c r="C733">
        <v>10.572526256611182</v>
      </c>
      <c r="D733">
        <v>10.984095267836544</v>
      </c>
      <c r="E733">
        <v>9.9767717457774978</v>
      </c>
      <c r="F733">
        <v>11.06045495249335</v>
      </c>
      <c r="G733">
        <v>10.096009192941413</v>
      </c>
      <c r="H733">
        <v>9.6389202387531725</v>
      </c>
      <c r="I733">
        <v>10.425705420631079</v>
      </c>
      <c r="J733">
        <v>10.86938208269234</v>
      </c>
      <c r="K733">
        <v>10.229281581316656</v>
      </c>
      <c r="L733">
        <v>9.9908159897937914</v>
      </c>
      <c r="M733">
        <v>10.633975899381994</v>
      </c>
      <c r="N733">
        <v>10.700998068363095</v>
      </c>
      <c r="O733">
        <v>11.031882356738544</v>
      </c>
      <c r="P733">
        <v>11.116166059054249</v>
      </c>
      <c r="Q733">
        <v>9.342156175357875</v>
      </c>
      <c r="R733">
        <v>9.3627535952701706</v>
      </c>
      <c r="S733">
        <v>9.6280058397974795</v>
      </c>
      <c r="T733">
        <v>9.3426047624808373</v>
      </c>
    </row>
    <row r="734" spans="1:20" x14ac:dyDescent="0.25">
      <c r="A734" s="5" t="s">
        <v>752</v>
      </c>
      <c r="B734">
        <v>0</v>
      </c>
      <c r="C734">
        <v>0</v>
      </c>
      <c r="D734">
        <v>13.806413438001886</v>
      </c>
      <c r="E734">
        <v>13.584611679945288</v>
      </c>
      <c r="F734">
        <v>12.775222519135362</v>
      </c>
      <c r="G734">
        <v>13.871953713026953</v>
      </c>
      <c r="H734">
        <v>14.958875915319911</v>
      </c>
      <c r="I734">
        <v>13.179288287656423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13.315387337992298</v>
      </c>
      <c r="R734">
        <v>14.160739523291683</v>
      </c>
      <c r="S734">
        <v>14.245068042140955</v>
      </c>
      <c r="T734">
        <v>14.098678555159433</v>
      </c>
    </row>
    <row r="735" spans="1:20" x14ac:dyDescent="0.25">
      <c r="A735" s="6" t="s">
        <v>753</v>
      </c>
      <c r="B735">
        <v>10.374510832401787</v>
      </c>
      <c r="C735">
        <v>10.79486448729509</v>
      </c>
      <c r="D735">
        <v>10.370951045903199</v>
      </c>
      <c r="E735">
        <v>10.451844882680556</v>
      </c>
      <c r="F735">
        <v>10.471092194876825</v>
      </c>
      <c r="G735">
        <v>10.616484688557001</v>
      </c>
      <c r="H735">
        <v>10.519218901145278</v>
      </c>
      <c r="I735">
        <v>10.372424776380692</v>
      </c>
      <c r="J735">
        <v>10.230615675958717</v>
      </c>
      <c r="K735">
        <v>10.272933981882732</v>
      </c>
      <c r="L735">
        <v>10.400875477532423</v>
      </c>
      <c r="M735">
        <v>10.392820907319024</v>
      </c>
      <c r="N735">
        <v>9.9936622053071407</v>
      </c>
      <c r="O735">
        <v>11.413178997558267</v>
      </c>
      <c r="P735">
        <v>10.454407333883385</v>
      </c>
      <c r="Q735">
        <v>11.075778153049354</v>
      </c>
      <c r="R735">
        <v>10.671589974902769</v>
      </c>
      <c r="S735">
        <v>10.922364182025495</v>
      </c>
      <c r="T735">
        <v>11.066936682193322</v>
      </c>
    </row>
    <row r="736" spans="1:20" x14ac:dyDescent="0.25">
      <c r="A736" s="5" t="s">
        <v>754</v>
      </c>
      <c r="B736">
        <v>9.8645873908546911</v>
      </c>
      <c r="C736">
        <v>9.6109947635946114</v>
      </c>
      <c r="D736">
        <v>9.5140071538566655</v>
      </c>
      <c r="E736">
        <v>10.096533508978171</v>
      </c>
      <c r="F736">
        <v>8.9796493538138282</v>
      </c>
      <c r="G736">
        <v>9.4748137463937976</v>
      </c>
      <c r="H736">
        <v>9.5075125343399112</v>
      </c>
      <c r="I736">
        <v>9.2024475028015083</v>
      </c>
      <c r="J736">
        <v>8.8471222291530491</v>
      </c>
      <c r="K736">
        <v>9.627589235972545</v>
      </c>
      <c r="L736">
        <v>9.6347590203132913</v>
      </c>
      <c r="M736">
        <v>8.8898129218625357</v>
      </c>
      <c r="N736">
        <v>8.8406146024488681</v>
      </c>
      <c r="O736">
        <v>9.4147930235801827</v>
      </c>
      <c r="P736">
        <v>8.7185980512898507</v>
      </c>
      <c r="Q736">
        <v>8.4431544852282254</v>
      </c>
      <c r="R736">
        <v>8.3272548827177086</v>
      </c>
      <c r="S736">
        <v>8.2757400359608919</v>
      </c>
      <c r="T736">
        <v>8.9575254567790434</v>
      </c>
    </row>
    <row r="737" spans="1:20" x14ac:dyDescent="0.25">
      <c r="A737" s="6" t="s">
        <v>755</v>
      </c>
      <c r="B737">
        <v>0</v>
      </c>
      <c r="C737">
        <v>13.657306908067127</v>
      </c>
      <c r="D737">
        <v>12.566085985563801</v>
      </c>
      <c r="E737">
        <v>0</v>
      </c>
      <c r="F737">
        <v>11.765902793648149</v>
      </c>
      <c r="G737">
        <v>13.804348018836102</v>
      </c>
      <c r="H737">
        <v>0</v>
      </c>
      <c r="I737">
        <v>0</v>
      </c>
      <c r="J737">
        <v>13.735827276077723</v>
      </c>
      <c r="K737">
        <v>10.835942105054254</v>
      </c>
      <c r="L737">
        <v>13.269405804161323</v>
      </c>
      <c r="M737">
        <v>11.625753047917739</v>
      </c>
      <c r="N737">
        <v>13.611444971283561</v>
      </c>
      <c r="O737">
        <v>13.409575612922502</v>
      </c>
      <c r="P737">
        <v>0</v>
      </c>
      <c r="Q737">
        <v>0</v>
      </c>
      <c r="R737">
        <v>12.356430231856656</v>
      </c>
      <c r="S737">
        <v>12.253207872333411</v>
      </c>
      <c r="T737">
        <v>0</v>
      </c>
    </row>
    <row r="738" spans="1:20" x14ac:dyDescent="0.25">
      <c r="A738" s="5" t="s">
        <v>756</v>
      </c>
      <c r="B738">
        <v>0</v>
      </c>
      <c r="C738">
        <v>16.15546458125101</v>
      </c>
      <c r="D738">
        <v>16.459080797861432</v>
      </c>
      <c r="E738">
        <v>16.187407473753765</v>
      </c>
      <c r="F738">
        <v>16.705060039515494</v>
      </c>
      <c r="G738">
        <v>0</v>
      </c>
      <c r="H738">
        <v>17.13248126325017</v>
      </c>
      <c r="I738">
        <v>0</v>
      </c>
      <c r="J738">
        <v>0</v>
      </c>
      <c r="K738">
        <v>16.472136950686878</v>
      </c>
      <c r="L738">
        <v>16.253496664211536</v>
      </c>
      <c r="M738">
        <v>16.823880700009802</v>
      </c>
      <c r="N738">
        <v>17.949715916034435</v>
      </c>
      <c r="O738">
        <v>16.80228555237921</v>
      </c>
      <c r="P738">
        <v>0</v>
      </c>
      <c r="Q738">
        <v>0</v>
      </c>
      <c r="R738">
        <v>0</v>
      </c>
      <c r="S738">
        <v>0</v>
      </c>
      <c r="T738">
        <v>17.332250775625948</v>
      </c>
    </row>
    <row r="739" spans="1:20" x14ac:dyDescent="0.25">
      <c r="A739" s="6" t="s">
        <v>757</v>
      </c>
      <c r="B739">
        <v>0</v>
      </c>
      <c r="C739">
        <v>14.446141742153932</v>
      </c>
      <c r="D739">
        <v>14.687442626040445</v>
      </c>
      <c r="E739">
        <v>14.414292876114592</v>
      </c>
      <c r="F739">
        <v>15.203648114760977</v>
      </c>
      <c r="G739">
        <v>0</v>
      </c>
      <c r="H739">
        <v>14.722115203695225</v>
      </c>
      <c r="I739">
        <v>14.718221287590733</v>
      </c>
      <c r="J739">
        <v>0</v>
      </c>
      <c r="K739">
        <v>15.176681067160706</v>
      </c>
      <c r="L739">
        <v>14.048925519962333</v>
      </c>
      <c r="M739">
        <v>0</v>
      </c>
      <c r="N739">
        <v>0</v>
      </c>
      <c r="O739">
        <v>0</v>
      </c>
      <c r="P739">
        <v>15.653583822024411</v>
      </c>
      <c r="Q739">
        <v>14.635111161952929</v>
      </c>
      <c r="R739">
        <v>15.139754498162349</v>
      </c>
      <c r="S739">
        <v>15.053824319375174</v>
      </c>
      <c r="T739">
        <v>14.95428864582426</v>
      </c>
    </row>
    <row r="740" spans="1:20" x14ac:dyDescent="0.25">
      <c r="A740" s="5" t="s">
        <v>758</v>
      </c>
      <c r="B740">
        <v>14.498609162048069</v>
      </c>
      <c r="C740">
        <v>0</v>
      </c>
      <c r="D740">
        <v>0</v>
      </c>
      <c r="E740">
        <v>15.609640474436812</v>
      </c>
      <c r="F740">
        <v>0</v>
      </c>
      <c r="G740">
        <v>0</v>
      </c>
      <c r="H740">
        <v>14.542690230512186</v>
      </c>
      <c r="I740">
        <v>14.160739523291683</v>
      </c>
      <c r="J740">
        <v>14.245068042140955</v>
      </c>
      <c r="K740">
        <v>0</v>
      </c>
      <c r="L740">
        <v>0</v>
      </c>
      <c r="M740">
        <v>13.331655727137047</v>
      </c>
      <c r="N740">
        <v>14.27621674071162</v>
      </c>
      <c r="O740">
        <v>14.236688376524981</v>
      </c>
      <c r="P740">
        <v>13.869792371737484</v>
      </c>
      <c r="Q740">
        <v>13.606038237756618</v>
      </c>
      <c r="R740">
        <v>13.835644149325638</v>
      </c>
      <c r="S740">
        <v>14.296394622649251</v>
      </c>
      <c r="T740">
        <v>11.910910808113409</v>
      </c>
    </row>
    <row r="741" spans="1:20" x14ac:dyDescent="0.25">
      <c r="A741" s="6" t="s">
        <v>759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16.957039256840293</v>
      </c>
      <c r="R741">
        <v>15.904768509980459</v>
      </c>
      <c r="S741">
        <v>15.560009706712211</v>
      </c>
      <c r="T741">
        <v>16.113945311812746</v>
      </c>
    </row>
    <row r="742" spans="1:20" x14ac:dyDescent="0.25">
      <c r="A742" s="5" t="s">
        <v>760</v>
      </c>
      <c r="B742">
        <v>14.679849476718214</v>
      </c>
      <c r="C742">
        <v>0</v>
      </c>
      <c r="D742">
        <v>14.741744010444156</v>
      </c>
      <c r="E742">
        <v>15.852617227929352</v>
      </c>
      <c r="F742">
        <v>14.560009706712211</v>
      </c>
      <c r="G742">
        <v>0</v>
      </c>
      <c r="H742">
        <v>14.577539631269786</v>
      </c>
      <c r="I742">
        <v>15.334633426936943</v>
      </c>
      <c r="J742">
        <v>0</v>
      </c>
      <c r="K742">
        <v>14.134555591488031</v>
      </c>
      <c r="L742">
        <v>0</v>
      </c>
      <c r="M742">
        <v>14.806413438001886</v>
      </c>
      <c r="N742">
        <v>13.611444971283561</v>
      </c>
      <c r="O742">
        <v>14.909200756295721</v>
      </c>
      <c r="P742">
        <v>13.313917449896843</v>
      </c>
      <c r="Q742">
        <v>12.788981544670724</v>
      </c>
      <c r="R742">
        <v>12.439835702590878</v>
      </c>
      <c r="S742">
        <v>13.395515669083965</v>
      </c>
      <c r="T742">
        <v>12.428076716747608</v>
      </c>
    </row>
    <row r="743" spans="1:20" x14ac:dyDescent="0.25">
      <c r="A743" s="6" t="s">
        <v>761</v>
      </c>
      <c r="B743">
        <v>13.920341313900922</v>
      </c>
      <c r="C743">
        <v>0</v>
      </c>
      <c r="D743">
        <v>15.539251146545414</v>
      </c>
      <c r="E743">
        <v>15.7066022043239</v>
      </c>
      <c r="F743">
        <v>13.412718740616482</v>
      </c>
      <c r="G743">
        <v>14.081069155566054</v>
      </c>
      <c r="H743">
        <v>12.802337078122205</v>
      </c>
      <c r="I743">
        <v>14.066144591011041</v>
      </c>
      <c r="J743">
        <v>13.769680886947281</v>
      </c>
      <c r="K743">
        <v>14.355651208206025</v>
      </c>
      <c r="L743">
        <v>15.609640474436812</v>
      </c>
      <c r="M743">
        <v>14.261974818135842</v>
      </c>
      <c r="N743">
        <v>14.61687204366789</v>
      </c>
      <c r="O743">
        <v>14.781821449819493</v>
      </c>
      <c r="P743">
        <v>12.350548806463737</v>
      </c>
      <c r="Q743">
        <v>11.069727935748116</v>
      </c>
      <c r="R743">
        <v>10.971972271194709</v>
      </c>
      <c r="S743">
        <v>11.899263814389752</v>
      </c>
      <c r="T743">
        <v>10.150954987621361</v>
      </c>
    </row>
    <row r="744" spans="1:20" x14ac:dyDescent="0.25">
      <c r="A744" s="5" t="s">
        <v>762</v>
      </c>
      <c r="B744">
        <v>14.195504941452361</v>
      </c>
      <c r="C744">
        <v>0</v>
      </c>
      <c r="D744">
        <v>16.113945311812746</v>
      </c>
      <c r="E744">
        <v>15.6989078125339</v>
      </c>
      <c r="F744">
        <v>13.741744010444156</v>
      </c>
      <c r="G744">
        <v>14.078570981710859</v>
      </c>
      <c r="H744">
        <v>12.707866080301976</v>
      </c>
      <c r="I744">
        <v>14.358678900903593</v>
      </c>
      <c r="J744">
        <v>13.549593090766873</v>
      </c>
      <c r="K744">
        <v>14.745702024012841</v>
      </c>
      <c r="L744">
        <v>16.187407473753765</v>
      </c>
      <c r="M744">
        <v>14.75365077712833</v>
      </c>
      <c r="N744">
        <v>14.949715916034434</v>
      </c>
      <c r="O744">
        <v>14.818868436574812</v>
      </c>
      <c r="P744">
        <v>12.339223662971152</v>
      </c>
      <c r="Q744">
        <v>11.170679000828386</v>
      </c>
      <c r="R744">
        <v>10.920422397877498</v>
      </c>
      <c r="S744">
        <v>12.099330446230178</v>
      </c>
      <c r="T744">
        <v>10.516092974305803</v>
      </c>
    </row>
    <row r="745" spans="1:20" x14ac:dyDescent="0.25">
      <c r="A745" s="6" t="s">
        <v>763</v>
      </c>
      <c r="B745">
        <v>11.519748314204501</v>
      </c>
      <c r="C745">
        <v>11.389252472373077</v>
      </c>
      <c r="D745">
        <v>11.286583912135272</v>
      </c>
      <c r="E745">
        <v>11.013438789080402</v>
      </c>
      <c r="F745">
        <v>11.540398029596279</v>
      </c>
      <c r="G745">
        <v>11.879897387375365</v>
      </c>
      <c r="H745">
        <v>11.792626142256841</v>
      </c>
      <c r="I745">
        <v>11.575583267017192</v>
      </c>
      <c r="J745">
        <v>11.391072394964564</v>
      </c>
      <c r="K745">
        <v>11.325041209298751</v>
      </c>
      <c r="L745">
        <v>11.379560458217904</v>
      </c>
      <c r="M745">
        <v>11.482791481243375</v>
      </c>
      <c r="N745">
        <v>11.239514563955805</v>
      </c>
      <c r="O745">
        <v>11.540221857205671</v>
      </c>
      <c r="P745">
        <v>12.190000462982734</v>
      </c>
      <c r="Q745">
        <v>12.756024008562729</v>
      </c>
      <c r="R745">
        <v>12.308425986875466</v>
      </c>
      <c r="S745">
        <v>12.774686605357461</v>
      </c>
      <c r="T745">
        <v>12.372122644095757</v>
      </c>
    </row>
    <row r="746" spans="1:20" x14ac:dyDescent="0.25">
      <c r="A746" s="5" t="s">
        <v>764</v>
      </c>
      <c r="B746">
        <v>7.0013294614593571</v>
      </c>
      <c r="C746">
        <v>7.440984650953971</v>
      </c>
      <c r="D746">
        <v>7.8900435644491047</v>
      </c>
      <c r="E746">
        <v>7.7533021015423227</v>
      </c>
      <c r="F746">
        <v>7.5500204811161682</v>
      </c>
      <c r="G746">
        <v>7.2103161878702942</v>
      </c>
      <c r="H746">
        <v>6.6138959320815598</v>
      </c>
      <c r="I746">
        <v>7.8785492374821855</v>
      </c>
      <c r="J746">
        <v>7.6288591116957187</v>
      </c>
      <c r="K746">
        <v>7.7027075002838989</v>
      </c>
      <c r="L746">
        <v>7.6915825691885669</v>
      </c>
      <c r="M746">
        <v>7.197348185246196</v>
      </c>
      <c r="N746">
        <v>7.157958296538161</v>
      </c>
      <c r="O746">
        <v>7.6032913915268168</v>
      </c>
      <c r="P746">
        <v>7.0427988788682931</v>
      </c>
      <c r="Q746">
        <v>7.002051238659349</v>
      </c>
      <c r="R746">
        <v>7.83212081268106</v>
      </c>
      <c r="S746">
        <v>8.2488794059704968</v>
      </c>
      <c r="T746">
        <v>7.7616971063865412</v>
      </c>
    </row>
    <row r="747" spans="1:20" x14ac:dyDescent="0.25">
      <c r="A747" s="6" t="s">
        <v>765</v>
      </c>
      <c r="B747">
        <v>6.9174919410351352</v>
      </c>
      <c r="C747">
        <v>7.2324284254227003</v>
      </c>
      <c r="D747">
        <v>8.5683262968211942</v>
      </c>
      <c r="E747">
        <v>9.5280185655688996</v>
      </c>
      <c r="F747">
        <v>7.0628256735734576</v>
      </c>
      <c r="G747">
        <v>6.2576674741885876</v>
      </c>
      <c r="H747">
        <v>6.0020961767928824</v>
      </c>
      <c r="I747">
        <v>6.5485182812378806</v>
      </c>
      <c r="J747">
        <v>6.0192954845207494</v>
      </c>
      <c r="K747">
        <v>7.0564107366265558</v>
      </c>
      <c r="L747">
        <v>6.5736028938287889</v>
      </c>
      <c r="M747">
        <v>5.9281271684614048</v>
      </c>
      <c r="N747">
        <v>6.2620164485663681</v>
      </c>
      <c r="O747">
        <v>6.10828980852882</v>
      </c>
      <c r="P747">
        <v>5.848139936660357</v>
      </c>
      <c r="Q747">
        <v>6.9270592768386638</v>
      </c>
      <c r="R747">
        <v>6.3745881605596137</v>
      </c>
      <c r="S747">
        <v>9.1313351802431644</v>
      </c>
      <c r="T747">
        <v>8.4150288816062044</v>
      </c>
    </row>
    <row r="748" spans="1:20" x14ac:dyDescent="0.25">
      <c r="A748" s="5" t="s">
        <v>766</v>
      </c>
      <c r="B748">
        <v>8.7871920108837891</v>
      </c>
      <c r="C748">
        <v>9.3563498519461419</v>
      </c>
      <c r="D748">
        <v>10.497455384009141</v>
      </c>
      <c r="E748">
        <v>10.621469342175423</v>
      </c>
      <c r="F748">
        <v>10.867938900625793</v>
      </c>
      <c r="G748">
        <v>9.4396814097637236</v>
      </c>
      <c r="H748">
        <v>9.4088016867114916</v>
      </c>
      <c r="I748">
        <v>10.855763212427284</v>
      </c>
      <c r="J748">
        <v>10.346256708201457</v>
      </c>
      <c r="K748">
        <v>10.37982378424072</v>
      </c>
      <c r="L748">
        <v>10.563385167988036</v>
      </c>
      <c r="M748">
        <v>9.9705631834339119</v>
      </c>
      <c r="N748">
        <v>10.192674097014498</v>
      </c>
      <c r="O748">
        <v>10.732674213689057</v>
      </c>
      <c r="P748">
        <v>8.640890174364662</v>
      </c>
      <c r="Q748">
        <v>9.5976193959920835</v>
      </c>
      <c r="R748">
        <v>10.449311179897826</v>
      </c>
      <c r="S748">
        <v>11.555821000678465</v>
      </c>
      <c r="T748">
        <v>10.804706673232017</v>
      </c>
    </row>
    <row r="749" spans="1:20" x14ac:dyDescent="0.25">
      <c r="A749" s="6" t="s">
        <v>767</v>
      </c>
      <c r="B749">
        <v>14.749670926215785</v>
      </c>
      <c r="C749">
        <v>14.239476193896602</v>
      </c>
      <c r="D749">
        <v>14.027084471422752</v>
      </c>
      <c r="E749">
        <v>14.305129432626858</v>
      </c>
      <c r="F749">
        <v>14.160739523291683</v>
      </c>
      <c r="G749">
        <v>14.231128851183081</v>
      </c>
      <c r="H749">
        <v>14.773716400182437</v>
      </c>
      <c r="I749">
        <v>14.765656630388486</v>
      </c>
      <c r="J749">
        <v>14.228357101933028</v>
      </c>
      <c r="K749">
        <v>14.322759326648649</v>
      </c>
      <c r="L749">
        <v>14.108838421379655</v>
      </c>
      <c r="M749">
        <v>14.45908079786143</v>
      </c>
      <c r="N749">
        <v>15.048925519962333</v>
      </c>
      <c r="O749">
        <v>14.209102544853085</v>
      </c>
      <c r="P749">
        <v>14.88280925740432</v>
      </c>
      <c r="Q749">
        <v>15.653583822024411</v>
      </c>
      <c r="R749">
        <v>15.192800732523983</v>
      </c>
      <c r="S749">
        <v>15.293494732143458</v>
      </c>
      <c r="T749">
        <v>15.745702024012841</v>
      </c>
    </row>
    <row r="750" spans="1:20" x14ac:dyDescent="0.25">
      <c r="A750" s="5" t="s">
        <v>768</v>
      </c>
      <c r="B750">
        <v>4.72098853824094</v>
      </c>
      <c r="C750">
        <v>5.8171798256291387</v>
      </c>
      <c r="D750">
        <v>5.4828240615762143</v>
      </c>
      <c r="E750">
        <v>6.597683388773496</v>
      </c>
      <c r="F750">
        <v>6.0557991592846792</v>
      </c>
      <c r="G750">
        <v>5.6579132551334057</v>
      </c>
      <c r="H750">
        <v>4.5297468405059549</v>
      </c>
      <c r="I750">
        <v>5.1877242966803472</v>
      </c>
      <c r="J750">
        <v>5.1893156672752339</v>
      </c>
      <c r="K750">
        <v>5.7407357578186158</v>
      </c>
      <c r="L750">
        <v>5.3155517599986757</v>
      </c>
      <c r="M750">
        <v>5.2936280445556347</v>
      </c>
      <c r="N750">
        <v>5.0131345343203595</v>
      </c>
      <c r="O750">
        <v>5.0031897791581859</v>
      </c>
      <c r="P750">
        <v>4.0240319347130518</v>
      </c>
      <c r="Q750">
        <v>5.0942636034239861</v>
      </c>
      <c r="R750">
        <v>5.3659109460882553</v>
      </c>
      <c r="S750">
        <v>4.7141127525506032</v>
      </c>
      <c r="T750">
        <v>5.2648130313277726</v>
      </c>
    </row>
    <row r="751" spans="1:20" x14ac:dyDescent="0.25">
      <c r="A751" s="6" t="s">
        <v>769</v>
      </c>
      <c r="B751">
        <v>4.8296450805087021</v>
      </c>
      <c r="C751">
        <v>5.5275688269638215</v>
      </c>
      <c r="D751">
        <v>5.454666398233404</v>
      </c>
      <c r="E751">
        <v>6.2888143204833913</v>
      </c>
      <c r="F751">
        <v>5.8684455358563996</v>
      </c>
      <c r="G751">
        <v>5.461800598090556</v>
      </c>
      <c r="H751">
        <v>4.4600506820384807</v>
      </c>
      <c r="I751">
        <v>5.2320918181266975</v>
      </c>
      <c r="J751">
        <v>5.1048959071633933</v>
      </c>
      <c r="K751">
        <v>5.6874745957459352</v>
      </c>
      <c r="L751">
        <v>5.2045641255549029</v>
      </c>
      <c r="M751">
        <v>4.988699344267566</v>
      </c>
      <c r="N751">
        <v>4.9327775441706851</v>
      </c>
      <c r="O751">
        <v>4.7705644240556504</v>
      </c>
      <c r="P751">
        <v>4.4031059423371355</v>
      </c>
      <c r="Q751">
        <v>5.2282240079458795</v>
      </c>
      <c r="R751">
        <v>5.5689627987067682</v>
      </c>
      <c r="S751">
        <v>4.7667245969877943</v>
      </c>
      <c r="T751">
        <v>5.2701515801183421</v>
      </c>
    </row>
    <row r="752" spans="1:20" x14ac:dyDescent="0.25">
      <c r="A752" s="5" t="s">
        <v>770</v>
      </c>
      <c r="B752">
        <v>10.677900693916481</v>
      </c>
      <c r="C752">
        <v>11.818461954056332</v>
      </c>
      <c r="D752">
        <v>10.949256586668273</v>
      </c>
      <c r="E752">
        <v>12.340323007392156</v>
      </c>
      <c r="F752">
        <v>12.105471392034334</v>
      </c>
      <c r="G752">
        <v>11.766857701637447</v>
      </c>
      <c r="H752">
        <v>10.29787944651819</v>
      </c>
      <c r="I752">
        <v>10.848599926741603</v>
      </c>
      <c r="J752">
        <v>11.217103229161681</v>
      </c>
      <c r="K752">
        <v>11.43952713343606</v>
      </c>
      <c r="L752">
        <v>10.903350299005648</v>
      </c>
      <c r="M752">
        <v>11.044451551305775</v>
      </c>
      <c r="N752">
        <v>10.409789521270911</v>
      </c>
      <c r="O752">
        <v>10.584392367977568</v>
      </c>
      <c r="P752">
        <v>10.263766899141286</v>
      </c>
      <c r="Q752">
        <v>10.911452562109091</v>
      </c>
      <c r="R752">
        <v>11.203049384471882</v>
      </c>
      <c r="S752">
        <v>10.320602809338959</v>
      </c>
      <c r="T752">
        <v>10.735915848069173</v>
      </c>
    </row>
    <row r="753" spans="1:20" x14ac:dyDescent="0.25">
      <c r="A753" s="6" t="s">
        <v>771</v>
      </c>
      <c r="B753">
        <v>0</v>
      </c>
      <c r="C753">
        <v>14.017482472311452</v>
      </c>
      <c r="D753">
        <v>14.261974818135842</v>
      </c>
      <c r="E753">
        <v>0</v>
      </c>
      <c r="F753">
        <v>13.635111161952929</v>
      </c>
      <c r="G753">
        <v>13.662909614296503</v>
      </c>
      <c r="H753">
        <v>13.818868436574812</v>
      </c>
      <c r="I753">
        <v>13.366276048743151</v>
      </c>
      <c r="J753">
        <v>13.129000507210609</v>
      </c>
      <c r="K753">
        <v>14.239476193896602</v>
      </c>
      <c r="L753">
        <v>13.638786820096328</v>
      </c>
      <c r="M753">
        <v>13.751659479309239</v>
      </c>
      <c r="N753">
        <v>12.884553749806585</v>
      </c>
      <c r="O753">
        <v>13.560009706712211</v>
      </c>
      <c r="P753">
        <v>13.191369554298987</v>
      </c>
      <c r="Q753">
        <v>13.876286133822985</v>
      </c>
      <c r="R753">
        <v>13.495273449484813</v>
      </c>
      <c r="S753">
        <v>12.934795697707756</v>
      </c>
      <c r="T753">
        <v>13.290600658874276</v>
      </c>
    </row>
    <row r="754" spans="1:20" x14ac:dyDescent="0.25">
      <c r="A754" s="5" t="s">
        <v>772</v>
      </c>
      <c r="B754">
        <v>0</v>
      </c>
      <c r="C754">
        <v>0</v>
      </c>
      <c r="D754">
        <v>13.640628166920497</v>
      </c>
      <c r="E754">
        <v>14.475419534676179</v>
      </c>
      <c r="F754">
        <v>13.547864276850122</v>
      </c>
      <c r="G754">
        <v>13.653583822024411</v>
      </c>
      <c r="H754">
        <v>0</v>
      </c>
      <c r="I754">
        <v>12.959059709834573</v>
      </c>
      <c r="J754">
        <v>13.116569616388556</v>
      </c>
      <c r="K754">
        <v>13.221051392265919</v>
      </c>
      <c r="L754">
        <v>13.423773929125478</v>
      </c>
      <c r="M754">
        <v>12.84235646045375</v>
      </c>
      <c r="N754">
        <v>12.280308743128824</v>
      </c>
      <c r="O754">
        <v>13.720166931905704</v>
      </c>
      <c r="P754">
        <v>13.478709604610362</v>
      </c>
      <c r="Q754">
        <v>13.568748043789912</v>
      </c>
      <c r="R754">
        <v>0</v>
      </c>
      <c r="S754">
        <v>13.818868436574812</v>
      </c>
      <c r="T754">
        <v>13.685540588796069</v>
      </c>
    </row>
    <row r="755" spans="1:20" x14ac:dyDescent="0.25">
      <c r="A755" s="6" t="s">
        <v>773</v>
      </c>
      <c r="B755">
        <v>11.94477653075454</v>
      </c>
      <c r="C755">
        <v>12.856720653424007</v>
      </c>
      <c r="D755">
        <v>12.175552733224961</v>
      </c>
      <c r="E755">
        <v>12.037526917952581</v>
      </c>
      <c r="F755">
        <v>12.574412480470432</v>
      </c>
      <c r="G755">
        <v>12.711945042319529</v>
      </c>
      <c r="H755">
        <v>12.361849643840074</v>
      </c>
      <c r="I755">
        <v>12.1042639775153</v>
      </c>
      <c r="J755">
        <v>11.994024078325262</v>
      </c>
      <c r="K755">
        <v>11.581044802354359</v>
      </c>
      <c r="L755">
        <v>12.018757056917414</v>
      </c>
      <c r="M755">
        <v>12.121427558165866</v>
      </c>
      <c r="N755">
        <v>11.995778830984133</v>
      </c>
      <c r="O755">
        <v>11.693823225420925</v>
      </c>
      <c r="P755">
        <v>11.631252620278342</v>
      </c>
      <c r="Q755">
        <v>12.126747027203713</v>
      </c>
      <c r="R755">
        <v>11.314049678516048</v>
      </c>
      <c r="S755">
        <v>11.889602843347253</v>
      </c>
      <c r="T755">
        <v>12.051385087419822</v>
      </c>
    </row>
    <row r="756" spans="1:20" x14ac:dyDescent="0.25">
      <c r="A756" s="5" t="s">
        <v>774</v>
      </c>
      <c r="B756">
        <v>13.493608480989701</v>
      </c>
      <c r="C756">
        <v>12.787032680376564</v>
      </c>
      <c r="D756">
        <v>12.878978783165246</v>
      </c>
      <c r="E756">
        <v>13.047263710265758</v>
      </c>
      <c r="F756">
        <v>12.995767047003763</v>
      </c>
      <c r="G756">
        <v>0</v>
      </c>
      <c r="H756">
        <v>12.934987747507734</v>
      </c>
      <c r="I756">
        <v>13.1237886300888</v>
      </c>
      <c r="J756">
        <v>14.116505552131308</v>
      </c>
      <c r="K756">
        <v>12.873641809905614</v>
      </c>
      <c r="L756">
        <v>12.725032785740877</v>
      </c>
      <c r="M756">
        <v>12.666788206873251</v>
      </c>
      <c r="N756">
        <v>12.552042907575965</v>
      </c>
      <c r="O756">
        <v>13.313917449896843</v>
      </c>
      <c r="P756">
        <v>12.785799420323807</v>
      </c>
      <c r="Q756">
        <v>13.102581637776474</v>
      </c>
      <c r="R756">
        <v>12.656654674046507</v>
      </c>
      <c r="S756">
        <v>12.650519492590604</v>
      </c>
      <c r="T756">
        <v>12.970466205408568</v>
      </c>
    </row>
    <row r="757" spans="1:20" x14ac:dyDescent="0.25">
      <c r="A757" s="6" t="s">
        <v>775</v>
      </c>
      <c r="B757">
        <v>15.113945311812744</v>
      </c>
      <c r="C757">
        <v>0</v>
      </c>
      <c r="D757">
        <v>14.668534163490381</v>
      </c>
      <c r="E757">
        <v>14.14758815564038</v>
      </c>
      <c r="F757">
        <v>13.366276048743151</v>
      </c>
      <c r="G757">
        <v>0</v>
      </c>
      <c r="H757">
        <v>0</v>
      </c>
      <c r="I757">
        <v>13.367800290872143</v>
      </c>
      <c r="J757">
        <v>13.404873723782199</v>
      </c>
      <c r="K757">
        <v>14.245068042140955</v>
      </c>
      <c r="L757">
        <v>14.214577674919234</v>
      </c>
      <c r="M757">
        <v>13.153005146207157</v>
      </c>
      <c r="N757">
        <v>13.069203970444992</v>
      </c>
      <c r="O757">
        <v>13.745702024012841</v>
      </c>
      <c r="P757">
        <v>13.142347949776839</v>
      </c>
      <c r="Q757">
        <v>13.349614818475358</v>
      </c>
      <c r="R757">
        <v>13.039833462967826</v>
      </c>
      <c r="S757">
        <v>12.822458789833238</v>
      </c>
      <c r="T757">
        <v>13.12919438048454</v>
      </c>
    </row>
    <row r="758" spans="1:20" x14ac:dyDescent="0.25">
      <c r="A758" s="5" t="s">
        <v>776</v>
      </c>
      <c r="B758">
        <v>11.084263746287844</v>
      </c>
      <c r="C758">
        <v>11.470928380238552</v>
      </c>
      <c r="D758">
        <v>12.142784994692725</v>
      </c>
      <c r="E758">
        <v>11.823080703101635</v>
      </c>
      <c r="F758">
        <v>10.889118479192373</v>
      </c>
      <c r="G758">
        <v>11.112638142052383</v>
      </c>
      <c r="H758">
        <v>11.134669117371931</v>
      </c>
      <c r="I758">
        <v>11.095177311298094</v>
      </c>
      <c r="J758">
        <v>11.20469308598739</v>
      </c>
      <c r="K758">
        <v>11.55997050357527</v>
      </c>
      <c r="L758">
        <v>11.440220504644506</v>
      </c>
      <c r="M758">
        <v>10.844790109714941</v>
      </c>
      <c r="N758">
        <v>11.613938889250523</v>
      </c>
      <c r="O758">
        <v>12.154681578853941</v>
      </c>
      <c r="P758">
        <v>10.708095336734504</v>
      </c>
      <c r="Q758">
        <v>9.7422085144397155</v>
      </c>
      <c r="R758">
        <v>9.9682765277276779</v>
      </c>
      <c r="S758">
        <v>10.717548219340022</v>
      </c>
      <c r="T758">
        <v>10.34651590298061</v>
      </c>
    </row>
    <row r="759" spans="1:20" x14ac:dyDescent="0.25">
      <c r="A759" s="6" t="s">
        <v>777</v>
      </c>
      <c r="B759">
        <v>15.977372258937301</v>
      </c>
      <c r="C759">
        <v>0</v>
      </c>
      <c r="D759">
        <v>0</v>
      </c>
      <c r="E759">
        <v>0</v>
      </c>
      <c r="F759">
        <v>0</v>
      </c>
      <c r="G759">
        <v>15.264811977439372</v>
      </c>
      <c r="H759">
        <v>15.777763233245141</v>
      </c>
      <c r="I759">
        <v>16.553056946070445</v>
      </c>
      <c r="J759">
        <v>0</v>
      </c>
      <c r="K759">
        <v>16.06367210533152</v>
      </c>
      <c r="L759">
        <v>13.239099523864882</v>
      </c>
      <c r="M759">
        <v>15.75365077712833</v>
      </c>
      <c r="N759">
        <v>15.171347622857667</v>
      </c>
      <c r="O759">
        <v>0</v>
      </c>
      <c r="P759">
        <v>15.253496664211537</v>
      </c>
      <c r="Q759">
        <v>15.364753415313277</v>
      </c>
      <c r="R759">
        <v>15.588160747026361</v>
      </c>
      <c r="S759">
        <v>15.401747622795478</v>
      </c>
      <c r="T759">
        <v>13.593500771781558</v>
      </c>
    </row>
    <row r="760" spans="1:20" x14ac:dyDescent="0.25">
      <c r="A760" s="5" t="s">
        <v>778</v>
      </c>
      <c r="B760">
        <v>14.528982811091586</v>
      </c>
      <c r="C760">
        <v>13.312449057870957</v>
      </c>
      <c r="D760">
        <v>13.449365643028219</v>
      </c>
      <c r="E760">
        <v>13.668534163490381</v>
      </c>
      <c r="F760">
        <v>14.000831231761289</v>
      </c>
      <c r="G760">
        <v>13.865479378866404</v>
      </c>
      <c r="H760">
        <v>14.392409758216143</v>
      </c>
      <c r="I760">
        <v>14.203648114760977</v>
      </c>
      <c r="J760">
        <v>14.279082074406009</v>
      </c>
      <c r="K760">
        <v>13.942883882552009</v>
      </c>
      <c r="L760">
        <v>13.747685110291943</v>
      </c>
      <c r="M760">
        <v>15.340607327981576</v>
      </c>
      <c r="N760">
        <v>0</v>
      </c>
      <c r="O760">
        <v>14.171347622857667</v>
      </c>
      <c r="P760">
        <v>15.134555591488031</v>
      </c>
      <c r="Q760">
        <v>14.781821449819493</v>
      </c>
      <c r="R760">
        <v>15.231128851183083</v>
      </c>
      <c r="S760">
        <v>14.373913414598753</v>
      </c>
      <c r="T760">
        <v>14.757641637324365</v>
      </c>
    </row>
    <row r="761" spans="1:20" x14ac:dyDescent="0.25">
      <c r="A761" s="6" t="s">
        <v>779</v>
      </c>
      <c r="B761">
        <v>15.358678900903593</v>
      </c>
      <c r="C761">
        <v>0</v>
      </c>
      <c r="D761">
        <v>0</v>
      </c>
      <c r="E761">
        <v>0</v>
      </c>
      <c r="F761">
        <v>14.940613708927183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14.111389606908986</v>
      </c>
      <c r="O761">
        <v>0</v>
      </c>
      <c r="P761">
        <v>14.027084471422752</v>
      </c>
      <c r="Q761">
        <v>13.714337853103505</v>
      </c>
      <c r="R761">
        <v>13.716278263672942</v>
      </c>
      <c r="S761">
        <v>14.166033822961197</v>
      </c>
      <c r="T761">
        <v>13.020716007563232</v>
      </c>
    </row>
    <row r="762" spans="1:20" x14ac:dyDescent="0.25">
      <c r="A762" s="5" t="s">
        <v>780</v>
      </c>
      <c r="B762">
        <v>13.977372258937299</v>
      </c>
      <c r="C762">
        <v>0</v>
      </c>
      <c r="D762">
        <v>0</v>
      </c>
      <c r="E762">
        <v>16.231128851183083</v>
      </c>
      <c r="F762">
        <v>0</v>
      </c>
      <c r="G762">
        <v>0</v>
      </c>
      <c r="H762">
        <v>15.322759326648649</v>
      </c>
      <c r="I762">
        <v>0</v>
      </c>
      <c r="J762">
        <v>15.328684160605755</v>
      </c>
      <c r="K762">
        <v>15.887174449965721</v>
      </c>
      <c r="L762">
        <v>15.986710123516636</v>
      </c>
      <c r="M762">
        <v>15.505303814622076</v>
      </c>
      <c r="N762">
        <v>14.40800661326716</v>
      </c>
      <c r="O762">
        <v>15.4397154729945</v>
      </c>
      <c r="P762">
        <v>15.144972207433367</v>
      </c>
      <c r="Q762">
        <v>14.714337853103507</v>
      </c>
      <c r="R762">
        <v>14.927067177089235</v>
      </c>
      <c r="S762">
        <v>14.958875915319911</v>
      </c>
      <c r="T762">
        <v>13.787930259402136</v>
      </c>
    </row>
    <row r="763" spans="1:20" x14ac:dyDescent="0.25">
      <c r="A763" s="6" t="s">
        <v>781</v>
      </c>
      <c r="B763">
        <v>9.8277588620261014</v>
      </c>
      <c r="C763">
        <v>9.4394720387455369</v>
      </c>
      <c r="D763">
        <v>9.0589183112590419</v>
      </c>
      <c r="E763">
        <v>8.983281651945882</v>
      </c>
      <c r="F763">
        <v>9.491216373557938</v>
      </c>
      <c r="G763">
        <v>9.6399719175938454</v>
      </c>
      <c r="H763">
        <v>9.1542170776687044</v>
      </c>
      <c r="I763">
        <v>9.3640421350564029</v>
      </c>
      <c r="J763">
        <v>9.5583727935060345</v>
      </c>
      <c r="K763">
        <v>8.9810688065259452</v>
      </c>
      <c r="L763">
        <v>9.4019886776156891</v>
      </c>
      <c r="M763">
        <v>10.138988107260746</v>
      </c>
      <c r="N763">
        <v>9.720183967878901</v>
      </c>
      <c r="O763">
        <v>8.868822846920775</v>
      </c>
      <c r="P763">
        <v>10.055298743818106</v>
      </c>
      <c r="Q763">
        <v>11.112727592691025</v>
      </c>
      <c r="R763">
        <v>10.272823316741245</v>
      </c>
      <c r="S763">
        <v>10.473079928850817</v>
      </c>
      <c r="T763">
        <v>11.417075423204478</v>
      </c>
    </row>
    <row r="764" spans="1:20" x14ac:dyDescent="0.25">
      <c r="A764" s="5" t="s">
        <v>782</v>
      </c>
      <c r="B764">
        <v>12.55324769961152</v>
      </c>
      <c r="C764">
        <v>12.389217645183596</v>
      </c>
      <c r="D764">
        <v>12.329099811640107</v>
      </c>
      <c r="E764">
        <v>12.266182904891846</v>
      </c>
      <c r="F764">
        <v>12.18066064131318</v>
      </c>
      <c r="G764">
        <v>12.331611108392771</v>
      </c>
      <c r="H764">
        <v>11.495223472462207</v>
      </c>
      <c r="I764">
        <v>12.275308186232259</v>
      </c>
      <c r="J764">
        <v>12.143901038222772</v>
      </c>
      <c r="K764">
        <v>12.239880874983022</v>
      </c>
      <c r="L764">
        <v>12.774555185205864</v>
      </c>
      <c r="M764">
        <v>12.943792953181262</v>
      </c>
      <c r="N764">
        <v>12.968395038128975</v>
      </c>
      <c r="O764">
        <v>12.313741163921321</v>
      </c>
      <c r="P764">
        <v>12.318633742751455</v>
      </c>
      <c r="Q764">
        <v>12.567696644466645</v>
      </c>
      <c r="R764">
        <v>12.455583904356352</v>
      </c>
      <c r="S764">
        <v>13.029024622664522</v>
      </c>
      <c r="T764">
        <v>12.358186468264375</v>
      </c>
    </row>
    <row r="765" spans="1:20" x14ac:dyDescent="0.25">
      <c r="A765" s="6" t="s">
        <v>783</v>
      </c>
      <c r="B765">
        <v>17.005569150767954</v>
      </c>
      <c r="C765">
        <v>16.924373067919969</v>
      </c>
      <c r="D765">
        <v>17.251244212480156</v>
      </c>
      <c r="E765">
        <v>17.176681067160704</v>
      </c>
      <c r="F765">
        <v>18.095644495069799</v>
      </c>
      <c r="G765">
        <v>0</v>
      </c>
      <c r="H765">
        <v>16.485312339434611</v>
      </c>
      <c r="I765">
        <v>17.130409913230476</v>
      </c>
      <c r="J765">
        <v>0</v>
      </c>
      <c r="K765">
        <v>17.18956235845744</v>
      </c>
      <c r="L765">
        <v>16.621228448712024</v>
      </c>
      <c r="M765">
        <v>16.878457232864612</v>
      </c>
      <c r="N765">
        <v>16.539251146545414</v>
      </c>
      <c r="O765">
        <v>17.206918297591208</v>
      </c>
      <c r="P765">
        <v>17.603881205148127</v>
      </c>
      <c r="Q765">
        <v>16.682123228238336</v>
      </c>
      <c r="R765">
        <v>17.589582822095558</v>
      </c>
      <c r="S765">
        <v>16.420606650046796</v>
      </c>
      <c r="T765">
        <v>16.242269408788282</v>
      </c>
    </row>
    <row r="766" spans="1:20" x14ac:dyDescent="0.25">
      <c r="A766" s="5" t="s">
        <v>784</v>
      </c>
      <c r="B766">
        <v>8.32298430336105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8.7458940162956953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8.9666631535847472</v>
      </c>
      <c r="Q766">
        <v>6.2101603410921395</v>
      </c>
      <c r="R766">
        <v>7.5958714512228536</v>
      </c>
      <c r="S766">
        <v>9.0232089762863303</v>
      </c>
      <c r="T766">
        <v>7.3740337877874218</v>
      </c>
    </row>
    <row r="767" spans="1:20" x14ac:dyDescent="0.25">
      <c r="A767" s="6" t="s">
        <v>785</v>
      </c>
      <c r="B767">
        <v>7.8411742560607864</v>
      </c>
      <c r="C767">
        <v>11.543938925765135</v>
      </c>
      <c r="D767">
        <v>11.754168965082888</v>
      </c>
      <c r="E767">
        <v>11.601875364505148</v>
      </c>
      <c r="F767">
        <v>8.6222604828732035</v>
      </c>
      <c r="G767">
        <v>11.612411304662674</v>
      </c>
      <c r="H767">
        <v>10.059189183257581</v>
      </c>
      <c r="I767">
        <v>11.506940356051901</v>
      </c>
      <c r="J767">
        <v>8.6995146586388845</v>
      </c>
      <c r="K767">
        <v>11.163609269578968</v>
      </c>
      <c r="L767">
        <v>11.789150025658785</v>
      </c>
      <c r="M767">
        <v>9.3542681544152479</v>
      </c>
      <c r="N767">
        <v>7.9644313106546987</v>
      </c>
      <c r="O767">
        <v>11.237778468630912</v>
      </c>
      <c r="P767">
        <v>8.2967606948997528</v>
      </c>
      <c r="Q767">
        <v>6.0562424334083413</v>
      </c>
      <c r="R767">
        <v>7.2416101153651935</v>
      </c>
      <c r="S767">
        <v>9.105056626533484</v>
      </c>
      <c r="T767">
        <v>7.2692319806145465</v>
      </c>
    </row>
    <row r="768" spans="1:20" x14ac:dyDescent="0.25">
      <c r="A768" s="5" t="s">
        <v>786</v>
      </c>
      <c r="B768">
        <v>7.7035390684925025</v>
      </c>
      <c r="C768">
        <v>11.655583786455088</v>
      </c>
      <c r="D768">
        <v>11.773479001414218</v>
      </c>
      <c r="E768">
        <v>11.339941507276716</v>
      </c>
      <c r="F768">
        <v>8.4696993400802452</v>
      </c>
      <c r="G768">
        <v>11.753650777128332</v>
      </c>
      <c r="H768">
        <v>10.191285213097915</v>
      </c>
      <c r="I768">
        <v>11.025492725310057</v>
      </c>
      <c r="J768">
        <v>8.3485253024869746</v>
      </c>
      <c r="K768">
        <v>11.331934625557393</v>
      </c>
      <c r="L768">
        <v>12.151691658820811</v>
      </c>
      <c r="M768">
        <v>9.2171504538262177</v>
      </c>
      <c r="N768">
        <v>7.7474035939377339</v>
      </c>
      <c r="O768">
        <v>11.020778953746229</v>
      </c>
      <c r="P768">
        <v>7.6764670992043023</v>
      </c>
      <c r="Q768">
        <v>6.3938226039149804</v>
      </c>
      <c r="R768">
        <v>7.445242853703653</v>
      </c>
      <c r="S768">
        <v>9.7625743562850342</v>
      </c>
      <c r="T768">
        <v>7.1805898997205118</v>
      </c>
    </row>
    <row r="769" spans="1:20" x14ac:dyDescent="0.25">
      <c r="A769" s="6" t="s">
        <v>787</v>
      </c>
      <c r="B769">
        <v>11.600315698883955</v>
      </c>
      <c r="C769">
        <v>13.078808122356834</v>
      </c>
      <c r="D769">
        <v>12.642564113781729</v>
      </c>
      <c r="E769">
        <v>12.771858662001128</v>
      </c>
      <c r="F769">
        <v>11.320208043183955</v>
      </c>
      <c r="G769">
        <v>11.942582879162817</v>
      </c>
      <c r="H769">
        <v>11.507032729111515</v>
      </c>
      <c r="I769">
        <v>11.49659847181103</v>
      </c>
      <c r="J769">
        <v>11.719670543309874</v>
      </c>
      <c r="K769">
        <v>12.077753769219544</v>
      </c>
      <c r="L769">
        <v>12.520693269818041</v>
      </c>
      <c r="M769">
        <v>11.700467418151799</v>
      </c>
      <c r="N769">
        <v>11.828091911376681</v>
      </c>
      <c r="O769">
        <v>12.422617066288833</v>
      </c>
      <c r="P769">
        <v>11.937498041582977</v>
      </c>
      <c r="Q769">
        <v>11.713785313648119</v>
      </c>
      <c r="R769">
        <v>12.06899939660091</v>
      </c>
      <c r="S769">
        <v>12.848599926741601</v>
      </c>
      <c r="T769">
        <v>10.88211205065358</v>
      </c>
    </row>
    <row r="770" spans="1:20" x14ac:dyDescent="0.25">
      <c r="A770" s="5" t="s">
        <v>788</v>
      </c>
      <c r="B770">
        <v>0</v>
      </c>
      <c r="C770">
        <v>13.861179241432778</v>
      </c>
      <c r="D770">
        <v>12.880000698989923</v>
      </c>
      <c r="E770">
        <v>12.52210125723542</v>
      </c>
      <c r="F770">
        <v>13.852617227929352</v>
      </c>
      <c r="G770">
        <v>12.319230816099044</v>
      </c>
      <c r="H770">
        <v>12.53729453067915</v>
      </c>
      <c r="I770">
        <v>12.329248287464425</v>
      </c>
      <c r="J770">
        <v>12.744473878059376</v>
      </c>
      <c r="K770">
        <v>12.723285430911655</v>
      </c>
      <c r="L770">
        <v>12.084354587323572</v>
      </c>
      <c r="M770">
        <v>12.946330015578727</v>
      </c>
      <c r="N770">
        <v>14.40800661326716</v>
      </c>
      <c r="O770">
        <v>0</v>
      </c>
      <c r="P770">
        <v>12.898046454738141</v>
      </c>
      <c r="Q770">
        <v>11.934304392533713</v>
      </c>
      <c r="R770">
        <v>11.428335133506451</v>
      </c>
      <c r="S770">
        <v>11.630392500673473</v>
      </c>
      <c r="T770">
        <v>13.117954099167044</v>
      </c>
    </row>
    <row r="771" spans="1:20" x14ac:dyDescent="0.25">
      <c r="A771" s="6" t="s">
        <v>789</v>
      </c>
      <c r="B771">
        <v>13.810553168362809</v>
      </c>
      <c r="C771">
        <v>13.472136950686879</v>
      </c>
      <c r="D771">
        <v>0</v>
      </c>
      <c r="E771">
        <v>13.965784284662087</v>
      </c>
      <c r="F771">
        <v>13.648017146149867</v>
      </c>
      <c r="G771">
        <v>13.46233377565652</v>
      </c>
      <c r="H771">
        <v>13.7397690682591</v>
      </c>
      <c r="I771">
        <v>13.812627496600667</v>
      </c>
      <c r="J771">
        <v>0</v>
      </c>
      <c r="K771">
        <v>12.395181462717593</v>
      </c>
      <c r="L771">
        <v>0</v>
      </c>
      <c r="M771">
        <v>0</v>
      </c>
      <c r="N771">
        <v>12.894285195525951</v>
      </c>
      <c r="O771">
        <v>0</v>
      </c>
      <c r="P771">
        <v>12.075703419435886</v>
      </c>
      <c r="Q771">
        <v>12.594821022582005</v>
      </c>
      <c r="R771">
        <v>12.111447060510363</v>
      </c>
      <c r="S771">
        <v>12.367403832972073</v>
      </c>
      <c r="T771">
        <v>12.858401723260151</v>
      </c>
    </row>
    <row r="772" spans="1:20" x14ac:dyDescent="0.25">
      <c r="A772" s="5" t="s">
        <v>790</v>
      </c>
      <c r="B772">
        <v>0</v>
      </c>
      <c r="C772">
        <v>0</v>
      </c>
      <c r="D772">
        <v>0</v>
      </c>
      <c r="E772">
        <v>0</v>
      </c>
      <c r="F772">
        <v>11.119227585782198</v>
      </c>
      <c r="G772">
        <v>11.988637736468727</v>
      </c>
      <c r="H772">
        <v>11.951554697323362</v>
      </c>
      <c r="I772">
        <v>12.298878659853681</v>
      </c>
      <c r="J772">
        <v>11.827530754475667</v>
      </c>
      <c r="K772">
        <v>13.867634263570075</v>
      </c>
      <c r="L772">
        <v>13.169073577910915</v>
      </c>
      <c r="M772">
        <v>0</v>
      </c>
      <c r="N772">
        <v>12.990333116652637</v>
      </c>
      <c r="O772">
        <v>13.611444971283561</v>
      </c>
      <c r="P772">
        <v>10.410812402258827</v>
      </c>
      <c r="Q772">
        <v>10.212302973149706</v>
      </c>
      <c r="R772">
        <v>10.074097582407472</v>
      </c>
      <c r="S772">
        <v>10.555946962879746</v>
      </c>
      <c r="T772">
        <v>13.189211970600512</v>
      </c>
    </row>
    <row r="773" spans="1:20" x14ac:dyDescent="0.25">
      <c r="A773" s="6" t="s">
        <v>791</v>
      </c>
      <c r="B773">
        <v>14.376979717646538</v>
      </c>
      <c r="C773">
        <v>0</v>
      </c>
      <c r="D773">
        <v>14.542690230512186</v>
      </c>
      <c r="E773">
        <v>14.442925029470389</v>
      </c>
      <c r="F773">
        <v>12.472883082508725</v>
      </c>
      <c r="G773">
        <v>13.321281912243151</v>
      </c>
      <c r="H773">
        <v>12.409245981422398</v>
      </c>
      <c r="I773">
        <v>13.134036729752212</v>
      </c>
      <c r="J773">
        <v>12.221264928421901</v>
      </c>
      <c r="K773">
        <v>13.315387337992298</v>
      </c>
      <c r="L773">
        <v>14.900349838713455</v>
      </c>
      <c r="M773">
        <v>13.423773929125478</v>
      </c>
      <c r="N773">
        <v>14.200928613407385</v>
      </c>
      <c r="O773">
        <v>13.852617227929352</v>
      </c>
      <c r="P773">
        <v>12.057208067481229</v>
      </c>
      <c r="Q773">
        <v>11.245628420878198</v>
      </c>
      <c r="R773">
        <v>11.130403444920725</v>
      </c>
      <c r="S773">
        <v>11.708334284839756</v>
      </c>
      <c r="T773">
        <v>13.157427243774764</v>
      </c>
    </row>
    <row r="774" spans="1:20" x14ac:dyDescent="0.25">
      <c r="A774" s="5" t="s">
        <v>792</v>
      </c>
      <c r="B774">
        <v>0</v>
      </c>
      <c r="C774">
        <v>11.479121391409475</v>
      </c>
      <c r="D774">
        <v>14.777763233245141</v>
      </c>
      <c r="E774">
        <v>14.823044112546006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14.798169443906975</v>
      </c>
      <c r="L774">
        <v>14.152834325206339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15.408006613267162</v>
      </c>
    </row>
    <row r="775" spans="1:20" x14ac:dyDescent="0.25">
      <c r="A775" s="6" t="s">
        <v>793</v>
      </c>
      <c r="B775">
        <v>0</v>
      </c>
      <c r="C775">
        <v>0</v>
      </c>
      <c r="D775">
        <v>14.814704811633275</v>
      </c>
      <c r="E775">
        <v>0</v>
      </c>
      <c r="F775">
        <v>0</v>
      </c>
      <c r="G775">
        <v>0</v>
      </c>
      <c r="H775">
        <v>14.337617285375762</v>
      </c>
      <c r="I775">
        <v>0</v>
      </c>
      <c r="J775">
        <v>14.150208855799516</v>
      </c>
      <c r="K775">
        <v>0</v>
      </c>
      <c r="L775">
        <v>15.478709604610364</v>
      </c>
      <c r="M775">
        <v>14.522177633186471</v>
      </c>
      <c r="N775">
        <v>14.395515669083965</v>
      </c>
      <c r="O775">
        <v>14.171347622857667</v>
      </c>
      <c r="P775">
        <v>13.889362009203486</v>
      </c>
      <c r="Q775">
        <v>13.254511415952642</v>
      </c>
      <c r="R775">
        <v>12.671505265235972</v>
      </c>
      <c r="S775">
        <v>12.548114826486414</v>
      </c>
      <c r="T775">
        <v>12.662226787987874</v>
      </c>
    </row>
    <row r="776" spans="1:20" x14ac:dyDescent="0.25">
      <c r="A776" s="5" t="s">
        <v>794</v>
      </c>
      <c r="B776">
        <v>14.949715916034434</v>
      </c>
      <c r="C776">
        <v>13.331655727137047</v>
      </c>
      <c r="D776">
        <v>14.563498692792091</v>
      </c>
      <c r="E776">
        <v>14.192800732523983</v>
      </c>
      <c r="F776">
        <v>0</v>
      </c>
      <c r="G776">
        <v>14.426948176920622</v>
      </c>
      <c r="H776">
        <v>13.763648703772239</v>
      </c>
      <c r="I776">
        <v>13.968094445349287</v>
      </c>
      <c r="J776">
        <v>15.231128851183083</v>
      </c>
      <c r="K776">
        <v>14.508662826711991</v>
      </c>
      <c r="L776">
        <v>13.929316117592796</v>
      </c>
      <c r="M776">
        <v>14.765656630388486</v>
      </c>
      <c r="N776">
        <v>15.729934708154525</v>
      </c>
      <c r="O776">
        <v>15.986710123516636</v>
      </c>
      <c r="P776">
        <v>14.515404404591045</v>
      </c>
      <c r="Q776">
        <v>13.729934708154524</v>
      </c>
      <c r="R776">
        <v>13.818868436574812</v>
      </c>
      <c r="S776">
        <v>14.034328143749375</v>
      </c>
      <c r="T776">
        <v>14.501952605122439</v>
      </c>
    </row>
    <row r="777" spans="1:20" x14ac:dyDescent="0.25">
      <c r="A777" s="6" t="s">
        <v>795</v>
      </c>
      <c r="B777">
        <v>14.236688376524981</v>
      </c>
      <c r="C777">
        <v>13.447752792059918</v>
      </c>
      <c r="D777">
        <v>13.812627496600667</v>
      </c>
      <c r="E777">
        <v>13.477063631766804</v>
      </c>
      <c r="F777">
        <v>14.505303814622076</v>
      </c>
      <c r="G777">
        <v>13.520481342525573</v>
      </c>
      <c r="H777">
        <v>12.632772808416739</v>
      </c>
      <c r="I777">
        <v>13.127243910795302</v>
      </c>
      <c r="J777">
        <v>13.749670926215785</v>
      </c>
      <c r="K777">
        <v>13.178579192088741</v>
      </c>
      <c r="L777">
        <v>12.940851909375549</v>
      </c>
      <c r="M777">
        <v>13.59886063568357</v>
      </c>
      <c r="N777">
        <v>13.814704811633275</v>
      </c>
      <c r="O777">
        <v>14.250681648604484</v>
      </c>
      <c r="P777">
        <v>13.208788355715805</v>
      </c>
      <c r="Q777">
        <v>12.441784819272474</v>
      </c>
      <c r="R777">
        <v>12.722466172203072</v>
      </c>
      <c r="S777">
        <v>12.726088080270149</v>
      </c>
      <c r="T777">
        <v>13.225756504188865</v>
      </c>
    </row>
    <row r="778" spans="1:20" x14ac:dyDescent="0.25">
      <c r="A778" s="5" t="s">
        <v>796</v>
      </c>
      <c r="B778">
        <v>13.325718702129196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13.915874762219028</v>
      </c>
      <c r="I778">
        <v>14.549593090766873</v>
      </c>
      <c r="J778">
        <v>13.7085322314223</v>
      </c>
      <c r="K778">
        <v>0</v>
      </c>
      <c r="L778">
        <v>0</v>
      </c>
      <c r="M778">
        <v>13.771697232545785</v>
      </c>
      <c r="N778">
        <v>12.986265205022017</v>
      </c>
      <c r="O778">
        <v>0</v>
      </c>
      <c r="P778">
        <v>14.346606068603018</v>
      </c>
      <c r="Q778">
        <v>14.83564414932564</v>
      </c>
      <c r="R778">
        <v>13.191976956543479</v>
      </c>
      <c r="S778">
        <v>0</v>
      </c>
      <c r="T778">
        <v>13.546137532130654</v>
      </c>
    </row>
    <row r="779" spans="1:20" x14ac:dyDescent="0.25">
      <c r="A779" s="6" t="s">
        <v>797</v>
      </c>
      <c r="B779">
        <v>13.850484640636539</v>
      </c>
      <c r="C779">
        <v>13.518787043985698</v>
      </c>
      <c r="D779">
        <v>13.174291913067689</v>
      </c>
      <c r="E779">
        <v>13.913646661326911</v>
      </c>
      <c r="F779">
        <v>12.962360507083899</v>
      </c>
      <c r="G779">
        <v>13.114917667989987</v>
      </c>
      <c r="H779">
        <v>12.953464484110393</v>
      </c>
      <c r="I779">
        <v>12.838452120540511</v>
      </c>
      <c r="J779">
        <v>13.014888910895426</v>
      </c>
      <c r="K779">
        <v>13.404873723782199</v>
      </c>
      <c r="L779">
        <v>13.185067684290567</v>
      </c>
      <c r="M779">
        <v>13.327200669430427</v>
      </c>
      <c r="N779">
        <v>12.525652769789209</v>
      </c>
      <c r="O779">
        <v>13.057386379520757</v>
      </c>
      <c r="P779">
        <v>12.879011386320208</v>
      </c>
      <c r="Q779">
        <v>13.252806477211827</v>
      </c>
      <c r="R779">
        <v>13.122552927941312</v>
      </c>
      <c r="S779">
        <v>12.995578516406908</v>
      </c>
      <c r="T779">
        <v>12.925214436720216</v>
      </c>
    </row>
    <row r="780" spans="1:20" x14ac:dyDescent="0.25">
      <c r="A780" s="5" t="s">
        <v>798</v>
      </c>
      <c r="B780">
        <v>12.491089708703518</v>
      </c>
      <c r="C780">
        <v>12.056298404290464</v>
      </c>
      <c r="D780">
        <v>12.245019019355968</v>
      </c>
      <c r="E780">
        <v>12.683356341534195</v>
      </c>
      <c r="F780">
        <v>12.56872174946621</v>
      </c>
      <c r="G780">
        <v>12.542939883115125</v>
      </c>
      <c r="H780">
        <v>12.245285163071665</v>
      </c>
      <c r="I780">
        <v>12.122565794385087</v>
      </c>
      <c r="J780">
        <v>12.165019784466718</v>
      </c>
      <c r="K780">
        <v>12.75213714018135</v>
      </c>
      <c r="L780">
        <v>12.217034541499929</v>
      </c>
      <c r="M780">
        <v>11.977401345824081</v>
      </c>
      <c r="N780">
        <v>11.904342623775182</v>
      </c>
      <c r="O780">
        <v>12.118884243199764</v>
      </c>
      <c r="P780">
        <v>12.280617367866681</v>
      </c>
      <c r="Q780">
        <v>12.098279970805281</v>
      </c>
      <c r="R780">
        <v>12.426408061832444</v>
      </c>
      <c r="S780">
        <v>12.338879822445394</v>
      </c>
      <c r="T780">
        <v>12.314887407991574</v>
      </c>
    </row>
    <row r="781" spans="1:20" x14ac:dyDescent="0.25">
      <c r="A781" s="6" t="s">
        <v>799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15.818868436574812</v>
      </c>
      <c r="R781">
        <v>16.134555591488027</v>
      </c>
      <c r="S781">
        <v>15.737796825927495</v>
      </c>
      <c r="T781">
        <v>15.996108821518886</v>
      </c>
    </row>
    <row r="782" spans="1:20" x14ac:dyDescent="0.25">
      <c r="A782" s="5" t="s">
        <v>800</v>
      </c>
      <c r="B782">
        <v>14.334633426936943</v>
      </c>
      <c r="C782">
        <v>14.7066022043239</v>
      </c>
      <c r="D782">
        <v>13.775738397767649</v>
      </c>
      <c r="E782">
        <v>14.096149728848694</v>
      </c>
      <c r="F782">
        <v>15.281953110260764</v>
      </c>
      <c r="G782">
        <v>0</v>
      </c>
      <c r="H782">
        <v>15.039177543410771</v>
      </c>
      <c r="I782">
        <v>16.370853614849693</v>
      </c>
      <c r="J782">
        <v>0</v>
      </c>
      <c r="K782">
        <v>15.714337853103507</v>
      </c>
      <c r="L782">
        <v>15.683641055880589</v>
      </c>
      <c r="M782">
        <v>15.395515669083965</v>
      </c>
      <c r="N782">
        <v>15.27621674071162</v>
      </c>
      <c r="O782">
        <v>15.06367210533152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25">
      <c r="A783" s="6" t="s">
        <v>801</v>
      </c>
      <c r="B783">
        <v>11.726083192868316</v>
      </c>
      <c r="C783">
        <v>12.524572796792624</v>
      </c>
      <c r="D783">
        <v>15.4397154729945</v>
      </c>
      <c r="E783">
        <v>14.823044112546006</v>
      </c>
      <c r="F783">
        <v>9.0239575575003492</v>
      </c>
      <c r="G783">
        <v>10.815151825307977</v>
      </c>
      <c r="H783">
        <v>9.2007426848202751</v>
      </c>
      <c r="I783">
        <v>9.7438750409673034</v>
      </c>
      <c r="J783">
        <v>11.581650461291826</v>
      </c>
      <c r="K783">
        <v>11.319485200174745</v>
      </c>
      <c r="L783">
        <v>9.4032795427921503</v>
      </c>
      <c r="M783">
        <v>8.7575248726709294</v>
      </c>
      <c r="N783">
        <v>9.8117286870159965</v>
      </c>
      <c r="O783">
        <v>9.7346886262803558</v>
      </c>
      <c r="P783">
        <v>8.4179307745582754</v>
      </c>
      <c r="Q783">
        <v>10.897154743575319</v>
      </c>
      <c r="R783">
        <v>11.367041779117832</v>
      </c>
      <c r="S783">
        <v>9.2775314014135084</v>
      </c>
      <c r="T783">
        <v>10.504127910375557</v>
      </c>
    </row>
    <row r="784" spans="1:20" x14ac:dyDescent="0.25">
      <c r="A784" s="5" t="s">
        <v>802</v>
      </c>
      <c r="B784">
        <v>12.98661644506195</v>
      </c>
      <c r="C784">
        <v>11.457201482442324</v>
      </c>
      <c r="D784">
        <v>11.335971670148391</v>
      </c>
      <c r="E784">
        <v>12.295320983682339</v>
      </c>
      <c r="F784">
        <v>12.700760332143558</v>
      </c>
      <c r="G784">
        <v>0</v>
      </c>
      <c r="H784">
        <v>13.072816684566561</v>
      </c>
      <c r="I784">
        <v>13.165622819505163</v>
      </c>
      <c r="J784">
        <v>13.071623861107643</v>
      </c>
      <c r="K784">
        <v>12.978210196127645</v>
      </c>
      <c r="L784">
        <v>12.448155835795154</v>
      </c>
      <c r="M784">
        <v>13.640628166920497</v>
      </c>
      <c r="N784">
        <v>13.19163947928123</v>
      </c>
      <c r="O784">
        <v>12.909222951774776</v>
      </c>
      <c r="P784">
        <v>0</v>
      </c>
      <c r="Q784">
        <v>15.192800732523983</v>
      </c>
      <c r="R784">
        <v>14.200928613407385</v>
      </c>
      <c r="S784">
        <v>12.968869177108713</v>
      </c>
      <c r="T784">
        <v>0</v>
      </c>
    </row>
    <row r="785" spans="1:20" x14ac:dyDescent="0.25">
      <c r="A785" s="6" t="s">
        <v>803</v>
      </c>
      <c r="B785">
        <v>10.130964678684428</v>
      </c>
      <c r="C785">
        <v>9.4242922430359091</v>
      </c>
      <c r="D785">
        <v>9.3764215486989926</v>
      </c>
      <c r="E785">
        <v>10.044393657696114</v>
      </c>
      <c r="F785">
        <v>10.126995447607833</v>
      </c>
      <c r="G785">
        <v>10.209662790899142</v>
      </c>
      <c r="H785">
        <v>10.237074864460737</v>
      </c>
      <c r="I785">
        <v>10.299734900253187</v>
      </c>
      <c r="J785">
        <v>10.249924291920104</v>
      </c>
      <c r="K785">
        <v>10.206747792462849</v>
      </c>
      <c r="L785">
        <v>10.133151852521072</v>
      </c>
      <c r="M785">
        <v>10.363405323330406</v>
      </c>
      <c r="N785">
        <v>10.364462394639592</v>
      </c>
      <c r="O785">
        <v>10.34779753527339</v>
      </c>
      <c r="P785">
        <v>11.270495961594909</v>
      </c>
      <c r="Q785">
        <v>11.026626927861102</v>
      </c>
      <c r="R785">
        <v>11.350669365098431</v>
      </c>
      <c r="S785">
        <v>11.383540457786662</v>
      </c>
      <c r="T785">
        <v>10.939802987898398</v>
      </c>
    </row>
    <row r="786" spans="1:20" x14ac:dyDescent="0.25">
      <c r="A786" s="5" t="s">
        <v>804</v>
      </c>
      <c r="B786">
        <v>12.522568062316802</v>
      </c>
      <c r="C786">
        <v>11.633817721578602</v>
      </c>
      <c r="D786">
        <v>11.543581430160526</v>
      </c>
      <c r="E786">
        <v>11.665320797820375</v>
      </c>
      <c r="F786">
        <v>10.917737866349688</v>
      </c>
      <c r="G786">
        <v>12.065643570392895</v>
      </c>
      <c r="H786">
        <v>11.631229738117973</v>
      </c>
      <c r="I786">
        <v>11.442643908050757</v>
      </c>
      <c r="J786">
        <v>11.976255765879468</v>
      </c>
      <c r="K786">
        <v>11.53919962264259</v>
      </c>
      <c r="L786">
        <v>12.105210759176197</v>
      </c>
      <c r="M786">
        <v>12.100622440382862</v>
      </c>
      <c r="N786">
        <v>12.17280569435064</v>
      </c>
      <c r="O786">
        <v>11.616749709765188</v>
      </c>
      <c r="P786">
        <v>12.91028873653987</v>
      </c>
      <c r="Q786">
        <v>12.660058853015373</v>
      </c>
      <c r="R786">
        <v>12.866028568809067</v>
      </c>
      <c r="S786">
        <v>12.441672452969559</v>
      </c>
      <c r="T786">
        <v>12.633487667233451</v>
      </c>
    </row>
    <row r="787" spans="1:20" x14ac:dyDescent="0.25">
      <c r="A787" s="6" t="s">
        <v>805</v>
      </c>
      <c r="B787">
        <v>9.4771942122700672</v>
      </c>
      <c r="C787">
        <v>10.092517563791697</v>
      </c>
      <c r="D787">
        <v>9.5449084861603506</v>
      </c>
      <c r="E787">
        <v>9.3350722264635344</v>
      </c>
      <c r="F787">
        <v>9.4743918983827395</v>
      </c>
      <c r="G787">
        <v>10.073054435218884</v>
      </c>
      <c r="H787">
        <v>10.29982946325892</v>
      </c>
      <c r="I787">
        <v>10.008156396774424</v>
      </c>
      <c r="J787">
        <v>9.6546125272171697</v>
      </c>
      <c r="K787">
        <v>9.6839139598644319</v>
      </c>
      <c r="L787">
        <v>9.9884091006347049</v>
      </c>
      <c r="M787">
        <v>10.092525439620136</v>
      </c>
      <c r="N787">
        <v>9.9967100697213311</v>
      </c>
      <c r="O787">
        <v>9.5203044070834331</v>
      </c>
      <c r="P787">
        <v>10.512400511574942</v>
      </c>
      <c r="Q787">
        <v>11.934575436766842</v>
      </c>
      <c r="R787">
        <v>11.403802271313694</v>
      </c>
      <c r="S787">
        <v>12.159405779194332</v>
      </c>
      <c r="T787">
        <v>11.938822794120087</v>
      </c>
    </row>
    <row r="788" spans="1:20" x14ac:dyDescent="0.25">
      <c r="A788" s="5" t="s">
        <v>806</v>
      </c>
      <c r="B788">
        <v>14.349614818475356</v>
      </c>
      <c r="C788">
        <v>0</v>
      </c>
      <c r="D788">
        <v>15.27621674071162</v>
      </c>
      <c r="E788">
        <v>0</v>
      </c>
      <c r="F788">
        <v>13.863327708011353</v>
      </c>
      <c r="G788">
        <v>13.913646661326911</v>
      </c>
      <c r="H788">
        <v>13.419025614227316</v>
      </c>
      <c r="I788">
        <v>12.729572119778783</v>
      </c>
      <c r="J788">
        <v>13.839868735187364</v>
      </c>
      <c r="K788">
        <v>14.242269408788282</v>
      </c>
      <c r="L788">
        <v>13.906982931045901</v>
      </c>
      <c r="M788">
        <v>13.264641590449322</v>
      </c>
      <c r="N788">
        <v>12.972656312396834</v>
      </c>
      <c r="O788">
        <v>12.875700496822393</v>
      </c>
      <c r="P788">
        <v>13.015306912019474</v>
      </c>
      <c r="Q788">
        <v>13.600651691209556</v>
      </c>
      <c r="R788">
        <v>14.222829527964596</v>
      </c>
      <c r="S788">
        <v>12.0364053279843</v>
      </c>
      <c r="T788">
        <v>14.160739523291683</v>
      </c>
    </row>
    <row r="789" spans="1:20" x14ac:dyDescent="0.25">
      <c r="A789" s="6" t="s">
        <v>807</v>
      </c>
      <c r="B789">
        <v>9.8903255870922937</v>
      </c>
      <c r="C789">
        <v>10.341878102649755</v>
      </c>
      <c r="D789">
        <v>10.063843497307099</v>
      </c>
      <c r="E789">
        <v>9.9860808382273891</v>
      </c>
      <c r="F789">
        <v>10.189365254816879</v>
      </c>
      <c r="G789">
        <v>10.652735837250143</v>
      </c>
      <c r="H789">
        <v>10.522984070470145</v>
      </c>
      <c r="I789">
        <v>10.557815969939737</v>
      </c>
      <c r="J789">
        <v>10.078443066757444</v>
      </c>
      <c r="K789">
        <v>9.9331135308034852</v>
      </c>
      <c r="L789">
        <v>10.307200777401519</v>
      </c>
      <c r="M789">
        <v>10.055934392408822</v>
      </c>
      <c r="N789">
        <v>10.607770691481152</v>
      </c>
      <c r="O789">
        <v>10.412311712606606</v>
      </c>
      <c r="P789">
        <v>10.362578837806788</v>
      </c>
      <c r="Q789">
        <v>10.720249679945717</v>
      </c>
      <c r="R789">
        <v>10.869535927410876</v>
      </c>
      <c r="S789">
        <v>10.634452830188758</v>
      </c>
      <c r="T789">
        <v>10.458676721130885</v>
      </c>
    </row>
    <row r="790" spans="1:20" x14ac:dyDescent="0.25">
      <c r="A790" s="5" t="s">
        <v>808</v>
      </c>
      <c r="B790">
        <v>11.280147279747966</v>
      </c>
      <c r="C790">
        <v>11.321304062285874</v>
      </c>
      <c r="D790">
        <v>0</v>
      </c>
      <c r="E790">
        <v>11.304111290161677</v>
      </c>
      <c r="F790">
        <v>0</v>
      </c>
      <c r="G790">
        <v>0</v>
      </c>
      <c r="H790">
        <v>11.783280121761154</v>
      </c>
      <c r="I790">
        <v>10.59568251295944</v>
      </c>
      <c r="J790">
        <v>10.63152494584687</v>
      </c>
      <c r="K790">
        <v>11.38042557811281</v>
      </c>
      <c r="L790">
        <v>11.214269146710096</v>
      </c>
      <c r="M790">
        <v>10.407714575488614</v>
      </c>
      <c r="N790">
        <v>10.030789291522057</v>
      </c>
      <c r="O790">
        <v>10.254966171722232</v>
      </c>
      <c r="P790">
        <v>10.744270938473196</v>
      </c>
      <c r="Q790">
        <v>10.586212115577363</v>
      </c>
      <c r="R790">
        <v>11.009364773153784</v>
      </c>
      <c r="S790">
        <v>0</v>
      </c>
      <c r="T790">
        <v>10.12221683274854</v>
      </c>
    </row>
    <row r="791" spans="1:20" x14ac:dyDescent="0.25">
      <c r="A791" s="6" t="s">
        <v>809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15.27621674071162</v>
      </c>
      <c r="R791">
        <v>15.044043298582586</v>
      </c>
      <c r="S791">
        <v>15.171347622857667</v>
      </c>
      <c r="T791">
        <v>13.755644827260419</v>
      </c>
    </row>
    <row r="792" spans="1:20" x14ac:dyDescent="0.25">
      <c r="A792" s="5" t="s">
        <v>810</v>
      </c>
      <c r="B792">
        <v>13.488625073475445</v>
      </c>
      <c r="C792">
        <v>13.651725875803827</v>
      </c>
      <c r="D792">
        <v>14.073587574196603</v>
      </c>
      <c r="E792">
        <v>14.019876987451836</v>
      </c>
      <c r="F792">
        <v>13.46722703656307</v>
      </c>
      <c r="G792">
        <v>12.276395657440426</v>
      </c>
      <c r="H792">
        <v>13.181511486484704</v>
      </c>
      <c r="I792">
        <v>13.450980299090315</v>
      </c>
      <c r="J792">
        <v>13.751659479309239</v>
      </c>
      <c r="K792">
        <v>13.120290219267531</v>
      </c>
      <c r="L792">
        <v>12.973247863710075</v>
      </c>
      <c r="M792">
        <v>13.174558661405012</v>
      </c>
      <c r="N792">
        <v>14.209102544853085</v>
      </c>
      <c r="O792">
        <v>14.325718702129196</v>
      </c>
      <c r="P792">
        <v>12.606182154664401</v>
      </c>
      <c r="Q792">
        <v>11.834726937526868</v>
      </c>
      <c r="R792">
        <v>12.055254228203506</v>
      </c>
      <c r="S792">
        <v>11.536938677547994</v>
      </c>
      <c r="T792">
        <v>11.821111360061385</v>
      </c>
    </row>
    <row r="793" spans="1:20" x14ac:dyDescent="0.25">
      <c r="A793" s="6" t="s">
        <v>811</v>
      </c>
      <c r="B793">
        <v>16.322759326648651</v>
      </c>
      <c r="C793">
        <v>0</v>
      </c>
      <c r="D793">
        <v>16.813873526654422</v>
      </c>
      <c r="E793">
        <v>0</v>
      </c>
      <c r="F793">
        <v>15.785891114128539</v>
      </c>
      <c r="G793">
        <v>14.75365077712833</v>
      </c>
      <c r="H793">
        <v>15.646166350461927</v>
      </c>
      <c r="I793">
        <v>16.287712379549451</v>
      </c>
      <c r="J793">
        <v>16.06367210533152</v>
      </c>
      <c r="K793">
        <v>15.802285552379209</v>
      </c>
      <c r="L793">
        <v>15.465594104820106</v>
      </c>
      <c r="M793">
        <v>16.15546458125101</v>
      </c>
      <c r="N793">
        <v>16.894186347321096</v>
      </c>
      <c r="O793">
        <v>0</v>
      </c>
      <c r="P793">
        <v>15.299300353824661</v>
      </c>
      <c r="Q793">
        <v>13.900349838713455</v>
      </c>
      <c r="R793">
        <v>14.741744010444156</v>
      </c>
      <c r="S793">
        <v>13.657306908067127</v>
      </c>
      <c r="T793">
        <v>13.771697232545785</v>
      </c>
    </row>
    <row r="794" spans="1:20" x14ac:dyDescent="0.25">
      <c r="A794" s="5" t="s">
        <v>812</v>
      </c>
      <c r="B794">
        <v>15.588160747026361</v>
      </c>
      <c r="C794">
        <v>0</v>
      </c>
      <c r="D794">
        <v>0</v>
      </c>
      <c r="E794">
        <v>0</v>
      </c>
      <c r="F794">
        <v>0</v>
      </c>
      <c r="G794">
        <v>16.689728385759505</v>
      </c>
      <c r="H794">
        <v>15.414292876114592</v>
      </c>
      <c r="I794">
        <v>0</v>
      </c>
      <c r="J794">
        <v>15.602444973032609</v>
      </c>
      <c r="K794">
        <v>0</v>
      </c>
      <c r="L794">
        <v>0</v>
      </c>
      <c r="M794">
        <v>0</v>
      </c>
      <c r="N794">
        <v>15.609640474436812</v>
      </c>
      <c r="O794">
        <v>15.949715916034434</v>
      </c>
      <c r="P794">
        <v>14.745702024012841</v>
      </c>
      <c r="Q794">
        <v>13.835644149325638</v>
      </c>
      <c r="R794">
        <v>14.093625327433148</v>
      </c>
      <c r="S794">
        <v>13.856891883029679</v>
      </c>
      <c r="T794">
        <v>13.393961877828884</v>
      </c>
    </row>
    <row r="795" spans="1:20" x14ac:dyDescent="0.25">
      <c r="A795" s="6" t="s">
        <v>813</v>
      </c>
      <c r="B795">
        <v>8.5334394895060122</v>
      </c>
      <c r="C795">
        <v>8.1100456859652414</v>
      </c>
      <c r="D795">
        <v>8.2113298697419044</v>
      </c>
      <c r="E795">
        <v>8.4290977327406651</v>
      </c>
      <c r="F795">
        <v>8.6043797323499192</v>
      </c>
      <c r="G795">
        <v>8.0535912497180746</v>
      </c>
      <c r="H795">
        <v>8.7034034474744715</v>
      </c>
      <c r="I795">
        <v>8.743931944548164</v>
      </c>
      <c r="J795">
        <v>8.4131819483969679</v>
      </c>
      <c r="K795">
        <v>8.4667242028342873</v>
      </c>
      <c r="L795">
        <v>8.3076377103631529</v>
      </c>
      <c r="M795">
        <v>8.7270518328206492</v>
      </c>
      <c r="N795">
        <v>9.3009847233088916</v>
      </c>
      <c r="O795">
        <v>8.3685968715466021</v>
      </c>
      <c r="P795">
        <v>8.5903116231649346</v>
      </c>
      <c r="Q795">
        <v>9.3059117737917934</v>
      </c>
      <c r="R795">
        <v>7.5587062292274254</v>
      </c>
      <c r="S795">
        <v>8.833785293731987</v>
      </c>
      <c r="T795">
        <v>8.920386748326445</v>
      </c>
    </row>
    <row r="796" spans="1:20" x14ac:dyDescent="0.25">
      <c r="A796" s="5" t="s">
        <v>814</v>
      </c>
      <c r="B796">
        <v>12.031166637564532</v>
      </c>
      <c r="C796">
        <v>10.450582522293224</v>
      </c>
      <c r="D796">
        <v>10.981677675380251</v>
      </c>
      <c r="E796">
        <v>11.099539366854946</v>
      </c>
      <c r="F796">
        <v>11.472514067993449</v>
      </c>
      <c r="G796">
        <v>10.562128259623522</v>
      </c>
      <c r="H796">
        <v>11.795433590693472</v>
      </c>
      <c r="I796">
        <v>11.400366482044486</v>
      </c>
      <c r="J796">
        <v>11.754363333560743</v>
      </c>
      <c r="K796">
        <v>11.149648280967815</v>
      </c>
      <c r="L796">
        <v>11.010048927950773</v>
      </c>
      <c r="M796">
        <v>12.144194877438421</v>
      </c>
      <c r="N796">
        <v>12.438393608302482</v>
      </c>
      <c r="O796">
        <v>11.709493382554472</v>
      </c>
      <c r="P796">
        <v>11.511949623939852</v>
      </c>
      <c r="Q796">
        <v>11.869857164885884</v>
      </c>
      <c r="R796">
        <v>11.286839812974495</v>
      </c>
      <c r="S796">
        <v>11.685322015196547</v>
      </c>
      <c r="T796">
        <v>11.606249620657307</v>
      </c>
    </row>
    <row r="797" spans="1:20" x14ac:dyDescent="0.25">
      <c r="A797" s="6" t="s">
        <v>815</v>
      </c>
      <c r="B797">
        <v>13.143183016433813</v>
      </c>
      <c r="C797">
        <v>12.967262361288412</v>
      </c>
      <c r="D797">
        <v>13.09055152743716</v>
      </c>
      <c r="E797">
        <v>13.436513040956156</v>
      </c>
      <c r="F797">
        <v>12.254715862051091</v>
      </c>
      <c r="G797">
        <v>11.173631922949328</v>
      </c>
      <c r="H797">
        <v>12.580523343647675</v>
      </c>
      <c r="I797">
        <v>12.614599234041329</v>
      </c>
      <c r="J797">
        <v>12.498250202734104</v>
      </c>
      <c r="K797">
        <v>12.028596601058323</v>
      </c>
      <c r="L797">
        <v>12.443222274546871</v>
      </c>
      <c r="M797">
        <v>12.724261345878782</v>
      </c>
      <c r="N797">
        <v>13.239085575011426</v>
      </c>
      <c r="O797">
        <v>12.935247620289141</v>
      </c>
      <c r="P797">
        <v>11.282851481944872</v>
      </c>
      <c r="Q797">
        <v>10.799043134890525</v>
      </c>
      <c r="R797">
        <v>10.723439093726169</v>
      </c>
      <c r="S797">
        <v>9.834181631110253</v>
      </c>
      <c r="T797">
        <v>10.315876407730865</v>
      </c>
    </row>
    <row r="798" spans="1:20" x14ac:dyDescent="0.25">
      <c r="A798" s="5" t="s">
        <v>816</v>
      </c>
      <c r="B798">
        <v>13.037393493996595</v>
      </c>
      <c r="C798">
        <v>11.993535718263445</v>
      </c>
      <c r="D798">
        <v>12.231864258174507</v>
      </c>
      <c r="E798">
        <v>12.462293068131485</v>
      </c>
      <c r="F798">
        <v>12.863542730746813</v>
      </c>
      <c r="G798">
        <v>12.584691438018279</v>
      </c>
      <c r="H798">
        <v>12.82168569173572</v>
      </c>
      <c r="I798">
        <v>12.867278485795358</v>
      </c>
      <c r="J798">
        <v>12.834600471305063</v>
      </c>
      <c r="K798">
        <v>12.602875692558388</v>
      </c>
      <c r="L798">
        <v>12.223471021609278</v>
      </c>
      <c r="M798">
        <v>12.978396470503744</v>
      </c>
      <c r="N798">
        <v>13.629615174198079</v>
      </c>
      <c r="O798">
        <v>13.28438359727001</v>
      </c>
      <c r="P798">
        <v>13.441319358697088</v>
      </c>
      <c r="Q798">
        <v>13.346606068603018</v>
      </c>
      <c r="R798">
        <v>13.749670926215785</v>
      </c>
      <c r="S798">
        <v>14.036750806016231</v>
      </c>
      <c r="T798">
        <v>13.473777309068133</v>
      </c>
    </row>
    <row r="799" spans="1:20" x14ac:dyDescent="0.25">
      <c r="A799" s="6" t="s">
        <v>817</v>
      </c>
      <c r="B799">
        <v>9.6823330202247959</v>
      </c>
      <c r="C799">
        <v>9.5668166867309221</v>
      </c>
      <c r="D799">
        <v>9.8457575514030147</v>
      </c>
      <c r="E799">
        <v>10.190578627551657</v>
      </c>
      <c r="F799">
        <v>9.6242789466478502</v>
      </c>
      <c r="G799">
        <v>9.8425352654881841</v>
      </c>
      <c r="H799">
        <v>10.272760848232389</v>
      </c>
      <c r="I799">
        <v>9.6171042800751216</v>
      </c>
      <c r="J799">
        <v>9.5842074186463933</v>
      </c>
      <c r="K799">
        <v>9.5538211959395039</v>
      </c>
      <c r="L799">
        <v>9.5142729915891948</v>
      </c>
      <c r="M799">
        <v>9.5936178060242003</v>
      </c>
      <c r="N799">
        <v>8.9124066825580144</v>
      </c>
      <c r="O799">
        <v>9.6311107567340866</v>
      </c>
      <c r="P799">
        <v>9.1930717698665507</v>
      </c>
      <c r="Q799">
        <v>9.560703560691115</v>
      </c>
      <c r="R799">
        <v>9.2180780878534652</v>
      </c>
      <c r="S799">
        <v>9.2408677609561742</v>
      </c>
      <c r="T799">
        <v>9.0082945730752009</v>
      </c>
    </row>
    <row r="800" spans="1:20" x14ac:dyDescent="0.25">
      <c r="A800" s="5" t="s">
        <v>818</v>
      </c>
      <c r="B800">
        <v>13.143117759442369</v>
      </c>
      <c r="C800">
        <v>13.187811269541507</v>
      </c>
      <c r="D800">
        <v>14.036750806016231</v>
      </c>
      <c r="E800">
        <v>13.67229608228658</v>
      </c>
      <c r="F800">
        <v>12.140568522356425</v>
      </c>
      <c r="G800">
        <v>11.685844746292775</v>
      </c>
      <c r="H800">
        <v>12.091319363683079</v>
      </c>
      <c r="I800">
        <v>12.075429429302901</v>
      </c>
      <c r="J800">
        <v>11.813998188869819</v>
      </c>
      <c r="K800">
        <v>12.496215006894746</v>
      </c>
      <c r="L800">
        <v>12.049231208074694</v>
      </c>
      <c r="M800">
        <v>12.061364158095943</v>
      </c>
      <c r="N800">
        <v>11.442511398378439</v>
      </c>
      <c r="O800">
        <v>11.560693755092226</v>
      </c>
      <c r="P800">
        <v>11.608905788749739</v>
      </c>
      <c r="Q800">
        <v>11.412718740616482</v>
      </c>
      <c r="R800">
        <v>11.056845362726166</v>
      </c>
      <c r="S800">
        <v>11.297516267730375</v>
      </c>
      <c r="T800">
        <v>11.423302355903534</v>
      </c>
    </row>
    <row r="801" spans="1:20" x14ac:dyDescent="0.25">
      <c r="A801" s="6" t="s">
        <v>819</v>
      </c>
      <c r="B801">
        <v>11.76439131094782</v>
      </c>
      <c r="C801">
        <v>11.988930912347598</v>
      </c>
      <c r="D801">
        <v>11.660231607659355</v>
      </c>
      <c r="E801">
        <v>11.773342641062916</v>
      </c>
      <c r="F801">
        <v>11.867936204440513</v>
      </c>
      <c r="G801">
        <v>12.215188069515785</v>
      </c>
      <c r="H801">
        <v>12.402091162513948</v>
      </c>
      <c r="I801">
        <v>11.800097407632212</v>
      </c>
      <c r="J801">
        <v>11.874264523642509</v>
      </c>
      <c r="K801">
        <v>11.857635897585091</v>
      </c>
      <c r="L801">
        <v>11.984106956865663</v>
      </c>
      <c r="M801">
        <v>11.965616941743047</v>
      </c>
      <c r="N801">
        <v>12.10538874724964</v>
      </c>
      <c r="O801">
        <v>11.926443717003579</v>
      </c>
      <c r="P801">
        <v>12.10707436548577</v>
      </c>
      <c r="Q801">
        <v>12.978501260410521</v>
      </c>
      <c r="R801">
        <v>12.608874246207696</v>
      </c>
      <c r="S801">
        <v>13.124110601300961</v>
      </c>
      <c r="T801">
        <v>12.744028438358555</v>
      </c>
    </row>
    <row r="802" spans="1:20" x14ac:dyDescent="0.25">
      <c r="A802" s="5" t="s">
        <v>820</v>
      </c>
      <c r="B802">
        <v>13.720166931905704</v>
      </c>
      <c r="C802">
        <v>13.442925029470389</v>
      </c>
      <c r="D802">
        <v>13.82723190950944</v>
      </c>
      <c r="E802">
        <v>13.991401818841355</v>
      </c>
      <c r="F802">
        <v>14.267654727208196</v>
      </c>
      <c r="G802">
        <v>14.844105728073835</v>
      </c>
      <c r="H802">
        <v>15.376979717646538</v>
      </c>
      <c r="I802">
        <v>15.015091924886457</v>
      </c>
      <c r="J802">
        <v>14.010322680738586</v>
      </c>
      <c r="K802">
        <v>14.242269408788282</v>
      </c>
      <c r="L802">
        <v>13.856891883029679</v>
      </c>
      <c r="M802">
        <v>14.773716400182437</v>
      </c>
      <c r="N802">
        <v>15.491945431767057</v>
      </c>
      <c r="O802">
        <v>14.247872115017659</v>
      </c>
      <c r="P802">
        <v>14.773716400182437</v>
      </c>
      <c r="Q802">
        <v>15.661039626943458</v>
      </c>
      <c r="R802">
        <v>15.539251146545414</v>
      </c>
      <c r="S802">
        <v>16.015091924886459</v>
      </c>
      <c r="T802">
        <v>16.498609162048069</v>
      </c>
    </row>
    <row r="803" spans="1:20" x14ac:dyDescent="0.25">
      <c r="A803" s="6" t="s">
        <v>821</v>
      </c>
      <c r="B803">
        <v>12.267562249720847</v>
      </c>
      <c r="C803">
        <v>12.504892872823195</v>
      </c>
      <c r="D803">
        <v>13.018403890192987</v>
      </c>
      <c r="E803">
        <v>13.264953981971292</v>
      </c>
      <c r="F803">
        <v>11.832941628945814</v>
      </c>
      <c r="G803">
        <v>10.805586915469458</v>
      </c>
      <c r="H803">
        <v>12.149848227115999</v>
      </c>
      <c r="I803">
        <v>11.840566982377355</v>
      </c>
      <c r="J803">
        <v>12.379498958333382</v>
      </c>
      <c r="K803">
        <v>11.736629543071192</v>
      </c>
      <c r="L803">
        <v>11.810014331198785</v>
      </c>
      <c r="M803">
        <v>11.72005011922268</v>
      </c>
      <c r="N803">
        <v>11.588849389592193</v>
      </c>
      <c r="O803">
        <v>12.99678082128041</v>
      </c>
      <c r="P803">
        <v>10.908207857995281</v>
      </c>
      <c r="Q803">
        <v>10.302767639567399</v>
      </c>
      <c r="R803">
        <v>10.341426933711036</v>
      </c>
      <c r="S803">
        <v>9.0481134684456102</v>
      </c>
      <c r="T803">
        <v>9.4963181572721957</v>
      </c>
    </row>
    <row r="804" spans="1:20" x14ac:dyDescent="0.25">
      <c r="A804" s="5" t="s">
        <v>822</v>
      </c>
      <c r="B804">
        <v>7.4462989920043139</v>
      </c>
      <c r="C804">
        <v>7.6049129765743828</v>
      </c>
      <c r="D804">
        <v>7.3593517692884083</v>
      </c>
      <c r="E804">
        <v>7.5177381060565045</v>
      </c>
      <c r="F804">
        <v>7.7203357794520509</v>
      </c>
      <c r="G804">
        <v>7.9298335183767694</v>
      </c>
      <c r="H804">
        <v>8.2744949073453959</v>
      </c>
      <c r="I804">
        <v>7.6907703813962884</v>
      </c>
      <c r="J804">
        <v>7.7237415889886005</v>
      </c>
      <c r="K804">
        <v>7.6784978792694227</v>
      </c>
      <c r="L804">
        <v>7.6076710752778274</v>
      </c>
      <c r="M804">
        <v>7.6629853414005744</v>
      </c>
      <c r="N804">
        <v>7.4606367375644949</v>
      </c>
      <c r="O804">
        <v>7.6291821107007163</v>
      </c>
      <c r="P804">
        <v>8.0123614661314697</v>
      </c>
      <c r="Q804">
        <v>8.5251668944940775</v>
      </c>
      <c r="R804">
        <v>8.42831873260576</v>
      </c>
      <c r="S804">
        <v>8.4510928878178913</v>
      </c>
      <c r="T804">
        <v>8.192258388571096</v>
      </c>
    </row>
    <row r="805" spans="1:20" x14ac:dyDescent="0.25">
      <c r="A805" s="6" t="s">
        <v>823</v>
      </c>
      <c r="B805">
        <v>12.716297680964322</v>
      </c>
      <c r="C805">
        <v>14.683641055880589</v>
      </c>
      <c r="D805">
        <v>13.823044112546006</v>
      </c>
      <c r="E805">
        <v>14.340607327981576</v>
      </c>
      <c r="F805">
        <v>13.488625073475445</v>
      </c>
      <c r="G805">
        <v>14.003198246305205</v>
      </c>
      <c r="H805">
        <v>13.401747622795481</v>
      </c>
      <c r="I805">
        <v>13.88063160409895</v>
      </c>
      <c r="J805">
        <v>13.015665295116255</v>
      </c>
      <c r="K805">
        <v>14.068621321303253</v>
      </c>
      <c r="L805">
        <v>14.414292876114592</v>
      </c>
      <c r="M805">
        <v>13.18859226201325</v>
      </c>
      <c r="N805">
        <v>12.793388940723519</v>
      </c>
      <c r="O805">
        <v>13.733860411368322</v>
      </c>
      <c r="P805">
        <v>12.741813182412583</v>
      </c>
      <c r="Q805">
        <v>12.154484250344481</v>
      </c>
      <c r="R805">
        <v>12.518727779561624</v>
      </c>
      <c r="S805">
        <v>12.755235822333228</v>
      </c>
      <c r="T805">
        <v>11.545990854086677</v>
      </c>
    </row>
    <row r="806" spans="1:20" x14ac:dyDescent="0.25">
      <c r="A806" s="5" t="s">
        <v>824</v>
      </c>
      <c r="B806">
        <v>10.556159820558108</v>
      </c>
      <c r="C806">
        <v>10.444502332938539</v>
      </c>
      <c r="D806">
        <v>11.506193191460156</v>
      </c>
      <c r="E806">
        <v>10.980321743815413</v>
      </c>
      <c r="F806">
        <v>10.457635577624089</v>
      </c>
      <c r="G806">
        <v>10.595084325155046</v>
      </c>
      <c r="H806">
        <v>9.9913709798022179</v>
      </c>
      <c r="I806">
        <v>9.432353501045931</v>
      </c>
      <c r="J806">
        <v>9.9963047891175147</v>
      </c>
      <c r="K806">
        <v>10.162261298742063</v>
      </c>
      <c r="L806">
        <v>10.414948616613611</v>
      </c>
      <c r="M806">
        <v>9.5891971679172041</v>
      </c>
      <c r="N806">
        <v>9.5933413975573618</v>
      </c>
      <c r="O806">
        <v>10.1023120110224</v>
      </c>
      <c r="P806">
        <v>9.7449702103654197</v>
      </c>
      <c r="Q806">
        <v>9.6825618112324658</v>
      </c>
      <c r="R806">
        <v>9.2173033006111442</v>
      </c>
      <c r="S806">
        <v>9.4912900934698072</v>
      </c>
      <c r="T806">
        <v>9.4881142094419655</v>
      </c>
    </row>
    <row r="807" spans="1:20" x14ac:dyDescent="0.25">
      <c r="A807" s="6" t="s">
        <v>825</v>
      </c>
      <c r="B807">
        <v>11.786640165085533</v>
      </c>
      <c r="C807">
        <v>13.436513040956156</v>
      </c>
      <c r="D807">
        <v>12.616129138285688</v>
      </c>
      <c r="E807">
        <v>12.954300095830337</v>
      </c>
      <c r="F807">
        <v>12.282793969398323</v>
      </c>
      <c r="G807">
        <v>12.72064401521332</v>
      </c>
      <c r="H807">
        <v>11.414336189115883</v>
      </c>
      <c r="I807">
        <v>12.423599547956549</v>
      </c>
      <c r="J807">
        <v>11.717506922127519</v>
      </c>
      <c r="K807">
        <v>12.533278061665561</v>
      </c>
      <c r="L807">
        <v>13.135515977920281</v>
      </c>
      <c r="M807">
        <v>11.607815718010942</v>
      </c>
      <c r="N807">
        <v>11.167775257048694</v>
      </c>
      <c r="O807">
        <v>12.049017219595248</v>
      </c>
      <c r="P807">
        <v>10.780803286802374</v>
      </c>
      <c r="Q807">
        <v>10.482225926500716</v>
      </c>
      <c r="R807">
        <v>10.719595126656158</v>
      </c>
      <c r="S807">
        <v>11.487758887394532</v>
      </c>
      <c r="T807">
        <v>9.9033765495061719</v>
      </c>
    </row>
    <row r="808" spans="1:20" x14ac:dyDescent="0.25">
      <c r="A808" s="5" t="s">
        <v>826</v>
      </c>
      <c r="B808">
        <v>9.7279513862764659</v>
      </c>
      <c r="C808">
        <v>11.1384269963396</v>
      </c>
      <c r="D808">
        <v>10.501394129159291</v>
      </c>
      <c r="E808">
        <v>10.986537408596943</v>
      </c>
      <c r="F808">
        <v>10.030013777984736</v>
      </c>
      <c r="G808">
        <v>10.281037347093495</v>
      </c>
      <c r="H808">
        <v>9.7428647576417138</v>
      </c>
      <c r="I808">
        <v>9.9273733890218612</v>
      </c>
      <c r="J808">
        <v>9.6415531793326963</v>
      </c>
      <c r="K808">
        <v>10.492273732102845</v>
      </c>
      <c r="L808">
        <v>10.634941389129212</v>
      </c>
      <c r="M808">
        <v>9.4198267852179143</v>
      </c>
      <c r="N808">
        <v>8.714038534630264</v>
      </c>
      <c r="O808">
        <v>10.039476617887738</v>
      </c>
      <c r="P808">
        <v>9.3345216522090819</v>
      </c>
      <c r="Q808">
        <v>8.959659358640284</v>
      </c>
      <c r="R808">
        <v>8.998316837754178</v>
      </c>
      <c r="S808">
        <v>9.0720780428332031</v>
      </c>
      <c r="T808">
        <v>8.2125892546431079</v>
      </c>
    </row>
    <row r="809" spans="1:20" x14ac:dyDescent="0.25">
      <c r="A809" s="6" t="s">
        <v>827</v>
      </c>
      <c r="B809">
        <v>13.176080069426172</v>
      </c>
      <c r="C809">
        <v>14.518787043985698</v>
      </c>
      <c r="D809">
        <v>13.979701064997272</v>
      </c>
      <c r="E809">
        <v>14.802285552379209</v>
      </c>
      <c r="F809">
        <v>14.228357101933028</v>
      </c>
      <c r="G809">
        <v>14.818868436574812</v>
      </c>
      <c r="H809">
        <v>13.446141742153932</v>
      </c>
      <c r="I809">
        <v>13.861179241432778</v>
      </c>
      <c r="J809">
        <v>12.909800154119335</v>
      </c>
      <c r="K809">
        <v>13.026879762944334</v>
      </c>
      <c r="L809">
        <v>14.195504941452361</v>
      </c>
      <c r="M809">
        <v>13.043093187409269</v>
      </c>
      <c r="N809">
        <v>12.615024547537512</v>
      </c>
      <c r="O809">
        <v>13.316858725208968</v>
      </c>
      <c r="P809">
        <v>14.290600658874276</v>
      </c>
      <c r="Q809">
        <v>13.958875915319911</v>
      </c>
      <c r="R809">
        <v>13.876286133822985</v>
      </c>
      <c r="S809">
        <v>14.056279971101485</v>
      </c>
      <c r="T809">
        <v>13.62050146706858</v>
      </c>
    </row>
    <row r="810" spans="1:20" x14ac:dyDescent="0.25">
      <c r="A810" s="5" t="s">
        <v>828</v>
      </c>
      <c r="B810">
        <v>11.606420548627581</v>
      </c>
      <c r="C810">
        <v>11.457120357642786</v>
      </c>
      <c r="D810">
        <v>11.486938769493742</v>
      </c>
      <c r="E810">
        <v>11.61247002801697</v>
      </c>
      <c r="F810">
        <v>11.351754846401796</v>
      </c>
      <c r="G810">
        <v>12.017877293631503</v>
      </c>
      <c r="H810">
        <v>12.377900880841112</v>
      </c>
      <c r="I810">
        <v>11.396561535603475</v>
      </c>
      <c r="J810">
        <v>11.508835186939647</v>
      </c>
      <c r="K810">
        <v>11.708430840755401</v>
      </c>
      <c r="L810">
        <v>11.810724187609297</v>
      </c>
      <c r="M810">
        <v>12.000772106126934</v>
      </c>
      <c r="N810">
        <v>12.48377450523488</v>
      </c>
      <c r="O810">
        <v>11.771424861292584</v>
      </c>
      <c r="P810">
        <v>12.146148797174448</v>
      </c>
      <c r="Q810">
        <v>14.034328143749375</v>
      </c>
      <c r="R810">
        <v>13.450980299090315</v>
      </c>
      <c r="S810">
        <v>13.810553168362809</v>
      </c>
      <c r="T810">
        <v>13.806413438001886</v>
      </c>
    </row>
    <row r="811" spans="1:20" x14ac:dyDescent="0.25">
      <c r="A811" s="6" t="s">
        <v>829</v>
      </c>
      <c r="B811">
        <v>0</v>
      </c>
      <c r="C811">
        <v>18.370853614849697</v>
      </c>
      <c r="D811">
        <v>19.124213647266568</v>
      </c>
      <c r="E811">
        <v>17.581071322240042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18.075578872015694</v>
      </c>
      <c r="L811">
        <v>18.313329913728719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25">
      <c r="A812" s="5" t="s">
        <v>830</v>
      </c>
      <c r="B812">
        <v>0</v>
      </c>
      <c r="C812">
        <v>17.823880700009802</v>
      </c>
      <c r="D812">
        <v>17.723675717682841</v>
      </c>
      <c r="E812">
        <v>17.857748336032504</v>
      </c>
      <c r="F812">
        <v>18.174545322816716</v>
      </c>
      <c r="G812">
        <v>17.34660606860302</v>
      </c>
      <c r="H812">
        <v>17.435873406700104</v>
      </c>
      <c r="I812">
        <v>17.659545380263125</v>
      </c>
      <c r="J812">
        <v>18.308638218403999</v>
      </c>
      <c r="K812">
        <v>17.514728827411346</v>
      </c>
      <c r="L812">
        <v>17.248995271976597</v>
      </c>
      <c r="M812">
        <v>18.34660606860302</v>
      </c>
      <c r="N812">
        <v>19.028530299211262</v>
      </c>
      <c r="O812">
        <v>18.166033822961197</v>
      </c>
      <c r="P812">
        <v>18.079569732211731</v>
      </c>
      <c r="Q812">
        <v>17.583902913023206</v>
      </c>
      <c r="R812">
        <v>17.810553168362809</v>
      </c>
      <c r="S812">
        <v>17.341805082339199</v>
      </c>
      <c r="T812">
        <v>17.837332499478411</v>
      </c>
    </row>
    <row r="813" spans="1:20" x14ac:dyDescent="0.25">
      <c r="A813" s="6" t="s">
        <v>831</v>
      </c>
      <c r="B813">
        <v>0</v>
      </c>
      <c r="C813">
        <v>0</v>
      </c>
      <c r="D813">
        <v>0</v>
      </c>
      <c r="E813">
        <v>0</v>
      </c>
      <c r="F813">
        <v>15.310982158872298</v>
      </c>
      <c r="G813">
        <v>14.160739523291683</v>
      </c>
      <c r="H813">
        <v>15.4397154729945</v>
      </c>
      <c r="I813">
        <v>15.683641055880589</v>
      </c>
      <c r="J813">
        <v>0</v>
      </c>
      <c r="K813">
        <v>15.236688376524983</v>
      </c>
      <c r="L813">
        <v>15.683641055880589</v>
      </c>
      <c r="M813">
        <v>15.75365077712833</v>
      </c>
      <c r="N813">
        <v>15.940613708927183</v>
      </c>
      <c r="O813">
        <v>0</v>
      </c>
      <c r="P813">
        <v>14.63144484475516</v>
      </c>
      <c r="Q813">
        <v>13.777763233245141</v>
      </c>
      <c r="R813">
        <v>14.000831231761289</v>
      </c>
      <c r="S813">
        <v>12.759271084115062</v>
      </c>
      <c r="T813">
        <v>13.463963019241179</v>
      </c>
    </row>
    <row r="814" spans="1:20" x14ac:dyDescent="0.25">
      <c r="A814" s="5" t="s">
        <v>832</v>
      </c>
      <c r="B814">
        <v>0</v>
      </c>
      <c r="C814">
        <v>13.522177633186471</v>
      </c>
      <c r="D814">
        <v>13.146109562052786</v>
      </c>
      <c r="E814">
        <v>13.170283295962555</v>
      </c>
      <c r="F814">
        <v>12.945077992222428</v>
      </c>
      <c r="G814">
        <v>13.518787043985698</v>
      </c>
      <c r="H814">
        <v>0</v>
      </c>
      <c r="I814">
        <v>13.064784199546837</v>
      </c>
      <c r="J814">
        <v>12.985270489042332</v>
      </c>
      <c r="K814">
        <v>0</v>
      </c>
      <c r="L814">
        <v>13.212576843654514</v>
      </c>
      <c r="M814">
        <v>13.184248310801935</v>
      </c>
      <c r="N814">
        <v>12.740775950961982</v>
      </c>
      <c r="O814">
        <v>12.566786051105918</v>
      </c>
      <c r="P814">
        <v>13.308052827833626</v>
      </c>
      <c r="Q814">
        <v>0</v>
      </c>
      <c r="R814">
        <v>0</v>
      </c>
      <c r="S814">
        <v>13.636947820432548</v>
      </c>
      <c r="T814">
        <v>13.945157634072132</v>
      </c>
    </row>
    <row r="815" spans="1:20" x14ac:dyDescent="0.25">
      <c r="A815" s="6" t="s">
        <v>833</v>
      </c>
      <c r="B815">
        <v>15.75365077712833</v>
      </c>
      <c r="C815">
        <v>16.124213647266568</v>
      </c>
      <c r="D815">
        <v>0</v>
      </c>
      <c r="E815">
        <v>0</v>
      </c>
      <c r="F815">
        <v>14.927067177089235</v>
      </c>
      <c r="G815">
        <v>14.46233377565652</v>
      </c>
      <c r="H815">
        <v>14.737796825927495</v>
      </c>
      <c r="I815">
        <v>13.726019658151142</v>
      </c>
      <c r="J815">
        <v>14.168688276407176</v>
      </c>
      <c r="K815">
        <v>15.093625327433148</v>
      </c>
      <c r="L815">
        <v>15.192800732523983</v>
      </c>
      <c r="M815">
        <v>14.661039626943458</v>
      </c>
      <c r="N815">
        <v>14.27335708657238</v>
      </c>
      <c r="O815">
        <v>15.595285181459742</v>
      </c>
      <c r="P815">
        <v>13.029133155365155</v>
      </c>
      <c r="Q815">
        <v>12.040763193119796</v>
      </c>
      <c r="R815">
        <v>11.7296652080994</v>
      </c>
      <c r="S815">
        <v>11.599585745284754</v>
      </c>
      <c r="T815">
        <v>12.394241436783112</v>
      </c>
    </row>
    <row r="816" spans="1:20" x14ac:dyDescent="0.25">
      <c r="A816" s="5" t="s">
        <v>834</v>
      </c>
      <c r="B816">
        <v>14.737796825927495</v>
      </c>
      <c r="C816">
        <v>13.640628166920497</v>
      </c>
      <c r="D816">
        <v>12.694769841236464</v>
      </c>
      <c r="E816">
        <v>12.797963946429114</v>
      </c>
      <c r="F816">
        <v>12.947058965837924</v>
      </c>
      <c r="G816">
        <v>13.373913414598753</v>
      </c>
      <c r="H816">
        <v>12.603001343313219</v>
      </c>
      <c r="I816">
        <v>13.961175031409498</v>
      </c>
      <c r="J816">
        <v>14.515404404591045</v>
      </c>
      <c r="K816">
        <v>13.61687204366789</v>
      </c>
      <c r="L816">
        <v>13.775738397767649</v>
      </c>
      <c r="M816">
        <v>14.635111161952929</v>
      </c>
      <c r="N816">
        <v>14.475419534676179</v>
      </c>
      <c r="O816">
        <v>13.207054716204224</v>
      </c>
      <c r="P816">
        <v>15.203648114760977</v>
      </c>
      <c r="Q816">
        <v>0</v>
      </c>
      <c r="R816">
        <v>16.82723190950944</v>
      </c>
      <c r="S816">
        <v>14.977372258937299</v>
      </c>
      <c r="T816">
        <v>15.818868436574812</v>
      </c>
    </row>
    <row r="817" spans="1:20" x14ac:dyDescent="0.25">
      <c r="A817" s="6" t="s">
        <v>835</v>
      </c>
      <c r="B817">
        <v>13.547864276850122</v>
      </c>
      <c r="C817">
        <v>13.640628166920497</v>
      </c>
      <c r="D817">
        <v>13.384674109436538</v>
      </c>
      <c r="E817">
        <v>13.577539631269786</v>
      </c>
      <c r="F817">
        <v>13.666656876249709</v>
      </c>
      <c r="G817">
        <v>13.609640474436812</v>
      </c>
      <c r="H817">
        <v>14.106291739269308</v>
      </c>
      <c r="I817">
        <v>13.194355033254713</v>
      </c>
      <c r="J817">
        <v>13.46233377565652</v>
      </c>
      <c r="K817">
        <v>13.506982343073073</v>
      </c>
      <c r="L817">
        <v>13.655444164049936</v>
      </c>
      <c r="M817">
        <v>13.553056946070445</v>
      </c>
      <c r="N817">
        <v>13.181498083458481</v>
      </c>
      <c r="O817">
        <v>13.321281912243151</v>
      </c>
      <c r="P817">
        <v>12.966858049262488</v>
      </c>
      <c r="Q817">
        <v>13.014662046707244</v>
      </c>
      <c r="R817">
        <v>12.531568676771672</v>
      </c>
      <c r="S817">
        <v>13.088024331995376</v>
      </c>
      <c r="T817">
        <v>12.441568120666995</v>
      </c>
    </row>
    <row r="818" spans="1:20" x14ac:dyDescent="0.25">
      <c r="A818" s="5" t="s">
        <v>836</v>
      </c>
      <c r="B818">
        <v>12.444355581014971</v>
      </c>
      <c r="C818">
        <v>12.587965321279656</v>
      </c>
      <c r="D818">
        <v>11.930548899272878</v>
      </c>
      <c r="E818">
        <v>11.950783494371187</v>
      </c>
      <c r="F818">
        <v>12.004400993386863</v>
      </c>
      <c r="G818">
        <v>12.002085265759362</v>
      </c>
      <c r="H818">
        <v>11.266168691707726</v>
      </c>
      <c r="I818">
        <v>11.976360400406199</v>
      </c>
      <c r="J818">
        <v>11.891640594968306</v>
      </c>
      <c r="K818">
        <v>11.706414164752033</v>
      </c>
      <c r="L818">
        <v>12.229742310912121</v>
      </c>
      <c r="M818">
        <v>12.452847478598697</v>
      </c>
      <c r="N818">
        <v>12.269733477318352</v>
      </c>
      <c r="O818">
        <v>12.177877129543548</v>
      </c>
      <c r="P818">
        <v>12.014459093194793</v>
      </c>
      <c r="Q818">
        <v>11.168027524626897</v>
      </c>
      <c r="R818">
        <v>11.174575334813808</v>
      </c>
      <c r="S818">
        <v>11.877376702692152</v>
      </c>
      <c r="T818">
        <v>10.411627692334099</v>
      </c>
    </row>
    <row r="819" spans="1:20" x14ac:dyDescent="0.25">
      <c r="A819" s="6" t="s">
        <v>837</v>
      </c>
      <c r="B819">
        <v>14.293494732143458</v>
      </c>
      <c r="C819">
        <v>14.59171856643955</v>
      </c>
      <c r="D819">
        <v>14.119070343990613</v>
      </c>
      <c r="E819">
        <v>13.054180129882402</v>
      </c>
      <c r="F819">
        <v>14.166033822961197</v>
      </c>
      <c r="G819">
        <v>14.343603580441494</v>
      </c>
      <c r="H819">
        <v>13.068782456036301</v>
      </c>
      <c r="I819">
        <v>14.512029677810389</v>
      </c>
      <c r="J819">
        <v>13.749670926215785</v>
      </c>
      <c r="K819">
        <v>14.525576209648337</v>
      </c>
      <c r="L819">
        <v>15.010322680738586</v>
      </c>
      <c r="M819">
        <v>15.231128851183083</v>
      </c>
      <c r="N819">
        <v>14.695075950942874</v>
      </c>
      <c r="O819">
        <v>13.909200756295721</v>
      </c>
      <c r="P819">
        <v>13.534107843269455</v>
      </c>
      <c r="Q819">
        <v>13.132507173954128</v>
      </c>
      <c r="R819">
        <v>13.763648703772239</v>
      </c>
      <c r="S819">
        <v>13.749670926215785</v>
      </c>
      <c r="T819">
        <v>12.227616560887835</v>
      </c>
    </row>
    <row r="820" spans="1:20" x14ac:dyDescent="0.25">
      <c r="A820" s="5" t="s">
        <v>838</v>
      </c>
      <c r="B820">
        <v>0</v>
      </c>
      <c r="C820">
        <v>0</v>
      </c>
      <c r="D820">
        <v>15.668534163490381</v>
      </c>
      <c r="E820">
        <v>14.560009706712211</v>
      </c>
      <c r="F820">
        <v>0</v>
      </c>
      <c r="G820">
        <v>0</v>
      </c>
      <c r="H820">
        <v>14.75365077712833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15.553056946070447</v>
      </c>
      <c r="P820">
        <v>0</v>
      </c>
      <c r="Q820">
        <v>14.508662826711991</v>
      </c>
      <c r="R820">
        <v>15.015091924886457</v>
      </c>
      <c r="S820">
        <v>15.595285181459742</v>
      </c>
      <c r="T820">
        <v>13.087019713394735</v>
      </c>
    </row>
    <row r="821" spans="1:20" x14ac:dyDescent="0.25">
      <c r="A821" s="6" t="s">
        <v>839</v>
      </c>
      <c r="B821">
        <v>0</v>
      </c>
      <c r="C821">
        <v>0</v>
      </c>
      <c r="D821">
        <v>0</v>
      </c>
      <c r="E821">
        <v>15.144972207433367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14.200928613407385</v>
      </c>
      <c r="O821">
        <v>14.398628280951302</v>
      </c>
      <c r="P821">
        <v>0</v>
      </c>
      <c r="Q821">
        <v>14.287712379549449</v>
      </c>
      <c r="R821">
        <v>14.542690230512186</v>
      </c>
      <c r="S821">
        <v>15.103749544706854</v>
      </c>
      <c r="T821">
        <v>14.958875915319911</v>
      </c>
    </row>
    <row r="822" spans="1:20" x14ac:dyDescent="0.25">
      <c r="A822" s="5" t="s">
        <v>840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16.113945311812746</v>
      </c>
      <c r="H822">
        <v>16.220073662674086</v>
      </c>
      <c r="I822">
        <v>0</v>
      </c>
      <c r="J822">
        <v>0</v>
      </c>
      <c r="K822">
        <v>18.888924231915681</v>
      </c>
      <c r="L822">
        <v>0</v>
      </c>
      <c r="M822">
        <v>0</v>
      </c>
      <c r="N822">
        <v>0</v>
      </c>
      <c r="O822">
        <v>0</v>
      </c>
      <c r="P822">
        <v>16.731503707809864</v>
      </c>
      <c r="Q822">
        <v>18.047947753038503</v>
      </c>
      <c r="R822">
        <v>18.405499757656589</v>
      </c>
      <c r="S822">
        <v>17.11190038582772</v>
      </c>
      <c r="T822">
        <v>17.624140044131927</v>
      </c>
    </row>
    <row r="823" spans="1:20" x14ac:dyDescent="0.25">
      <c r="A823" s="6" t="s">
        <v>841</v>
      </c>
      <c r="B823">
        <v>12.89039130902661</v>
      </c>
      <c r="C823">
        <v>0</v>
      </c>
      <c r="D823">
        <v>13.232905569438291</v>
      </c>
      <c r="E823">
        <v>13.523875920658497</v>
      </c>
      <c r="F823">
        <v>12.504985114875092</v>
      </c>
      <c r="G823">
        <v>12.140770471454752</v>
      </c>
      <c r="H823">
        <v>10.665297368888687</v>
      </c>
      <c r="I823">
        <v>12.653937102463559</v>
      </c>
      <c r="J823">
        <v>12.297759587410855</v>
      </c>
      <c r="K823">
        <v>12.215531101160233</v>
      </c>
      <c r="L823">
        <v>11.700568250682332</v>
      </c>
      <c r="M823">
        <v>11.512417369920195</v>
      </c>
      <c r="N823">
        <v>11.794305856391475</v>
      </c>
      <c r="O823">
        <v>11.61247002801697</v>
      </c>
      <c r="P823">
        <v>10.96008824243795</v>
      </c>
      <c r="Q823">
        <v>13.373913414598753</v>
      </c>
      <c r="R823">
        <v>12.039469026398102</v>
      </c>
      <c r="S823">
        <v>10.813722907514709</v>
      </c>
      <c r="T823">
        <v>12.074632662838475</v>
      </c>
    </row>
    <row r="824" spans="1:20" x14ac:dyDescent="0.25">
      <c r="A824" s="5" t="s">
        <v>842</v>
      </c>
      <c r="B824">
        <v>10.474310827373431</v>
      </c>
      <c r="C824">
        <v>10.846680476813244</v>
      </c>
      <c r="D824">
        <v>10.898021677539875</v>
      </c>
      <c r="E824">
        <v>11.593754915355834</v>
      </c>
      <c r="F824">
        <v>9.4964088106623308</v>
      </c>
      <c r="G824">
        <v>10.61911213410672</v>
      </c>
      <c r="H824">
        <v>9.4185605267122305</v>
      </c>
      <c r="I824">
        <v>9.5172321591008675</v>
      </c>
      <c r="J824">
        <v>9.9842077786730865</v>
      </c>
      <c r="K824">
        <v>10.04082398066145</v>
      </c>
      <c r="L824">
        <v>8.8958752480586405</v>
      </c>
      <c r="M824">
        <v>9.3519622360884984</v>
      </c>
      <c r="N824">
        <v>9.4020365029955606</v>
      </c>
      <c r="O824">
        <v>9.9582443001996825</v>
      </c>
      <c r="P824">
        <v>9.0583374930734966</v>
      </c>
      <c r="Q824">
        <v>9.8415064463270383</v>
      </c>
      <c r="R824">
        <v>10.09214902310328</v>
      </c>
      <c r="S824">
        <v>8.969514863791531</v>
      </c>
      <c r="T824">
        <v>10.284595919982261</v>
      </c>
    </row>
    <row r="825" spans="1:20" x14ac:dyDescent="0.25">
      <c r="A825" s="6" t="s">
        <v>843</v>
      </c>
      <c r="B825">
        <v>12.235783494555214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11.914359279291952</v>
      </c>
      <c r="J825">
        <v>0</v>
      </c>
      <c r="K825">
        <v>0</v>
      </c>
      <c r="L825">
        <v>11.827714286451073</v>
      </c>
      <c r="M825">
        <v>0</v>
      </c>
      <c r="N825">
        <v>12.913535346559613</v>
      </c>
      <c r="O825">
        <v>12.989136170917156</v>
      </c>
      <c r="P825">
        <v>12.084423505028489</v>
      </c>
      <c r="Q825">
        <v>0</v>
      </c>
      <c r="R825">
        <v>12.593340283114287</v>
      </c>
      <c r="S825">
        <v>12.778330696814743</v>
      </c>
      <c r="T825">
        <v>13.400187108807861</v>
      </c>
    </row>
    <row r="826" spans="1:20" x14ac:dyDescent="0.25">
      <c r="A826" s="5" t="s">
        <v>844</v>
      </c>
      <c r="B826">
        <v>13.674180726631523</v>
      </c>
      <c r="C826">
        <v>0</v>
      </c>
      <c r="D826">
        <v>15.328684160605755</v>
      </c>
      <c r="E826">
        <v>15.498609162048069</v>
      </c>
      <c r="F826">
        <v>14.485312339434612</v>
      </c>
      <c r="G826">
        <v>13.984369985062118</v>
      </c>
      <c r="H826">
        <v>14.108838421379655</v>
      </c>
      <c r="I826">
        <v>14.108838421379655</v>
      </c>
      <c r="J826">
        <v>14.602444973032609</v>
      </c>
      <c r="K826">
        <v>14.101211821904954</v>
      </c>
      <c r="L826">
        <v>13.606038237756618</v>
      </c>
      <c r="M826">
        <v>13.968094445349287</v>
      </c>
      <c r="N826">
        <v>13.804348018836102</v>
      </c>
      <c r="O826">
        <v>13.854752972273344</v>
      </c>
      <c r="P826">
        <v>12.824424742121968</v>
      </c>
      <c r="Q826">
        <v>15.220073662674086</v>
      </c>
      <c r="R826">
        <v>13.704674755752785</v>
      </c>
      <c r="S826">
        <v>14.340607327981576</v>
      </c>
      <c r="T826">
        <v>14.827231909509438</v>
      </c>
    </row>
    <row r="827" spans="1:20" x14ac:dyDescent="0.25">
      <c r="A827" s="6" t="s">
        <v>845</v>
      </c>
      <c r="B827">
        <v>15.209102544853085</v>
      </c>
      <c r="C827">
        <v>0</v>
      </c>
      <c r="D827">
        <v>0</v>
      </c>
      <c r="E827">
        <v>0</v>
      </c>
      <c r="F827">
        <v>13.193260090584767</v>
      </c>
      <c r="G827">
        <v>15.401747622795478</v>
      </c>
      <c r="H827">
        <v>10.446115577442072</v>
      </c>
      <c r="I827">
        <v>14.726019658151142</v>
      </c>
      <c r="J827">
        <v>16.113945311812746</v>
      </c>
      <c r="K827">
        <v>12.335982858470995</v>
      </c>
      <c r="L827">
        <v>12.45865032809631</v>
      </c>
      <c r="M827">
        <v>13.242632924262727</v>
      </c>
      <c r="N827">
        <v>12.891936636998279</v>
      </c>
      <c r="O827">
        <v>12.849036279827788</v>
      </c>
      <c r="P827">
        <v>11.567569652253114</v>
      </c>
      <c r="Q827">
        <v>15.134555591488031</v>
      </c>
      <c r="R827">
        <v>15.225590667641651</v>
      </c>
      <c r="S827">
        <v>12.590579109343382</v>
      </c>
      <c r="T827">
        <v>13.065117995044371</v>
      </c>
    </row>
    <row r="828" spans="1:20" x14ac:dyDescent="0.25">
      <c r="A828" s="5" t="s">
        <v>846</v>
      </c>
      <c r="B828">
        <v>10.498266896535853</v>
      </c>
      <c r="C828">
        <v>0</v>
      </c>
      <c r="D828">
        <v>11.741847769640538</v>
      </c>
      <c r="E828">
        <v>11.880740408732725</v>
      </c>
      <c r="F828">
        <v>10.898291496611812</v>
      </c>
      <c r="G828">
        <v>10.240493345423863</v>
      </c>
      <c r="H828">
        <v>9.5070463756331005</v>
      </c>
      <c r="I828">
        <v>10.007430074525468</v>
      </c>
      <c r="J828">
        <v>10.250208912997108</v>
      </c>
      <c r="K828">
        <v>10.651739801498843</v>
      </c>
      <c r="L828">
        <v>9.4165439205028623</v>
      </c>
      <c r="M828">
        <v>9.7592973402694732</v>
      </c>
      <c r="N828">
        <v>9.6734866555600014</v>
      </c>
      <c r="O828">
        <v>10.070944020336372</v>
      </c>
      <c r="P828">
        <v>8.9645844614453427</v>
      </c>
      <c r="Q828">
        <v>11.139074326250872</v>
      </c>
      <c r="R828">
        <v>10.02565964081186</v>
      </c>
      <c r="S828">
        <v>9.1544530091387006</v>
      </c>
      <c r="T828">
        <v>11.081281699953982</v>
      </c>
    </row>
    <row r="829" spans="1:20" x14ac:dyDescent="0.25">
      <c r="A829" s="6" t="s">
        <v>847</v>
      </c>
      <c r="B829">
        <v>11.407704776588245</v>
      </c>
      <c r="C829">
        <v>0</v>
      </c>
      <c r="D829">
        <v>12.426090441506012</v>
      </c>
      <c r="E829">
        <v>0</v>
      </c>
      <c r="F829">
        <v>11.512788303364255</v>
      </c>
      <c r="G829">
        <v>0</v>
      </c>
      <c r="H829">
        <v>10.650545001794214</v>
      </c>
      <c r="I829">
        <v>0</v>
      </c>
      <c r="J829">
        <v>11.888377197047378</v>
      </c>
      <c r="K829">
        <v>11.604586379706555</v>
      </c>
      <c r="L829">
        <v>10.516342292225369</v>
      </c>
      <c r="M829">
        <v>11.264396694400759</v>
      </c>
      <c r="N829">
        <v>10.893642803223559</v>
      </c>
      <c r="O829">
        <v>10.823509404449055</v>
      </c>
      <c r="P829">
        <v>10.14603926846153</v>
      </c>
      <c r="Q829">
        <v>0</v>
      </c>
      <c r="R829">
        <v>11.695085517917834</v>
      </c>
      <c r="S829">
        <v>10.379741129291686</v>
      </c>
      <c r="T829">
        <v>11.166385257476637</v>
      </c>
    </row>
    <row r="830" spans="1:20" x14ac:dyDescent="0.25">
      <c r="A830" s="5" t="s">
        <v>848</v>
      </c>
      <c r="B830">
        <v>13.806413438001886</v>
      </c>
      <c r="C830">
        <v>14.116505552131308</v>
      </c>
      <c r="D830">
        <v>14.024677973715656</v>
      </c>
      <c r="E830">
        <v>14.661039626943458</v>
      </c>
      <c r="F830">
        <v>14.737796825927495</v>
      </c>
      <c r="G830">
        <v>0</v>
      </c>
      <c r="H830">
        <v>14.003198246305205</v>
      </c>
      <c r="I830">
        <v>14.361712960993227</v>
      </c>
      <c r="J830">
        <v>14.414292876114592</v>
      </c>
      <c r="K830">
        <v>14.528982811091586</v>
      </c>
      <c r="L830">
        <v>14.091105335454632</v>
      </c>
      <c r="M830">
        <v>13.989054063984934</v>
      </c>
      <c r="N830">
        <v>0</v>
      </c>
      <c r="O830">
        <v>0</v>
      </c>
      <c r="P830">
        <v>0</v>
      </c>
      <c r="Q830">
        <v>14.449365643028219</v>
      </c>
      <c r="R830">
        <v>0</v>
      </c>
      <c r="S830">
        <v>0</v>
      </c>
      <c r="T830">
        <v>14.891552890476294</v>
      </c>
    </row>
    <row r="831" spans="1:20" x14ac:dyDescent="0.25">
      <c r="A831" s="6" t="s">
        <v>849</v>
      </c>
      <c r="B831">
        <v>16.198214228710349</v>
      </c>
      <c r="C831">
        <v>16.264811977439372</v>
      </c>
      <c r="D831">
        <v>16.034328143749374</v>
      </c>
      <c r="E831">
        <v>17.840715138873062</v>
      </c>
      <c r="F831">
        <v>16.124213647266568</v>
      </c>
      <c r="G831">
        <v>15.124213647266568</v>
      </c>
      <c r="H831">
        <v>16.166033822961197</v>
      </c>
      <c r="I831">
        <v>16.124213647266568</v>
      </c>
      <c r="J831">
        <v>15.729934708154525</v>
      </c>
      <c r="K831">
        <v>16.512029677810389</v>
      </c>
      <c r="L831">
        <v>15.073587574196603</v>
      </c>
      <c r="M831">
        <v>15.67606783617579</v>
      </c>
      <c r="N831">
        <v>15.414292876114592</v>
      </c>
      <c r="O831">
        <v>16.566996137028319</v>
      </c>
      <c r="P831">
        <v>15.06367210533152</v>
      </c>
      <c r="Q831">
        <v>13.13723068859753</v>
      </c>
      <c r="R831">
        <v>14.264811977439372</v>
      </c>
      <c r="S831">
        <v>13.829330375393436</v>
      </c>
      <c r="T831">
        <v>13.289155796419118</v>
      </c>
    </row>
    <row r="832" spans="1:20" x14ac:dyDescent="0.25">
      <c r="A832" s="5" t="s">
        <v>850</v>
      </c>
      <c r="B832">
        <v>12.341138708754803</v>
      </c>
      <c r="C832">
        <v>12.286018208007382</v>
      </c>
      <c r="D832">
        <v>12.053094568978159</v>
      </c>
      <c r="E832">
        <v>12.569379251372379</v>
      </c>
      <c r="F832">
        <v>12.4113742154641</v>
      </c>
      <c r="G832">
        <v>12.744959068864215</v>
      </c>
      <c r="H832">
        <v>12.298885929395226</v>
      </c>
      <c r="I832">
        <v>12.613143258755587</v>
      </c>
      <c r="J832">
        <v>12.662236139590011</v>
      </c>
      <c r="K832">
        <v>12.701932583183691</v>
      </c>
      <c r="L832">
        <v>12.414946646976677</v>
      </c>
      <c r="M832">
        <v>12.381891698495256</v>
      </c>
      <c r="N832">
        <v>12.453931712901051</v>
      </c>
      <c r="O832">
        <v>12.421991479126211</v>
      </c>
      <c r="P832">
        <v>12.787593601822822</v>
      </c>
      <c r="Q832">
        <v>12.767727720581751</v>
      </c>
      <c r="R832">
        <v>13.720166931905704</v>
      </c>
      <c r="S832">
        <v>13.927067177089235</v>
      </c>
      <c r="T832">
        <v>12.795756695219954</v>
      </c>
    </row>
    <row r="833" spans="1:20" x14ac:dyDescent="0.25">
      <c r="A833" s="6" t="s">
        <v>851</v>
      </c>
      <c r="B833">
        <v>9.5019735260258802</v>
      </c>
      <c r="C833">
        <v>9.4086977434619108</v>
      </c>
      <c r="D833">
        <v>9.3774930016614917</v>
      </c>
      <c r="E833">
        <v>8.7273997241001542</v>
      </c>
      <c r="F833">
        <v>8.6432901872831085</v>
      </c>
      <c r="G833">
        <v>9.5166740786434332</v>
      </c>
      <c r="H833">
        <v>9.5912744717412721</v>
      </c>
      <c r="I833">
        <v>9.4238888736938957</v>
      </c>
      <c r="J833">
        <v>9.6605526594037627</v>
      </c>
      <c r="K833">
        <v>9.0709191920343688</v>
      </c>
      <c r="L833">
        <v>9.3446368570387044</v>
      </c>
      <c r="M833">
        <v>9.5640009288997003</v>
      </c>
      <c r="N833">
        <v>9.7529286140465867</v>
      </c>
      <c r="O833">
        <v>9.4750437106356369</v>
      </c>
      <c r="P833">
        <v>10.601160308454482</v>
      </c>
      <c r="Q833">
        <v>11.543796778349542</v>
      </c>
      <c r="R833">
        <v>11.158379899622442</v>
      </c>
      <c r="S833">
        <v>11.137341175447474</v>
      </c>
      <c r="T833">
        <v>11.062307872112239</v>
      </c>
    </row>
    <row r="834" spans="1:20" x14ac:dyDescent="0.25">
      <c r="A834" s="5" t="s">
        <v>852</v>
      </c>
      <c r="B834">
        <v>14.852617227929352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15.401747622795478</v>
      </c>
      <c r="I834">
        <v>0</v>
      </c>
      <c r="J834">
        <v>16.06367210533152</v>
      </c>
      <c r="K834">
        <v>0</v>
      </c>
      <c r="L834">
        <v>0</v>
      </c>
      <c r="M834">
        <v>15.160739523291683</v>
      </c>
      <c r="N834">
        <v>14.773716400182437</v>
      </c>
      <c r="O834">
        <v>15.293494732143458</v>
      </c>
      <c r="P834">
        <v>14.563498692792091</v>
      </c>
      <c r="Q834">
        <v>14.349614818475356</v>
      </c>
      <c r="R834">
        <v>15.310982158872298</v>
      </c>
      <c r="S834">
        <v>0</v>
      </c>
      <c r="T834">
        <v>14.806413438001886</v>
      </c>
    </row>
    <row r="835" spans="1:20" x14ac:dyDescent="0.25">
      <c r="A835" s="6" t="s">
        <v>853</v>
      </c>
      <c r="B835">
        <v>15.861179241432778</v>
      </c>
      <c r="C835">
        <v>0</v>
      </c>
      <c r="D835">
        <v>0</v>
      </c>
      <c r="E835">
        <v>0</v>
      </c>
      <c r="F835">
        <v>15.977372258937301</v>
      </c>
      <c r="G835">
        <v>0</v>
      </c>
      <c r="H835">
        <v>16.231128851183083</v>
      </c>
      <c r="I835">
        <v>0</v>
      </c>
      <c r="J835">
        <v>0</v>
      </c>
      <c r="K835">
        <v>0</v>
      </c>
      <c r="L835">
        <v>0</v>
      </c>
      <c r="M835">
        <v>15.869792371737484</v>
      </c>
      <c r="N835">
        <v>14.83564414932564</v>
      </c>
      <c r="O835">
        <v>17.187407473753765</v>
      </c>
      <c r="P835">
        <v>15.646166350461927</v>
      </c>
      <c r="Q835">
        <v>14.737796825927495</v>
      </c>
      <c r="R835">
        <v>15.005569150767952</v>
      </c>
      <c r="S835">
        <v>15.220073662674086</v>
      </c>
      <c r="T835">
        <v>14.869792371737484</v>
      </c>
    </row>
    <row r="836" spans="1:20" x14ac:dyDescent="0.25">
      <c r="A836" s="5" t="s">
        <v>854</v>
      </c>
      <c r="B836">
        <v>0</v>
      </c>
      <c r="C836">
        <v>0</v>
      </c>
      <c r="D836">
        <v>0</v>
      </c>
      <c r="E836">
        <v>16.34660606860302</v>
      </c>
      <c r="F836">
        <v>0</v>
      </c>
      <c r="G836">
        <v>0</v>
      </c>
      <c r="H836">
        <v>15.878457232864612</v>
      </c>
      <c r="I836">
        <v>16.093625327433145</v>
      </c>
      <c r="J836">
        <v>0</v>
      </c>
      <c r="K836">
        <v>0</v>
      </c>
      <c r="L836">
        <v>16.264811977439372</v>
      </c>
      <c r="M836">
        <v>0</v>
      </c>
      <c r="N836">
        <v>0</v>
      </c>
      <c r="O836">
        <v>0</v>
      </c>
      <c r="P836">
        <v>0</v>
      </c>
      <c r="Q836">
        <v>15.134555591488031</v>
      </c>
      <c r="R836">
        <v>15.546137532130656</v>
      </c>
      <c r="S836">
        <v>14.936084050446668</v>
      </c>
      <c r="T836">
        <v>14.733860411368322</v>
      </c>
    </row>
    <row r="837" spans="1:20" x14ac:dyDescent="0.25">
      <c r="A837" s="6" t="s">
        <v>855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14.909200756295721</v>
      </c>
      <c r="H837">
        <v>0</v>
      </c>
      <c r="I837">
        <v>16.408006613267162</v>
      </c>
      <c r="J837">
        <v>0</v>
      </c>
      <c r="K837">
        <v>16.044043298582586</v>
      </c>
      <c r="L837">
        <v>16.334633426936943</v>
      </c>
      <c r="M837">
        <v>0</v>
      </c>
      <c r="N837">
        <v>0</v>
      </c>
      <c r="O837">
        <v>0</v>
      </c>
      <c r="P837">
        <v>15.913646661326911</v>
      </c>
      <c r="Q837">
        <v>14.683641055880589</v>
      </c>
      <c r="R837">
        <v>15.446141742153934</v>
      </c>
      <c r="S837">
        <v>13.733860411368322</v>
      </c>
      <c r="T837">
        <v>14.949715916034434</v>
      </c>
    </row>
    <row r="838" spans="1:20" x14ac:dyDescent="0.25">
      <c r="A838" s="5" t="s">
        <v>856</v>
      </c>
      <c r="B838">
        <v>16.310982158872296</v>
      </c>
      <c r="C838">
        <v>0</v>
      </c>
      <c r="D838">
        <v>0</v>
      </c>
      <c r="E838">
        <v>0</v>
      </c>
      <c r="F838">
        <v>15.588160747026361</v>
      </c>
      <c r="G838">
        <v>15.968094445349289</v>
      </c>
      <c r="H838">
        <v>16.310982158872296</v>
      </c>
      <c r="I838">
        <v>16.446141742153934</v>
      </c>
      <c r="J838">
        <v>16.408006613267162</v>
      </c>
      <c r="K838">
        <v>16.446141742153934</v>
      </c>
      <c r="L838">
        <v>0</v>
      </c>
      <c r="M838">
        <v>0</v>
      </c>
      <c r="N838">
        <v>16.334633426936943</v>
      </c>
      <c r="O838">
        <v>0</v>
      </c>
      <c r="P838">
        <v>14.007943957955854</v>
      </c>
      <c r="Q838">
        <v>12.595097714705407</v>
      </c>
      <c r="R838">
        <v>13.211892264848219</v>
      </c>
      <c r="S838">
        <v>13.167864873373389</v>
      </c>
      <c r="T838">
        <v>11.918184476227148</v>
      </c>
    </row>
    <row r="839" spans="1:20" x14ac:dyDescent="0.25">
      <c r="A839" s="6" t="s">
        <v>857</v>
      </c>
      <c r="B839">
        <v>11.639822288490235</v>
      </c>
      <c r="C839">
        <v>11.936881371046375</v>
      </c>
      <c r="D839">
        <v>11.920934170869547</v>
      </c>
      <c r="E839">
        <v>11.683916333168966</v>
      </c>
      <c r="F839">
        <v>11.082748484474731</v>
      </c>
      <c r="G839">
        <v>11.415246062654349</v>
      </c>
      <c r="H839">
        <v>11.854827780622365</v>
      </c>
      <c r="I839">
        <v>11.36021788897272</v>
      </c>
      <c r="J839">
        <v>11.385577040702703</v>
      </c>
      <c r="K839">
        <v>11.371858808160139</v>
      </c>
      <c r="L839">
        <v>11.471157725940703</v>
      </c>
      <c r="M839">
        <v>11.544580917324092</v>
      </c>
      <c r="N839">
        <v>10.833262716201871</v>
      </c>
      <c r="O839">
        <v>10.913849832920125</v>
      </c>
      <c r="P839">
        <v>11.592498010389065</v>
      </c>
      <c r="Q839">
        <v>11.689685494433004</v>
      </c>
      <c r="R839">
        <v>12.103457479325675</v>
      </c>
      <c r="S839">
        <v>11.796315888299372</v>
      </c>
      <c r="T839">
        <v>12.027692747379445</v>
      </c>
    </row>
    <row r="840" spans="1:20" x14ac:dyDescent="0.25">
      <c r="A840" s="5" t="s">
        <v>858</v>
      </c>
      <c r="B840">
        <v>14.904768509980459</v>
      </c>
      <c r="C840">
        <v>14.325718702129196</v>
      </c>
      <c r="D840">
        <v>15.073587574196603</v>
      </c>
      <c r="E840">
        <v>15.198214228710349</v>
      </c>
      <c r="F840">
        <v>0</v>
      </c>
      <c r="G840">
        <v>0</v>
      </c>
      <c r="H840">
        <v>14.15809964141898</v>
      </c>
      <c r="I840">
        <v>14.761643567881864</v>
      </c>
      <c r="J840">
        <v>13.918106309517611</v>
      </c>
      <c r="K840">
        <v>14.806413438001886</v>
      </c>
      <c r="L840">
        <v>14.256317183273916</v>
      </c>
      <c r="M840">
        <v>13.861179241432778</v>
      </c>
      <c r="N840">
        <v>13.810553168362809</v>
      </c>
      <c r="O840">
        <v>13.618685614039819</v>
      </c>
      <c r="P840">
        <v>14.386217924501876</v>
      </c>
      <c r="Q840">
        <v>15.346606068603018</v>
      </c>
      <c r="R840">
        <v>14.977372258937299</v>
      </c>
      <c r="S840">
        <v>15.574016564706092</v>
      </c>
      <c r="T840">
        <v>15.068621321303253</v>
      </c>
    </row>
    <row r="841" spans="1:20" x14ac:dyDescent="0.25">
      <c r="A841" s="6" t="s">
        <v>859</v>
      </c>
      <c r="B841">
        <v>0</v>
      </c>
      <c r="C841">
        <v>14.683641055880589</v>
      </c>
      <c r="D841">
        <v>14.653583822024411</v>
      </c>
      <c r="E841">
        <v>14.92257978609692</v>
      </c>
      <c r="F841">
        <v>14.478709604610362</v>
      </c>
      <c r="G841">
        <v>14.67606783617579</v>
      </c>
      <c r="H841">
        <v>14.532397475504352</v>
      </c>
      <c r="I841">
        <v>14.144972207433367</v>
      </c>
      <c r="J841">
        <v>14.036750806016231</v>
      </c>
      <c r="K841">
        <v>14.827231909509438</v>
      </c>
      <c r="L841">
        <v>14.900349838713455</v>
      </c>
      <c r="M841">
        <v>15.088589737535848</v>
      </c>
      <c r="N841">
        <v>15.340607327981576</v>
      </c>
      <c r="O841">
        <v>14.38005255169616</v>
      </c>
      <c r="P841">
        <v>0</v>
      </c>
      <c r="Q841">
        <v>15.259143227352677</v>
      </c>
      <c r="R841">
        <v>14.865479378866404</v>
      </c>
      <c r="S841">
        <v>16.134555591488027</v>
      </c>
      <c r="T841">
        <v>16.124213647266568</v>
      </c>
    </row>
    <row r="842" spans="1:20" x14ac:dyDescent="0.25">
      <c r="A842" s="5" t="s">
        <v>860</v>
      </c>
      <c r="B842">
        <v>12.421128772326254</v>
      </c>
      <c r="C842">
        <v>13.009311244290984</v>
      </c>
      <c r="D842">
        <v>13.119917726900505</v>
      </c>
      <c r="E842">
        <v>13.419025614227316</v>
      </c>
      <c r="F842">
        <v>12.806217096020722</v>
      </c>
      <c r="G842">
        <v>13.508662826711991</v>
      </c>
      <c r="H842">
        <v>13.414292876114592</v>
      </c>
      <c r="I842">
        <v>13.695075950942874</v>
      </c>
      <c r="J842">
        <v>12.849653785297239</v>
      </c>
      <c r="K842">
        <v>13.239866918572977</v>
      </c>
      <c r="L842">
        <v>12.987038046018533</v>
      </c>
      <c r="M842">
        <v>13.104384673504649</v>
      </c>
      <c r="N842">
        <v>13.577539631269786</v>
      </c>
      <c r="O842">
        <v>13.203307896615103</v>
      </c>
      <c r="P842">
        <v>13.25801214533403</v>
      </c>
      <c r="Q842">
        <v>13.491945431767057</v>
      </c>
      <c r="R842">
        <v>14.392409758216143</v>
      </c>
      <c r="S842">
        <v>14.308052827833627</v>
      </c>
      <c r="T842">
        <v>13.59528518145974</v>
      </c>
    </row>
    <row r="843" spans="1:20" x14ac:dyDescent="0.25">
      <c r="A843" s="6" t="s">
        <v>861</v>
      </c>
      <c r="B843">
        <v>14.14236099397683</v>
      </c>
      <c r="C843">
        <v>13.46233377565652</v>
      </c>
      <c r="D843">
        <v>13.234114432861157</v>
      </c>
      <c r="E843">
        <v>13.460706369910472</v>
      </c>
      <c r="F843">
        <v>13.720166931905704</v>
      </c>
      <c r="G843">
        <v>13.59528518145974</v>
      </c>
      <c r="H843">
        <v>13.542690230512186</v>
      </c>
      <c r="I843">
        <v>13.560009706712211</v>
      </c>
      <c r="J843">
        <v>13.729934708154524</v>
      </c>
      <c r="K843">
        <v>13.25113168215438</v>
      </c>
      <c r="L843">
        <v>13.370853614849695</v>
      </c>
      <c r="M843">
        <v>14.066144591011041</v>
      </c>
      <c r="N843">
        <v>14.609640474436812</v>
      </c>
      <c r="O843">
        <v>13.530689133041991</v>
      </c>
      <c r="P843">
        <v>14.098678555159433</v>
      </c>
      <c r="Q843">
        <v>14.190101582923029</v>
      </c>
      <c r="R843">
        <v>13.929316117592796</v>
      </c>
      <c r="S843">
        <v>13.859033969601219</v>
      </c>
      <c r="T843">
        <v>13.895944659593452</v>
      </c>
    </row>
    <row r="844" spans="1:20" x14ac:dyDescent="0.25">
      <c r="A844" s="5" t="s">
        <v>862</v>
      </c>
      <c r="B844">
        <v>16.299300353824663</v>
      </c>
      <c r="C844">
        <v>15.376979717646538</v>
      </c>
      <c r="D844">
        <v>15.408006613267162</v>
      </c>
      <c r="E844">
        <v>15.485312339434612</v>
      </c>
      <c r="F844">
        <v>15.852617227929352</v>
      </c>
      <c r="G844">
        <v>13.789972290940359</v>
      </c>
      <c r="H844">
        <v>15.334633426936943</v>
      </c>
      <c r="I844">
        <v>15.478709604610364</v>
      </c>
      <c r="J844">
        <v>15.574016564706092</v>
      </c>
      <c r="K844">
        <v>15.581071322240042</v>
      </c>
      <c r="L844">
        <v>15.281953110260764</v>
      </c>
      <c r="M844">
        <v>16.242269408788282</v>
      </c>
      <c r="N844">
        <v>16.231128851183083</v>
      </c>
      <c r="O844">
        <v>15.638786820096328</v>
      </c>
      <c r="P844">
        <v>15.931568569324174</v>
      </c>
      <c r="Q844">
        <v>15.214577674919234</v>
      </c>
      <c r="R844">
        <v>15.225590667641651</v>
      </c>
      <c r="S844">
        <v>15.624140044131927</v>
      </c>
      <c r="T844">
        <v>15.408006613267162</v>
      </c>
    </row>
    <row r="845" spans="1:20" x14ac:dyDescent="0.25">
      <c r="A845" s="6" t="s">
        <v>863</v>
      </c>
      <c r="B845">
        <v>17.187407473753765</v>
      </c>
      <c r="C845">
        <v>17.990462258377743</v>
      </c>
      <c r="D845">
        <v>0</v>
      </c>
      <c r="E845">
        <v>0</v>
      </c>
      <c r="F845">
        <v>16.395515669083963</v>
      </c>
      <c r="G845">
        <v>16.242269408788282</v>
      </c>
      <c r="H845">
        <v>16.525576209648339</v>
      </c>
      <c r="I845">
        <v>16.358678900903591</v>
      </c>
      <c r="J845">
        <v>16.971798414112708</v>
      </c>
      <c r="K845">
        <v>16.134555591488027</v>
      </c>
      <c r="L845">
        <v>16.679092355188956</v>
      </c>
      <c r="M845">
        <v>16.720556375838662</v>
      </c>
      <c r="N845">
        <v>16.949715916034435</v>
      </c>
      <c r="O845">
        <v>0</v>
      </c>
      <c r="P845">
        <v>15.668534163490381</v>
      </c>
      <c r="Q845">
        <v>15.532397475504352</v>
      </c>
      <c r="R845">
        <v>15.940613708927183</v>
      </c>
      <c r="S845">
        <v>14.570502080529854</v>
      </c>
      <c r="T845">
        <v>15.352629856230788</v>
      </c>
    </row>
    <row r="846" spans="1:20" x14ac:dyDescent="0.25">
      <c r="A846" s="5" t="s">
        <v>864</v>
      </c>
      <c r="B846">
        <v>0</v>
      </c>
      <c r="C846">
        <v>16.103749544706854</v>
      </c>
      <c r="D846">
        <v>16.231128851183083</v>
      </c>
      <c r="E846">
        <v>16.198214228710349</v>
      </c>
      <c r="F846">
        <v>16.635845544784207</v>
      </c>
      <c r="G846">
        <v>17.583902913023206</v>
      </c>
      <c r="H846">
        <v>16.844105728073835</v>
      </c>
      <c r="I846">
        <v>17.653583822024409</v>
      </c>
      <c r="J846">
        <v>17.217872754480815</v>
      </c>
      <c r="K846">
        <v>16.34660606860302</v>
      </c>
      <c r="L846">
        <v>16.383131944628133</v>
      </c>
      <c r="M846">
        <v>0</v>
      </c>
      <c r="N846">
        <v>0</v>
      </c>
      <c r="O846">
        <v>17.011275269113167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25">
      <c r="A847" s="6" t="s">
        <v>865</v>
      </c>
      <c r="B847">
        <v>16.322759326648651</v>
      </c>
      <c r="C847">
        <v>15.352629856230788</v>
      </c>
      <c r="D847">
        <v>14.963477817278919</v>
      </c>
      <c r="E847">
        <v>15.525576209648337</v>
      </c>
      <c r="F847">
        <v>17.089595450396995</v>
      </c>
      <c r="G847">
        <v>15.818868436574812</v>
      </c>
      <c r="H847">
        <v>16.144972207433366</v>
      </c>
      <c r="I847">
        <v>15.078570981710859</v>
      </c>
      <c r="J847">
        <v>15.818868436574812</v>
      </c>
      <c r="K847">
        <v>0</v>
      </c>
      <c r="L847">
        <v>15.566996137028319</v>
      </c>
      <c r="M847">
        <v>0</v>
      </c>
      <c r="N847">
        <v>16.209102544853081</v>
      </c>
      <c r="O847">
        <v>15.119070343990609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25">
      <c r="A848" s="5" t="s">
        <v>866</v>
      </c>
      <c r="B848">
        <v>12.382554057562169</v>
      </c>
      <c r="C848">
        <v>12.309062775146698</v>
      </c>
      <c r="D848">
        <v>12.201730333372938</v>
      </c>
      <c r="E848">
        <v>11.885858045033206</v>
      </c>
      <c r="F848">
        <v>12.57687840062302</v>
      </c>
      <c r="G848">
        <v>12.518346852097675</v>
      </c>
      <c r="H848">
        <v>12.550423657883014</v>
      </c>
      <c r="I848">
        <v>12.091753812715943</v>
      </c>
      <c r="J848">
        <v>12.17674786014393</v>
      </c>
      <c r="K848">
        <v>12.417817290473797</v>
      </c>
      <c r="L848">
        <v>12.148701371577198</v>
      </c>
      <c r="M848">
        <v>12.590659198012645</v>
      </c>
      <c r="N848">
        <v>12.751341126565436</v>
      </c>
      <c r="O848">
        <v>12.600974317476398</v>
      </c>
      <c r="P848">
        <v>12.865253302581927</v>
      </c>
      <c r="Q848">
        <v>13.188929027135273</v>
      </c>
      <c r="R848">
        <v>12.595829865936325</v>
      </c>
      <c r="S848">
        <v>12.62932264212613</v>
      </c>
      <c r="T848">
        <v>13.219770838628747</v>
      </c>
    </row>
    <row r="849" spans="1:20" x14ac:dyDescent="0.25">
      <c r="A849" s="6" t="s">
        <v>867</v>
      </c>
      <c r="B849">
        <v>15.6989078125339</v>
      </c>
      <c r="C849">
        <v>16.253496664211536</v>
      </c>
      <c r="D849">
        <v>15.986710123516636</v>
      </c>
      <c r="E849">
        <v>15.777763233245141</v>
      </c>
      <c r="F849">
        <v>15.7066022043239</v>
      </c>
      <c r="G849">
        <v>0</v>
      </c>
      <c r="H849">
        <v>15.683641055880589</v>
      </c>
      <c r="I849">
        <v>15.505303814622076</v>
      </c>
      <c r="J849">
        <v>0</v>
      </c>
      <c r="K849">
        <v>15.6989078125339</v>
      </c>
      <c r="L849">
        <v>17.095644495069799</v>
      </c>
      <c r="M849">
        <v>15.401747622795478</v>
      </c>
      <c r="N849">
        <v>16.073587574196605</v>
      </c>
      <c r="O849">
        <v>16.005569150767954</v>
      </c>
      <c r="P849">
        <v>14.986710123516636</v>
      </c>
      <c r="Q849">
        <v>14.661039626943458</v>
      </c>
      <c r="R849">
        <v>15.005569150767952</v>
      </c>
      <c r="S849">
        <v>14.823044112546006</v>
      </c>
      <c r="T849">
        <v>14.376979717646538</v>
      </c>
    </row>
    <row r="850" spans="1:20" x14ac:dyDescent="0.25">
      <c r="A850" s="5" t="s">
        <v>868</v>
      </c>
      <c r="B850">
        <v>15.029494990013431</v>
      </c>
      <c r="C850">
        <v>14.95428864582426</v>
      </c>
      <c r="D850">
        <v>15.253496664211537</v>
      </c>
      <c r="E850">
        <v>14.62050146706858</v>
      </c>
      <c r="F850">
        <v>14.546137532130656</v>
      </c>
      <c r="G850">
        <v>14.522177633186471</v>
      </c>
      <c r="H850">
        <v>0</v>
      </c>
      <c r="I850">
        <v>0</v>
      </c>
      <c r="J850">
        <v>0</v>
      </c>
      <c r="K850">
        <v>15.192800732523983</v>
      </c>
      <c r="L850">
        <v>0</v>
      </c>
      <c r="M850">
        <v>15.287712379549449</v>
      </c>
      <c r="N850">
        <v>15.802285552379209</v>
      </c>
      <c r="O850">
        <v>15.264811977439372</v>
      </c>
      <c r="P850">
        <v>0</v>
      </c>
      <c r="Q850">
        <v>15.171347622857667</v>
      </c>
      <c r="R850">
        <v>15.383131944628133</v>
      </c>
      <c r="S850">
        <v>0</v>
      </c>
      <c r="T850">
        <v>14.722115203695225</v>
      </c>
    </row>
    <row r="851" spans="1:20" x14ac:dyDescent="0.25">
      <c r="A851" s="6" t="s">
        <v>869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15.63144484475516</v>
      </c>
      <c r="R851">
        <v>16.322759326648651</v>
      </c>
      <c r="S851">
        <v>15.777763233245141</v>
      </c>
      <c r="T851">
        <v>15.624140044131927</v>
      </c>
    </row>
    <row r="852" spans="1:20" x14ac:dyDescent="0.25">
      <c r="A852" s="5" t="s">
        <v>870</v>
      </c>
      <c r="B852">
        <v>15.370853614849695</v>
      </c>
      <c r="C852">
        <v>0</v>
      </c>
      <c r="D852">
        <v>0</v>
      </c>
      <c r="E852">
        <v>0</v>
      </c>
      <c r="F852">
        <v>16.459080797861432</v>
      </c>
      <c r="G852">
        <v>16.083571662769224</v>
      </c>
      <c r="H852">
        <v>15.887174449965721</v>
      </c>
      <c r="I852">
        <v>17.193881807914313</v>
      </c>
      <c r="J852">
        <v>15.068621321303253</v>
      </c>
      <c r="K852">
        <v>15.553056946070447</v>
      </c>
      <c r="L852">
        <v>17.005569150767954</v>
      </c>
      <c r="M852">
        <v>14.657306908067127</v>
      </c>
      <c r="N852">
        <v>15.005569150767952</v>
      </c>
      <c r="O852">
        <v>16.868065627018016</v>
      </c>
      <c r="P852">
        <v>14.465594104820106</v>
      </c>
      <c r="Q852">
        <v>14.242269408788282</v>
      </c>
      <c r="R852">
        <v>15.073587574196603</v>
      </c>
      <c r="S852">
        <v>15.247872115017659</v>
      </c>
      <c r="T852">
        <v>14.206372752097511</v>
      </c>
    </row>
    <row r="853" spans="1:20" x14ac:dyDescent="0.25">
      <c r="A853" s="6" t="s">
        <v>871</v>
      </c>
      <c r="B853">
        <v>16.649128764317787</v>
      </c>
      <c r="C853">
        <v>0</v>
      </c>
      <c r="D853">
        <v>0</v>
      </c>
      <c r="E853">
        <v>0</v>
      </c>
      <c r="F853">
        <v>15.869792371737484</v>
      </c>
      <c r="G853">
        <v>14.852617227929352</v>
      </c>
      <c r="H853">
        <v>15.931568569324174</v>
      </c>
      <c r="I853">
        <v>15.119070343990609</v>
      </c>
      <c r="J853">
        <v>15.150208855799516</v>
      </c>
      <c r="K853">
        <v>16.901232490953216</v>
      </c>
      <c r="L853">
        <v>14.442925029470389</v>
      </c>
      <c r="M853">
        <v>14.844105728073835</v>
      </c>
      <c r="N853">
        <v>15.498609162048069</v>
      </c>
      <c r="O853">
        <v>15.609640474436812</v>
      </c>
      <c r="P853">
        <v>14.182034301654912</v>
      </c>
      <c r="Q853">
        <v>12.738289633802786</v>
      </c>
      <c r="R853">
        <v>12.294907700616784</v>
      </c>
      <c r="S853">
        <v>12.71968027477817</v>
      </c>
      <c r="T853">
        <v>12.700520234312679</v>
      </c>
    </row>
    <row r="854" spans="1:20" x14ac:dyDescent="0.25">
      <c r="A854" s="5" t="s">
        <v>872</v>
      </c>
      <c r="B854">
        <v>0</v>
      </c>
      <c r="C854">
        <v>0</v>
      </c>
      <c r="D854">
        <v>0</v>
      </c>
      <c r="E854">
        <v>0</v>
      </c>
      <c r="F854">
        <v>15.714337853103507</v>
      </c>
      <c r="G854">
        <v>0</v>
      </c>
      <c r="H854">
        <v>0</v>
      </c>
      <c r="I854">
        <v>0</v>
      </c>
      <c r="J854">
        <v>17.022755661584625</v>
      </c>
      <c r="K854">
        <v>16.370853614849693</v>
      </c>
      <c r="L854">
        <v>0</v>
      </c>
      <c r="M854">
        <v>0</v>
      </c>
      <c r="N854">
        <v>16.712787401540105</v>
      </c>
      <c r="O854">
        <v>0</v>
      </c>
      <c r="P854">
        <v>15.098678555159433</v>
      </c>
      <c r="Q854">
        <v>14.505303814622076</v>
      </c>
      <c r="R854">
        <v>14.103749544706854</v>
      </c>
      <c r="S854">
        <v>14.124213647266572</v>
      </c>
      <c r="T854">
        <v>14.417446309153467</v>
      </c>
    </row>
    <row r="855" spans="1:20" x14ac:dyDescent="0.25">
      <c r="A855" s="6" t="s">
        <v>873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16.103749544706854</v>
      </c>
      <c r="L855">
        <v>0</v>
      </c>
      <c r="M855">
        <v>0</v>
      </c>
      <c r="N855">
        <v>0</v>
      </c>
      <c r="O855">
        <v>0</v>
      </c>
      <c r="P855">
        <v>15.293494732143458</v>
      </c>
      <c r="Q855">
        <v>15.426948176920622</v>
      </c>
      <c r="R855">
        <v>16.322759326648651</v>
      </c>
      <c r="S855">
        <v>15.214577674919234</v>
      </c>
      <c r="T855">
        <v>15.61687204366789</v>
      </c>
    </row>
    <row r="856" spans="1:20" x14ac:dyDescent="0.25">
      <c r="A856" s="5" t="s">
        <v>874</v>
      </c>
      <c r="B856">
        <v>15.113945311812744</v>
      </c>
      <c r="C856">
        <v>15.722115203695225</v>
      </c>
      <c r="D856">
        <v>15.869792371737484</v>
      </c>
      <c r="E856">
        <v>15.818868436574812</v>
      </c>
      <c r="F856">
        <v>15.12937535238235</v>
      </c>
      <c r="G856">
        <v>15.446141742153934</v>
      </c>
      <c r="H856">
        <v>14.426948176920622</v>
      </c>
      <c r="I856">
        <v>15.015091924886457</v>
      </c>
      <c r="J856">
        <v>14.411146320797728</v>
      </c>
      <c r="K856">
        <v>15.108838421379655</v>
      </c>
      <c r="L856">
        <v>15.044043298582586</v>
      </c>
      <c r="M856">
        <v>15.010322680738586</v>
      </c>
      <c r="N856">
        <v>14.729934708154525</v>
      </c>
      <c r="O856">
        <v>15.150208855799516</v>
      </c>
      <c r="P856">
        <v>14.15809964141898</v>
      </c>
      <c r="Q856">
        <v>13.477063631766804</v>
      </c>
      <c r="R856">
        <v>12.932786357091418</v>
      </c>
      <c r="S856">
        <v>13.852617227929352</v>
      </c>
      <c r="T856">
        <v>13.604240486694223</v>
      </c>
    </row>
    <row r="857" spans="1:20" x14ac:dyDescent="0.25">
      <c r="A857" s="6" t="s">
        <v>875</v>
      </c>
      <c r="B857">
        <v>14.549593090766873</v>
      </c>
      <c r="C857">
        <v>14.92257978609692</v>
      </c>
      <c r="D857">
        <v>15.75365077712833</v>
      </c>
      <c r="E857">
        <v>15.638786820096328</v>
      </c>
      <c r="F857">
        <v>13.777763233245141</v>
      </c>
      <c r="G857">
        <v>14.501952605122439</v>
      </c>
      <c r="H857">
        <v>12.926280875416309</v>
      </c>
      <c r="I857">
        <v>14.270503089517227</v>
      </c>
      <c r="J857">
        <v>13.679849476718214</v>
      </c>
      <c r="K857">
        <v>14.000831231761289</v>
      </c>
      <c r="L857">
        <v>14.528982811091586</v>
      </c>
      <c r="M857">
        <v>13.611444971283561</v>
      </c>
      <c r="N857">
        <v>13.984369985062118</v>
      </c>
      <c r="O857">
        <v>13.863327708011353</v>
      </c>
      <c r="P857">
        <v>12.973862870231709</v>
      </c>
      <c r="Q857">
        <v>12.459259521154767</v>
      </c>
      <c r="R857">
        <v>11.888688981502257</v>
      </c>
      <c r="S857">
        <v>12.113536094666079</v>
      </c>
      <c r="T857">
        <v>12.384427252261638</v>
      </c>
    </row>
    <row r="858" spans="1:20" x14ac:dyDescent="0.25">
      <c r="A858" s="5" t="s">
        <v>876</v>
      </c>
      <c r="B858">
        <v>16.383131944628133</v>
      </c>
      <c r="C858">
        <v>15.27621674071162</v>
      </c>
      <c r="D858">
        <v>16.103749544706854</v>
      </c>
      <c r="E858">
        <v>16.05382431937517</v>
      </c>
      <c r="F858">
        <v>15.134555591488031</v>
      </c>
      <c r="G858">
        <v>14.749670926215785</v>
      </c>
      <c r="H858">
        <v>14.726019658151142</v>
      </c>
      <c r="I858">
        <v>14.331655727137047</v>
      </c>
      <c r="J858">
        <v>15.491945431767057</v>
      </c>
      <c r="K858">
        <v>14.991401818841357</v>
      </c>
      <c r="L858">
        <v>14.810553168362809</v>
      </c>
      <c r="M858">
        <v>15.986710123516636</v>
      </c>
      <c r="N858">
        <v>15.922579786096922</v>
      </c>
      <c r="O858">
        <v>15.4397154729945</v>
      </c>
      <c r="P858">
        <v>14.242269408788282</v>
      </c>
      <c r="Q858">
        <v>13.940613708927183</v>
      </c>
      <c r="R858">
        <v>13.895944659593452</v>
      </c>
      <c r="S858">
        <v>13.874118297140276</v>
      </c>
      <c r="T858">
        <v>14.308052827833627</v>
      </c>
    </row>
    <row r="859" spans="1:20" x14ac:dyDescent="0.25">
      <c r="A859" s="6" t="s">
        <v>877</v>
      </c>
      <c r="B859">
        <v>12.840852726386737</v>
      </c>
      <c r="C859">
        <v>12.890128439251201</v>
      </c>
      <c r="D859">
        <v>12.873630982479032</v>
      </c>
      <c r="E859">
        <v>12.902590623054337</v>
      </c>
      <c r="F859">
        <v>12.955308052392304</v>
      </c>
      <c r="G859">
        <v>12.820819060831413</v>
      </c>
      <c r="H859">
        <v>12.494882009135566</v>
      </c>
      <c r="I859">
        <v>13.130319359532919</v>
      </c>
      <c r="J859">
        <v>13.068993197846332</v>
      </c>
      <c r="K859">
        <v>12.661226516643941</v>
      </c>
      <c r="L859">
        <v>12.761783836718459</v>
      </c>
      <c r="M859">
        <v>12.7246909576918</v>
      </c>
      <c r="N859">
        <v>12.997016684873081</v>
      </c>
      <c r="O859">
        <v>13.160686678287341</v>
      </c>
      <c r="P859">
        <v>12.454725176571435</v>
      </c>
      <c r="Q859">
        <v>12.412270426325126</v>
      </c>
      <c r="R859">
        <v>12.014781444464585</v>
      </c>
      <c r="S859">
        <v>12.540084371749453</v>
      </c>
      <c r="T859">
        <v>12.050797346801096</v>
      </c>
    </row>
    <row r="860" spans="1:20" x14ac:dyDescent="0.25">
      <c r="A860" s="5" t="s">
        <v>878</v>
      </c>
      <c r="B860">
        <v>0</v>
      </c>
      <c r="C860">
        <v>0</v>
      </c>
      <c r="D860">
        <v>0</v>
      </c>
      <c r="E860">
        <v>0</v>
      </c>
      <c r="F860">
        <v>15.546137532130656</v>
      </c>
      <c r="G860">
        <v>15.852617227929352</v>
      </c>
      <c r="H860">
        <v>16.718999230473369</v>
      </c>
      <c r="I860">
        <v>15.401747622795478</v>
      </c>
      <c r="J860">
        <v>16.083571662769224</v>
      </c>
      <c r="K860">
        <v>17.310982158872296</v>
      </c>
      <c r="L860">
        <v>17.380667904676653</v>
      </c>
      <c r="M860">
        <v>17.938800138555251</v>
      </c>
      <c r="N860">
        <v>16.553056946070445</v>
      </c>
      <c r="O860">
        <v>16.694310798423803</v>
      </c>
      <c r="P860">
        <v>14.695075950942874</v>
      </c>
      <c r="Q860">
        <v>15.352629856230788</v>
      </c>
      <c r="R860">
        <v>14.364753415313277</v>
      </c>
      <c r="S860">
        <v>15.281953110260764</v>
      </c>
      <c r="T860">
        <v>15.827231909509438</v>
      </c>
    </row>
    <row r="861" spans="1:20" x14ac:dyDescent="0.25">
      <c r="A861" s="6" t="s">
        <v>879</v>
      </c>
      <c r="B861">
        <v>12.054922706834656</v>
      </c>
      <c r="C861">
        <v>12.901905876336832</v>
      </c>
      <c r="D861">
        <v>13.169884375721969</v>
      </c>
      <c r="E861">
        <v>12.773403244072329</v>
      </c>
      <c r="F861">
        <v>11.62116482319162</v>
      </c>
      <c r="G861">
        <v>12.273499934737346</v>
      </c>
      <c r="H861">
        <v>11.468743234649647</v>
      </c>
      <c r="I861">
        <v>12.03875863976454</v>
      </c>
      <c r="J861">
        <v>11.536904383088363</v>
      </c>
      <c r="K861">
        <v>11.696981029923068</v>
      </c>
      <c r="L861">
        <v>11.91061084726153</v>
      </c>
      <c r="M861">
        <v>11.238165248744256</v>
      </c>
      <c r="N861">
        <v>11.768603298081725</v>
      </c>
      <c r="O861">
        <v>12.034951590473495</v>
      </c>
      <c r="P861">
        <v>10.816506706716039</v>
      </c>
      <c r="Q861">
        <v>10.035492028040615</v>
      </c>
      <c r="R861">
        <v>10.006183257342794</v>
      </c>
      <c r="S861">
        <v>10.166779894478843</v>
      </c>
      <c r="T861">
        <v>10.284182099528582</v>
      </c>
    </row>
    <row r="862" spans="1:20" x14ac:dyDescent="0.25">
      <c r="A862" s="5" t="s">
        <v>880</v>
      </c>
      <c r="B862">
        <v>14.355651208206025</v>
      </c>
      <c r="C862">
        <v>13.733860411368322</v>
      </c>
      <c r="D862">
        <v>14.203648114760977</v>
      </c>
      <c r="E862">
        <v>14.096149728848694</v>
      </c>
      <c r="F862">
        <v>13.270631398141392</v>
      </c>
      <c r="G862">
        <v>13.054032887305148</v>
      </c>
      <c r="H862">
        <v>13.358678900903593</v>
      </c>
      <c r="I862">
        <v>12.952869548875976</v>
      </c>
      <c r="J862">
        <v>13.423773929125478</v>
      </c>
      <c r="K862">
        <v>13.318331614607843</v>
      </c>
      <c r="L862">
        <v>13.319806009259304</v>
      </c>
      <c r="M862">
        <v>13.568748043789912</v>
      </c>
      <c r="N862">
        <v>13.702749878828293</v>
      </c>
      <c r="O862">
        <v>13.422189420409488</v>
      </c>
      <c r="P862">
        <v>12.532859075007073</v>
      </c>
      <c r="Q862">
        <v>12.343468615285214</v>
      </c>
      <c r="R862">
        <v>11.937905528200561</v>
      </c>
      <c r="S862">
        <v>11.929237345443138</v>
      </c>
      <c r="T862">
        <v>12.776497378078474</v>
      </c>
    </row>
    <row r="863" spans="1:20" x14ac:dyDescent="0.25">
      <c r="A863" s="6" t="s">
        <v>881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16.498609162048069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15.512029677810389</v>
      </c>
      <c r="Q863">
        <v>15.904768509980459</v>
      </c>
      <c r="R863">
        <v>0</v>
      </c>
      <c r="S863">
        <v>14.92257978609692</v>
      </c>
      <c r="T863">
        <v>16.723675717682841</v>
      </c>
    </row>
    <row r="864" spans="1:20" x14ac:dyDescent="0.25">
      <c r="A864" s="5" t="s">
        <v>882</v>
      </c>
      <c r="B864">
        <v>15.794065045574239</v>
      </c>
      <c r="C864">
        <v>15.560009706712211</v>
      </c>
      <c r="D864">
        <v>17.07159902110315</v>
      </c>
      <c r="E864">
        <v>0</v>
      </c>
      <c r="F864">
        <v>15.588160747026361</v>
      </c>
      <c r="G864">
        <v>15.904768509980459</v>
      </c>
      <c r="H864">
        <v>15.06367210533152</v>
      </c>
      <c r="I864">
        <v>15.446141742153934</v>
      </c>
      <c r="J864">
        <v>14.773716400182437</v>
      </c>
      <c r="K864">
        <v>15.383131944628133</v>
      </c>
      <c r="L864">
        <v>15.414292876114592</v>
      </c>
      <c r="M864">
        <v>16.005569150767954</v>
      </c>
      <c r="N864">
        <v>15.595285181459742</v>
      </c>
      <c r="O864">
        <v>16.024677973715658</v>
      </c>
      <c r="P864">
        <v>14.895944659593452</v>
      </c>
      <c r="Q864">
        <v>13.913646661326911</v>
      </c>
      <c r="R864">
        <v>13.23386424006773</v>
      </c>
      <c r="S864">
        <v>14.126792191368347</v>
      </c>
      <c r="T864">
        <v>14.003198246305205</v>
      </c>
    </row>
    <row r="865" spans="1:20" x14ac:dyDescent="0.25">
      <c r="A865" s="6" t="s">
        <v>883</v>
      </c>
      <c r="B865">
        <v>15.895944659593452</v>
      </c>
      <c r="C865">
        <v>0</v>
      </c>
      <c r="D865">
        <v>0</v>
      </c>
      <c r="E865">
        <v>0</v>
      </c>
      <c r="F865">
        <v>16.144972207433366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16.322759326648651</v>
      </c>
      <c r="M865">
        <v>16.433317701796351</v>
      </c>
      <c r="N865">
        <v>0</v>
      </c>
      <c r="O865">
        <v>0</v>
      </c>
      <c r="P865">
        <v>14.737796825927495</v>
      </c>
      <c r="Q865">
        <v>14.702749878828294</v>
      </c>
      <c r="R865">
        <v>14.179355201459032</v>
      </c>
      <c r="S865">
        <v>15.015091924886457</v>
      </c>
      <c r="T865">
        <v>14.642471866904184</v>
      </c>
    </row>
    <row r="866" spans="1:20" x14ac:dyDescent="0.25">
      <c r="A866" s="5" t="s">
        <v>884</v>
      </c>
      <c r="B866">
        <v>14.261974818135842</v>
      </c>
      <c r="C866">
        <v>13.364753415313277</v>
      </c>
      <c r="D866">
        <v>13.498609162048069</v>
      </c>
      <c r="E866">
        <v>13.683641055880589</v>
      </c>
      <c r="F866">
        <v>13.775738397767649</v>
      </c>
      <c r="G866">
        <v>13.887174449965721</v>
      </c>
      <c r="H866">
        <v>12.959277996236901</v>
      </c>
      <c r="I866">
        <v>13.568748043789912</v>
      </c>
      <c r="J866">
        <v>14.245068042140955</v>
      </c>
      <c r="K866">
        <v>13.183228102678251</v>
      </c>
      <c r="L866">
        <v>13.438113368398</v>
      </c>
      <c r="M866">
        <v>13.366276048743151</v>
      </c>
      <c r="N866">
        <v>13.685540588796069</v>
      </c>
      <c r="O866">
        <v>13.895944659593452</v>
      </c>
      <c r="P866">
        <v>13.718221287590733</v>
      </c>
      <c r="Q866">
        <v>13.584611679945288</v>
      </c>
      <c r="R866">
        <v>13.23335009109976</v>
      </c>
      <c r="S866">
        <v>12.848908553067801</v>
      </c>
      <c r="T866">
        <v>13.241025760297658</v>
      </c>
    </row>
    <row r="867" spans="1:20" x14ac:dyDescent="0.25">
      <c r="A867" s="6" t="s">
        <v>885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17.168156994854169</v>
      </c>
      <c r="R867">
        <v>16.91899989582112</v>
      </c>
      <c r="S867">
        <v>17.717443763971328</v>
      </c>
      <c r="T867">
        <v>17.034328143749374</v>
      </c>
    </row>
    <row r="868" spans="1:20" x14ac:dyDescent="0.25">
      <c r="A868" s="5" t="s">
        <v>886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16.856035938156815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17.982967721830818</v>
      </c>
      <c r="R868">
        <v>16.982967721830818</v>
      </c>
      <c r="S868">
        <v>15.75365077712833</v>
      </c>
      <c r="T868">
        <v>17.881937801599573</v>
      </c>
    </row>
    <row r="869" spans="1:20" x14ac:dyDescent="0.25">
      <c r="A869" s="6" t="s">
        <v>887</v>
      </c>
      <c r="B869">
        <v>13.584611679945288</v>
      </c>
      <c r="C869">
        <v>13.757641637324365</v>
      </c>
      <c r="D869">
        <v>12.614083596494144</v>
      </c>
      <c r="E869">
        <v>14.015091924886457</v>
      </c>
      <c r="F869">
        <v>13.970408311187535</v>
      </c>
      <c r="G869">
        <v>13.158732772664171</v>
      </c>
      <c r="H869">
        <v>14.398628280951302</v>
      </c>
      <c r="I869">
        <v>13.927067177089235</v>
      </c>
      <c r="J869">
        <v>13.75365077712833</v>
      </c>
      <c r="K869">
        <v>13.53239747550435</v>
      </c>
      <c r="L869">
        <v>13.586385122136509</v>
      </c>
      <c r="M869">
        <v>13.244703912649898</v>
      </c>
      <c r="N869">
        <v>14.083571662769224</v>
      </c>
      <c r="O869">
        <v>14.192800732523983</v>
      </c>
      <c r="P869">
        <v>13.700827566697265</v>
      </c>
      <c r="Q869">
        <v>12.996155969186036</v>
      </c>
      <c r="R869">
        <v>12.43800128767648</v>
      </c>
      <c r="S869">
        <v>12.244633898282945</v>
      </c>
      <c r="T869">
        <v>12.432408324552965</v>
      </c>
    </row>
    <row r="870" spans="1:20" x14ac:dyDescent="0.25">
      <c r="A870" s="5" t="s">
        <v>888</v>
      </c>
      <c r="B870">
        <v>13.765656630388486</v>
      </c>
      <c r="C870">
        <v>14.0860785183798</v>
      </c>
      <c r="D870">
        <v>15.144972207433367</v>
      </c>
      <c r="E870">
        <v>14.773716400182437</v>
      </c>
      <c r="F870">
        <v>14.124213647266572</v>
      </c>
      <c r="G870">
        <v>13.302211949244565</v>
      </c>
      <c r="H870">
        <v>13.43331770179635</v>
      </c>
      <c r="I870">
        <v>13.032102881869681</v>
      </c>
      <c r="J870">
        <v>13.46722703656307</v>
      </c>
      <c r="K870">
        <v>13.73189622448781</v>
      </c>
      <c r="L870">
        <v>13.993753400520754</v>
      </c>
      <c r="M870">
        <v>13.419025614227316</v>
      </c>
      <c r="N870">
        <v>12.731847154062443</v>
      </c>
      <c r="O870">
        <v>13.757641637324365</v>
      </c>
      <c r="P870">
        <v>13.116928428811196</v>
      </c>
      <c r="Q870">
        <v>13.282643009871054</v>
      </c>
      <c r="R870">
        <v>13.017685851618747</v>
      </c>
      <c r="S870">
        <v>13.411146320797728</v>
      </c>
      <c r="T870">
        <v>13.109781834304641</v>
      </c>
    </row>
    <row r="871" spans="1:20" x14ac:dyDescent="0.25">
      <c r="A871" s="6" t="s">
        <v>889</v>
      </c>
      <c r="B871">
        <v>14.940613708927183</v>
      </c>
      <c r="C871">
        <v>13.010525053147008</v>
      </c>
      <c r="D871">
        <v>13.761643567881864</v>
      </c>
      <c r="E871">
        <v>13.945157634072132</v>
      </c>
      <c r="F871">
        <v>13.560009706712211</v>
      </c>
      <c r="G871">
        <v>12.966985106547311</v>
      </c>
      <c r="H871">
        <v>12.732112154189753</v>
      </c>
      <c r="I871">
        <v>0</v>
      </c>
      <c r="J871">
        <v>15.358678900903593</v>
      </c>
      <c r="K871">
        <v>14.364753415313277</v>
      </c>
      <c r="L871">
        <v>14.874118297140276</v>
      </c>
      <c r="M871">
        <v>11.679456670328227</v>
      </c>
      <c r="N871">
        <v>12.72396850206556</v>
      </c>
      <c r="O871">
        <v>12.126759931106475</v>
      </c>
      <c r="P871">
        <v>15.113945311812744</v>
      </c>
      <c r="Q871">
        <v>14.584611679945288</v>
      </c>
      <c r="R871">
        <v>13.936084050446667</v>
      </c>
      <c r="S871">
        <v>12.751589833643527</v>
      </c>
      <c r="T871">
        <v>12.009751429477554</v>
      </c>
    </row>
    <row r="872" spans="1:20" x14ac:dyDescent="0.25">
      <c r="A872" s="5" t="s">
        <v>890</v>
      </c>
      <c r="B872">
        <v>0</v>
      </c>
      <c r="C872">
        <v>0</v>
      </c>
      <c r="D872">
        <v>16.566996137028319</v>
      </c>
      <c r="E872">
        <v>17.322759326648651</v>
      </c>
      <c r="F872">
        <v>0</v>
      </c>
      <c r="G872">
        <v>15.818868436574812</v>
      </c>
      <c r="H872">
        <v>16.15546458125101</v>
      </c>
      <c r="I872">
        <v>0</v>
      </c>
      <c r="J872">
        <v>0</v>
      </c>
      <c r="K872">
        <v>0</v>
      </c>
      <c r="L872">
        <v>16.59528518145974</v>
      </c>
      <c r="M872">
        <v>0</v>
      </c>
      <c r="N872">
        <v>16.581071322240042</v>
      </c>
      <c r="O872">
        <v>0</v>
      </c>
      <c r="P872">
        <v>15.913646661326911</v>
      </c>
      <c r="Q872">
        <v>15.498609162048069</v>
      </c>
      <c r="R872">
        <v>15.968094445349289</v>
      </c>
      <c r="S872">
        <v>15.45908079786143</v>
      </c>
      <c r="T872">
        <v>15.000831231761289</v>
      </c>
    </row>
    <row r="873" spans="1:20" x14ac:dyDescent="0.25">
      <c r="A873" s="6" t="s">
        <v>891</v>
      </c>
      <c r="B873">
        <v>13.08940682582447</v>
      </c>
      <c r="C873">
        <v>12.824937585003553</v>
      </c>
      <c r="D873">
        <v>12.903938977591018</v>
      </c>
      <c r="E873">
        <v>12.697230120628543</v>
      </c>
      <c r="F873">
        <v>13.153991047120398</v>
      </c>
      <c r="G873">
        <v>13.339111532056094</v>
      </c>
      <c r="H873">
        <v>12.996745445067154</v>
      </c>
      <c r="I873">
        <v>12.838874844964737</v>
      </c>
      <c r="J873">
        <v>13.207805249241549</v>
      </c>
      <c r="K873">
        <v>12.905952802447411</v>
      </c>
      <c r="L873">
        <v>12.683963800079578</v>
      </c>
      <c r="M873">
        <v>12.918128642431039</v>
      </c>
      <c r="N873">
        <v>12.81695167657011</v>
      </c>
      <c r="O873">
        <v>13.053407273950345</v>
      </c>
      <c r="P873">
        <v>13.149513906504158</v>
      </c>
      <c r="Q873">
        <v>12.790841030342662</v>
      </c>
      <c r="R873">
        <v>13.018583455689882</v>
      </c>
      <c r="S873">
        <v>13.223422727213315</v>
      </c>
      <c r="T873">
        <v>13.056968303274596</v>
      </c>
    </row>
    <row r="874" spans="1:20" x14ac:dyDescent="0.25">
      <c r="A874" s="5" t="s">
        <v>892</v>
      </c>
      <c r="B874">
        <v>16.446141742153934</v>
      </c>
      <c r="C874">
        <v>16.187407473753765</v>
      </c>
      <c r="D874">
        <v>16.220073662674086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16.772908393977676</v>
      </c>
      <c r="L874">
        <v>15.977372258937301</v>
      </c>
      <c r="M874">
        <v>0</v>
      </c>
      <c r="N874">
        <v>16.982967721830818</v>
      </c>
      <c r="O874">
        <v>0</v>
      </c>
      <c r="P874">
        <v>16.65805267962206</v>
      </c>
      <c r="Q874">
        <v>0</v>
      </c>
      <c r="R874">
        <v>0</v>
      </c>
      <c r="S874">
        <v>0</v>
      </c>
      <c r="T874">
        <v>0</v>
      </c>
    </row>
    <row r="875" spans="1:20" x14ac:dyDescent="0.25">
      <c r="A875" s="6" t="s">
        <v>893</v>
      </c>
      <c r="B875">
        <v>13.473777309068133</v>
      </c>
      <c r="C875">
        <v>13.305129432626858</v>
      </c>
      <c r="D875">
        <v>13.419025614227316</v>
      </c>
      <c r="E875">
        <v>14.134555591488031</v>
      </c>
      <c r="F875">
        <v>14.305129432626858</v>
      </c>
      <c r="G875">
        <v>13.741744010444156</v>
      </c>
      <c r="H875">
        <v>14.081069155566054</v>
      </c>
      <c r="I875">
        <v>13.893747103889208</v>
      </c>
      <c r="J875">
        <v>13.796115785139001</v>
      </c>
      <c r="K875">
        <v>13.310982158872298</v>
      </c>
      <c r="L875">
        <v>13.116966878292811</v>
      </c>
      <c r="M875">
        <v>14.209102544853085</v>
      </c>
      <c r="N875">
        <v>14.279082074406009</v>
      </c>
      <c r="O875">
        <v>14.844105728073835</v>
      </c>
      <c r="P875">
        <v>13.749670926215785</v>
      </c>
      <c r="Q875">
        <v>14.785891114128539</v>
      </c>
      <c r="R875">
        <v>14.895944659593452</v>
      </c>
      <c r="S875">
        <v>0</v>
      </c>
      <c r="T875">
        <v>15.913646661326911</v>
      </c>
    </row>
    <row r="876" spans="1:20" x14ac:dyDescent="0.25">
      <c r="A876" s="5" t="s">
        <v>894</v>
      </c>
      <c r="B876">
        <v>12.099950965682563</v>
      </c>
      <c r="C876">
        <v>12.041955096054355</v>
      </c>
      <c r="D876">
        <v>12.292835820142917</v>
      </c>
      <c r="E876">
        <v>12.41083989851248</v>
      </c>
      <c r="F876">
        <v>12.606982954604126</v>
      </c>
      <c r="G876">
        <v>12.569949328844878</v>
      </c>
      <c r="H876">
        <v>12.540754737135801</v>
      </c>
      <c r="I876">
        <v>12.715142806712882</v>
      </c>
      <c r="J876">
        <v>12.385391777956087</v>
      </c>
      <c r="K876">
        <v>12.151356910800839</v>
      </c>
      <c r="L876">
        <v>11.912767508663123</v>
      </c>
      <c r="M876">
        <v>13.09344878464645</v>
      </c>
      <c r="N876">
        <v>12.818076422634554</v>
      </c>
      <c r="O876">
        <v>13.325718702129196</v>
      </c>
      <c r="P876">
        <v>13.050209845524956</v>
      </c>
      <c r="Q876">
        <v>13.079919458298189</v>
      </c>
      <c r="R876">
        <v>13.414292876114592</v>
      </c>
      <c r="S876">
        <v>0</v>
      </c>
      <c r="T876">
        <v>13.685540588796069</v>
      </c>
    </row>
    <row r="877" spans="1:20" x14ac:dyDescent="0.25">
      <c r="A877" s="6" t="s">
        <v>895</v>
      </c>
      <c r="B877">
        <v>16.166033822961197</v>
      </c>
      <c r="C877">
        <v>0</v>
      </c>
      <c r="D877">
        <v>17.222277933600818</v>
      </c>
      <c r="E877">
        <v>17.055788506255688</v>
      </c>
      <c r="F877">
        <v>17.881937801599573</v>
      </c>
      <c r="G877">
        <v>0</v>
      </c>
      <c r="H877">
        <v>0</v>
      </c>
      <c r="I877">
        <v>16.609640474436812</v>
      </c>
      <c r="J877">
        <v>0</v>
      </c>
      <c r="K877">
        <v>17.3880726858984</v>
      </c>
      <c r="L877">
        <v>17.531030639740447</v>
      </c>
      <c r="M877">
        <v>0</v>
      </c>
      <c r="N877">
        <v>0</v>
      </c>
      <c r="O877">
        <v>0</v>
      </c>
      <c r="P877">
        <v>0</v>
      </c>
      <c r="Q877">
        <v>18.446141742153934</v>
      </c>
      <c r="R877">
        <v>0</v>
      </c>
      <c r="S877">
        <v>0</v>
      </c>
      <c r="T877">
        <v>0</v>
      </c>
    </row>
    <row r="878" spans="1:20" x14ac:dyDescent="0.25">
      <c r="A878" s="5" t="s">
        <v>896</v>
      </c>
      <c r="B878">
        <v>0</v>
      </c>
      <c r="C878">
        <v>0</v>
      </c>
      <c r="D878">
        <v>0</v>
      </c>
      <c r="E878">
        <v>0</v>
      </c>
      <c r="F878">
        <v>15.986710123516636</v>
      </c>
      <c r="G878">
        <v>16.472136950686878</v>
      </c>
      <c r="H878">
        <v>0</v>
      </c>
      <c r="I878">
        <v>15.203648114760977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15.253496664211537</v>
      </c>
      <c r="R878">
        <v>15.253496664211537</v>
      </c>
      <c r="S878">
        <v>15.000831231761289</v>
      </c>
      <c r="T878">
        <v>15.093625327433148</v>
      </c>
    </row>
    <row r="879" spans="1:20" x14ac:dyDescent="0.25">
      <c r="A879" s="6" t="s">
        <v>897</v>
      </c>
      <c r="B879">
        <v>13.751659479309239</v>
      </c>
      <c r="C879">
        <v>13.508662826711991</v>
      </c>
      <c r="D879">
        <v>13.67229608228658</v>
      </c>
      <c r="E879">
        <v>13.46722703656307</v>
      </c>
      <c r="F879">
        <v>12.699579435948166</v>
      </c>
      <c r="G879">
        <v>13.283131888446421</v>
      </c>
      <c r="H879">
        <v>13.495273449484813</v>
      </c>
      <c r="I879">
        <v>12.864887349407057</v>
      </c>
      <c r="J879">
        <v>13.128367369349833</v>
      </c>
      <c r="K879">
        <v>12.694741146781167</v>
      </c>
      <c r="L879">
        <v>13.436513040956156</v>
      </c>
      <c r="M879">
        <v>13.613251727989191</v>
      </c>
      <c r="N879">
        <v>13.073960733238444</v>
      </c>
      <c r="O879">
        <v>13.40800661326716</v>
      </c>
      <c r="P879">
        <v>13.349614818475358</v>
      </c>
      <c r="Q879">
        <v>12.719038138631271</v>
      </c>
      <c r="R879">
        <v>13.593500771781558</v>
      </c>
      <c r="S879">
        <v>12.726234710024643</v>
      </c>
      <c r="T879">
        <v>12.76531508564365</v>
      </c>
    </row>
    <row r="880" spans="1:20" x14ac:dyDescent="0.25">
      <c r="A880" s="5" t="s">
        <v>898</v>
      </c>
      <c r="B880">
        <v>14.101211821904954</v>
      </c>
      <c r="C880">
        <v>13.015115810763675</v>
      </c>
      <c r="D880">
        <v>12.964296191104163</v>
      </c>
      <c r="E880">
        <v>13.082545109733896</v>
      </c>
      <c r="F880">
        <v>13.574016564706092</v>
      </c>
      <c r="G880">
        <v>13.977372258937299</v>
      </c>
      <c r="H880">
        <v>14.328684160605755</v>
      </c>
      <c r="I880">
        <v>13.767667355509634</v>
      </c>
      <c r="J880">
        <v>14.041608369665534</v>
      </c>
      <c r="K880">
        <v>13.318331614607843</v>
      </c>
      <c r="L880">
        <v>13.328684160605755</v>
      </c>
      <c r="M880">
        <v>14.789972290940359</v>
      </c>
      <c r="N880">
        <v>14.781821449819493</v>
      </c>
      <c r="O880">
        <v>14.367800290872141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25">
      <c r="A881" s="6" t="s">
        <v>899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14.733860411368322</v>
      </c>
      <c r="Q881">
        <v>14.515404404591045</v>
      </c>
      <c r="R881">
        <v>0</v>
      </c>
      <c r="S881">
        <v>15.401747622795478</v>
      </c>
      <c r="T881">
        <v>15.029494990013431</v>
      </c>
    </row>
    <row r="882" spans="1:20" x14ac:dyDescent="0.25">
      <c r="A882" s="5" t="s">
        <v>900</v>
      </c>
      <c r="B882">
        <v>0</v>
      </c>
      <c r="C882">
        <v>0</v>
      </c>
      <c r="D882">
        <v>16.553056946070445</v>
      </c>
      <c r="E882">
        <v>17.075578872015694</v>
      </c>
      <c r="F882">
        <v>16.220073662674086</v>
      </c>
      <c r="G882">
        <v>0</v>
      </c>
      <c r="H882">
        <v>0</v>
      </c>
      <c r="I882">
        <v>0</v>
      </c>
      <c r="J882">
        <v>15.977372258937301</v>
      </c>
      <c r="K882">
        <v>16.962556261807858</v>
      </c>
      <c r="L882">
        <v>16.792426550178487</v>
      </c>
      <c r="M882">
        <v>16.717443763971328</v>
      </c>
      <c r="N882">
        <v>15.574016564706092</v>
      </c>
      <c r="O882">
        <v>16.198214228710349</v>
      </c>
      <c r="P882">
        <v>15.895944659593452</v>
      </c>
      <c r="Q882">
        <v>16.187407473753765</v>
      </c>
      <c r="R882">
        <v>16.685160482077791</v>
      </c>
      <c r="S882">
        <v>16.692781709737059</v>
      </c>
      <c r="T882">
        <v>16.024677973715658</v>
      </c>
    </row>
    <row r="883" spans="1:20" x14ac:dyDescent="0.25">
      <c r="A883" s="6" t="s">
        <v>901</v>
      </c>
      <c r="B883">
        <v>13.518787043985698</v>
      </c>
      <c r="C883">
        <v>12.121851880239776</v>
      </c>
      <c r="D883">
        <v>11.990292028527884</v>
      </c>
      <c r="E883">
        <v>11.720045252232802</v>
      </c>
      <c r="F883">
        <v>13.635111161952929</v>
      </c>
      <c r="G883">
        <v>12.924159999032593</v>
      </c>
      <c r="H883">
        <v>13.852617227929352</v>
      </c>
      <c r="I883">
        <v>13.677957417377007</v>
      </c>
      <c r="J883">
        <v>13.757641637324365</v>
      </c>
      <c r="K883">
        <v>12.806909578904657</v>
      </c>
      <c r="L883">
        <v>13.050907529930052</v>
      </c>
      <c r="M883">
        <v>14.058739809789287</v>
      </c>
      <c r="N883">
        <v>15.968094445349289</v>
      </c>
      <c r="O883">
        <v>13.349614818475358</v>
      </c>
      <c r="P883">
        <v>0</v>
      </c>
      <c r="Q883">
        <v>0</v>
      </c>
      <c r="R883">
        <v>0</v>
      </c>
      <c r="S883">
        <v>0</v>
      </c>
      <c r="T883">
        <v>16.005569150767954</v>
      </c>
    </row>
    <row r="884" spans="1:20" x14ac:dyDescent="0.25">
      <c r="A884" s="5" t="s">
        <v>902</v>
      </c>
      <c r="B884">
        <v>14.38005255169616</v>
      </c>
      <c r="C884">
        <v>13.296394622649251</v>
      </c>
      <c r="D884">
        <v>13.015892317132808</v>
      </c>
      <c r="E884">
        <v>12.96139363812874</v>
      </c>
      <c r="F884">
        <v>14.525576209648337</v>
      </c>
      <c r="G884">
        <v>14.073587574196603</v>
      </c>
      <c r="H884">
        <v>15.852617227929352</v>
      </c>
      <c r="I884">
        <v>15.61687204366789</v>
      </c>
      <c r="J884">
        <v>15.182034301654912</v>
      </c>
      <c r="K884">
        <v>14.081069155566054</v>
      </c>
      <c r="L884">
        <v>13.629615174198079</v>
      </c>
      <c r="M884">
        <v>14.977372258937299</v>
      </c>
      <c r="N884">
        <v>15.029494990013431</v>
      </c>
      <c r="O884">
        <v>14.726019658151142</v>
      </c>
      <c r="P884">
        <v>16.383131944628133</v>
      </c>
      <c r="Q884">
        <v>15.539251146545414</v>
      </c>
      <c r="R884">
        <v>16.166033822961197</v>
      </c>
      <c r="S884">
        <v>13.553056946070445</v>
      </c>
      <c r="T884">
        <v>15.383131944628133</v>
      </c>
    </row>
    <row r="885" spans="1:20" x14ac:dyDescent="0.25">
      <c r="A885" s="6" t="s">
        <v>903</v>
      </c>
      <c r="B885">
        <v>0</v>
      </c>
      <c r="C885">
        <v>18.217872754480815</v>
      </c>
      <c r="D885">
        <v>17.913646661326911</v>
      </c>
      <c r="E885">
        <v>18.244507880984283</v>
      </c>
      <c r="F885">
        <v>0</v>
      </c>
      <c r="G885">
        <v>0</v>
      </c>
      <c r="H885">
        <v>0</v>
      </c>
      <c r="I885">
        <v>18.52014232359771</v>
      </c>
      <c r="J885">
        <v>0</v>
      </c>
      <c r="K885">
        <v>0</v>
      </c>
      <c r="L885">
        <v>18.341805082339199</v>
      </c>
      <c r="M885">
        <v>0</v>
      </c>
      <c r="N885">
        <v>18.717443763971328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25">
      <c r="A886" s="5" t="s">
        <v>904</v>
      </c>
      <c r="B886">
        <v>0</v>
      </c>
      <c r="C886">
        <v>16.220073662674086</v>
      </c>
      <c r="D886">
        <v>16.209102544853081</v>
      </c>
      <c r="E886">
        <v>15.595285181459742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16.850910905978949</v>
      </c>
      <c r="L886">
        <v>16.581071322240042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25">
      <c r="A887" s="6" t="s">
        <v>905</v>
      </c>
      <c r="B887">
        <v>0</v>
      </c>
      <c r="C887">
        <v>16.083571662769224</v>
      </c>
      <c r="D887">
        <v>16.015091924886459</v>
      </c>
      <c r="E887">
        <v>16.005569150767954</v>
      </c>
      <c r="F887">
        <v>17.166033822961197</v>
      </c>
      <c r="G887">
        <v>15.376979717646538</v>
      </c>
      <c r="H887">
        <v>0</v>
      </c>
      <c r="I887">
        <v>16.433317701796351</v>
      </c>
      <c r="J887">
        <v>0</v>
      </c>
      <c r="K887">
        <v>17.172412735523903</v>
      </c>
      <c r="L887">
        <v>16.512029677810389</v>
      </c>
      <c r="M887">
        <v>0</v>
      </c>
      <c r="N887">
        <v>0</v>
      </c>
      <c r="O887">
        <v>0</v>
      </c>
      <c r="P887">
        <v>0</v>
      </c>
      <c r="Q887">
        <v>17.009370720927809</v>
      </c>
      <c r="R887">
        <v>17.142882858710639</v>
      </c>
      <c r="S887">
        <v>0</v>
      </c>
      <c r="T887">
        <v>16.731503707809864</v>
      </c>
    </row>
    <row r="888" spans="1:20" x14ac:dyDescent="0.25">
      <c r="A888" s="5" t="s">
        <v>906</v>
      </c>
      <c r="B888">
        <v>17.868065627018016</v>
      </c>
      <c r="C888">
        <v>16.697373846370365</v>
      </c>
      <c r="D888">
        <v>16.566996137028319</v>
      </c>
      <c r="E888">
        <v>16.779385150269128</v>
      </c>
      <c r="F888">
        <v>17.555834030741018</v>
      </c>
      <c r="G888">
        <v>17.253496664211536</v>
      </c>
      <c r="H888">
        <v>0</v>
      </c>
      <c r="I888">
        <v>18.267085728959493</v>
      </c>
      <c r="J888">
        <v>18.456483686375392</v>
      </c>
      <c r="K888">
        <v>17.061697163146462</v>
      </c>
      <c r="L888">
        <v>16.874985040957807</v>
      </c>
      <c r="M888">
        <v>0</v>
      </c>
      <c r="N888">
        <v>0</v>
      </c>
      <c r="O888">
        <v>17.618322717536614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25">
      <c r="A889" s="6" t="s">
        <v>907</v>
      </c>
      <c r="B889">
        <v>16.408006613267162</v>
      </c>
      <c r="C889">
        <v>15.4397154729945</v>
      </c>
      <c r="D889">
        <v>15.322759326648649</v>
      </c>
      <c r="E889">
        <v>15.119070343990609</v>
      </c>
      <c r="F889">
        <v>16.689728385759505</v>
      </c>
      <c r="G889">
        <v>16.539251146545414</v>
      </c>
      <c r="H889">
        <v>0</v>
      </c>
      <c r="I889">
        <v>16.813873526654422</v>
      </c>
      <c r="J889">
        <v>16.78426187054388</v>
      </c>
      <c r="K889">
        <v>15.7066022043239</v>
      </c>
      <c r="L889">
        <v>15.95887591531991</v>
      </c>
      <c r="M889">
        <v>0</v>
      </c>
      <c r="N889">
        <v>17.149160004396801</v>
      </c>
      <c r="O889">
        <v>17.151258470280798</v>
      </c>
      <c r="P889">
        <v>0</v>
      </c>
      <c r="Q889">
        <v>17.134555591488027</v>
      </c>
      <c r="R889">
        <v>17.711238614444618</v>
      </c>
      <c r="S889">
        <v>17.635845544784207</v>
      </c>
      <c r="T889">
        <v>17.561404288783965</v>
      </c>
    </row>
    <row r="890" spans="1:20" x14ac:dyDescent="0.25">
      <c r="A890" s="5" t="s">
        <v>908</v>
      </c>
      <c r="B890">
        <v>15.904768509980459</v>
      </c>
      <c r="C890">
        <v>14.664782028629272</v>
      </c>
      <c r="D890">
        <v>14.542690230512186</v>
      </c>
      <c r="E890">
        <v>14.106291739269308</v>
      </c>
      <c r="F890">
        <v>15.95887591531991</v>
      </c>
      <c r="G890">
        <v>15.305129432626858</v>
      </c>
      <c r="H890">
        <v>16.209102544853081</v>
      </c>
      <c r="I890">
        <v>15.986710123516636</v>
      </c>
      <c r="J890">
        <v>15.878457232864612</v>
      </c>
      <c r="K890">
        <v>15.139754498162349</v>
      </c>
      <c r="L890">
        <v>15.160739523291683</v>
      </c>
      <c r="M890">
        <v>16.782634464797837</v>
      </c>
      <c r="N890">
        <v>0</v>
      </c>
      <c r="O890">
        <v>16.96624602095692</v>
      </c>
      <c r="P890">
        <v>0</v>
      </c>
      <c r="Q890">
        <v>17.126276113723463</v>
      </c>
      <c r="R890">
        <v>0</v>
      </c>
      <c r="S890">
        <v>17.313329913728719</v>
      </c>
      <c r="T890">
        <v>17.069613205179305</v>
      </c>
    </row>
    <row r="891" spans="1:20" x14ac:dyDescent="0.25">
      <c r="A891" s="6" t="s">
        <v>909</v>
      </c>
      <c r="B891">
        <v>16.975511916911771</v>
      </c>
      <c r="C891">
        <v>15.364753415313277</v>
      </c>
      <c r="D891">
        <v>16.093625327433145</v>
      </c>
      <c r="E891">
        <v>16.073587574196605</v>
      </c>
      <c r="F891">
        <v>16.253496664211536</v>
      </c>
      <c r="G891">
        <v>15.638786820096328</v>
      </c>
      <c r="H891">
        <v>15.968094445349289</v>
      </c>
      <c r="I891">
        <v>15.810553168362809</v>
      </c>
      <c r="J891">
        <v>16.539251146545414</v>
      </c>
      <c r="K891">
        <v>16.024677973715658</v>
      </c>
      <c r="L891">
        <v>15.844105728073835</v>
      </c>
      <c r="M891">
        <v>17.290022540236652</v>
      </c>
      <c r="N891">
        <v>16.895944659593454</v>
      </c>
      <c r="O891">
        <v>16.472136950686878</v>
      </c>
      <c r="P891">
        <v>15.968094445349289</v>
      </c>
      <c r="Q891">
        <v>16.134555591488027</v>
      </c>
      <c r="R891">
        <v>16.134555591488027</v>
      </c>
      <c r="S891">
        <v>15.352629856230788</v>
      </c>
      <c r="T891">
        <v>16.566996137028319</v>
      </c>
    </row>
    <row r="892" spans="1:20" x14ac:dyDescent="0.25">
      <c r="A892" s="5" t="s">
        <v>910</v>
      </c>
      <c r="B892">
        <v>14.595285181459742</v>
      </c>
      <c r="C892">
        <v>13.234823548157266</v>
      </c>
      <c r="D892">
        <v>12.759861337802285</v>
      </c>
      <c r="E892">
        <v>13.068658504644301</v>
      </c>
      <c r="F892">
        <v>15.005569150767952</v>
      </c>
      <c r="G892">
        <v>14.250681648604484</v>
      </c>
      <c r="H892">
        <v>15.034328143749375</v>
      </c>
      <c r="I892">
        <v>14.383131944628133</v>
      </c>
      <c r="J892">
        <v>14.609640474436812</v>
      </c>
      <c r="K892">
        <v>13.929316117592796</v>
      </c>
      <c r="L892">
        <v>13.757641637324365</v>
      </c>
      <c r="M892">
        <v>15.498609162048069</v>
      </c>
      <c r="N892">
        <v>15.609640474436812</v>
      </c>
      <c r="O892">
        <v>14.525576209648337</v>
      </c>
      <c r="P892">
        <v>15.370853614849695</v>
      </c>
      <c r="Q892">
        <v>15.6989078125339</v>
      </c>
      <c r="R892">
        <v>15.661039626943458</v>
      </c>
      <c r="S892">
        <v>16.083571662769224</v>
      </c>
      <c r="T892">
        <v>15.913646661326911</v>
      </c>
    </row>
    <row r="893" spans="1:20" x14ac:dyDescent="0.25">
      <c r="A893" s="6" t="s">
        <v>911</v>
      </c>
      <c r="B893">
        <v>15.225590667641651</v>
      </c>
      <c r="C893">
        <v>13.61687204366789</v>
      </c>
      <c r="D893">
        <v>13.366276048743151</v>
      </c>
      <c r="E893">
        <v>13.43172268224097</v>
      </c>
      <c r="F893">
        <v>15.198214228710349</v>
      </c>
      <c r="G893">
        <v>13.737796825927495</v>
      </c>
      <c r="H893">
        <v>14.909200756295721</v>
      </c>
      <c r="I893">
        <v>14.602444973032609</v>
      </c>
      <c r="J893">
        <v>15.073587574196603</v>
      </c>
      <c r="K893">
        <v>14.031909542946732</v>
      </c>
      <c r="L893">
        <v>14.198214228710349</v>
      </c>
      <c r="M893">
        <v>15.305129432626858</v>
      </c>
      <c r="N893">
        <v>15.108838421379655</v>
      </c>
      <c r="O893">
        <v>14.856891883029679</v>
      </c>
      <c r="P893">
        <v>15.182034301654912</v>
      </c>
      <c r="Q893">
        <v>15.192800732523983</v>
      </c>
      <c r="R893">
        <v>15.729934708154525</v>
      </c>
      <c r="S893">
        <v>14.972725894080934</v>
      </c>
      <c r="T893">
        <v>15.352629856230788</v>
      </c>
    </row>
    <row r="894" spans="1:20" x14ac:dyDescent="0.25">
      <c r="A894" s="5" t="s">
        <v>912</v>
      </c>
      <c r="B894">
        <v>16.253496664211536</v>
      </c>
      <c r="C894">
        <v>14.349614818475356</v>
      </c>
      <c r="D894">
        <v>14.895944659593452</v>
      </c>
      <c r="E894">
        <v>14.392409758216143</v>
      </c>
      <c r="F894">
        <v>15.602444973032609</v>
      </c>
      <c r="G894">
        <v>14.472136950686876</v>
      </c>
      <c r="H894">
        <v>15.176681067160706</v>
      </c>
      <c r="I894">
        <v>15.203648114760977</v>
      </c>
      <c r="J894">
        <v>15.922579786096922</v>
      </c>
      <c r="K894">
        <v>15.491945431767057</v>
      </c>
      <c r="L894">
        <v>14.606038237756618</v>
      </c>
      <c r="M894">
        <v>0</v>
      </c>
      <c r="N894">
        <v>0</v>
      </c>
      <c r="O894">
        <v>0</v>
      </c>
      <c r="P894">
        <v>15.818868436574812</v>
      </c>
      <c r="Q894">
        <v>0</v>
      </c>
      <c r="R894">
        <v>14.856891883029679</v>
      </c>
      <c r="S894">
        <v>0</v>
      </c>
      <c r="T894">
        <v>0</v>
      </c>
    </row>
    <row r="895" spans="1:20" x14ac:dyDescent="0.25">
      <c r="A895" s="6" t="s">
        <v>913</v>
      </c>
      <c r="B895">
        <v>13.863327708011353</v>
      </c>
      <c r="C895">
        <v>12.793993322461617</v>
      </c>
      <c r="D895">
        <v>12.803491737318032</v>
      </c>
      <c r="E895">
        <v>12.703606131932769</v>
      </c>
      <c r="F895">
        <v>13.428537923683015</v>
      </c>
      <c r="G895">
        <v>12.911133041553091</v>
      </c>
      <c r="H895">
        <v>12.978757445563581</v>
      </c>
      <c r="I895">
        <v>13.292046969813342</v>
      </c>
      <c r="J895">
        <v>13.586385122136509</v>
      </c>
      <c r="K895">
        <v>13.095846567349826</v>
      </c>
      <c r="L895">
        <v>12.933508494464672</v>
      </c>
      <c r="M895">
        <v>13.59528518145974</v>
      </c>
      <c r="N895">
        <v>13.800226030200914</v>
      </c>
      <c r="O895">
        <v>13.336124584734696</v>
      </c>
      <c r="P895">
        <v>13.191760962001588</v>
      </c>
      <c r="Q895">
        <v>13.01439940641839</v>
      </c>
      <c r="R895">
        <v>12.858723169825952</v>
      </c>
      <c r="S895">
        <v>13.074968745030663</v>
      </c>
      <c r="T895">
        <v>13.024689996224422</v>
      </c>
    </row>
    <row r="896" spans="1:20" x14ac:dyDescent="0.25">
      <c r="A896" s="5" t="s">
        <v>914</v>
      </c>
      <c r="B896">
        <v>0</v>
      </c>
      <c r="C896">
        <v>13.412718740616482</v>
      </c>
      <c r="D896">
        <v>14.0760771262223</v>
      </c>
      <c r="E896">
        <v>15.310982158872298</v>
      </c>
      <c r="F896">
        <v>15.408006613267162</v>
      </c>
      <c r="G896">
        <v>14.414292876114592</v>
      </c>
      <c r="H896">
        <v>13.438113368398</v>
      </c>
      <c r="I896">
        <v>0</v>
      </c>
      <c r="J896">
        <v>0</v>
      </c>
      <c r="K896">
        <v>0</v>
      </c>
      <c r="L896">
        <v>0</v>
      </c>
      <c r="M896">
        <v>12.625297214335992</v>
      </c>
      <c r="N896">
        <v>13.126121326422108</v>
      </c>
      <c r="O896">
        <v>12.67364335210141</v>
      </c>
      <c r="P896">
        <v>0</v>
      </c>
      <c r="Q896">
        <v>0</v>
      </c>
      <c r="R896">
        <v>0</v>
      </c>
      <c r="S896">
        <v>14.284829871016328</v>
      </c>
      <c r="T896">
        <v>13.099931966228555</v>
      </c>
    </row>
    <row r="897" spans="1:20" x14ac:dyDescent="0.25">
      <c r="A897" s="6" t="s">
        <v>915</v>
      </c>
      <c r="B897">
        <v>0</v>
      </c>
      <c r="C897">
        <v>0</v>
      </c>
      <c r="D897">
        <v>17.211290104090846</v>
      </c>
      <c r="E897">
        <v>15.083571662769224</v>
      </c>
      <c r="F897">
        <v>0</v>
      </c>
      <c r="G897">
        <v>17.138713216961687</v>
      </c>
      <c r="H897">
        <v>0</v>
      </c>
      <c r="I897">
        <v>17.659545380263125</v>
      </c>
      <c r="J897">
        <v>0</v>
      </c>
      <c r="K897">
        <v>17.781008892748794</v>
      </c>
      <c r="L897">
        <v>17.453891241758868</v>
      </c>
      <c r="M897">
        <v>0</v>
      </c>
      <c r="N897">
        <v>0</v>
      </c>
      <c r="O897">
        <v>17.395515669083967</v>
      </c>
      <c r="P897">
        <v>15.595285181459742</v>
      </c>
      <c r="Q897">
        <v>0</v>
      </c>
      <c r="R897">
        <v>17.370853614849693</v>
      </c>
      <c r="S897">
        <v>16.433317701796351</v>
      </c>
      <c r="T897">
        <v>17.327497245655312</v>
      </c>
    </row>
    <row r="898" spans="1:20" x14ac:dyDescent="0.25">
      <c r="A898" s="5" t="s">
        <v>916</v>
      </c>
      <c r="B898">
        <v>13.653583822024411</v>
      </c>
      <c r="C898">
        <v>13.781821449819493</v>
      </c>
      <c r="D898">
        <v>13.604240486694223</v>
      </c>
      <c r="E898">
        <v>14.376979717646538</v>
      </c>
      <c r="F898">
        <v>13.286832603878816</v>
      </c>
      <c r="G898">
        <v>12.991848324505844</v>
      </c>
      <c r="H898">
        <v>11.548953188138702</v>
      </c>
      <c r="I898">
        <v>14.293494732143458</v>
      </c>
      <c r="J898">
        <v>13.945157634072132</v>
      </c>
      <c r="K898">
        <v>13.411146320797728</v>
      </c>
      <c r="L898">
        <v>13.235992263102121</v>
      </c>
      <c r="M898">
        <v>13.108443391136031</v>
      </c>
      <c r="N898">
        <v>13.898145567786724</v>
      </c>
      <c r="O898">
        <v>13.661039626943458</v>
      </c>
      <c r="P898">
        <v>13.735827276077723</v>
      </c>
      <c r="Q898">
        <v>14.869792371737484</v>
      </c>
      <c r="R898">
        <v>14.718221287590733</v>
      </c>
      <c r="S898">
        <v>14.613251727989191</v>
      </c>
      <c r="T898">
        <v>13.575777022570529</v>
      </c>
    </row>
    <row r="899" spans="1:20" x14ac:dyDescent="0.25">
      <c r="A899" s="6" t="s">
        <v>917</v>
      </c>
      <c r="B899">
        <v>16.05382431937517</v>
      </c>
      <c r="C899">
        <v>0</v>
      </c>
      <c r="D899">
        <v>17.517433036339721</v>
      </c>
      <c r="E899">
        <v>18.569800209905022</v>
      </c>
      <c r="F899">
        <v>16.024677973715658</v>
      </c>
      <c r="G899">
        <v>16.797347629563539</v>
      </c>
      <c r="H899">
        <v>14.041608369665534</v>
      </c>
      <c r="I899">
        <v>17.395515669083967</v>
      </c>
      <c r="J899">
        <v>16.395515669083963</v>
      </c>
      <c r="K899">
        <v>15.777763233245141</v>
      </c>
      <c r="L899">
        <v>16.144972207433366</v>
      </c>
      <c r="M899">
        <v>15.053824319375174</v>
      </c>
      <c r="N899">
        <v>14.695075950942874</v>
      </c>
      <c r="O899">
        <v>16.420606650046796</v>
      </c>
      <c r="P899">
        <v>14.198214228710349</v>
      </c>
      <c r="Q899">
        <v>15.761643567881864</v>
      </c>
      <c r="R899">
        <v>14.83564414932564</v>
      </c>
      <c r="S899">
        <v>14.869792371737484</v>
      </c>
      <c r="T899">
        <v>14.878457232864612</v>
      </c>
    </row>
    <row r="900" spans="1:20" x14ac:dyDescent="0.25">
      <c r="A900" s="5" t="s">
        <v>918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17.410517832423213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17.94242956195594</v>
      </c>
      <c r="Q900">
        <v>18.322759326648651</v>
      </c>
      <c r="R900">
        <v>19.083571662769224</v>
      </c>
      <c r="S900">
        <v>17.583902913023206</v>
      </c>
      <c r="T900">
        <v>17.807240434321972</v>
      </c>
    </row>
    <row r="901" spans="1:20" x14ac:dyDescent="0.25">
      <c r="A901" s="6" t="s">
        <v>919</v>
      </c>
      <c r="B901">
        <v>16.044043298582586</v>
      </c>
      <c r="C901">
        <v>17.96071491498369</v>
      </c>
      <c r="D901">
        <v>0</v>
      </c>
      <c r="E901">
        <v>0</v>
      </c>
      <c r="F901">
        <v>16.287712379549451</v>
      </c>
      <c r="G901">
        <v>16.694310798423803</v>
      </c>
      <c r="H901">
        <v>14.940613708927183</v>
      </c>
      <c r="I901">
        <v>17.105782941859385</v>
      </c>
      <c r="J901">
        <v>16.005569150767954</v>
      </c>
      <c r="K901">
        <v>15.574016564706092</v>
      </c>
      <c r="L901">
        <v>16.485312339434611</v>
      </c>
      <c r="M901">
        <v>15.95887591531991</v>
      </c>
      <c r="N901">
        <v>15.6989078125339</v>
      </c>
      <c r="O901">
        <v>16.957039256840293</v>
      </c>
      <c r="P901">
        <v>15.088589737535848</v>
      </c>
      <c r="Q901">
        <v>14.802285552379209</v>
      </c>
      <c r="R901">
        <v>14.92257978609692</v>
      </c>
      <c r="S901">
        <v>14.468861818654016</v>
      </c>
      <c r="T901">
        <v>13.918106309517611</v>
      </c>
    </row>
    <row r="902" spans="1:20" x14ac:dyDescent="0.25">
      <c r="A902" s="5" t="s">
        <v>920</v>
      </c>
      <c r="B902">
        <v>13.611444971283561</v>
      </c>
      <c r="C902">
        <v>15.073587574196603</v>
      </c>
      <c r="D902">
        <v>15.247872115017659</v>
      </c>
      <c r="E902">
        <v>16.231128851183083</v>
      </c>
      <c r="F902">
        <v>13.527278504879339</v>
      </c>
      <c r="G902">
        <v>14.166033822961197</v>
      </c>
      <c r="H902">
        <v>12.292792385969054</v>
      </c>
      <c r="I902">
        <v>14.358678900903593</v>
      </c>
      <c r="J902">
        <v>13.468861818654016</v>
      </c>
      <c r="K902">
        <v>13.400187108807861</v>
      </c>
      <c r="L902">
        <v>13.965784284662087</v>
      </c>
      <c r="M902">
        <v>13.247942286716444</v>
      </c>
      <c r="N902">
        <v>12.750326845772841</v>
      </c>
      <c r="O902">
        <v>14.190101582923029</v>
      </c>
      <c r="P902">
        <v>12.293081971831095</v>
      </c>
      <c r="Q902">
        <v>12.979281602384098</v>
      </c>
      <c r="R902">
        <v>12.544990389991924</v>
      </c>
      <c r="S902">
        <v>12.531286822825711</v>
      </c>
      <c r="T902">
        <v>12.271208928207503</v>
      </c>
    </row>
    <row r="903" spans="1:20" x14ac:dyDescent="0.25">
      <c r="A903" s="6" t="s">
        <v>921</v>
      </c>
      <c r="B903">
        <v>13.800226030200914</v>
      </c>
      <c r="C903">
        <v>15.794065045574239</v>
      </c>
      <c r="D903">
        <v>15.478709604610364</v>
      </c>
      <c r="E903">
        <v>16.358678900903591</v>
      </c>
      <c r="F903">
        <v>13.802285552379209</v>
      </c>
      <c r="G903">
        <v>14.546137532130656</v>
      </c>
      <c r="H903">
        <v>12.445562204313651</v>
      </c>
      <c r="I903">
        <v>14.741744010444156</v>
      </c>
      <c r="J903">
        <v>13.7085322314223</v>
      </c>
      <c r="K903">
        <v>13.124741873391327</v>
      </c>
      <c r="L903">
        <v>13.833536486363649</v>
      </c>
      <c r="M903">
        <v>13.249177867599924</v>
      </c>
      <c r="N903">
        <v>12.798683315699012</v>
      </c>
      <c r="O903">
        <v>14.376979717646538</v>
      </c>
      <c r="P903">
        <v>12.552363509363563</v>
      </c>
      <c r="Q903">
        <v>13.349614818475358</v>
      </c>
      <c r="R903">
        <v>12.844742351622102</v>
      </c>
      <c r="S903">
        <v>12.551757025537187</v>
      </c>
      <c r="T903">
        <v>12.29706242277469</v>
      </c>
    </row>
    <row r="904" spans="1:20" x14ac:dyDescent="0.25">
      <c r="A904" s="5" t="s">
        <v>922</v>
      </c>
      <c r="B904">
        <v>12.613577184630241</v>
      </c>
      <c r="C904">
        <v>13.46233377565652</v>
      </c>
      <c r="D904">
        <v>13.611444971283561</v>
      </c>
      <c r="E904">
        <v>13.904768509980459</v>
      </c>
      <c r="F904">
        <v>12.457035181512587</v>
      </c>
      <c r="G904">
        <v>11.605107621905374</v>
      </c>
      <c r="H904">
        <v>11.985124265109029</v>
      </c>
      <c r="I904">
        <v>12.603486098762074</v>
      </c>
      <c r="J904">
        <v>12.159854624695832</v>
      </c>
      <c r="K904">
        <v>12.545223194693042</v>
      </c>
      <c r="L904">
        <v>12.919659270514797</v>
      </c>
      <c r="M904">
        <v>12.109220811727139</v>
      </c>
      <c r="N904">
        <v>13.027385566079147</v>
      </c>
      <c r="O904">
        <v>12.669934332048474</v>
      </c>
      <c r="P904">
        <v>11.072049312573446</v>
      </c>
      <c r="Q904">
        <v>10.452109613497388</v>
      </c>
      <c r="R904">
        <v>11.192226740550975</v>
      </c>
      <c r="S904">
        <v>11.413844072473271</v>
      </c>
      <c r="T904">
        <v>10.639688786390723</v>
      </c>
    </row>
    <row r="905" spans="1:20" x14ac:dyDescent="0.25">
      <c r="A905" s="6" t="s">
        <v>923</v>
      </c>
      <c r="B905">
        <v>13.005082797749862</v>
      </c>
      <c r="C905">
        <v>0</v>
      </c>
      <c r="D905">
        <v>0</v>
      </c>
      <c r="E905">
        <v>0</v>
      </c>
      <c r="F905">
        <v>12.245432263559799</v>
      </c>
      <c r="G905">
        <v>11.8347005894831</v>
      </c>
      <c r="H905">
        <v>12.126934145091138</v>
      </c>
      <c r="I905">
        <v>12.103527315668462</v>
      </c>
      <c r="J905">
        <v>12.225265959612106</v>
      </c>
      <c r="K905">
        <v>12.889394847855844</v>
      </c>
      <c r="L905">
        <v>12.852574545275516</v>
      </c>
      <c r="M905">
        <v>12.407904687326832</v>
      </c>
      <c r="N905">
        <v>12.705570699040353</v>
      </c>
      <c r="O905">
        <v>12.998597966403908</v>
      </c>
      <c r="P905">
        <v>11.813847556715336</v>
      </c>
      <c r="Q905">
        <v>10.835939468008004</v>
      </c>
      <c r="R905">
        <v>11.430352374400007</v>
      </c>
      <c r="S905">
        <v>11.868168094793255</v>
      </c>
      <c r="T905">
        <v>10.765239755775218</v>
      </c>
    </row>
    <row r="906" spans="1:20" x14ac:dyDescent="0.25">
      <c r="A906" s="5" t="s">
        <v>924</v>
      </c>
      <c r="B906">
        <v>14.228357101933028</v>
      </c>
      <c r="C906">
        <v>0</v>
      </c>
      <c r="D906">
        <v>14.355651208206025</v>
      </c>
      <c r="E906">
        <v>13.956580457332247</v>
      </c>
      <c r="F906">
        <v>0</v>
      </c>
      <c r="G906">
        <v>13.945157634072132</v>
      </c>
      <c r="H906">
        <v>0</v>
      </c>
      <c r="I906">
        <v>0</v>
      </c>
      <c r="J906">
        <v>14.211837512574323</v>
      </c>
      <c r="K906">
        <v>13.755644827260419</v>
      </c>
      <c r="L906">
        <v>0</v>
      </c>
      <c r="M906">
        <v>0</v>
      </c>
      <c r="N906">
        <v>13.798169443906975</v>
      </c>
      <c r="O906">
        <v>0</v>
      </c>
      <c r="P906">
        <v>0</v>
      </c>
      <c r="Q906">
        <v>13.401747622795481</v>
      </c>
      <c r="R906">
        <v>13.606038237756618</v>
      </c>
      <c r="S906">
        <v>13.539251146545414</v>
      </c>
      <c r="T906">
        <v>13.241319108825795</v>
      </c>
    </row>
    <row r="907" spans="1:20" x14ac:dyDescent="0.25">
      <c r="A907" s="6" t="s">
        <v>925</v>
      </c>
      <c r="B907">
        <v>10.381035318608939</v>
      </c>
      <c r="C907">
        <v>10.537978615430475</v>
      </c>
      <c r="D907">
        <v>10.666673291923868</v>
      </c>
      <c r="E907">
        <v>10.797904871321256</v>
      </c>
      <c r="F907">
        <v>10.155160212604278</v>
      </c>
      <c r="G907">
        <v>10.872794809280498</v>
      </c>
      <c r="H907">
        <v>10.842772381896156</v>
      </c>
      <c r="I907">
        <v>10.918396664361286</v>
      </c>
      <c r="J907">
        <v>10.690565021599776</v>
      </c>
      <c r="K907">
        <v>10.546299326681305</v>
      </c>
      <c r="L907">
        <v>10.471346144331621</v>
      </c>
      <c r="M907">
        <v>10.595954904508158</v>
      </c>
      <c r="N907">
        <v>10.761991760262118</v>
      </c>
      <c r="O907">
        <v>10.889216980762708</v>
      </c>
      <c r="P907">
        <v>11.168884235864697</v>
      </c>
      <c r="Q907">
        <v>11.367361906295329</v>
      </c>
      <c r="R907">
        <v>11.86909063241878</v>
      </c>
      <c r="S907">
        <v>11.895532362841642</v>
      </c>
      <c r="T907">
        <v>11.287885513342591</v>
      </c>
    </row>
    <row r="908" spans="1:20" x14ac:dyDescent="0.25">
      <c r="A908" s="5" t="s">
        <v>926</v>
      </c>
      <c r="B908">
        <v>12.725599422025665</v>
      </c>
      <c r="C908">
        <v>12.276059312342479</v>
      </c>
      <c r="D908">
        <v>12.363011971172329</v>
      </c>
      <c r="E908">
        <v>12.065569359911839</v>
      </c>
      <c r="F908">
        <v>12.361523145185982</v>
      </c>
      <c r="G908">
        <v>13.273857117042379</v>
      </c>
      <c r="H908">
        <v>12.747298194459253</v>
      </c>
      <c r="I908">
        <v>12.939615963110809</v>
      </c>
      <c r="J908">
        <v>13.211358518793453</v>
      </c>
      <c r="K908">
        <v>12.482172272237396</v>
      </c>
      <c r="L908">
        <v>12.550190012547706</v>
      </c>
      <c r="M908">
        <v>13.224250854920321</v>
      </c>
      <c r="N908">
        <v>13.486967755612673</v>
      </c>
      <c r="O908">
        <v>12.982570661584091</v>
      </c>
      <c r="P908">
        <v>13.520481342525573</v>
      </c>
      <c r="Q908">
        <v>13.627787821147072</v>
      </c>
      <c r="R908">
        <v>13.876286133822985</v>
      </c>
      <c r="S908">
        <v>13.757641637324365</v>
      </c>
      <c r="T908">
        <v>13.56524635507836</v>
      </c>
    </row>
    <row r="909" spans="1:20" x14ac:dyDescent="0.25">
      <c r="A909" s="6" t="s">
        <v>927</v>
      </c>
      <c r="B909">
        <v>12.848748910518177</v>
      </c>
      <c r="C909">
        <v>13.03843695577185</v>
      </c>
      <c r="D909">
        <v>13.549593090766873</v>
      </c>
      <c r="E909">
        <v>13.7085322314223</v>
      </c>
      <c r="F909">
        <v>12.521269869603437</v>
      </c>
      <c r="G909">
        <v>12.433237908923294</v>
      </c>
      <c r="H909">
        <v>12.382338372384609</v>
      </c>
      <c r="I909">
        <v>12.081844468645718</v>
      </c>
      <c r="J909">
        <v>11.783641205556794</v>
      </c>
      <c r="K909">
        <v>12.481536827362028</v>
      </c>
      <c r="L909">
        <v>12.889471474284981</v>
      </c>
      <c r="M909">
        <v>12.760251638110192</v>
      </c>
      <c r="N909">
        <v>12.072251213002028</v>
      </c>
      <c r="O909">
        <v>12.218718331358135</v>
      </c>
      <c r="P909">
        <v>11.213618025975578</v>
      </c>
      <c r="Q909">
        <v>10.975939002050538</v>
      </c>
      <c r="R909">
        <v>10.724080751834958</v>
      </c>
      <c r="S909">
        <v>11.300948323052522</v>
      </c>
      <c r="T909">
        <v>10.863451342168409</v>
      </c>
    </row>
    <row r="910" spans="1:20" x14ac:dyDescent="0.25">
      <c r="A910" s="5" t="s">
        <v>928</v>
      </c>
      <c r="B910">
        <v>13.354139741288424</v>
      </c>
      <c r="C910">
        <v>12.918284982505751</v>
      </c>
      <c r="D910">
        <v>12.270581498987116</v>
      </c>
      <c r="E910">
        <v>12.261294729323332</v>
      </c>
      <c r="F910">
        <v>12.99372986572021</v>
      </c>
      <c r="G910">
        <v>13.426948176920622</v>
      </c>
      <c r="H910">
        <v>13.3693261451031</v>
      </c>
      <c r="I910">
        <v>12.987073184993555</v>
      </c>
      <c r="J910">
        <v>13.277877941037536</v>
      </c>
      <c r="K910">
        <v>13.042959247700692</v>
      </c>
      <c r="L910">
        <v>13.363232387190427</v>
      </c>
      <c r="M910">
        <v>13.49694034168745</v>
      </c>
      <c r="N910">
        <v>13.67606783617579</v>
      </c>
      <c r="O910">
        <v>12.993318068846351</v>
      </c>
      <c r="P910">
        <v>13.942883882552009</v>
      </c>
      <c r="Q910">
        <v>14.328684160605755</v>
      </c>
      <c r="R910">
        <v>14.27621674071162</v>
      </c>
      <c r="S910">
        <v>13.833536486363649</v>
      </c>
      <c r="T910">
        <v>14.101211821904954</v>
      </c>
    </row>
    <row r="911" spans="1:20" x14ac:dyDescent="0.25">
      <c r="A911" s="6" t="s">
        <v>929</v>
      </c>
      <c r="B911">
        <v>0</v>
      </c>
      <c r="C911">
        <v>15.518787043985698</v>
      </c>
      <c r="D911">
        <v>14.958875915319911</v>
      </c>
      <c r="E911">
        <v>14.455835138357777</v>
      </c>
      <c r="F911">
        <v>15.566996137028319</v>
      </c>
      <c r="G911">
        <v>0</v>
      </c>
      <c r="H911">
        <v>0</v>
      </c>
      <c r="I911">
        <v>0</v>
      </c>
      <c r="J911">
        <v>0</v>
      </c>
      <c r="K911">
        <v>15.247872115017659</v>
      </c>
      <c r="L911">
        <v>15.505303814622076</v>
      </c>
      <c r="M911">
        <v>0</v>
      </c>
      <c r="N911">
        <v>16.299300353824663</v>
      </c>
      <c r="O911">
        <v>15.12937535238235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25">
      <c r="A912" s="5" t="s">
        <v>930</v>
      </c>
      <c r="B912">
        <v>15.729934708154525</v>
      </c>
      <c r="C912">
        <v>16.187407473753765</v>
      </c>
      <c r="D912">
        <v>16.420606650046796</v>
      </c>
      <c r="E912">
        <v>16.581071322240042</v>
      </c>
      <c r="F912">
        <v>14.442925029470389</v>
      </c>
      <c r="G912">
        <v>15.231128851183083</v>
      </c>
      <c r="H912">
        <v>15.253496664211537</v>
      </c>
      <c r="I912">
        <v>14.325718702129196</v>
      </c>
      <c r="J912">
        <v>15.505303814622076</v>
      </c>
      <c r="K912">
        <v>14.852617227929352</v>
      </c>
      <c r="L912">
        <v>15.376979717646538</v>
      </c>
      <c r="M912">
        <v>15.236688376524983</v>
      </c>
      <c r="N912">
        <v>14.991401818841357</v>
      </c>
      <c r="O912">
        <v>15.293494732143458</v>
      </c>
      <c r="P912">
        <v>14.430129424165303</v>
      </c>
      <c r="Q912">
        <v>14.606038237756618</v>
      </c>
      <c r="R912">
        <v>14.346606068603018</v>
      </c>
      <c r="S912">
        <v>14.328684160605755</v>
      </c>
      <c r="T912">
        <v>14.710464843956299</v>
      </c>
    </row>
    <row r="913" spans="1:20" x14ac:dyDescent="0.25">
      <c r="A913" s="6" t="s">
        <v>931</v>
      </c>
      <c r="B913">
        <v>8.3880905689009726</v>
      </c>
      <c r="C913">
        <v>8.8629689601675903</v>
      </c>
      <c r="D913">
        <v>8.6980411608954675</v>
      </c>
      <c r="E913">
        <v>8.7163413708254662</v>
      </c>
      <c r="F913">
        <v>8.8723390419235635</v>
      </c>
      <c r="G913">
        <v>8.9702867408850135</v>
      </c>
      <c r="H913">
        <v>9.0806230704720239</v>
      </c>
      <c r="I913">
        <v>8.7198518026818146</v>
      </c>
      <c r="J913">
        <v>8.6358771086745669</v>
      </c>
      <c r="K913">
        <v>8.7269479096966016</v>
      </c>
      <c r="L913">
        <v>8.9064719285538754</v>
      </c>
      <c r="M913">
        <v>8.8523378128560513</v>
      </c>
      <c r="N913">
        <v>8.9280548735735348</v>
      </c>
      <c r="O913">
        <v>8.548802441584554</v>
      </c>
      <c r="P913">
        <v>9.0305765118762533</v>
      </c>
      <c r="Q913">
        <v>9.705486379584924</v>
      </c>
      <c r="R913">
        <v>9.322908999241065</v>
      </c>
      <c r="S913">
        <v>9.8813893267441273</v>
      </c>
      <c r="T913">
        <v>9.8405749189467855</v>
      </c>
    </row>
    <row r="914" spans="1:20" x14ac:dyDescent="0.25">
      <c r="A914" s="5" t="s">
        <v>932</v>
      </c>
      <c r="B914">
        <v>7.369660618139144</v>
      </c>
      <c r="C914">
        <v>7.8382044879862773</v>
      </c>
      <c r="D914">
        <v>7.7915271291889665</v>
      </c>
      <c r="E914">
        <v>7.61900492504508</v>
      </c>
      <c r="F914">
        <v>7.7415822103990788</v>
      </c>
      <c r="G914">
        <v>7.7880549319036438</v>
      </c>
      <c r="H914">
        <v>7.8224966718389783</v>
      </c>
      <c r="I914">
        <v>7.5317144296720224</v>
      </c>
      <c r="J914">
        <v>7.3214388157065518</v>
      </c>
      <c r="K914">
        <v>7.6998862679961979</v>
      </c>
      <c r="L914">
        <v>7.8079780238576753</v>
      </c>
      <c r="M914">
        <v>7.5858295785781182</v>
      </c>
      <c r="N914">
        <v>7.5610217340632451</v>
      </c>
      <c r="O914">
        <v>7.392970268788507</v>
      </c>
      <c r="P914">
        <v>7.5804487860355527</v>
      </c>
      <c r="Q914">
        <v>7.9845665568841966</v>
      </c>
      <c r="R914">
        <v>7.9106861787867073</v>
      </c>
      <c r="S914">
        <v>8.2320321187977346</v>
      </c>
      <c r="T914">
        <v>7.9858452927159087</v>
      </c>
    </row>
    <row r="915" spans="1:20" x14ac:dyDescent="0.25">
      <c r="A915" s="6" t="s">
        <v>933</v>
      </c>
      <c r="B915">
        <v>8.586984151250233</v>
      </c>
      <c r="C915">
        <v>8.3732239152591781</v>
      </c>
      <c r="D915">
        <v>8.5230891527298489</v>
      </c>
      <c r="E915">
        <v>8.9480903761186319</v>
      </c>
      <c r="F915">
        <v>8.8922553612506103</v>
      </c>
      <c r="G915">
        <v>8.0419406474576665</v>
      </c>
      <c r="H915">
        <v>8.6280218215181694</v>
      </c>
      <c r="I915">
        <v>8.8606479895217181</v>
      </c>
      <c r="J915">
        <v>8.6340727631926857</v>
      </c>
      <c r="K915">
        <v>8.4027238018982153</v>
      </c>
      <c r="L915">
        <v>8.3628590298474901</v>
      </c>
      <c r="M915">
        <v>8.4201934372111786</v>
      </c>
      <c r="N915">
        <v>8.2497587280220603</v>
      </c>
      <c r="O915">
        <v>8.7849636198367929</v>
      </c>
      <c r="P915">
        <v>7.7040603206768896</v>
      </c>
      <c r="Q915">
        <v>7.1124852102809974</v>
      </c>
      <c r="R915">
        <v>8.2619168032628032</v>
      </c>
      <c r="S915">
        <v>7.0710123003701577</v>
      </c>
      <c r="T915">
        <v>6.9165973707473851</v>
      </c>
    </row>
    <row r="916" spans="1:20" x14ac:dyDescent="0.25">
      <c r="A916" s="5" t="s">
        <v>934</v>
      </c>
      <c r="B916">
        <v>12.070183847351897</v>
      </c>
      <c r="C916">
        <v>12.115794629855142</v>
      </c>
      <c r="D916">
        <v>12.384419538655495</v>
      </c>
      <c r="E916">
        <v>11.445896215063726</v>
      </c>
      <c r="F916">
        <v>11.840043265305233</v>
      </c>
      <c r="G916">
        <v>11.813006383535788</v>
      </c>
      <c r="H916">
        <v>11.496873629008384</v>
      </c>
      <c r="I916">
        <v>12.082401200316079</v>
      </c>
      <c r="J916">
        <v>12.323957142392118</v>
      </c>
      <c r="K916">
        <v>11.783015723344523</v>
      </c>
      <c r="L916">
        <v>12.352720404786163</v>
      </c>
      <c r="M916">
        <v>11.670169392845484</v>
      </c>
      <c r="N916">
        <v>12.288773150285522</v>
      </c>
      <c r="O916">
        <v>11.866017798369159</v>
      </c>
      <c r="P916">
        <v>10.557263708876102</v>
      </c>
      <c r="Q916">
        <v>11.171740291638416</v>
      </c>
      <c r="R916">
        <v>10.28677313021395</v>
      </c>
      <c r="S916">
        <v>9.8993258115400131</v>
      </c>
      <c r="T916">
        <v>9.9772006582411468</v>
      </c>
    </row>
    <row r="917" spans="1:20" x14ac:dyDescent="0.25">
      <c r="A917" s="6" t="s">
        <v>935</v>
      </c>
      <c r="B917">
        <v>13.172466011804522</v>
      </c>
      <c r="C917">
        <v>13.696990609539608</v>
      </c>
      <c r="D917">
        <v>14.542690230512186</v>
      </c>
      <c r="E917">
        <v>15.310982158872298</v>
      </c>
      <c r="F917">
        <v>13.646166350461927</v>
      </c>
      <c r="G917">
        <v>12.541649042471326</v>
      </c>
      <c r="H917">
        <v>11.524351799619826</v>
      </c>
      <c r="I917">
        <v>12.795387438810522</v>
      </c>
      <c r="J917">
        <v>12.452621025062051</v>
      </c>
      <c r="K917">
        <v>12.199150114512719</v>
      </c>
      <c r="L917">
        <v>12.558990771210558</v>
      </c>
      <c r="M917">
        <v>12.4474868448624</v>
      </c>
      <c r="N917">
        <v>12.259680802118451</v>
      </c>
      <c r="O917">
        <v>12.470023639493911</v>
      </c>
      <c r="P917">
        <v>11.406733056295071</v>
      </c>
      <c r="Q917">
        <v>12.622283223215042</v>
      </c>
      <c r="R917">
        <v>12.011984164805927</v>
      </c>
      <c r="S917">
        <v>13.0144710308464</v>
      </c>
      <c r="T917">
        <v>12.234413331128213</v>
      </c>
    </row>
    <row r="918" spans="1:20" x14ac:dyDescent="0.25">
      <c r="A918" s="5" t="s">
        <v>936</v>
      </c>
      <c r="B918">
        <v>10.917492289835682</v>
      </c>
      <c r="C918">
        <v>10.94763156392281</v>
      </c>
      <c r="D918">
        <v>10.959668696460641</v>
      </c>
      <c r="E918">
        <v>10.772340535452503</v>
      </c>
      <c r="F918">
        <v>11.033378359472804</v>
      </c>
      <c r="G918">
        <v>11.107106188541318</v>
      </c>
      <c r="H918">
        <v>11.433581049593474</v>
      </c>
      <c r="I918">
        <v>11.050124188241028</v>
      </c>
      <c r="J918">
        <v>11.058478252701756</v>
      </c>
      <c r="K918">
        <v>11.011203803163289</v>
      </c>
      <c r="L918">
        <v>10.790488361274051</v>
      </c>
      <c r="M918">
        <v>11.25981876478324</v>
      </c>
      <c r="N918">
        <v>11.430658987240735</v>
      </c>
      <c r="O918">
        <v>11.008728502972582</v>
      </c>
      <c r="P918">
        <v>12.004543256389962</v>
      </c>
      <c r="Q918">
        <v>13.015390526779459</v>
      </c>
      <c r="R918">
        <v>12.783803977098746</v>
      </c>
      <c r="S918">
        <v>13.798169443906975</v>
      </c>
      <c r="T918">
        <v>12.665447320626573</v>
      </c>
    </row>
    <row r="919" spans="1:20" x14ac:dyDescent="0.25">
      <c r="A919" s="6" t="s">
        <v>937</v>
      </c>
      <c r="B919">
        <v>15.887174449965721</v>
      </c>
      <c r="C919">
        <v>15.818868436574812</v>
      </c>
      <c r="D919">
        <v>0</v>
      </c>
      <c r="E919">
        <v>16.688204143630514</v>
      </c>
      <c r="F919">
        <v>0</v>
      </c>
      <c r="G919">
        <v>15.401747622795478</v>
      </c>
      <c r="H919">
        <v>15.093625327433148</v>
      </c>
      <c r="I919">
        <v>16.242269408788282</v>
      </c>
      <c r="J919">
        <v>0</v>
      </c>
      <c r="K919">
        <v>16.62268351191241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16.62268351191241</v>
      </c>
      <c r="R919">
        <v>16.67455795111815</v>
      </c>
      <c r="S919">
        <v>0</v>
      </c>
      <c r="T919">
        <v>16.187407473753765</v>
      </c>
    </row>
    <row r="920" spans="1:20" x14ac:dyDescent="0.25">
      <c r="A920" s="5" t="s">
        <v>938</v>
      </c>
      <c r="B920">
        <v>12.450705680036481</v>
      </c>
      <c r="C920">
        <v>12.569107447585537</v>
      </c>
      <c r="D920">
        <v>12.912667386015498</v>
      </c>
      <c r="E920">
        <v>13.086919290000013</v>
      </c>
      <c r="F920">
        <v>12.039778791613218</v>
      </c>
      <c r="G920">
        <v>12.591139823416297</v>
      </c>
      <c r="H920">
        <v>12.022131461234366</v>
      </c>
      <c r="I920">
        <v>11.877555830123081</v>
      </c>
      <c r="J920">
        <v>11.968238953291602</v>
      </c>
      <c r="K920">
        <v>12.47193203696721</v>
      </c>
      <c r="L920">
        <v>12.362715602716468</v>
      </c>
      <c r="M920">
        <v>12.25953931565302</v>
      </c>
      <c r="N920">
        <v>10.672675169132877</v>
      </c>
      <c r="O920">
        <v>12.466728796460886</v>
      </c>
      <c r="P920">
        <v>11.358978230557375</v>
      </c>
      <c r="Q920">
        <v>10.975381201834864</v>
      </c>
      <c r="R920">
        <v>11.472382885575257</v>
      </c>
      <c r="S920">
        <v>10.722768463516813</v>
      </c>
      <c r="T920">
        <v>10.764273371438996</v>
      </c>
    </row>
    <row r="921" spans="1:20" x14ac:dyDescent="0.25">
      <c r="A921" s="6" t="s">
        <v>939</v>
      </c>
      <c r="B921">
        <v>0</v>
      </c>
      <c r="C921">
        <v>0</v>
      </c>
      <c r="D921">
        <v>0</v>
      </c>
      <c r="E921">
        <v>15.940613708927183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15.098678555159433</v>
      </c>
      <c r="R921">
        <v>15.139754498162349</v>
      </c>
      <c r="S921">
        <v>14.865479378866404</v>
      </c>
      <c r="T921">
        <v>15.426948176920622</v>
      </c>
    </row>
    <row r="922" spans="1:20" x14ac:dyDescent="0.25">
      <c r="A922" s="5" t="s">
        <v>940</v>
      </c>
      <c r="B922">
        <v>13.018224347042986</v>
      </c>
      <c r="C922">
        <v>12.523824942935805</v>
      </c>
      <c r="D922">
        <v>13.192314512767354</v>
      </c>
      <c r="E922">
        <v>12.881926911732457</v>
      </c>
      <c r="F922">
        <v>12.804812480408247</v>
      </c>
      <c r="G922">
        <v>12.720994625959928</v>
      </c>
      <c r="H922">
        <v>13.403309826565764</v>
      </c>
      <c r="I922">
        <v>13.219302962820887</v>
      </c>
      <c r="J922">
        <v>12.953269959059076</v>
      </c>
      <c r="K922">
        <v>13.118839325915623</v>
      </c>
      <c r="L922">
        <v>13.305129432626858</v>
      </c>
      <c r="M922">
        <v>12.53990394196925</v>
      </c>
      <c r="N922">
        <v>13.313917449896843</v>
      </c>
      <c r="O922">
        <v>13.455835138357777</v>
      </c>
      <c r="P922">
        <v>13.733860411368322</v>
      </c>
      <c r="Q922">
        <v>13.048876615874573</v>
      </c>
      <c r="R922">
        <v>13.047068329030237</v>
      </c>
      <c r="S922">
        <v>11.878870111303002</v>
      </c>
      <c r="T922">
        <v>12.54577517816772</v>
      </c>
    </row>
    <row r="923" spans="1:20" x14ac:dyDescent="0.25">
      <c r="A923" s="6" t="s">
        <v>941</v>
      </c>
      <c r="B923">
        <v>14.781821449819493</v>
      </c>
      <c r="C923">
        <v>15.150208855799516</v>
      </c>
      <c r="D923">
        <v>15.777763233245141</v>
      </c>
      <c r="E923">
        <v>14.528982811091586</v>
      </c>
      <c r="F923">
        <v>14.972725894080934</v>
      </c>
      <c r="G923">
        <v>14.823044112546006</v>
      </c>
      <c r="H923">
        <v>13.741744010444156</v>
      </c>
      <c r="I923">
        <v>14.192800732523983</v>
      </c>
      <c r="J923">
        <v>15.539251146545414</v>
      </c>
      <c r="K923">
        <v>14.785891114128539</v>
      </c>
      <c r="L923">
        <v>15.029494990013431</v>
      </c>
      <c r="M923">
        <v>14.563498692792091</v>
      </c>
      <c r="N923">
        <v>14.642471866904184</v>
      </c>
      <c r="O923">
        <v>14.991401818841357</v>
      </c>
      <c r="P923">
        <v>14.722115203695225</v>
      </c>
      <c r="Q923">
        <v>13.837754895921446</v>
      </c>
      <c r="R923">
        <v>14.328684160605755</v>
      </c>
      <c r="S923">
        <v>14.4397154729945</v>
      </c>
      <c r="T923">
        <v>14.346606068603018</v>
      </c>
    </row>
    <row r="924" spans="1:20" x14ac:dyDescent="0.25">
      <c r="A924" s="5" t="s">
        <v>942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14.195504941452361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15.134555591488031</v>
      </c>
      <c r="Q924">
        <v>14.414292876114592</v>
      </c>
      <c r="R924">
        <v>14.242269408788282</v>
      </c>
      <c r="S924">
        <v>12.902281342355931</v>
      </c>
      <c r="T924">
        <v>14.27621674071162</v>
      </c>
    </row>
    <row r="925" spans="1:20" x14ac:dyDescent="0.25">
      <c r="A925" s="6" t="s">
        <v>943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13.783854846972021</v>
      </c>
      <c r="H925">
        <v>0</v>
      </c>
      <c r="I925">
        <v>0</v>
      </c>
      <c r="J925">
        <v>0</v>
      </c>
      <c r="K925">
        <v>15.646166350461927</v>
      </c>
      <c r="L925">
        <v>0</v>
      </c>
      <c r="M925">
        <v>0</v>
      </c>
      <c r="N925">
        <v>0</v>
      </c>
      <c r="O925">
        <v>0</v>
      </c>
      <c r="P925">
        <v>14.765656630388486</v>
      </c>
      <c r="Q925">
        <v>14.231128851183081</v>
      </c>
      <c r="R925">
        <v>14.446141742153932</v>
      </c>
      <c r="S925">
        <v>12.665962898629992</v>
      </c>
      <c r="T925">
        <v>13.299300353824661</v>
      </c>
    </row>
    <row r="926" spans="1:20" x14ac:dyDescent="0.25">
      <c r="A926" s="5" t="s">
        <v>944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14.972725894080934</v>
      </c>
      <c r="I926">
        <v>16.935179822876556</v>
      </c>
      <c r="J926">
        <v>16.395515669083963</v>
      </c>
      <c r="K926">
        <v>0</v>
      </c>
      <c r="L926">
        <v>16.433317701796351</v>
      </c>
      <c r="M926">
        <v>15.383131944628133</v>
      </c>
      <c r="N926">
        <v>14.88280925740432</v>
      </c>
      <c r="O926">
        <v>16.231128851183083</v>
      </c>
      <c r="P926">
        <v>15.472136950686876</v>
      </c>
      <c r="Q926">
        <v>15.4397154729945</v>
      </c>
      <c r="R926">
        <v>15.316858725208965</v>
      </c>
      <c r="S926">
        <v>14.982033636307161</v>
      </c>
      <c r="T926">
        <v>15.171347622857667</v>
      </c>
    </row>
    <row r="927" spans="1:20" x14ac:dyDescent="0.25">
      <c r="A927" s="6" t="s">
        <v>945</v>
      </c>
      <c r="B927">
        <v>0</v>
      </c>
      <c r="C927">
        <v>0</v>
      </c>
      <c r="D927">
        <v>17.787522199707468</v>
      </c>
      <c r="E927">
        <v>0</v>
      </c>
      <c r="F927">
        <v>17.246749831770952</v>
      </c>
      <c r="G927">
        <v>15.827231909509438</v>
      </c>
      <c r="H927">
        <v>16.854325570391715</v>
      </c>
      <c r="I927">
        <v>17.794065045574239</v>
      </c>
      <c r="J927">
        <v>0</v>
      </c>
      <c r="K927">
        <v>17.05382431937517</v>
      </c>
      <c r="L927">
        <v>17.705060039515494</v>
      </c>
      <c r="M927">
        <v>0</v>
      </c>
      <c r="N927">
        <v>0</v>
      </c>
      <c r="O927">
        <v>0</v>
      </c>
      <c r="P927">
        <v>16.322759326648651</v>
      </c>
      <c r="Q927">
        <v>15.653583822024411</v>
      </c>
      <c r="R927">
        <v>16.276216740711622</v>
      </c>
      <c r="S927">
        <v>16.446141742153934</v>
      </c>
      <c r="T927">
        <v>15.383131944628133</v>
      </c>
    </row>
    <row r="928" spans="1:20" x14ac:dyDescent="0.25">
      <c r="A928" s="5" t="s">
        <v>946</v>
      </c>
      <c r="B928">
        <v>16.276216740711622</v>
      </c>
      <c r="C928">
        <v>16.656561521824305</v>
      </c>
      <c r="D928">
        <v>16.837332499478411</v>
      </c>
      <c r="E928">
        <v>16.90476850998046</v>
      </c>
      <c r="F928">
        <v>15.737796825927495</v>
      </c>
      <c r="G928">
        <v>14.613251727989191</v>
      </c>
      <c r="H928">
        <v>15.346606068603018</v>
      </c>
      <c r="I928">
        <v>16.472136950686878</v>
      </c>
      <c r="J928">
        <v>15.986710123516636</v>
      </c>
      <c r="K928">
        <v>15.722115203695225</v>
      </c>
      <c r="L928">
        <v>15.940613708927183</v>
      </c>
      <c r="M928">
        <v>16.310982158872296</v>
      </c>
      <c r="N928">
        <v>17.231128851183083</v>
      </c>
      <c r="O928">
        <v>16.977372258937301</v>
      </c>
      <c r="P928">
        <v>14.171347622857667</v>
      </c>
      <c r="Q928">
        <v>13.426948176920622</v>
      </c>
      <c r="R928">
        <v>14.228357101933028</v>
      </c>
      <c r="S928">
        <v>13.465594104820106</v>
      </c>
      <c r="T928">
        <v>13.021255635413509</v>
      </c>
    </row>
    <row r="929" spans="1:20" x14ac:dyDescent="0.25">
      <c r="A929" s="6" t="s">
        <v>947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14.299300353824661</v>
      </c>
      <c r="H929">
        <v>0</v>
      </c>
      <c r="I929">
        <v>0</v>
      </c>
      <c r="J929">
        <v>15.661039626943458</v>
      </c>
      <c r="K929">
        <v>15.078570981710859</v>
      </c>
      <c r="L929">
        <v>16.166033822961197</v>
      </c>
      <c r="M929">
        <v>0</v>
      </c>
      <c r="N929">
        <v>0</v>
      </c>
      <c r="O929">
        <v>0</v>
      </c>
      <c r="P929">
        <v>15.073587574196603</v>
      </c>
      <c r="Q929">
        <v>14.000831231761289</v>
      </c>
      <c r="R929">
        <v>14.124213647266572</v>
      </c>
      <c r="S929">
        <v>12.545274934173184</v>
      </c>
      <c r="T929">
        <v>13.556529137977249</v>
      </c>
    </row>
    <row r="930" spans="1:20" x14ac:dyDescent="0.25">
      <c r="A930" s="5" t="s">
        <v>948</v>
      </c>
      <c r="B930">
        <v>16.728367413007565</v>
      </c>
      <c r="C930">
        <v>17.20473735229168</v>
      </c>
      <c r="D930">
        <v>16.408006613267162</v>
      </c>
      <c r="E930">
        <v>16.276216740711622</v>
      </c>
      <c r="F930">
        <v>17.598144835598983</v>
      </c>
      <c r="G930">
        <v>0</v>
      </c>
      <c r="H930">
        <v>17.373300935268439</v>
      </c>
      <c r="I930">
        <v>17.253496664211536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18.009370720927805</v>
      </c>
      <c r="P930">
        <v>0</v>
      </c>
      <c r="Q930">
        <v>0</v>
      </c>
      <c r="R930">
        <v>0</v>
      </c>
      <c r="S930">
        <v>0</v>
      </c>
      <c r="T930">
        <v>18.487961917848562</v>
      </c>
    </row>
    <row r="931" spans="1:20" x14ac:dyDescent="0.25">
      <c r="A931" s="6" t="s">
        <v>949</v>
      </c>
      <c r="B931">
        <v>0</v>
      </c>
      <c r="C931">
        <v>16.073587574196605</v>
      </c>
      <c r="D931">
        <v>16.242269408788282</v>
      </c>
      <c r="E931">
        <v>16.093625327433145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17.892430175417214</v>
      </c>
    </row>
    <row r="932" spans="1:20" x14ac:dyDescent="0.25">
      <c r="A932" s="5" t="s">
        <v>950</v>
      </c>
      <c r="B932">
        <v>16.395515669083963</v>
      </c>
      <c r="C932">
        <v>15.346606068603018</v>
      </c>
      <c r="D932">
        <v>14.769680886947281</v>
      </c>
      <c r="E932">
        <v>14.737796825927495</v>
      </c>
      <c r="F932">
        <v>16.334633426936943</v>
      </c>
      <c r="G932">
        <v>15.602444973032609</v>
      </c>
      <c r="H932">
        <v>15.322759326648649</v>
      </c>
      <c r="I932">
        <v>15.844105728073835</v>
      </c>
      <c r="J932">
        <v>16.34660606860302</v>
      </c>
      <c r="K932">
        <v>15.346606068603018</v>
      </c>
      <c r="L932">
        <v>15.293494732143458</v>
      </c>
      <c r="M932">
        <v>0</v>
      </c>
      <c r="N932">
        <v>0</v>
      </c>
      <c r="O932">
        <v>15.737796825927495</v>
      </c>
      <c r="P932">
        <v>0</v>
      </c>
      <c r="Q932">
        <v>15.904768509980459</v>
      </c>
      <c r="R932">
        <v>16.395515669083963</v>
      </c>
      <c r="S932">
        <v>15.913646661326911</v>
      </c>
      <c r="T932">
        <v>16.124213647266568</v>
      </c>
    </row>
    <row r="933" spans="1:20" x14ac:dyDescent="0.25">
      <c r="A933" s="6" t="s">
        <v>951</v>
      </c>
      <c r="B933">
        <v>11.724305277578138</v>
      </c>
      <c r="C933">
        <v>11.832704807093171</v>
      </c>
      <c r="D933">
        <v>11.925354712570948</v>
      </c>
      <c r="E933">
        <v>11.288365346800436</v>
      </c>
      <c r="F933">
        <v>11.602014382060634</v>
      </c>
      <c r="G933">
        <v>12.551479860680908</v>
      </c>
      <c r="H933">
        <v>12.154129127028341</v>
      </c>
      <c r="I933">
        <v>12.097818256777481</v>
      </c>
      <c r="J933">
        <v>11.792605670003589</v>
      </c>
      <c r="K933">
        <v>11.7811053599582</v>
      </c>
      <c r="L933">
        <v>12.124857851358941</v>
      </c>
      <c r="M933">
        <v>12.392820907319024</v>
      </c>
      <c r="N933">
        <v>12.681052223799872</v>
      </c>
      <c r="O933">
        <v>11.901315267293645</v>
      </c>
      <c r="P933">
        <v>12.28455633202193</v>
      </c>
      <c r="Q933">
        <v>12.631453998940554</v>
      </c>
      <c r="R933">
        <v>13.009608651998008</v>
      </c>
      <c r="S933">
        <v>12.559356460135106</v>
      </c>
      <c r="T933">
        <v>12.57968410261914</v>
      </c>
    </row>
    <row r="934" spans="1:20" x14ac:dyDescent="0.25">
      <c r="A934" s="5" t="s">
        <v>952</v>
      </c>
      <c r="B934">
        <v>14.818868436574812</v>
      </c>
      <c r="C934">
        <v>14.814704811633275</v>
      </c>
      <c r="D934">
        <v>14.931568569324176</v>
      </c>
      <c r="E934">
        <v>15.259143227352677</v>
      </c>
      <c r="F934">
        <v>15.287712379549449</v>
      </c>
      <c r="G934">
        <v>14.741744010444156</v>
      </c>
      <c r="H934">
        <v>14.59171856643955</v>
      </c>
      <c r="I934">
        <v>14.668534163490381</v>
      </c>
      <c r="J934">
        <v>14.982033636307161</v>
      </c>
      <c r="K934">
        <v>14.982033636307161</v>
      </c>
      <c r="L934">
        <v>14.281953110260764</v>
      </c>
      <c r="M934">
        <v>14.777763233245141</v>
      </c>
      <c r="N934">
        <v>15.737796825927495</v>
      </c>
      <c r="O934">
        <v>15.785891114128539</v>
      </c>
      <c r="P934">
        <v>14.574016564706092</v>
      </c>
      <c r="Q934">
        <v>15.053824319375174</v>
      </c>
      <c r="R934">
        <v>14.491945431767057</v>
      </c>
      <c r="S934">
        <v>14.852617227929352</v>
      </c>
      <c r="T934">
        <v>14.649870319225345</v>
      </c>
    </row>
    <row r="935" spans="1:20" x14ac:dyDescent="0.25">
      <c r="A935" s="6" t="s">
        <v>953</v>
      </c>
      <c r="B935">
        <v>17.099691328132501</v>
      </c>
      <c r="C935">
        <v>15.83564414932564</v>
      </c>
      <c r="D935">
        <v>16.653583822024409</v>
      </c>
      <c r="E935">
        <v>16.253496664211536</v>
      </c>
      <c r="F935">
        <v>0</v>
      </c>
      <c r="G935">
        <v>0</v>
      </c>
      <c r="H935">
        <v>0</v>
      </c>
      <c r="I935">
        <v>0</v>
      </c>
      <c r="J935">
        <v>16.94242956195594</v>
      </c>
      <c r="K935">
        <v>16.924373067919969</v>
      </c>
      <c r="L935">
        <v>16.61687204366789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25">
      <c r="A936" s="5" t="s">
        <v>954</v>
      </c>
      <c r="B936">
        <v>11.636130218656772</v>
      </c>
      <c r="C936">
        <v>12.160356440858202</v>
      </c>
      <c r="D936">
        <v>12.207634639262649</v>
      </c>
      <c r="E936">
        <v>13.064623510736336</v>
      </c>
      <c r="F936">
        <v>12.392813148704143</v>
      </c>
      <c r="G936">
        <v>11.19937061075551</v>
      </c>
      <c r="H936">
        <v>10.679149125523148</v>
      </c>
      <c r="I936">
        <v>12.524530294707109</v>
      </c>
      <c r="J936">
        <v>12.038722219108147</v>
      </c>
      <c r="K936">
        <v>12.489346601392905</v>
      </c>
      <c r="L936">
        <v>11.855592116720175</v>
      </c>
      <c r="M936">
        <v>11.102667294468413</v>
      </c>
      <c r="N936">
        <v>11.332492584198183</v>
      </c>
      <c r="O936">
        <v>11.512307794197172</v>
      </c>
      <c r="P936">
        <v>11.52709541175555</v>
      </c>
      <c r="Q936">
        <v>11.094284401170025</v>
      </c>
      <c r="R936">
        <v>11.535670325162521</v>
      </c>
      <c r="S936">
        <v>11.837248035028228</v>
      </c>
      <c r="T936">
        <v>10.616872043667888</v>
      </c>
    </row>
    <row r="937" spans="1:20" x14ac:dyDescent="0.25">
      <c r="A937" s="6" t="s">
        <v>955</v>
      </c>
      <c r="B937">
        <v>13.779790914592123</v>
      </c>
      <c r="C937">
        <v>14.200928613407385</v>
      </c>
      <c r="D937">
        <v>13.787930259402136</v>
      </c>
      <c r="E937">
        <v>13.841985676199466</v>
      </c>
      <c r="F937">
        <v>13.419025614227316</v>
      </c>
      <c r="G937">
        <v>13.952000469228988</v>
      </c>
      <c r="H937">
        <v>13.933824543264544</v>
      </c>
      <c r="I937">
        <v>13.534107843269455</v>
      </c>
      <c r="J937">
        <v>13.500279915032584</v>
      </c>
      <c r="K937">
        <v>13.700827566697265</v>
      </c>
      <c r="L937">
        <v>13.704674755752785</v>
      </c>
      <c r="M937">
        <v>13.722115203695225</v>
      </c>
      <c r="N937">
        <v>14.116505552131308</v>
      </c>
      <c r="O937">
        <v>13.785891114128539</v>
      </c>
      <c r="P937">
        <v>13.406439318120201</v>
      </c>
      <c r="Q937">
        <v>13.463963019241179</v>
      </c>
      <c r="R937">
        <v>13.490284297397135</v>
      </c>
      <c r="S937">
        <v>13.825136491507246</v>
      </c>
      <c r="T937">
        <v>13.622319608507558</v>
      </c>
    </row>
    <row r="938" spans="1:20" x14ac:dyDescent="0.25">
      <c r="A938" s="5" t="s">
        <v>956</v>
      </c>
      <c r="B938">
        <v>0</v>
      </c>
      <c r="C938">
        <v>0</v>
      </c>
      <c r="D938">
        <v>16.124213647266568</v>
      </c>
      <c r="E938">
        <v>0</v>
      </c>
      <c r="F938">
        <v>0</v>
      </c>
      <c r="G938">
        <v>0</v>
      </c>
      <c r="H938">
        <v>16.408006613267162</v>
      </c>
      <c r="I938">
        <v>0</v>
      </c>
      <c r="J938">
        <v>0</v>
      </c>
      <c r="K938">
        <v>0</v>
      </c>
      <c r="L938">
        <v>0</v>
      </c>
      <c r="M938">
        <v>14.991401818841357</v>
      </c>
      <c r="N938">
        <v>15.4397154729945</v>
      </c>
      <c r="O938">
        <v>0</v>
      </c>
      <c r="P938">
        <v>0</v>
      </c>
      <c r="Q938">
        <v>13.491945431767057</v>
      </c>
      <c r="R938">
        <v>0</v>
      </c>
      <c r="S938">
        <v>14.383131944628133</v>
      </c>
      <c r="T938">
        <v>15.053824319375174</v>
      </c>
    </row>
    <row r="939" spans="1:20" x14ac:dyDescent="0.25">
      <c r="A939" s="6" t="s">
        <v>957</v>
      </c>
      <c r="B939">
        <v>9.8446494931892907</v>
      </c>
      <c r="C939">
        <v>9.5583749690195337</v>
      </c>
      <c r="D939">
        <v>8.8736709090172017</v>
      </c>
      <c r="E939">
        <v>8.742272148309171</v>
      </c>
      <c r="F939">
        <v>8.1471382018395477</v>
      </c>
      <c r="G939">
        <v>9.1728273434983603</v>
      </c>
      <c r="H939">
        <v>8.2512723464331206</v>
      </c>
      <c r="I939">
        <v>8.822503856469524</v>
      </c>
      <c r="J939">
        <v>9.4456074723249515</v>
      </c>
      <c r="K939">
        <v>9.476714104331915</v>
      </c>
      <c r="L939">
        <v>9.7045423382197047</v>
      </c>
      <c r="M939">
        <v>8.8024227437429676</v>
      </c>
      <c r="N939">
        <v>9.6022274188226397</v>
      </c>
      <c r="O939">
        <v>8.3671089427711429</v>
      </c>
      <c r="P939">
        <v>9.5174711004422594</v>
      </c>
      <c r="Q939">
        <v>9.3764244253048776</v>
      </c>
      <c r="R939">
        <v>9.825785745650375</v>
      </c>
      <c r="S939">
        <v>9.8566925630073374</v>
      </c>
      <c r="T939">
        <v>9.0112953695494404</v>
      </c>
    </row>
    <row r="940" spans="1:20" x14ac:dyDescent="0.25">
      <c r="A940" s="5" t="s">
        <v>958</v>
      </c>
      <c r="B940">
        <v>14.874118297140276</v>
      </c>
      <c r="C940">
        <v>14.214577674919234</v>
      </c>
      <c r="D940">
        <v>14.287712379549449</v>
      </c>
      <c r="E940">
        <v>14.231128851183081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15.214577674919234</v>
      </c>
      <c r="L940">
        <v>0</v>
      </c>
      <c r="M940">
        <v>0</v>
      </c>
      <c r="N940">
        <v>0</v>
      </c>
      <c r="O940">
        <v>0</v>
      </c>
      <c r="P940">
        <v>14.963477817278919</v>
      </c>
      <c r="Q940">
        <v>0</v>
      </c>
      <c r="R940">
        <v>15.45908079786143</v>
      </c>
      <c r="S940">
        <v>14.737796825927495</v>
      </c>
      <c r="T940">
        <v>15.769680886947281</v>
      </c>
    </row>
    <row r="941" spans="1:20" x14ac:dyDescent="0.25">
      <c r="A941" s="6" t="s">
        <v>959</v>
      </c>
      <c r="B941">
        <v>0</v>
      </c>
      <c r="C941">
        <v>0</v>
      </c>
      <c r="D941">
        <v>11.490446173873675</v>
      </c>
      <c r="E941">
        <v>12.215167490210593</v>
      </c>
      <c r="F941">
        <v>13.558268372715785</v>
      </c>
      <c r="G941">
        <v>0</v>
      </c>
      <c r="H941">
        <v>0</v>
      </c>
      <c r="I941">
        <v>0</v>
      </c>
      <c r="J941">
        <v>0</v>
      </c>
      <c r="K941">
        <v>11.702293097718538</v>
      </c>
      <c r="L941">
        <v>0</v>
      </c>
      <c r="M941">
        <v>10.167383665832295</v>
      </c>
      <c r="N941">
        <v>11.339545153237523</v>
      </c>
      <c r="O941">
        <v>11.068156610382538</v>
      </c>
      <c r="P941">
        <v>0</v>
      </c>
      <c r="Q941">
        <v>0</v>
      </c>
      <c r="R941">
        <v>0</v>
      </c>
      <c r="S941">
        <v>11.454490330632566</v>
      </c>
      <c r="T941">
        <v>12.047507974025528</v>
      </c>
    </row>
    <row r="942" spans="1:20" x14ac:dyDescent="0.25">
      <c r="A942" s="5" t="s">
        <v>960</v>
      </c>
      <c r="B942">
        <v>0</v>
      </c>
      <c r="C942">
        <v>14.67606783617579</v>
      </c>
      <c r="D942">
        <v>14.179355201459032</v>
      </c>
      <c r="E942">
        <v>14.253496664211537</v>
      </c>
      <c r="F942">
        <v>16.15546458125101</v>
      </c>
      <c r="G942">
        <v>14.478709604610362</v>
      </c>
      <c r="H942">
        <v>0</v>
      </c>
      <c r="I942">
        <v>15.931568569324174</v>
      </c>
      <c r="J942">
        <v>0</v>
      </c>
      <c r="K942">
        <v>14.472136950686876</v>
      </c>
      <c r="L942">
        <v>14.261974818135842</v>
      </c>
      <c r="M942">
        <v>0</v>
      </c>
      <c r="N942">
        <v>0</v>
      </c>
      <c r="O942">
        <v>14.75365077712833</v>
      </c>
      <c r="P942">
        <v>0</v>
      </c>
      <c r="Q942">
        <v>0</v>
      </c>
      <c r="R942">
        <v>0</v>
      </c>
      <c r="S942">
        <v>15.485312339434612</v>
      </c>
      <c r="T942">
        <v>0</v>
      </c>
    </row>
    <row r="943" spans="1:20" x14ac:dyDescent="0.25">
      <c r="A943" s="6" t="s">
        <v>961</v>
      </c>
      <c r="B943">
        <v>0</v>
      </c>
      <c r="C943">
        <v>0</v>
      </c>
      <c r="D943">
        <v>13.938347101955237</v>
      </c>
      <c r="E943">
        <v>14.024677973715656</v>
      </c>
      <c r="F943">
        <v>14.267654727208196</v>
      </c>
      <c r="G943">
        <v>13.044555156195448</v>
      </c>
      <c r="H943">
        <v>13.696990609539608</v>
      </c>
      <c r="I943">
        <v>14.088589737535848</v>
      </c>
      <c r="J943">
        <v>14.43331770179635</v>
      </c>
      <c r="K943">
        <v>13.814704811633275</v>
      </c>
      <c r="L943">
        <v>14.036750806016231</v>
      </c>
      <c r="M943">
        <v>14.635111161952929</v>
      </c>
      <c r="N943">
        <v>0</v>
      </c>
      <c r="O943">
        <v>14.798169443906975</v>
      </c>
      <c r="P943">
        <v>13.741744010444156</v>
      </c>
      <c r="Q943">
        <v>13.412718740616482</v>
      </c>
      <c r="R943">
        <v>13.757641637324365</v>
      </c>
      <c r="S943">
        <v>12.866028568809067</v>
      </c>
      <c r="T943">
        <v>13.069191571204394</v>
      </c>
    </row>
    <row r="944" spans="1:20" x14ac:dyDescent="0.25">
      <c r="A944" s="5" t="s">
        <v>962</v>
      </c>
      <c r="B944">
        <v>17.383131944628133</v>
      </c>
      <c r="C944">
        <v>16.883681239927625</v>
      </c>
      <c r="D944">
        <v>17.007468683683435</v>
      </c>
      <c r="E944">
        <v>16.868065627018016</v>
      </c>
      <c r="F944">
        <v>17.644687421536013</v>
      </c>
      <c r="G944">
        <v>17.402997250453417</v>
      </c>
      <c r="H944">
        <v>17.461682593049712</v>
      </c>
      <c r="I944">
        <v>17.385600200218882</v>
      </c>
      <c r="J944">
        <v>18.06367210533152</v>
      </c>
      <c r="K944">
        <v>16.844105728073835</v>
      </c>
      <c r="L944">
        <v>17.136632906520639</v>
      </c>
      <c r="M944">
        <v>17.539251146545414</v>
      </c>
      <c r="N944">
        <v>16.768069837041296</v>
      </c>
      <c r="O944">
        <v>18.308638218403999</v>
      </c>
      <c r="P944">
        <v>17.320396189280171</v>
      </c>
      <c r="Q944">
        <v>17.761643567881862</v>
      </c>
      <c r="R944">
        <v>17.57824527816128</v>
      </c>
      <c r="S944">
        <v>17.885426787679453</v>
      </c>
      <c r="T944">
        <v>17.085576798659602</v>
      </c>
    </row>
    <row r="945" spans="1:20" x14ac:dyDescent="0.25">
      <c r="A945" s="6" t="s">
        <v>963</v>
      </c>
      <c r="B945">
        <v>0</v>
      </c>
      <c r="C945">
        <v>16.144972207433366</v>
      </c>
      <c r="D945">
        <v>15.119070343990609</v>
      </c>
      <c r="E945">
        <v>14.869792371737484</v>
      </c>
      <c r="F945">
        <v>15.328684160605755</v>
      </c>
      <c r="G945">
        <v>0</v>
      </c>
      <c r="H945">
        <v>0</v>
      </c>
      <c r="I945">
        <v>0</v>
      </c>
      <c r="J945">
        <v>0</v>
      </c>
      <c r="K945">
        <v>15.328684160605755</v>
      </c>
      <c r="L945">
        <v>15.769680886947281</v>
      </c>
      <c r="M945">
        <v>0</v>
      </c>
      <c r="N945">
        <v>0</v>
      </c>
      <c r="O945">
        <v>15.904768509980459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25">
      <c r="A946" s="5" t="s">
        <v>964</v>
      </c>
      <c r="B946">
        <v>0</v>
      </c>
      <c r="C946">
        <v>16.760041463285361</v>
      </c>
      <c r="D946">
        <v>17.280804010207273</v>
      </c>
      <c r="E946">
        <v>17.542001757561451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17.878457232864612</v>
      </c>
      <c r="L946">
        <v>18.024677973715654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25">
      <c r="A947" s="6" t="s">
        <v>965</v>
      </c>
      <c r="B947">
        <v>14.546137532130656</v>
      </c>
      <c r="C947">
        <v>15.078570981710859</v>
      </c>
      <c r="D947">
        <v>15.996108821518886</v>
      </c>
      <c r="E947">
        <v>0</v>
      </c>
      <c r="F947">
        <v>0</v>
      </c>
      <c r="G947">
        <v>14.231128851183081</v>
      </c>
      <c r="H947">
        <v>13.889362009203486</v>
      </c>
      <c r="I947">
        <v>14.802285552379209</v>
      </c>
      <c r="J947">
        <v>14.346606068603018</v>
      </c>
      <c r="K947">
        <v>15.305129432626858</v>
      </c>
      <c r="L947">
        <v>13.802285552379209</v>
      </c>
      <c r="M947">
        <v>13.975047205991057</v>
      </c>
      <c r="N947">
        <v>12.86469364706508</v>
      </c>
      <c r="O947">
        <v>14.606038237756618</v>
      </c>
      <c r="P947">
        <v>12.403044132553138</v>
      </c>
      <c r="Q947">
        <v>11.80315142919277</v>
      </c>
      <c r="R947">
        <v>12.798436634395914</v>
      </c>
      <c r="S947">
        <v>0</v>
      </c>
      <c r="T947">
        <v>13.452596764291233</v>
      </c>
    </row>
    <row r="948" spans="1:20" x14ac:dyDescent="0.25">
      <c r="A948" s="5" t="s">
        <v>966</v>
      </c>
      <c r="B948">
        <v>17.777763233245139</v>
      </c>
      <c r="C948">
        <v>17.487961917848562</v>
      </c>
      <c r="D948">
        <v>17.07159902110315</v>
      </c>
      <c r="E948">
        <v>16.859462768843755</v>
      </c>
      <c r="F948">
        <v>18.558616471412346</v>
      </c>
      <c r="G948">
        <v>0</v>
      </c>
      <c r="H948">
        <v>0</v>
      </c>
      <c r="I948">
        <v>17.949715916034435</v>
      </c>
      <c r="J948">
        <v>0</v>
      </c>
      <c r="K948">
        <v>0</v>
      </c>
      <c r="L948">
        <v>17.618322717536614</v>
      </c>
      <c r="M948">
        <v>17.287712379549451</v>
      </c>
      <c r="N948">
        <v>17.168156994854169</v>
      </c>
      <c r="O948">
        <v>18.627057527514221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25">
      <c r="A949" s="6" t="s">
        <v>967</v>
      </c>
      <c r="B949">
        <v>0</v>
      </c>
      <c r="C949">
        <v>0</v>
      </c>
      <c r="D949">
        <v>0</v>
      </c>
      <c r="E949">
        <v>0</v>
      </c>
      <c r="F949">
        <v>14.14236099397683</v>
      </c>
      <c r="G949">
        <v>13.342104676368077</v>
      </c>
      <c r="H949">
        <v>0</v>
      </c>
      <c r="I949">
        <v>13.909200756295721</v>
      </c>
      <c r="J949">
        <v>0</v>
      </c>
      <c r="K949">
        <v>0</v>
      </c>
      <c r="L949">
        <v>0</v>
      </c>
      <c r="M949">
        <v>0</v>
      </c>
      <c r="N949">
        <v>13.856891883029679</v>
      </c>
      <c r="O949">
        <v>0</v>
      </c>
      <c r="P949">
        <v>13.82723190950944</v>
      </c>
      <c r="Q949">
        <v>13.296394622649251</v>
      </c>
      <c r="R949">
        <v>13.328684160605755</v>
      </c>
      <c r="S949">
        <v>11.826524365631489</v>
      </c>
      <c r="T949">
        <v>12.831032373104831</v>
      </c>
    </row>
    <row r="950" spans="1:20" x14ac:dyDescent="0.25">
      <c r="A950" s="5" t="s">
        <v>968</v>
      </c>
      <c r="B950">
        <v>15.913646661326911</v>
      </c>
      <c r="C950">
        <v>0</v>
      </c>
      <c r="D950">
        <v>15.810553168362809</v>
      </c>
      <c r="E950">
        <v>0</v>
      </c>
      <c r="F950">
        <v>12.991014176003173</v>
      </c>
      <c r="G950">
        <v>13.246960193389963</v>
      </c>
      <c r="H950">
        <v>12.73639816877453</v>
      </c>
      <c r="I950">
        <v>14.222829527964596</v>
      </c>
      <c r="J950">
        <v>14.373913414598753</v>
      </c>
      <c r="K950">
        <v>13.823044112546006</v>
      </c>
      <c r="L950">
        <v>14.319806009259304</v>
      </c>
      <c r="M950">
        <v>14.745702024012841</v>
      </c>
      <c r="N950">
        <v>14.53582024114514</v>
      </c>
      <c r="O950">
        <v>14.430129424165303</v>
      </c>
      <c r="P950">
        <v>12.818524482374448</v>
      </c>
      <c r="Q950">
        <v>12.475559210091642</v>
      </c>
      <c r="R950">
        <v>12.289119693391353</v>
      </c>
      <c r="S950">
        <v>12.917715539484606</v>
      </c>
      <c r="T950">
        <v>12.449155870410292</v>
      </c>
    </row>
    <row r="951" spans="1:20" x14ac:dyDescent="0.25">
      <c r="A951" s="6" t="s">
        <v>969</v>
      </c>
      <c r="B951">
        <v>12.882700296636859</v>
      </c>
      <c r="C951">
        <v>13.679849476718214</v>
      </c>
      <c r="D951">
        <v>13.984369985062118</v>
      </c>
      <c r="E951">
        <v>13.924821736883588</v>
      </c>
      <c r="F951">
        <v>9.545031343651452</v>
      </c>
      <c r="G951">
        <v>10.124023661992085</v>
      </c>
      <c r="H951">
        <v>11.034285783359168</v>
      </c>
      <c r="I951">
        <v>11.264584799257516</v>
      </c>
      <c r="J951">
        <v>10.740963585209823</v>
      </c>
      <c r="K951">
        <v>12.176520776616583</v>
      </c>
      <c r="L951">
        <v>12.430495717746922</v>
      </c>
      <c r="M951">
        <v>12.538178111880187</v>
      </c>
      <c r="N951">
        <v>12.322352886839843</v>
      </c>
      <c r="O951">
        <v>12.494632209114011</v>
      </c>
      <c r="P951">
        <v>8.8997267907778816</v>
      </c>
      <c r="Q951">
        <v>7.5688293948887679</v>
      </c>
      <c r="R951">
        <v>7.3069752785322271</v>
      </c>
      <c r="S951">
        <v>8.4746356519572217</v>
      </c>
      <c r="T951">
        <v>7.5192829497950058</v>
      </c>
    </row>
    <row r="952" spans="1:20" x14ac:dyDescent="0.25">
      <c r="A952" s="5" t="s">
        <v>970</v>
      </c>
      <c r="B952">
        <v>13.004667748026419</v>
      </c>
      <c r="C952">
        <v>12.241815143212694</v>
      </c>
      <c r="D952">
        <v>12.437865201362545</v>
      </c>
      <c r="E952">
        <v>12.612239665484768</v>
      </c>
      <c r="F952">
        <v>12.822646903379876</v>
      </c>
      <c r="G952">
        <v>12.427011733168166</v>
      </c>
      <c r="H952">
        <v>12.570326580859193</v>
      </c>
      <c r="I952">
        <v>11.931889830158568</v>
      </c>
      <c r="J952">
        <v>12.531081872718342</v>
      </c>
      <c r="K952">
        <v>12.33055553403339</v>
      </c>
      <c r="L952">
        <v>12.152321983525798</v>
      </c>
      <c r="M952">
        <v>12.763658736456922</v>
      </c>
      <c r="N952">
        <v>12.245964752629549</v>
      </c>
      <c r="O952">
        <v>12.330050321069351</v>
      </c>
      <c r="P952">
        <v>13.315387337992298</v>
      </c>
      <c r="Q952">
        <v>14.426948176920622</v>
      </c>
      <c r="R952">
        <v>14.044043298582588</v>
      </c>
      <c r="S952">
        <v>14.515404404591045</v>
      </c>
      <c r="T952">
        <v>14.991401818841357</v>
      </c>
    </row>
    <row r="953" spans="1:20" x14ac:dyDescent="0.25">
      <c r="A953" s="6" t="s">
        <v>971</v>
      </c>
      <c r="B953">
        <v>11.789078546472972</v>
      </c>
      <c r="C953">
        <v>11.154198171938475</v>
      </c>
      <c r="D953">
        <v>11.286998422194081</v>
      </c>
      <c r="E953">
        <v>11.486533024966631</v>
      </c>
      <c r="F953">
        <v>11.801008302327411</v>
      </c>
      <c r="G953">
        <v>11.30306470283438</v>
      </c>
      <c r="H953">
        <v>11.764511769760098</v>
      </c>
      <c r="I953">
        <v>11.073279790631293</v>
      </c>
      <c r="J953">
        <v>11.110352643630353</v>
      </c>
      <c r="K953">
        <v>10.980931026358293</v>
      </c>
      <c r="L953">
        <v>10.868812730055224</v>
      </c>
      <c r="M953">
        <v>11.4998495111377</v>
      </c>
      <c r="N953">
        <v>10.986499355546908</v>
      </c>
      <c r="O953">
        <v>11.016436120373523</v>
      </c>
      <c r="P953">
        <v>11.858674948274977</v>
      </c>
      <c r="Q953">
        <v>12.67106297332297</v>
      </c>
      <c r="R953">
        <v>12.118589098072693</v>
      </c>
      <c r="S953">
        <v>12.712622763944093</v>
      </c>
      <c r="T953">
        <v>13.089608026245399</v>
      </c>
    </row>
    <row r="954" spans="1:20" x14ac:dyDescent="0.25">
      <c r="A954" s="5" t="s">
        <v>972</v>
      </c>
      <c r="B954">
        <v>0</v>
      </c>
      <c r="C954">
        <v>15.401747622795478</v>
      </c>
      <c r="D954">
        <v>15.328684160605755</v>
      </c>
      <c r="E954">
        <v>15.722115203695225</v>
      </c>
      <c r="F954">
        <v>0</v>
      </c>
      <c r="G954">
        <v>15.61687204366789</v>
      </c>
      <c r="H954">
        <v>0</v>
      </c>
      <c r="I954">
        <v>0</v>
      </c>
      <c r="J954">
        <v>0</v>
      </c>
      <c r="K954">
        <v>16.209102544853081</v>
      </c>
      <c r="L954">
        <v>15.45908079786143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25">
      <c r="A955" s="6" t="s">
        <v>973</v>
      </c>
      <c r="B955">
        <v>13.865479378866404</v>
      </c>
      <c r="C955">
        <v>12.225583758199189</v>
      </c>
      <c r="D955">
        <v>12.279662998000923</v>
      </c>
      <c r="E955">
        <v>12.347365185988016</v>
      </c>
      <c r="F955">
        <v>13.175746289945957</v>
      </c>
      <c r="G955">
        <v>12.115052058212909</v>
      </c>
      <c r="H955">
        <v>12.893000696833433</v>
      </c>
      <c r="I955">
        <v>12.307694393372556</v>
      </c>
      <c r="J955">
        <v>12.486661360386485</v>
      </c>
      <c r="K955">
        <v>12.563044647165219</v>
      </c>
      <c r="L955">
        <v>12.61608385154903</v>
      </c>
      <c r="M955">
        <v>13.209266496786993</v>
      </c>
      <c r="N955">
        <v>12.463376279570285</v>
      </c>
      <c r="O955">
        <v>12.575618493364182</v>
      </c>
      <c r="P955">
        <v>13.904768509980459</v>
      </c>
      <c r="Q955">
        <v>14.895944659593452</v>
      </c>
      <c r="R955">
        <v>14.823044112546006</v>
      </c>
      <c r="S955">
        <v>14.757641637324365</v>
      </c>
      <c r="T955">
        <v>14.649870319225345</v>
      </c>
    </row>
    <row r="956" spans="1:20" x14ac:dyDescent="0.25">
      <c r="A956" s="5" t="s">
        <v>974</v>
      </c>
      <c r="B956">
        <v>12.88941674070602</v>
      </c>
      <c r="C956">
        <v>11.546586286977286</v>
      </c>
      <c r="D956">
        <v>11.436585017559622</v>
      </c>
      <c r="E956">
        <v>11.110263340118699</v>
      </c>
      <c r="F956">
        <v>11.754996458607204</v>
      </c>
      <c r="G956">
        <v>11.981275136884939</v>
      </c>
      <c r="H956">
        <v>12.905188988515997</v>
      </c>
      <c r="I956">
        <v>12.225673583532414</v>
      </c>
      <c r="J956">
        <v>12.799423612784288</v>
      </c>
      <c r="K956">
        <v>11.758071312706896</v>
      </c>
      <c r="L956">
        <v>11.884641029823605</v>
      </c>
      <c r="M956">
        <v>13.38005255169616</v>
      </c>
      <c r="N956">
        <v>13.505303814622076</v>
      </c>
      <c r="O956">
        <v>12.317197356641152</v>
      </c>
      <c r="P956">
        <v>13.833536486363649</v>
      </c>
      <c r="Q956">
        <v>14.019876987451836</v>
      </c>
      <c r="R956">
        <v>13.956580457332247</v>
      </c>
      <c r="S956">
        <v>14.302211949244565</v>
      </c>
      <c r="T956">
        <v>13.924821736883588</v>
      </c>
    </row>
    <row r="957" spans="1:20" x14ac:dyDescent="0.25">
      <c r="A957" s="6" t="s">
        <v>975</v>
      </c>
      <c r="B957">
        <v>0</v>
      </c>
      <c r="C957">
        <v>14.991401818841357</v>
      </c>
      <c r="D957">
        <v>15.376979717646538</v>
      </c>
      <c r="E957">
        <v>15.340607327981576</v>
      </c>
      <c r="F957">
        <v>0</v>
      </c>
      <c r="G957">
        <v>0</v>
      </c>
      <c r="H957">
        <v>0</v>
      </c>
      <c r="I957">
        <v>15.940613708927183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15.334633426936943</v>
      </c>
      <c r="R957">
        <v>15.376979717646538</v>
      </c>
      <c r="S957">
        <v>0</v>
      </c>
      <c r="T957">
        <v>0</v>
      </c>
    </row>
    <row r="958" spans="1:20" x14ac:dyDescent="0.25">
      <c r="A958" s="5" t="s">
        <v>976</v>
      </c>
      <c r="B958">
        <v>14.92257978609692</v>
      </c>
      <c r="C958">
        <v>14.337617285375762</v>
      </c>
      <c r="D958">
        <v>13.848355201075194</v>
      </c>
      <c r="E958">
        <v>14.691254239990466</v>
      </c>
      <c r="F958">
        <v>14.823044112546006</v>
      </c>
      <c r="G958">
        <v>14.794065045574239</v>
      </c>
      <c r="H958">
        <v>15.408006613267162</v>
      </c>
      <c r="I958">
        <v>0</v>
      </c>
      <c r="J958">
        <v>0</v>
      </c>
      <c r="K958">
        <v>15.103749544706854</v>
      </c>
      <c r="L958">
        <v>15.383131944628133</v>
      </c>
      <c r="M958">
        <v>0</v>
      </c>
      <c r="N958">
        <v>0</v>
      </c>
      <c r="O958">
        <v>14.848355201075194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25">
      <c r="A959" s="6" t="s">
        <v>977</v>
      </c>
      <c r="B959">
        <v>16.005569150767954</v>
      </c>
      <c r="C959">
        <v>16.512029677810389</v>
      </c>
      <c r="D959">
        <v>16.253496664211536</v>
      </c>
      <c r="E959">
        <v>16.395515669083963</v>
      </c>
      <c r="F959">
        <v>15.668534163490381</v>
      </c>
      <c r="G959">
        <v>15.058739809789289</v>
      </c>
      <c r="H959">
        <v>15.6989078125339</v>
      </c>
      <c r="I959">
        <v>15.661039626943458</v>
      </c>
      <c r="J959">
        <v>15.182034301654912</v>
      </c>
      <c r="K959">
        <v>16.015091924886459</v>
      </c>
      <c r="L959">
        <v>15.802285552379209</v>
      </c>
      <c r="M959">
        <v>15.638786820096328</v>
      </c>
      <c r="N959">
        <v>15.340607327981576</v>
      </c>
      <c r="O959">
        <v>15.446141742153934</v>
      </c>
      <c r="P959">
        <v>15.334633426936943</v>
      </c>
      <c r="Q959">
        <v>15.124213647266568</v>
      </c>
      <c r="R959">
        <v>15.068621321303253</v>
      </c>
      <c r="S959">
        <v>14.940613708927183</v>
      </c>
      <c r="T959">
        <v>15.103749544706854</v>
      </c>
    </row>
    <row r="960" spans="1:20" x14ac:dyDescent="0.25">
      <c r="A960" s="5" t="s">
        <v>978</v>
      </c>
      <c r="B960">
        <v>12.235407787283945</v>
      </c>
      <c r="C960">
        <v>12.665991026366417</v>
      </c>
      <c r="D960">
        <v>12.683916333168966</v>
      </c>
      <c r="E960">
        <v>12.325652049380567</v>
      </c>
      <c r="F960">
        <v>12.834589932953637</v>
      </c>
      <c r="G960">
        <v>13.546137532130654</v>
      </c>
      <c r="H960">
        <v>12.994530264399282</v>
      </c>
      <c r="I960">
        <v>12.548607412964568</v>
      </c>
      <c r="J960">
        <v>12.365971393469948</v>
      </c>
      <c r="K960">
        <v>12.580841499424809</v>
      </c>
      <c r="L960">
        <v>13.016250845698966</v>
      </c>
      <c r="M960">
        <v>13.125115613560963</v>
      </c>
      <c r="N960">
        <v>12.770950856185772</v>
      </c>
      <c r="O960">
        <v>12.565674855416429</v>
      </c>
      <c r="P960">
        <v>13.679849476718214</v>
      </c>
      <c r="Q960">
        <v>15.024677973715658</v>
      </c>
      <c r="R960">
        <v>14.414292876114592</v>
      </c>
      <c r="S960">
        <v>15.299300353824661</v>
      </c>
      <c r="T960">
        <v>15.810553168362809</v>
      </c>
    </row>
    <row r="961" spans="1:20" x14ac:dyDescent="0.25">
      <c r="A961" s="6" t="s">
        <v>979</v>
      </c>
      <c r="B961">
        <v>11.000718895127712</v>
      </c>
      <c r="C961">
        <v>10.899757109891196</v>
      </c>
      <c r="D961">
        <v>10.644546540227283</v>
      </c>
      <c r="E961">
        <v>9.7952464283152487</v>
      </c>
      <c r="F961">
        <v>9.5861234023120598</v>
      </c>
      <c r="G961">
        <v>11.064478288170413</v>
      </c>
      <c r="H961">
        <v>10.627641732843479</v>
      </c>
      <c r="I961">
        <v>10.178211402432604</v>
      </c>
      <c r="J961">
        <v>10.611187692544183</v>
      </c>
      <c r="K961">
        <v>10.43635110672653</v>
      </c>
      <c r="L961">
        <v>10.483958380289655</v>
      </c>
      <c r="M961">
        <v>10.642003804903583</v>
      </c>
      <c r="N961">
        <v>10.91235315727741</v>
      </c>
      <c r="O961">
        <v>10.126980928355309</v>
      </c>
      <c r="P961">
        <v>10.934815466359737</v>
      </c>
      <c r="Q961">
        <v>10.751982878235156</v>
      </c>
      <c r="R961">
        <v>10.668233633327667</v>
      </c>
      <c r="S961">
        <v>10.446751715668007</v>
      </c>
      <c r="T961">
        <v>10.62670164335975</v>
      </c>
    </row>
    <row r="962" spans="1:20" x14ac:dyDescent="0.25">
      <c r="A962" s="5" t="s">
        <v>980</v>
      </c>
      <c r="B962">
        <v>0</v>
      </c>
      <c r="C962">
        <v>15.310982158872298</v>
      </c>
      <c r="D962">
        <v>15.316858725208965</v>
      </c>
      <c r="E962">
        <v>15.150208855799516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16.420606650046796</v>
      </c>
      <c r="L962">
        <v>15.922579786096922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25">
      <c r="A963" s="6" t="s">
        <v>981</v>
      </c>
      <c r="B963">
        <v>14.404873723782199</v>
      </c>
      <c r="C963">
        <v>13.88063160409895</v>
      </c>
      <c r="D963">
        <v>14.182034301654912</v>
      </c>
      <c r="E963">
        <v>13.330169178792346</v>
      </c>
      <c r="F963">
        <v>12.790401485028459</v>
      </c>
      <c r="G963">
        <v>13.7397690682591</v>
      </c>
      <c r="H963">
        <v>13.525576209648337</v>
      </c>
      <c r="I963">
        <v>13.438113368398</v>
      </c>
      <c r="J963">
        <v>13.577539631269786</v>
      </c>
      <c r="K963">
        <v>13.473777309068133</v>
      </c>
      <c r="L963">
        <v>13.859033969601219</v>
      </c>
      <c r="M963">
        <v>13.871953713026953</v>
      </c>
      <c r="N963">
        <v>14.245068042140955</v>
      </c>
      <c r="O963">
        <v>13.078645864019633</v>
      </c>
      <c r="P963">
        <v>14.209102544853085</v>
      </c>
      <c r="Q963">
        <v>14.171347622857667</v>
      </c>
      <c r="R963">
        <v>13.45908079786143</v>
      </c>
      <c r="S963">
        <v>13.664782028629272</v>
      </c>
      <c r="T963">
        <v>14.088589737535848</v>
      </c>
    </row>
    <row r="964" spans="1:20" x14ac:dyDescent="0.25">
      <c r="A964" s="5" t="s">
        <v>982</v>
      </c>
      <c r="B964">
        <v>0</v>
      </c>
      <c r="C964">
        <v>16.949715916034435</v>
      </c>
      <c r="D964">
        <v>17.774524859178594</v>
      </c>
      <c r="E964">
        <v>17.423139916792319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17.629980922720989</v>
      </c>
      <c r="L964">
        <v>17.105782941859385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25">
      <c r="A965" s="6" t="s">
        <v>983</v>
      </c>
      <c r="B965">
        <v>13.164814412494447</v>
      </c>
      <c r="C965">
        <v>12.71363994369335</v>
      </c>
      <c r="D965">
        <v>12.746425534646978</v>
      </c>
      <c r="E965">
        <v>12.576182231924207</v>
      </c>
      <c r="F965">
        <v>13.118518528835017</v>
      </c>
      <c r="G965">
        <v>13.292046969813342</v>
      </c>
      <c r="H965">
        <v>13.2137687856853</v>
      </c>
      <c r="I965">
        <v>12.861501307522046</v>
      </c>
      <c r="J965">
        <v>13.406439318120201</v>
      </c>
      <c r="K965">
        <v>12.895977648424292</v>
      </c>
      <c r="L965">
        <v>12.739325078603933</v>
      </c>
      <c r="M965">
        <v>13.068732874201554</v>
      </c>
      <c r="N965">
        <v>12.664220049121724</v>
      </c>
      <c r="O965">
        <v>12.920576190351529</v>
      </c>
      <c r="P965">
        <v>13.233141704517022</v>
      </c>
      <c r="Q965">
        <v>12.967539669322115</v>
      </c>
      <c r="R965">
        <v>12.823127749465412</v>
      </c>
      <c r="S965">
        <v>12.405398008664774</v>
      </c>
      <c r="T965">
        <v>12.98961717681054</v>
      </c>
    </row>
    <row r="966" spans="1:20" x14ac:dyDescent="0.25">
      <c r="A966" s="5" t="s">
        <v>984</v>
      </c>
      <c r="B966">
        <v>12.237802857106391</v>
      </c>
      <c r="C966">
        <v>11.355428167252477</v>
      </c>
      <c r="D966">
        <v>11.120486137466042</v>
      </c>
      <c r="E966">
        <v>11.264410890138096</v>
      </c>
      <c r="F966">
        <v>12.14361378662308</v>
      </c>
      <c r="G966">
        <v>12.019277985973066</v>
      </c>
      <c r="H966">
        <v>12.256105452963984</v>
      </c>
      <c r="I966">
        <v>12.001008623204536</v>
      </c>
      <c r="J966">
        <v>12.26449961666127</v>
      </c>
      <c r="K966">
        <v>11.55388951031836</v>
      </c>
      <c r="L966">
        <v>11.326155724204218</v>
      </c>
      <c r="M966">
        <v>12.059934343593474</v>
      </c>
      <c r="N966">
        <v>12.208815673794254</v>
      </c>
      <c r="O966">
        <v>12.09002938052758</v>
      </c>
      <c r="P966">
        <v>12.968429725941778</v>
      </c>
      <c r="Q966">
        <v>12.525729333993146</v>
      </c>
      <c r="R966">
        <v>12.520252496011134</v>
      </c>
      <c r="S966">
        <v>12.736053637531786</v>
      </c>
      <c r="T966">
        <v>12.35407176249541</v>
      </c>
    </row>
    <row r="967" spans="1:20" x14ac:dyDescent="0.25">
      <c r="A967" s="6" t="s">
        <v>985</v>
      </c>
      <c r="B967">
        <v>12.076980650804764</v>
      </c>
      <c r="C967">
        <v>11.012645717783714</v>
      </c>
      <c r="D967">
        <v>10.957624437901131</v>
      </c>
      <c r="E967">
        <v>10.98247433255602</v>
      </c>
      <c r="F967">
        <v>11.43553771220539</v>
      </c>
      <c r="G967">
        <v>11.68429136433479</v>
      </c>
      <c r="H967">
        <v>12.196175016406984</v>
      </c>
      <c r="I967">
        <v>11.869409071807251</v>
      </c>
      <c r="J967">
        <v>11.838235522270034</v>
      </c>
      <c r="K967">
        <v>11.191450526491046</v>
      </c>
      <c r="L967">
        <v>11.185645555207291</v>
      </c>
      <c r="M967">
        <v>11.817144279178418</v>
      </c>
      <c r="N967">
        <v>12.392704532476657</v>
      </c>
      <c r="O967">
        <v>11.651841927369741</v>
      </c>
      <c r="P967">
        <v>12.562878781517098</v>
      </c>
      <c r="Q967">
        <v>13.45908079786143</v>
      </c>
      <c r="R967">
        <v>13.114111589440022</v>
      </c>
      <c r="S967">
        <v>13.204750972966259</v>
      </c>
      <c r="T967">
        <v>13.450980299090315</v>
      </c>
    </row>
    <row r="968" spans="1:20" x14ac:dyDescent="0.25">
      <c r="A968" s="5" t="s">
        <v>986</v>
      </c>
      <c r="B968">
        <v>10.581420546207974</v>
      </c>
      <c r="C968">
        <v>10.570815839388459</v>
      </c>
      <c r="D968">
        <v>10.526076050552387</v>
      </c>
      <c r="E968">
        <v>10.352729837254186</v>
      </c>
      <c r="F968">
        <v>10.779793450978037</v>
      </c>
      <c r="G968">
        <v>11.227910655517563</v>
      </c>
      <c r="H968">
        <v>11.170276646387904</v>
      </c>
      <c r="I968">
        <v>10.406629261973954</v>
      </c>
      <c r="J968">
        <v>10.554071697811549</v>
      </c>
      <c r="K968">
        <v>10.604022661577918</v>
      </c>
      <c r="L968">
        <v>11.011132340753402</v>
      </c>
      <c r="M968">
        <v>11.073739935812828</v>
      </c>
      <c r="N968">
        <v>10.695362987792489</v>
      </c>
      <c r="O968">
        <v>10.700136160876209</v>
      </c>
      <c r="P968">
        <v>11.574887722850701</v>
      </c>
      <c r="Q968">
        <v>12.219674498851784</v>
      </c>
      <c r="R968">
        <v>12.075255099034237</v>
      </c>
      <c r="S968">
        <v>12.17338533746209</v>
      </c>
      <c r="T968">
        <v>12.666731920856396</v>
      </c>
    </row>
    <row r="969" spans="1:20" x14ac:dyDescent="0.25">
      <c r="A969" s="6" t="s">
        <v>987</v>
      </c>
      <c r="B969">
        <v>8.8196758785060787</v>
      </c>
      <c r="C969">
        <v>8.9786453589614474</v>
      </c>
      <c r="D969">
        <v>8.6461709744919037</v>
      </c>
      <c r="E969">
        <v>8.5178131937648942</v>
      </c>
      <c r="F969">
        <v>8.3748790760490213</v>
      </c>
      <c r="G969">
        <v>8.4070900286722523</v>
      </c>
      <c r="H969">
        <v>8.8102455143222258</v>
      </c>
      <c r="I969">
        <v>8.9418540580168138</v>
      </c>
      <c r="J969">
        <v>8.3019464777084977</v>
      </c>
      <c r="K969">
        <v>8.8880285705524411</v>
      </c>
      <c r="L969">
        <v>8.5793457836423954</v>
      </c>
      <c r="M969">
        <v>8.2479286906832208</v>
      </c>
      <c r="N969">
        <v>8.6699983823194966</v>
      </c>
      <c r="O969">
        <v>8.2972534741004438</v>
      </c>
      <c r="P969">
        <v>8.3319973851329614</v>
      </c>
      <c r="Q969">
        <v>8.2482309037135799</v>
      </c>
      <c r="R969">
        <v>8.4211653675262212</v>
      </c>
      <c r="S969">
        <v>7.8974546713083358</v>
      </c>
      <c r="T969">
        <v>8.1224636701468391</v>
      </c>
    </row>
    <row r="970" spans="1:20" x14ac:dyDescent="0.25">
      <c r="A970" s="5" t="s">
        <v>988</v>
      </c>
      <c r="B970">
        <v>11.972812875905628</v>
      </c>
      <c r="C970">
        <v>11.912800884423165</v>
      </c>
      <c r="D970">
        <v>11.808305890650574</v>
      </c>
      <c r="E970">
        <v>11.651433467254863</v>
      </c>
      <c r="F970">
        <v>10.865603197559969</v>
      </c>
      <c r="G970">
        <v>11.135246615866807</v>
      </c>
      <c r="H970">
        <v>11.826529605421783</v>
      </c>
      <c r="I970">
        <v>11.392529987812519</v>
      </c>
      <c r="J970">
        <v>11.090507483653212</v>
      </c>
      <c r="K970">
        <v>11.624422417384425</v>
      </c>
      <c r="L970">
        <v>10.987773214577039</v>
      </c>
      <c r="M970">
        <v>11.057410976014479</v>
      </c>
      <c r="N970">
        <v>11.523672020574645</v>
      </c>
      <c r="O970">
        <v>11.662717829065743</v>
      </c>
      <c r="P970">
        <v>10.941388004223811</v>
      </c>
      <c r="Q970">
        <v>10.487439897255046</v>
      </c>
      <c r="R970">
        <v>11.023401152657481</v>
      </c>
      <c r="S970">
        <v>10.567109946344472</v>
      </c>
      <c r="T970">
        <v>10.825683625837248</v>
      </c>
    </row>
    <row r="971" spans="1:20" x14ac:dyDescent="0.25">
      <c r="A971" s="6" t="s">
        <v>989</v>
      </c>
      <c r="B971">
        <v>0</v>
      </c>
      <c r="C971">
        <v>16.951543269085441</v>
      </c>
      <c r="D971">
        <v>16.686681510200639</v>
      </c>
      <c r="E971">
        <v>17.017004045830234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25">
      <c r="A972" s="5" t="s">
        <v>990</v>
      </c>
      <c r="B972">
        <v>13.200168070761746</v>
      </c>
      <c r="C972">
        <v>13.40800661326716</v>
      </c>
      <c r="D972">
        <v>13.535820241145142</v>
      </c>
      <c r="E972">
        <v>13.375445751482999</v>
      </c>
      <c r="F972">
        <v>13.670413896708604</v>
      </c>
      <c r="G972">
        <v>13.59171856643955</v>
      </c>
      <c r="H972">
        <v>13.662909614296503</v>
      </c>
      <c r="I972">
        <v>13.050258794827835</v>
      </c>
      <c r="J972">
        <v>13.188093993853915</v>
      </c>
      <c r="K972">
        <v>13.67606783617579</v>
      </c>
      <c r="L972">
        <v>13.589938559994264</v>
      </c>
      <c r="M972">
        <v>13.45908079786143</v>
      </c>
      <c r="N972">
        <v>13.831431898038725</v>
      </c>
      <c r="O972">
        <v>13.378515316557763</v>
      </c>
      <c r="P972">
        <v>13.233141704517022</v>
      </c>
      <c r="Q972">
        <v>13.48200719471094</v>
      </c>
      <c r="R972">
        <v>13.223201973417119</v>
      </c>
      <c r="S972">
        <v>13.802285552379209</v>
      </c>
      <c r="T972">
        <v>13.889362009203486</v>
      </c>
    </row>
    <row r="973" spans="1:20" x14ac:dyDescent="0.25">
      <c r="A973" s="6" t="s">
        <v>991</v>
      </c>
      <c r="B973">
        <v>14.239476193896602</v>
      </c>
      <c r="C973">
        <v>14.574016564706092</v>
      </c>
      <c r="D973">
        <v>14.319806009259304</v>
      </c>
      <c r="E973">
        <v>14.250681648604484</v>
      </c>
      <c r="F973">
        <v>14.737796825927495</v>
      </c>
      <c r="G973">
        <v>14.566996137028319</v>
      </c>
      <c r="H973">
        <v>14.446141742153932</v>
      </c>
      <c r="I973">
        <v>14.62050146706858</v>
      </c>
      <c r="J973">
        <v>14.423773929125478</v>
      </c>
      <c r="K973">
        <v>14.068621321303253</v>
      </c>
      <c r="L973">
        <v>14.364753415313277</v>
      </c>
      <c r="M973">
        <v>14.225590667641651</v>
      </c>
      <c r="N973">
        <v>14.40800661326716</v>
      </c>
      <c r="O973">
        <v>14.38005255169616</v>
      </c>
      <c r="P973">
        <v>14.48200719471094</v>
      </c>
      <c r="Q973">
        <v>14.777763233245141</v>
      </c>
      <c r="R973">
        <v>14.376979717646538</v>
      </c>
      <c r="S973">
        <v>14.83564414932564</v>
      </c>
      <c r="T973">
        <v>15.253496664211537</v>
      </c>
    </row>
    <row r="974" spans="1:20" x14ac:dyDescent="0.25">
      <c r="A974" s="5" t="s">
        <v>992</v>
      </c>
      <c r="B974">
        <v>14.259143227352677</v>
      </c>
      <c r="C974">
        <v>13.73189622448781</v>
      </c>
      <c r="D974">
        <v>13.355651208206025</v>
      </c>
      <c r="E974">
        <v>13.236632675089062</v>
      </c>
      <c r="F974">
        <v>13.420606650046794</v>
      </c>
      <c r="G974">
        <v>13.961175031409498</v>
      </c>
      <c r="H974">
        <v>13.184597495058849</v>
      </c>
      <c r="I974">
        <v>13.831431898038725</v>
      </c>
      <c r="J974">
        <v>14.14758815564038</v>
      </c>
      <c r="K974">
        <v>13.553056946070445</v>
      </c>
      <c r="L974">
        <v>13.785891114128539</v>
      </c>
      <c r="M974">
        <v>14.485312339434612</v>
      </c>
      <c r="N974">
        <v>14.798169443906975</v>
      </c>
      <c r="O974">
        <v>14.331655727137047</v>
      </c>
      <c r="P974">
        <v>0</v>
      </c>
      <c r="Q974">
        <v>14.088589737535848</v>
      </c>
      <c r="R974">
        <v>14.683641055880589</v>
      </c>
      <c r="S974">
        <v>14.12937535238235</v>
      </c>
      <c r="T974">
        <v>13.771697232545785</v>
      </c>
    </row>
    <row r="975" spans="1:20" x14ac:dyDescent="0.25">
      <c r="A975" s="6" t="s">
        <v>993</v>
      </c>
      <c r="B975">
        <v>9.5962519145565786</v>
      </c>
      <c r="C975">
        <v>9.2469251309899789</v>
      </c>
      <c r="D975">
        <v>9.687310591227023</v>
      </c>
      <c r="E975">
        <v>10.179810297641147</v>
      </c>
      <c r="F975">
        <v>9.1968216968904404</v>
      </c>
      <c r="G975">
        <v>8.9131138197299062</v>
      </c>
      <c r="H975">
        <v>8.1652102765417265</v>
      </c>
      <c r="I975">
        <v>8.8947664908372968</v>
      </c>
      <c r="J975">
        <v>8.8032203866648562</v>
      </c>
      <c r="K975">
        <v>8.8918872924411438</v>
      </c>
      <c r="L975">
        <v>8.4121908061186712</v>
      </c>
      <c r="M975">
        <v>9.1996420370172984</v>
      </c>
      <c r="N975">
        <v>8.6237678057954206</v>
      </c>
      <c r="O975">
        <v>8.6297946079807648</v>
      </c>
      <c r="P975">
        <v>9.1968936622487458</v>
      </c>
      <c r="Q975">
        <v>8.6740911503086124</v>
      </c>
      <c r="R975">
        <v>8.1479318512484298</v>
      </c>
      <c r="S975">
        <v>10.563544541879979</v>
      </c>
      <c r="T975">
        <v>8.9915479461077688</v>
      </c>
    </row>
    <row r="976" spans="1:20" x14ac:dyDescent="0.25">
      <c r="A976" s="5" t="s">
        <v>994</v>
      </c>
      <c r="B976">
        <v>15.794065045574239</v>
      </c>
      <c r="C976">
        <v>16.512029677810389</v>
      </c>
      <c r="D976">
        <v>0</v>
      </c>
      <c r="E976">
        <v>0</v>
      </c>
      <c r="F976">
        <v>15.714337853103507</v>
      </c>
      <c r="G976">
        <v>14.256317183273916</v>
      </c>
      <c r="H976">
        <v>13.800226030200914</v>
      </c>
      <c r="I976">
        <v>14.48200719471094</v>
      </c>
      <c r="J976">
        <v>15.119070343990609</v>
      </c>
      <c r="K976">
        <v>15.395515669083965</v>
      </c>
      <c r="L976">
        <v>14.785891114128539</v>
      </c>
      <c r="M976">
        <v>15.566996137028319</v>
      </c>
      <c r="N976">
        <v>15.45908079786143</v>
      </c>
      <c r="O976">
        <v>15.247872115017659</v>
      </c>
      <c r="P976">
        <v>14.63144484475516</v>
      </c>
      <c r="Q976">
        <v>14.430129424165303</v>
      </c>
      <c r="R976">
        <v>14.687442626040445</v>
      </c>
      <c r="S976">
        <v>15.653583822024411</v>
      </c>
      <c r="T976">
        <v>14.15809964141898</v>
      </c>
    </row>
    <row r="977" spans="1:20" x14ac:dyDescent="0.25">
      <c r="A977" s="6" t="s">
        <v>995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16.073587574196605</v>
      </c>
      <c r="R977">
        <v>16.334633426936943</v>
      </c>
      <c r="S977">
        <v>16.498609162048069</v>
      </c>
      <c r="T977">
        <v>15.247872115017659</v>
      </c>
    </row>
    <row r="978" spans="1:20" x14ac:dyDescent="0.25">
      <c r="A978" s="5" t="s">
        <v>996</v>
      </c>
      <c r="B978">
        <v>13.657306908067127</v>
      </c>
      <c r="C978">
        <v>13.625962779738746</v>
      </c>
      <c r="D978">
        <v>13.174985561358271</v>
      </c>
      <c r="E978">
        <v>13.220486707017477</v>
      </c>
      <c r="F978">
        <v>13.457457055381768</v>
      </c>
      <c r="G978">
        <v>0</v>
      </c>
      <c r="H978">
        <v>14.806413438001886</v>
      </c>
      <c r="I978">
        <v>14.108838421379655</v>
      </c>
      <c r="J978">
        <v>0</v>
      </c>
      <c r="K978">
        <v>13.602444973032609</v>
      </c>
      <c r="L978">
        <v>13.831431898038725</v>
      </c>
      <c r="M978">
        <v>14.417446309153467</v>
      </c>
      <c r="N978">
        <v>15.986710123516636</v>
      </c>
      <c r="O978">
        <v>14.293494732143458</v>
      </c>
      <c r="P978">
        <v>14.546137532130656</v>
      </c>
      <c r="Q978">
        <v>15.401747622795478</v>
      </c>
      <c r="R978">
        <v>14.918106309517611</v>
      </c>
      <c r="S978">
        <v>14.430129424165303</v>
      </c>
      <c r="T978">
        <v>0</v>
      </c>
    </row>
    <row r="979" spans="1:20" x14ac:dyDescent="0.25">
      <c r="A979" s="6" t="s">
        <v>997</v>
      </c>
      <c r="B979">
        <v>7.5148364763348097</v>
      </c>
      <c r="C979">
        <v>7.8291541836334213</v>
      </c>
      <c r="D979">
        <v>7.6777733696867951</v>
      </c>
      <c r="E979">
        <v>7.7045986141862128</v>
      </c>
      <c r="F979">
        <v>7.7832000344327179</v>
      </c>
      <c r="G979">
        <v>8.1603531388656219</v>
      </c>
      <c r="H979">
        <v>8.2105937415031462</v>
      </c>
      <c r="I979">
        <v>7.7826246169536217</v>
      </c>
      <c r="J979">
        <v>7.7556691467542072</v>
      </c>
      <c r="K979">
        <v>7.4563169614278282</v>
      </c>
      <c r="L979">
        <v>7.5111143267064993</v>
      </c>
      <c r="M979">
        <v>7.7807404686073101</v>
      </c>
      <c r="N979">
        <v>7.491358884813307</v>
      </c>
      <c r="O979">
        <v>7.5967587034941513</v>
      </c>
      <c r="P979">
        <v>7.8537667998798009</v>
      </c>
      <c r="Q979">
        <v>8.9193910139384318</v>
      </c>
      <c r="R979">
        <v>8.3123931049901429</v>
      </c>
      <c r="S979">
        <v>9.0183223449094712</v>
      </c>
      <c r="T979">
        <v>8.853595940758499</v>
      </c>
    </row>
    <row r="980" spans="1:20" x14ac:dyDescent="0.25">
      <c r="A980" s="5" t="s">
        <v>998</v>
      </c>
      <c r="B980">
        <v>9.5076017936152084</v>
      </c>
      <c r="C980">
        <v>12.406533307829404</v>
      </c>
      <c r="D980">
        <v>10.654448582682853</v>
      </c>
      <c r="E980">
        <v>11.027210923524693</v>
      </c>
      <c r="F980">
        <v>10.776241810119645</v>
      </c>
      <c r="G980">
        <v>11.385781629292605</v>
      </c>
      <c r="H980">
        <v>9.8663517194012087</v>
      </c>
      <c r="I980">
        <v>10.840985034448314</v>
      </c>
      <c r="J980">
        <v>10.123035498130371</v>
      </c>
      <c r="K980">
        <v>11.237914352530606</v>
      </c>
      <c r="L980">
        <v>11.960720665533421</v>
      </c>
      <c r="M980">
        <v>10.516230305117899</v>
      </c>
      <c r="N980">
        <v>10.328695292554883</v>
      </c>
      <c r="O980">
        <v>10.301581818588655</v>
      </c>
      <c r="P980">
        <v>10.64447495007995</v>
      </c>
      <c r="Q980">
        <v>10.432757250236415</v>
      </c>
      <c r="R980">
        <v>10.52852671189137</v>
      </c>
      <c r="S980">
        <v>11.063156508109721</v>
      </c>
      <c r="T980">
        <v>10.253403328806501</v>
      </c>
    </row>
    <row r="981" spans="1:20" x14ac:dyDescent="0.25">
      <c r="A981" s="6" t="s">
        <v>999</v>
      </c>
      <c r="B981">
        <v>13.07424688721637</v>
      </c>
      <c r="C981">
        <v>13.493608480989701</v>
      </c>
      <c r="D981">
        <v>12.496565122989269</v>
      </c>
      <c r="E981">
        <v>12.538444150065981</v>
      </c>
      <c r="F981">
        <v>13.010382199088433</v>
      </c>
      <c r="G981">
        <v>13.293494732143458</v>
      </c>
      <c r="H981">
        <v>13.05462194780179</v>
      </c>
      <c r="I981">
        <v>13.0088236283359</v>
      </c>
      <c r="J981">
        <v>13.068051296714088</v>
      </c>
      <c r="K981">
        <v>12.923139947253594</v>
      </c>
      <c r="L981">
        <v>13.270018471005994</v>
      </c>
      <c r="M981">
        <v>13.070841606344494</v>
      </c>
      <c r="N981">
        <v>12.793522087834969</v>
      </c>
      <c r="O981">
        <v>12.905687082167461</v>
      </c>
      <c r="P981">
        <v>13.210414682315873</v>
      </c>
      <c r="Q981">
        <v>13.530689133041991</v>
      </c>
      <c r="R981">
        <v>13.861179241432778</v>
      </c>
      <c r="S981">
        <v>13.004940481535694</v>
      </c>
      <c r="T981">
        <v>13.384674109436538</v>
      </c>
    </row>
    <row r="982" spans="1:20" x14ac:dyDescent="0.25">
      <c r="A982" s="5" t="s">
        <v>1000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15.818868436574812</v>
      </c>
      <c r="Q982">
        <v>15.287712379549449</v>
      </c>
      <c r="R982">
        <v>15.015091924886457</v>
      </c>
      <c r="S982">
        <v>15.931568569324174</v>
      </c>
      <c r="T982">
        <v>14.613251727989191</v>
      </c>
    </row>
    <row r="983" spans="1:20" x14ac:dyDescent="0.25">
      <c r="A983" s="6" t="s">
        <v>1001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12.748628032042607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12.812316157166833</v>
      </c>
      <c r="R983">
        <v>13.179301670168664</v>
      </c>
      <c r="S983">
        <v>11.861259751214929</v>
      </c>
      <c r="T983">
        <v>13.337617285375762</v>
      </c>
    </row>
    <row r="984" spans="1:20" x14ac:dyDescent="0.25">
      <c r="A984" s="5" t="s">
        <v>1002</v>
      </c>
      <c r="B984">
        <v>15.602444973032609</v>
      </c>
      <c r="C984">
        <v>15.581071322240042</v>
      </c>
      <c r="D984">
        <v>0</v>
      </c>
      <c r="E984">
        <v>15.869792371737484</v>
      </c>
      <c r="F984">
        <v>15.06367210533152</v>
      </c>
      <c r="G984">
        <v>15.264811977439372</v>
      </c>
      <c r="H984">
        <v>0</v>
      </c>
      <c r="I984">
        <v>15.098678555159433</v>
      </c>
      <c r="J984">
        <v>15.287712379549449</v>
      </c>
      <c r="K984">
        <v>0</v>
      </c>
      <c r="L984">
        <v>0</v>
      </c>
      <c r="M984">
        <v>0</v>
      </c>
      <c r="N984">
        <v>0</v>
      </c>
      <c r="O984">
        <v>15.139754498162349</v>
      </c>
      <c r="P984">
        <v>15.43331770179635</v>
      </c>
      <c r="Q984">
        <v>15.182034301654912</v>
      </c>
      <c r="R984">
        <v>0</v>
      </c>
      <c r="S984">
        <v>0</v>
      </c>
      <c r="T984">
        <v>15.299300353824661</v>
      </c>
    </row>
    <row r="985" spans="1:20" x14ac:dyDescent="0.25">
      <c r="A985" s="6" t="s">
        <v>1003</v>
      </c>
      <c r="B985">
        <v>13.635111161952929</v>
      </c>
      <c r="C985">
        <v>13.757641637324365</v>
      </c>
      <c r="D985">
        <v>14.376979717646538</v>
      </c>
      <c r="E985">
        <v>0</v>
      </c>
      <c r="F985">
        <v>12.577971799030438</v>
      </c>
      <c r="G985">
        <v>11.499055898943418</v>
      </c>
      <c r="H985">
        <v>12.44392948195188</v>
      </c>
      <c r="I985">
        <v>12.89861920191229</v>
      </c>
      <c r="J985">
        <v>12.912033437222139</v>
      </c>
      <c r="K985">
        <v>12.585551332779078</v>
      </c>
      <c r="L985">
        <v>12.694129134319853</v>
      </c>
      <c r="M985">
        <v>13.539251146545414</v>
      </c>
      <c r="N985">
        <v>13.209758464410138</v>
      </c>
      <c r="O985">
        <v>0</v>
      </c>
      <c r="P985">
        <v>12.0981850859972</v>
      </c>
      <c r="Q985">
        <v>11.316796160709218</v>
      </c>
      <c r="R985">
        <v>11.424229797651639</v>
      </c>
      <c r="S985">
        <v>10.174150223071537</v>
      </c>
      <c r="T985">
        <v>10.957994601407407</v>
      </c>
    </row>
    <row r="986" spans="1:20" x14ac:dyDescent="0.25">
      <c r="A986" s="5" t="s">
        <v>1004</v>
      </c>
      <c r="B986">
        <v>13.867634263570075</v>
      </c>
      <c r="C986">
        <v>0</v>
      </c>
      <c r="D986">
        <v>0</v>
      </c>
      <c r="E986">
        <v>14.977372258937299</v>
      </c>
      <c r="F986">
        <v>0</v>
      </c>
      <c r="G986">
        <v>14.155464581251008</v>
      </c>
      <c r="H986">
        <v>14.13715270297407</v>
      </c>
      <c r="I986">
        <v>0</v>
      </c>
      <c r="J986">
        <v>0</v>
      </c>
      <c r="K986">
        <v>13.010834618808534</v>
      </c>
      <c r="L986">
        <v>0</v>
      </c>
      <c r="M986">
        <v>14.581071322240041</v>
      </c>
      <c r="N986">
        <v>0</v>
      </c>
      <c r="O986">
        <v>15.024677973715658</v>
      </c>
      <c r="P986">
        <v>14.198214228710349</v>
      </c>
      <c r="Q986">
        <v>12.943838421752812</v>
      </c>
      <c r="R986">
        <v>14.765656630388486</v>
      </c>
      <c r="S986">
        <v>14.401747622795481</v>
      </c>
      <c r="T986">
        <v>10.891717340772754</v>
      </c>
    </row>
    <row r="987" spans="1:20" x14ac:dyDescent="0.25">
      <c r="A987" s="6" t="s">
        <v>1005</v>
      </c>
      <c r="B987">
        <v>15.518787043985698</v>
      </c>
      <c r="C987">
        <v>15.986710123516636</v>
      </c>
      <c r="D987">
        <v>15.068621321303253</v>
      </c>
      <c r="E987">
        <v>0</v>
      </c>
      <c r="F987">
        <v>16.093625327433145</v>
      </c>
      <c r="G987">
        <v>15.996108821518886</v>
      </c>
      <c r="H987">
        <v>15.668534163490381</v>
      </c>
      <c r="I987">
        <v>16.761643567881862</v>
      </c>
      <c r="J987">
        <v>15.861179241432778</v>
      </c>
      <c r="K987">
        <v>0</v>
      </c>
      <c r="L987">
        <v>16.334633426936943</v>
      </c>
      <c r="M987">
        <v>15.761643567881864</v>
      </c>
      <c r="N987">
        <v>15.452596764291233</v>
      </c>
      <c r="O987">
        <v>17.172412735523903</v>
      </c>
      <c r="P987">
        <v>15.253496664211537</v>
      </c>
      <c r="Q987">
        <v>13.898145567786724</v>
      </c>
      <c r="R987">
        <v>14.789972290940359</v>
      </c>
      <c r="S987">
        <v>15.624140044131927</v>
      </c>
      <c r="T987">
        <v>13.961175031409498</v>
      </c>
    </row>
    <row r="988" spans="1:20" x14ac:dyDescent="0.25">
      <c r="A988" s="5" t="s">
        <v>1006</v>
      </c>
      <c r="B988">
        <v>15.769680886947281</v>
      </c>
      <c r="C988">
        <v>15.653583822024411</v>
      </c>
      <c r="D988">
        <v>15.595285181459742</v>
      </c>
      <c r="E988">
        <v>15.761643567881864</v>
      </c>
      <c r="F988">
        <v>14.931568569324176</v>
      </c>
      <c r="G988">
        <v>15.761643567881864</v>
      </c>
      <c r="H988">
        <v>16.408006613267162</v>
      </c>
      <c r="I988">
        <v>16.383131944628133</v>
      </c>
      <c r="J988">
        <v>15.769680886947281</v>
      </c>
      <c r="K988">
        <v>14.909200756295721</v>
      </c>
      <c r="L988">
        <v>16.034328143749374</v>
      </c>
      <c r="M988">
        <v>16.798991726654165</v>
      </c>
      <c r="N988">
        <v>16.714337853103505</v>
      </c>
      <c r="O988">
        <v>15.376979717646538</v>
      </c>
      <c r="P988">
        <v>16.322759326648651</v>
      </c>
      <c r="Q988">
        <v>0</v>
      </c>
      <c r="R988">
        <v>16.895944659593454</v>
      </c>
      <c r="S988">
        <v>0</v>
      </c>
      <c r="T988">
        <v>0</v>
      </c>
    </row>
    <row r="989" spans="1:20" x14ac:dyDescent="0.25">
      <c r="A989" s="6" t="s">
        <v>1007</v>
      </c>
      <c r="B989">
        <v>13.954288645824258</v>
      </c>
      <c r="C989">
        <v>13.343603580441494</v>
      </c>
      <c r="D989">
        <v>13.030315484681021</v>
      </c>
      <c r="E989">
        <v>13.221657641921944</v>
      </c>
      <c r="F989">
        <v>14.373913414598753</v>
      </c>
      <c r="G989">
        <v>13.996108821518886</v>
      </c>
      <c r="H989">
        <v>13.633276838704052</v>
      </c>
      <c r="I989">
        <v>13.618685614039819</v>
      </c>
      <c r="J989">
        <v>13.544412851661193</v>
      </c>
      <c r="K989">
        <v>13.540969663771714</v>
      </c>
      <c r="L989">
        <v>13.203675335678927</v>
      </c>
      <c r="M989">
        <v>14.62050146706858</v>
      </c>
      <c r="N989">
        <v>14.729934708154525</v>
      </c>
      <c r="O989">
        <v>14.264811977439372</v>
      </c>
      <c r="P989">
        <v>13.810553168362809</v>
      </c>
      <c r="Q989">
        <v>13.606038237756618</v>
      </c>
      <c r="R989">
        <v>14.95428864582426</v>
      </c>
      <c r="S989">
        <v>15.310982158872298</v>
      </c>
      <c r="T989">
        <v>13.276789352364659</v>
      </c>
    </row>
    <row r="990" spans="1:20" x14ac:dyDescent="0.25">
      <c r="A990" s="5" t="s">
        <v>1008</v>
      </c>
      <c r="B990">
        <v>16.322759326648651</v>
      </c>
      <c r="C990">
        <v>16.446141742153934</v>
      </c>
      <c r="D990">
        <v>16.807240434321972</v>
      </c>
      <c r="E990">
        <v>16.512029677810389</v>
      </c>
      <c r="F990">
        <v>16.15546458125101</v>
      </c>
      <c r="G990">
        <v>16.566996137028319</v>
      </c>
      <c r="H990">
        <v>16.370853614849693</v>
      </c>
      <c r="I990">
        <v>0</v>
      </c>
      <c r="J990">
        <v>0</v>
      </c>
      <c r="K990">
        <v>16.668534163490381</v>
      </c>
      <c r="L990">
        <v>17.170283295962555</v>
      </c>
      <c r="M990">
        <v>0</v>
      </c>
      <c r="N990">
        <v>0</v>
      </c>
      <c r="O990">
        <v>17.714337853103505</v>
      </c>
      <c r="P990">
        <v>0</v>
      </c>
      <c r="Q990">
        <v>16.553056946070445</v>
      </c>
      <c r="R990">
        <v>16.539251146545414</v>
      </c>
      <c r="S990">
        <v>0</v>
      </c>
      <c r="T990">
        <v>16.485312339434611</v>
      </c>
    </row>
    <row r="991" spans="1:20" x14ac:dyDescent="0.25">
      <c r="A991" s="6" t="s">
        <v>1009</v>
      </c>
      <c r="B991">
        <v>12.90585315160704</v>
      </c>
      <c r="C991">
        <v>14.310982158872298</v>
      </c>
      <c r="D991">
        <v>14.12937535238235</v>
      </c>
      <c r="E991">
        <v>13.225107086566602</v>
      </c>
      <c r="F991">
        <v>0</v>
      </c>
      <c r="G991">
        <v>0</v>
      </c>
      <c r="H991">
        <v>13.942883882552009</v>
      </c>
      <c r="I991">
        <v>0</v>
      </c>
      <c r="J991">
        <v>14.14236099397683</v>
      </c>
      <c r="K991">
        <v>14.358678900903593</v>
      </c>
      <c r="L991">
        <v>0</v>
      </c>
      <c r="M991">
        <v>13.176360503879554</v>
      </c>
      <c r="N991">
        <v>0</v>
      </c>
      <c r="O991">
        <v>14.581071322240041</v>
      </c>
      <c r="P991">
        <v>13.40800661326716</v>
      </c>
      <c r="Q991">
        <v>12.089381677744688</v>
      </c>
      <c r="R991">
        <v>12.518922514669013</v>
      </c>
      <c r="S991">
        <v>12.354207723284706</v>
      </c>
      <c r="T991">
        <v>11.614829973676397</v>
      </c>
    </row>
    <row r="992" spans="1:20" x14ac:dyDescent="0.25">
      <c r="A992" s="5" t="s">
        <v>1010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14.015091924886457</v>
      </c>
      <c r="H992">
        <v>0</v>
      </c>
      <c r="I992">
        <v>0</v>
      </c>
      <c r="J992">
        <v>0</v>
      </c>
      <c r="K992">
        <v>15.588160747026361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14.395515669083965</v>
      </c>
      <c r="R992">
        <v>14.887174449965721</v>
      </c>
      <c r="S992">
        <v>13.286717263246892</v>
      </c>
      <c r="T992">
        <v>13.781821449819493</v>
      </c>
    </row>
    <row r="993" spans="1:20" x14ac:dyDescent="0.25">
      <c r="A993" s="6" t="s">
        <v>1011</v>
      </c>
      <c r="B993">
        <v>0</v>
      </c>
      <c r="C993">
        <v>16.512029677810389</v>
      </c>
      <c r="D993">
        <v>17.140796531462176</v>
      </c>
      <c r="E993">
        <v>17.363536464552894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18.299300353824663</v>
      </c>
      <c r="P993">
        <v>0</v>
      </c>
      <c r="Q993">
        <v>15.310982158872298</v>
      </c>
      <c r="R993">
        <v>15.27621674071162</v>
      </c>
      <c r="S993">
        <v>16.083571662769224</v>
      </c>
      <c r="T993">
        <v>16.166033822961197</v>
      </c>
    </row>
    <row r="994" spans="1:20" x14ac:dyDescent="0.25">
      <c r="A994" s="5" t="s">
        <v>1012</v>
      </c>
      <c r="B994">
        <v>12.800133420795564</v>
      </c>
      <c r="C994">
        <v>12.660254954468209</v>
      </c>
      <c r="D994">
        <v>13.27455745098556</v>
      </c>
      <c r="E994">
        <v>14.012705332049579</v>
      </c>
      <c r="F994">
        <v>12.120155340234314</v>
      </c>
      <c r="G994">
        <v>11.323409868603544</v>
      </c>
      <c r="H994">
        <v>10.507669004243589</v>
      </c>
      <c r="I994">
        <v>11.404658587363693</v>
      </c>
      <c r="J994">
        <v>11.643316145841332</v>
      </c>
      <c r="K994">
        <v>11.978984556804933</v>
      </c>
      <c r="L994">
        <v>11.425856241309285</v>
      </c>
      <c r="M994">
        <v>11.046979805618426</v>
      </c>
      <c r="N994">
        <v>11.647022048354374</v>
      </c>
      <c r="O994">
        <v>11.596459634607321</v>
      </c>
      <c r="P994">
        <v>11.610763508502632</v>
      </c>
      <c r="Q994">
        <v>11.689475821857485</v>
      </c>
      <c r="R994">
        <v>11.775622056084517</v>
      </c>
      <c r="S994">
        <v>15.426948176920622</v>
      </c>
      <c r="T994">
        <v>11.840498200604452</v>
      </c>
    </row>
    <row r="995" spans="1:20" x14ac:dyDescent="0.25">
      <c r="A995" s="6" t="s">
        <v>1013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14.718221287590733</v>
      </c>
      <c r="H995">
        <v>16.383131944628133</v>
      </c>
      <c r="I995">
        <v>0</v>
      </c>
      <c r="J995">
        <v>0</v>
      </c>
      <c r="K995">
        <v>0</v>
      </c>
      <c r="L995">
        <v>16.034328143749374</v>
      </c>
      <c r="M995">
        <v>0</v>
      </c>
      <c r="N995">
        <v>0</v>
      </c>
      <c r="O995">
        <v>17.103749544706854</v>
      </c>
      <c r="P995">
        <v>15.525576209648337</v>
      </c>
      <c r="Q995">
        <v>13.624140044131927</v>
      </c>
      <c r="R995">
        <v>15.45908079786143</v>
      </c>
      <c r="S995">
        <v>15.150208855799516</v>
      </c>
      <c r="T995">
        <v>14.253496664211537</v>
      </c>
    </row>
    <row r="996" spans="1:20" x14ac:dyDescent="0.25">
      <c r="A996" s="5" t="s">
        <v>1014</v>
      </c>
      <c r="B996">
        <v>13.308052827833626</v>
      </c>
      <c r="C996">
        <v>14.056279971101485</v>
      </c>
      <c r="D996">
        <v>13.257771904604155</v>
      </c>
      <c r="E996">
        <v>13.232100222862757</v>
      </c>
      <c r="F996">
        <v>13.00625744249837</v>
      </c>
      <c r="G996">
        <v>13.454215042689613</v>
      </c>
      <c r="H996">
        <v>13.535820241145142</v>
      </c>
      <c r="I996">
        <v>13.158191955755267</v>
      </c>
      <c r="J996">
        <v>13.242940585837321</v>
      </c>
      <c r="K996">
        <v>12.798272203623595</v>
      </c>
      <c r="L996">
        <v>13.638786820096328</v>
      </c>
      <c r="M996">
        <v>13.67229608228658</v>
      </c>
      <c r="N996">
        <v>13.874118297140276</v>
      </c>
      <c r="O996">
        <v>12.962418079245531</v>
      </c>
      <c r="P996">
        <v>13.171081467513142</v>
      </c>
      <c r="Q996">
        <v>13.248588026538465</v>
      </c>
      <c r="R996">
        <v>12.160785764258398</v>
      </c>
      <c r="S996">
        <v>13.066726240553102</v>
      </c>
      <c r="T996">
        <v>13.033372311895004</v>
      </c>
    </row>
    <row r="997" spans="1:20" x14ac:dyDescent="0.25">
      <c r="A997" s="6" t="s">
        <v>1015</v>
      </c>
      <c r="B997">
        <v>16.67003775408077</v>
      </c>
      <c r="C997">
        <v>0</v>
      </c>
      <c r="D997">
        <v>16.124213647266568</v>
      </c>
      <c r="E997">
        <v>16.553056946070445</v>
      </c>
      <c r="F997">
        <v>0</v>
      </c>
      <c r="G997">
        <v>0</v>
      </c>
      <c r="H997">
        <v>0</v>
      </c>
      <c r="I997">
        <v>0</v>
      </c>
      <c r="J997">
        <v>16.59528518145974</v>
      </c>
      <c r="K997">
        <v>17.472136950686878</v>
      </c>
      <c r="L997">
        <v>0</v>
      </c>
      <c r="M997">
        <v>15.878457232864612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25">
      <c r="A998" s="5" t="s">
        <v>1016</v>
      </c>
      <c r="B998">
        <v>14.741744010444156</v>
      </c>
      <c r="C998">
        <v>14.343603580441494</v>
      </c>
      <c r="D998">
        <v>14.539251146545414</v>
      </c>
      <c r="E998">
        <v>14.679849476718214</v>
      </c>
      <c r="F998">
        <v>14.549593090766873</v>
      </c>
      <c r="G998">
        <v>14.373913414598753</v>
      </c>
      <c r="H998">
        <v>14.733860411368322</v>
      </c>
      <c r="I998">
        <v>15.247872115017659</v>
      </c>
      <c r="J998">
        <v>14.931568569324176</v>
      </c>
      <c r="K998">
        <v>14.874118297140276</v>
      </c>
      <c r="L998">
        <v>15.364753415313277</v>
      </c>
      <c r="M998">
        <v>14.553056946070445</v>
      </c>
      <c r="N998">
        <v>15.083571662769224</v>
      </c>
      <c r="O998">
        <v>15.560009706712211</v>
      </c>
      <c r="P998">
        <v>14.581071322240041</v>
      </c>
      <c r="Q998">
        <v>14.512029677810389</v>
      </c>
      <c r="R998">
        <v>14.745702024012841</v>
      </c>
      <c r="S998">
        <v>14.468861818654016</v>
      </c>
      <c r="T998">
        <v>14.6989078125339</v>
      </c>
    </row>
    <row r="999" spans="1:20" x14ac:dyDescent="0.25">
      <c r="A999" s="6" t="s">
        <v>1017</v>
      </c>
      <c r="B999">
        <v>14.624140044131927</v>
      </c>
      <c r="C999">
        <v>0</v>
      </c>
      <c r="D999">
        <v>0</v>
      </c>
      <c r="E999">
        <v>0</v>
      </c>
      <c r="F999">
        <v>14.741744010444156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15.310982158872298</v>
      </c>
      <c r="M999">
        <v>14.878457232864612</v>
      </c>
      <c r="N999">
        <v>14.563498692792091</v>
      </c>
      <c r="O999">
        <v>14.62050146706858</v>
      </c>
      <c r="P999">
        <v>13.771697232545785</v>
      </c>
      <c r="Q999">
        <v>12.978792383427578</v>
      </c>
      <c r="R999">
        <v>13.27127311248835</v>
      </c>
      <c r="S999">
        <v>13.714337853103505</v>
      </c>
      <c r="T999">
        <v>12.912723008850785</v>
      </c>
    </row>
    <row r="1000" spans="1:20" x14ac:dyDescent="0.25">
      <c r="A1000" s="5" t="s">
        <v>1018</v>
      </c>
      <c r="B1000">
        <v>12.940636392989806</v>
      </c>
      <c r="C1000">
        <v>12.886027307826993</v>
      </c>
      <c r="D1000">
        <v>12.724114916541849</v>
      </c>
      <c r="E1000">
        <v>12.829519387124723</v>
      </c>
      <c r="F1000">
        <v>12.311950144845955</v>
      </c>
      <c r="G1000">
        <v>13.383131944628133</v>
      </c>
      <c r="H1000">
        <v>12.94245227458814</v>
      </c>
      <c r="I1000">
        <v>13.08110666112395</v>
      </c>
      <c r="J1000">
        <v>13.261804765874572</v>
      </c>
      <c r="K1000">
        <v>13.11544250082418</v>
      </c>
      <c r="L1000">
        <v>12.933350496024554</v>
      </c>
      <c r="M1000">
        <v>12.927168304117622</v>
      </c>
      <c r="N1000">
        <v>13.442925029470389</v>
      </c>
      <c r="O1000">
        <v>13.266971956234313</v>
      </c>
      <c r="P1000">
        <v>13.244969998236719</v>
      </c>
      <c r="Q1000">
        <v>13.378515316557763</v>
      </c>
      <c r="R1000">
        <v>12.926617809373129</v>
      </c>
      <c r="S1000">
        <v>12.900030010587697</v>
      </c>
      <c r="T1000">
        <v>12.828375194950885</v>
      </c>
    </row>
    <row r="1001" spans="1:20" x14ac:dyDescent="0.25">
      <c r="A1001" s="6" t="s">
        <v>1019</v>
      </c>
      <c r="B1001">
        <v>16.634377152758319</v>
      </c>
      <c r="C1001">
        <v>0</v>
      </c>
      <c r="D1001">
        <v>0</v>
      </c>
      <c r="E1001">
        <v>0</v>
      </c>
      <c r="F1001">
        <v>0</v>
      </c>
      <c r="G1001">
        <v>16.733074415685092</v>
      </c>
      <c r="H1001">
        <v>0</v>
      </c>
      <c r="I1001">
        <v>0</v>
      </c>
      <c r="J1001">
        <v>16.641734104146664</v>
      </c>
      <c r="K1001">
        <v>14.92257978609692</v>
      </c>
      <c r="L1001">
        <v>0</v>
      </c>
      <c r="M1001">
        <v>16.737796825927497</v>
      </c>
      <c r="N1001">
        <v>0</v>
      </c>
      <c r="O1001">
        <v>0</v>
      </c>
      <c r="P1001">
        <v>14.101211821904954</v>
      </c>
      <c r="Q1001">
        <v>14.259143227352677</v>
      </c>
      <c r="R1001">
        <v>16.358678900903591</v>
      </c>
      <c r="S1001">
        <v>15.310982158872298</v>
      </c>
      <c r="T1001">
        <v>13.488625073475445</v>
      </c>
    </row>
    <row r="1002" spans="1:20" x14ac:dyDescent="0.25">
      <c r="A1002" s="5" t="s">
        <v>1020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18.503962396542274</v>
      </c>
      <c r="Q1002">
        <v>18.717443763971328</v>
      </c>
      <c r="R1002">
        <v>0</v>
      </c>
      <c r="S1002">
        <v>16.383131944628133</v>
      </c>
      <c r="T1002">
        <v>18.024677973715654</v>
      </c>
    </row>
    <row r="1003" spans="1:20" x14ac:dyDescent="0.25">
      <c r="A1003" s="6" t="s">
        <v>1021</v>
      </c>
      <c r="B1003">
        <v>0</v>
      </c>
      <c r="C1003">
        <v>16.322759326648651</v>
      </c>
      <c r="D1003">
        <v>16.539251146545414</v>
      </c>
      <c r="E1003">
        <v>16.15546458125101</v>
      </c>
      <c r="F1003">
        <v>0</v>
      </c>
      <c r="G1003">
        <v>0</v>
      </c>
      <c r="H1003">
        <v>17.761643567881862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25">
      <c r="A1004" s="5" t="s">
        <v>1022</v>
      </c>
      <c r="B1004">
        <v>10.804121003143736</v>
      </c>
      <c r="C1004">
        <v>10.995428298724272</v>
      </c>
      <c r="D1004">
        <v>11.403110551469101</v>
      </c>
      <c r="E1004">
        <v>11.563345873021715</v>
      </c>
      <c r="F1004">
        <v>10.345344262401984</v>
      </c>
      <c r="G1004">
        <v>10.514975798630932</v>
      </c>
      <c r="H1004">
        <v>10.684673616656157</v>
      </c>
      <c r="I1004">
        <v>10.436710985257037</v>
      </c>
      <c r="J1004">
        <v>10.371432566537244</v>
      </c>
      <c r="K1004">
        <v>11.049130323836977</v>
      </c>
      <c r="L1004">
        <v>10.849329029643854</v>
      </c>
      <c r="M1004">
        <v>10.513741365099616</v>
      </c>
      <c r="N1004">
        <v>10.341172394414341</v>
      </c>
      <c r="O1004">
        <v>10.777816423474</v>
      </c>
      <c r="P1004">
        <v>9.9076132782598396</v>
      </c>
      <c r="Q1004">
        <v>9.4229250102216557</v>
      </c>
      <c r="R1004">
        <v>9.5547051952967728</v>
      </c>
      <c r="S1004">
        <v>9.0148389081574738</v>
      </c>
      <c r="T1004">
        <v>9.0043031957091877</v>
      </c>
    </row>
    <row r="1005" spans="1:20" x14ac:dyDescent="0.25">
      <c r="A1005" s="6" t="s">
        <v>1023</v>
      </c>
      <c r="B1005">
        <v>15.546137532130656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14.395515669083965</v>
      </c>
      <c r="O1005">
        <v>14.913646661326911</v>
      </c>
      <c r="P1005">
        <v>14.646166350461927</v>
      </c>
      <c r="Q1005">
        <v>14.679849476718214</v>
      </c>
      <c r="R1005">
        <v>14.635111161952929</v>
      </c>
      <c r="S1005">
        <v>14.036750806016231</v>
      </c>
      <c r="T1005">
        <v>14.250681648604484</v>
      </c>
    </row>
    <row r="1006" spans="1:20" x14ac:dyDescent="0.25">
      <c r="A1006" s="5" t="s">
        <v>1024</v>
      </c>
      <c r="B1006">
        <v>0</v>
      </c>
      <c r="C1006">
        <v>0</v>
      </c>
      <c r="D1006">
        <v>0</v>
      </c>
      <c r="E1006">
        <v>0</v>
      </c>
      <c r="F1006">
        <v>13.755644827260419</v>
      </c>
      <c r="G1006">
        <v>13.444532489292275</v>
      </c>
      <c r="H1006">
        <v>13.75365077712833</v>
      </c>
      <c r="I1006">
        <v>0</v>
      </c>
      <c r="J1006">
        <v>0</v>
      </c>
      <c r="K1006">
        <v>0</v>
      </c>
      <c r="L1006">
        <v>0</v>
      </c>
      <c r="M1006">
        <v>14.814704811633275</v>
      </c>
      <c r="N1006">
        <v>0</v>
      </c>
      <c r="O1006">
        <v>0</v>
      </c>
      <c r="P1006">
        <v>12.611887417450573</v>
      </c>
      <c r="Q1006">
        <v>11.531474719337913</v>
      </c>
      <c r="R1006">
        <v>11.684305607946182</v>
      </c>
      <c r="S1006">
        <v>12.305852421493183</v>
      </c>
      <c r="T1006">
        <v>11.326729979854296</v>
      </c>
    </row>
    <row r="1007" spans="1:20" x14ac:dyDescent="0.25">
      <c r="A1007" s="6" t="s">
        <v>1025</v>
      </c>
      <c r="B1007">
        <v>12.111542821597439</v>
      </c>
      <c r="C1007">
        <v>0</v>
      </c>
      <c r="D1007">
        <v>0</v>
      </c>
      <c r="E1007">
        <v>0</v>
      </c>
      <c r="F1007">
        <v>11.600772667604925</v>
      </c>
      <c r="G1007">
        <v>11.198451533594653</v>
      </c>
      <c r="H1007">
        <v>11.871953713026953</v>
      </c>
      <c r="I1007">
        <v>11.839017542418659</v>
      </c>
      <c r="J1007">
        <v>0</v>
      </c>
      <c r="K1007">
        <v>12.523417185988132</v>
      </c>
      <c r="L1007">
        <v>13.423773929125478</v>
      </c>
      <c r="M1007">
        <v>0</v>
      </c>
      <c r="N1007">
        <v>13.475419534676179</v>
      </c>
      <c r="O1007">
        <v>0</v>
      </c>
      <c r="P1007">
        <v>10.644214022517961</v>
      </c>
      <c r="Q1007">
        <v>9.4286890407801174</v>
      </c>
      <c r="R1007">
        <v>10.008414930959608</v>
      </c>
      <c r="S1007">
        <v>11.858224958172839</v>
      </c>
      <c r="T1007">
        <v>9.2419618902968459</v>
      </c>
    </row>
    <row r="1008" spans="1:20" x14ac:dyDescent="0.25">
      <c r="A1008" s="5" t="s">
        <v>1026</v>
      </c>
      <c r="B1008">
        <v>15.560009706712211</v>
      </c>
      <c r="C1008">
        <v>15.024677973715658</v>
      </c>
      <c r="D1008">
        <v>15.12937535238235</v>
      </c>
      <c r="E1008">
        <v>14.814704811633275</v>
      </c>
      <c r="F1008">
        <v>15.401747622795478</v>
      </c>
      <c r="G1008">
        <v>15.322759326648649</v>
      </c>
      <c r="H1008">
        <v>14.588160747026361</v>
      </c>
      <c r="I1008">
        <v>14.364753415313277</v>
      </c>
      <c r="J1008">
        <v>15.602444973032609</v>
      </c>
      <c r="K1008">
        <v>15.068621321303253</v>
      </c>
      <c r="L1008">
        <v>15.242269408788282</v>
      </c>
      <c r="M1008">
        <v>14.986710123516636</v>
      </c>
      <c r="N1008">
        <v>15.602444973032609</v>
      </c>
      <c r="O1008">
        <v>15.43331770179635</v>
      </c>
      <c r="P1008">
        <v>15.624140044131927</v>
      </c>
      <c r="Q1008">
        <v>15.539251146545414</v>
      </c>
      <c r="R1008">
        <v>15.581071322240042</v>
      </c>
      <c r="S1008">
        <v>15.024677973715658</v>
      </c>
      <c r="T1008">
        <v>15.340607327981576</v>
      </c>
    </row>
    <row r="1009" spans="1:20" x14ac:dyDescent="0.25">
      <c r="A1009" s="6" t="s">
        <v>1027</v>
      </c>
      <c r="B1009">
        <v>0</v>
      </c>
      <c r="C1009">
        <v>16.358678900903591</v>
      </c>
      <c r="D1009">
        <v>16.609640474436812</v>
      </c>
      <c r="E1009">
        <v>15.7066022043239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16.187407473753765</v>
      </c>
      <c r="L1009">
        <v>16.358678900903591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25">
      <c r="A1010" s="5" t="s">
        <v>1028</v>
      </c>
      <c r="B1010">
        <v>0</v>
      </c>
      <c r="C1010">
        <v>18.917213276347105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19.157572244213</v>
      </c>
      <c r="R1010">
        <v>19.405499757656589</v>
      </c>
      <c r="S1010">
        <v>18.910088841913723</v>
      </c>
      <c r="T1010">
        <v>18.650612255493119</v>
      </c>
    </row>
    <row r="1011" spans="1:20" x14ac:dyDescent="0.25">
      <c r="A1011" s="6" t="s">
        <v>1029</v>
      </c>
      <c r="B1011">
        <v>10.234701861446679</v>
      </c>
      <c r="C1011">
        <v>9.8162933780347199</v>
      </c>
      <c r="D1011">
        <v>9.3771974812709207</v>
      </c>
      <c r="E1011">
        <v>9.6669852252273181</v>
      </c>
      <c r="F1011">
        <v>10.254336954694006</v>
      </c>
      <c r="G1011">
        <v>10.537558261612729</v>
      </c>
      <c r="H1011">
        <v>10.604099008906086</v>
      </c>
      <c r="I1011">
        <v>10.207593695869722</v>
      </c>
      <c r="J1011">
        <v>10.1949569297017</v>
      </c>
      <c r="K1011">
        <v>10.235479094567159</v>
      </c>
      <c r="L1011">
        <v>9.8154845765604044</v>
      </c>
      <c r="M1011">
        <v>10.058350568525915</v>
      </c>
      <c r="N1011">
        <v>9.6573779727998357</v>
      </c>
      <c r="O1011">
        <v>9.7235659388563267</v>
      </c>
      <c r="P1011">
        <v>11.263506191153411</v>
      </c>
      <c r="Q1011">
        <v>10.996488993460147</v>
      </c>
      <c r="R1011">
        <v>11.131497001168622</v>
      </c>
      <c r="S1011">
        <v>9.9538993996774074</v>
      </c>
      <c r="T1011">
        <v>10.38003332614408</v>
      </c>
    </row>
    <row r="1012" spans="1:20" x14ac:dyDescent="0.25">
      <c r="A1012" s="5" t="s">
        <v>1030</v>
      </c>
      <c r="B1012">
        <v>16.005569150767954</v>
      </c>
      <c r="C1012">
        <v>16.358678900903591</v>
      </c>
      <c r="D1012">
        <v>15.6989078125339</v>
      </c>
      <c r="E1012">
        <v>15.785891114128539</v>
      </c>
      <c r="F1012">
        <v>14.827231909509438</v>
      </c>
      <c r="G1012">
        <v>0</v>
      </c>
      <c r="H1012">
        <v>15.574016564706092</v>
      </c>
      <c r="I1012">
        <v>16.525576209648339</v>
      </c>
      <c r="J1012">
        <v>16.024677973715658</v>
      </c>
      <c r="K1012">
        <v>16.777763233245139</v>
      </c>
      <c r="L1012">
        <v>0</v>
      </c>
      <c r="M1012">
        <v>15.996108821518886</v>
      </c>
      <c r="N1012">
        <v>16.512029677810389</v>
      </c>
      <c r="O1012">
        <v>16.553056946070445</v>
      </c>
      <c r="P1012">
        <v>15.401747622795478</v>
      </c>
      <c r="Q1012">
        <v>15.068621321303253</v>
      </c>
      <c r="R1012">
        <v>14.668534163490381</v>
      </c>
      <c r="S1012">
        <v>14.515404404591045</v>
      </c>
      <c r="T1012">
        <v>14.505303814622076</v>
      </c>
    </row>
    <row r="1013" spans="1:20" x14ac:dyDescent="0.25">
      <c r="A1013" s="6" t="s">
        <v>1031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13.73189622448781</v>
      </c>
      <c r="R1013">
        <v>13.839868735187364</v>
      </c>
      <c r="S1013">
        <v>14.827231909509438</v>
      </c>
      <c r="T1013">
        <v>12.965818909758571</v>
      </c>
    </row>
    <row r="1014" spans="1:20" x14ac:dyDescent="0.25">
      <c r="A1014" s="5" t="s">
        <v>1032</v>
      </c>
      <c r="B1014">
        <v>14.160739523291683</v>
      </c>
      <c r="C1014">
        <v>13.520481342525573</v>
      </c>
      <c r="D1014">
        <v>0</v>
      </c>
      <c r="E1014">
        <v>0</v>
      </c>
      <c r="F1014">
        <v>13.455835138357777</v>
      </c>
      <c r="G1014">
        <v>12.284513146395009</v>
      </c>
      <c r="H1014">
        <v>11.703317450507459</v>
      </c>
      <c r="I1014">
        <v>13.023788585973485</v>
      </c>
      <c r="J1014">
        <v>13.045847795429335</v>
      </c>
      <c r="K1014">
        <v>12.712632447988494</v>
      </c>
      <c r="L1014">
        <v>12.905808864553967</v>
      </c>
      <c r="M1014">
        <v>13.918106309517611</v>
      </c>
      <c r="N1014">
        <v>12.835696880371202</v>
      </c>
      <c r="O1014">
        <v>13.016621418844597</v>
      </c>
      <c r="P1014">
        <v>11.824419509970836</v>
      </c>
      <c r="Q1014">
        <v>11.713615716791592</v>
      </c>
      <c r="R1014">
        <v>11.444255074611892</v>
      </c>
      <c r="S1014">
        <v>11.184580705420109</v>
      </c>
      <c r="T1014">
        <v>12.078702028301985</v>
      </c>
    </row>
    <row r="1015" spans="1:20" x14ac:dyDescent="0.25">
      <c r="A1015" s="6" t="s">
        <v>1033</v>
      </c>
      <c r="B1015">
        <v>14.869792371737484</v>
      </c>
      <c r="C1015">
        <v>14.088589737535848</v>
      </c>
      <c r="D1015">
        <v>14.155464581251008</v>
      </c>
      <c r="E1015">
        <v>14.343603580441494</v>
      </c>
      <c r="F1015">
        <v>14.222829527964596</v>
      </c>
      <c r="G1015">
        <v>13.59171856643955</v>
      </c>
      <c r="H1015">
        <v>13.016214988832628</v>
      </c>
      <c r="I1015">
        <v>14.389310519557256</v>
      </c>
      <c r="J1015">
        <v>14.15809964141898</v>
      </c>
      <c r="K1015">
        <v>13.67606783617579</v>
      </c>
      <c r="L1015">
        <v>14.126792191368347</v>
      </c>
      <c r="M1015">
        <v>14.331655727137047</v>
      </c>
      <c r="N1015">
        <v>14.635111161952929</v>
      </c>
      <c r="O1015">
        <v>14.635111161952929</v>
      </c>
      <c r="P1015">
        <v>14.501952605122439</v>
      </c>
      <c r="Q1015">
        <v>14.029494990013431</v>
      </c>
      <c r="R1015">
        <v>13.7085322314223</v>
      </c>
      <c r="S1015">
        <v>12.784607930889896</v>
      </c>
      <c r="T1015">
        <v>13.991401818841355</v>
      </c>
    </row>
    <row r="1016" spans="1:20" x14ac:dyDescent="0.25">
      <c r="A1016" s="5" t="s">
        <v>1034</v>
      </c>
      <c r="B1016">
        <v>16.99988551226437</v>
      </c>
      <c r="C1016">
        <v>0</v>
      </c>
      <c r="D1016">
        <v>17.888924231915681</v>
      </c>
      <c r="E1016">
        <v>17.695841509486119</v>
      </c>
      <c r="F1016">
        <v>0</v>
      </c>
      <c r="G1016">
        <v>15.334633426936943</v>
      </c>
      <c r="H1016">
        <v>15.452596764291233</v>
      </c>
      <c r="I1016">
        <v>0</v>
      </c>
      <c r="J1016">
        <v>17.030460326309662</v>
      </c>
      <c r="K1016">
        <v>13.938347101955237</v>
      </c>
      <c r="L1016">
        <v>17.647646797016556</v>
      </c>
      <c r="M1016">
        <v>0</v>
      </c>
      <c r="N1016">
        <v>18.662535422868938</v>
      </c>
      <c r="O1016">
        <v>18.059724920814855</v>
      </c>
      <c r="P1016">
        <v>15.293494732143458</v>
      </c>
      <c r="Q1016">
        <v>14.027084471422752</v>
      </c>
      <c r="R1016">
        <v>15.6989078125339</v>
      </c>
      <c r="S1016">
        <v>14.012705332049579</v>
      </c>
      <c r="T1016">
        <v>13.802285552379209</v>
      </c>
    </row>
    <row r="1017" spans="1:20" x14ac:dyDescent="0.25">
      <c r="A1017" s="6" t="s">
        <v>1035</v>
      </c>
      <c r="B1017">
        <v>16.322759326648651</v>
      </c>
      <c r="C1017">
        <v>15.560009706712211</v>
      </c>
      <c r="D1017">
        <v>16.869792371737486</v>
      </c>
      <c r="E1017">
        <v>16.276216740711622</v>
      </c>
      <c r="F1017">
        <v>16.856035938156815</v>
      </c>
      <c r="G1017">
        <v>16.231128851183083</v>
      </c>
      <c r="H1017">
        <v>14.577539631269786</v>
      </c>
      <c r="I1017">
        <v>16.220073662674086</v>
      </c>
      <c r="J1017">
        <v>15.95887591531991</v>
      </c>
      <c r="K1017">
        <v>16.083571662769224</v>
      </c>
      <c r="L1017">
        <v>16.334633426936943</v>
      </c>
      <c r="M1017">
        <v>16.083571662769224</v>
      </c>
      <c r="N1017">
        <v>16.05382431937517</v>
      </c>
      <c r="O1017">
        <v>16.728367413007565</v>
      </c>
      <c r="P1017">
        <v>16.539251146545414</v>
      </c>
      <c r="Q1017">
        <v>16.553056946070445</v>
      </c>
      <c r="R1017">
        <v>15.638786820096328</v>
      </c>
      <c r="S1017">
        <v>15.389310519557258</v>
      </c>
      <c r="T1017">
        <v>16.997995931063151</v>
      </c>
    </row>
    <row r="1018" spans="1:20" x14ac:dyDescent="0.25">
      <c r="A1018" s="5" t="s">
        <v>1036</v>
      </c>
      <c r="B1018">
        <v>12.351355233991297</v>
      </c>
      <c r="C1018">
        <v>12.318361087739149</v>
      </c>
      <c r="D1018">
        <v>12.614906895089637</v>
      </c>
      <c r="E1018">
        <v>12.838663467269802</v>
      </c>
      <c r="F1018">
        <v>12.291902273454873</v>
      </c>
      <c r="G1018">
        <v>11.66696646041532</v>
      </c>
      <c r="H1018">
        <v>11.156682698378084</v>
      </c>
      <c r="I1018">
        <v>12.021423560807971</v>
      </c>
      <c r="J1018">
        <v>12.391432779547095</v>
      </c>
      <c r="K1018">
        <v>11.699382713856881</v>
      </c>
      <c r="L1018">
        <v>12.164476606074519</v>
      </c>
      <c r="M1018">
        <v>12.737146577183626</v>
      </c>
      <c r="N1018">
        <v>12.769398823313322</v>
      </c>
      <c r="O1018">
        <v>12.75705229090555</v>
      </c>
      <c r="P1018">
        <v>11.972546148259934</v>
      </c>
      <c r="Q1018">
        <v>12.046848556763701</v>
      </c>
      <c r="R1018">
        <v>11.918826720239878</v>
      </c>
      <c r="S1018">
        <v>10.851878462736897</v>
      </c>
      <c r="T1018">
        <v>12.106056398163398</v>
      </c>
    </row>
    <row r="1019" spans="1:20" x14ac:dyDescent="0.25">
      <c r="A1019" s="6" t="s">
        <v>1037</v>
      </c>
      <c r="B1019">
        <v>11.971323311625481</v>
      </c>
      <c r="C1019">
        <v>11.268398319357113</v>
      </c>
      <c r="D1019">
        <v>12.702547915659661</v>
      </c>
      <c r="E1019">
        <v>12.628555027532887</v>
      </c>
      <c r="F1019">
        <v>11.005207335954614</v>
      </c>
      <c r="G1019">
        <v>10.30888525130999</v>
      </c>
      <c r="H1019">
        <v>9.284698493842189</v>
      </c>
      <c r="I1019">
        <v>10.682623460610825</v>
      </c>
      <c r="J1019">
        <v>10.936041652116677</v>
      </c>
      <c r="K1019">
        <v>11.442121970701596</v>
      </c>
      <c r="L1019">
        <v>11.067602251176208</v>
      </c>
      <c r="M1019">
        <v>11.337930948827568</v>
      </c>
      <c r="N1019">
        <v>10.611514940981317</v>
      </c>
      <c r="O1019">
        <v>11.978774914389817</v>
      </c>
      <c r="P1019">
        <v>10.353592225349855</v>
      </c>
      <c r="Q1019">
        <v>10.028789496485938</v>
      </c>
      <c r="R1019">
        <v>10.497711931169974</v>
      </c>
      <c r="S1019">
        <v>9.892955430885193</v>
      </c>
      <c r="T1019">
        <v>10.890402262973414</v>
      </c>
    </row>
    <row r="1020" spans="1:20" x14ac:dyDescent="0.25">
      <c r="A1020" s="5" t="s">
        <v>1038</v>
      </c>
      <c r="B1020">
        <v>10.916117275778134</v>
      </c>
      <c r="C1020">
        <v>10.583581867612471</v>
      </c>
      <c r="D1020">
        <v>10.572295594292902</v>
      </c>
      <c r="E1020">
        <v>11.276746398606297</v>
      </c>
      <c r="F1020">
        <v>10.256664841259168</v>
      </c>
      <c r="G1020">
        <v>9.6479372815778852</v>
      </c>
      <c r="H1020">
        <v>9.1218800120610428</v>
      </c>
      <c r="I1020">
        <v>10.496915324071287</v>
      </c>
      <c r="J1020">
        <v>10.551720211513203</v>
      </c>
      <c r="K1020">
        <v>9.4194602263833023</v>
      </c>
      <c r="L1020">
        <v>10.027513550339101</v>
      </c>
      <c r="M1020">
        <v>10.524275308485169</v>
      </c>
      <c r="N1020">
        <v>9.5269325635606599</v>
      </c>
      <c r="O1020">
        <v>10.564409397595329</v>
      </c>
      <c r="P1020">
        <v>9.443413106028828</v>
      </c>
      <c r="Q1020">
        <v>9.4580576271237344</v>
      </c>
      <c r="R1020">
        <v>9.6373407096770496</v>
      </c>
      <c r="S1020">
        <v>8.5269501247366293</v>
      </c>
      <c r="T1020">
        <v>8.955047405209708</v>
      </c>
    </row>
    <row r="1021" spans="1:20" x14ac:dyDescent="0.25">
      <c r="A1021" s="6" t="s">
        <v>1039</v>
      </c>
      <c r="B1021">
        <v>0</v>
      </c>
      <c r="C1021">
        <v>0</v>
      </c>
      <c r="D1021">
        <v>15.322759326648649</v>
      </c>
      <c r="E1021">
        <v>0</v>
      </c>
      <c r="F1021">
        <v>14.627787821147072</v>
      </c>
      <c r="G1021">
        <v>13.393961877828884</v>
      </c>
      <c r="H1021">
        <v>13.103736844982462</v>
      </c>
      <c r="I1021">
        <v>0</v>
      </c>
      <c r="J1021">
        <v>0</v>
      </c>
      <c r="K1021">
        <v>14.588160747026361</v>
      </c>
      <c r="L1021">
        <v>0</v>
      </c>
      <c r="M1021">
        <v>15.452596764291233</v>
      </c>
      <c r="N1021">
        <v>0</v>
      </c>
      <c r="O1021">
        <v>15.785891114128539</v>
      </c>
      <c r="P1021">
        <v>14.334633426936943</v>
      </c>
      <c r="Q1021">
        <v>15.485312339434612</v>
      </c>
      <c r="R1021">
        <v>14.931568569324176</v>
      </c>
      <c r="S1021">
        <v>14.036750806016231</v>
      </c>
      <c r="T1021">
        <v>0</v>
      </c>
    </row>
    <row r="1022" spans="1:20" x14ac:dyDescent="0.25">
      <c r="A1022" s="5" t="s">
        <v>1040</v>
      </c>
      <c r="B1022">
        <v>16.334633426936943</v>
      </c>
      <c r="C1022">
        <v>16.766460584179637</v>
      </c>
      <c r="D1022">
        <v>0</v>
      </c>
      <c r="E1022">
        <v>16.59528518145974</v>
      </c>
      <c r="F1022">
        <v>17.030460326309662</v>
      </c>
      <c r="G1022">
        <v>16.609640474436812</v>
      </c>
      <c r="H1022">
        <v>16.785891114128539</v>
      </c>
      <c r="I1022">
        <v>16.334633426936943</v>
      </c>
      <c r="J1022">
        <v>16.539251146545414</v>
      </c>
      <c r="K1022">
        <v>16.951543269085441</v>
      </c>
      <c r="L1022">
        <v>16.113945311812746</v>
      </c>
      <c r="M1022">
        <v>16.861179241432779</v>
      </c>
      <c r="N1022">
        <v>16.446141742153934</v>
      </c>
      <c r="O1022">
        <v>16.553056946070445</v>
      </c>
      <c r="P1022">
        <v>16.790789913541381</v>
      </c>
      <c r="Q1022">
        <v>16.220073662674086</v>
      </c>
      <c r="R1022">
        <v>16.420606650046796</v>
      </c>
      <c r="S1022">
        <v>16.209102544853081</v>
      </c>
      <c r="T1022">
        <v>16.485312339434611</v>
      </c>
    </row>
    <row r="1023" spans="1:20" x14ac:dyDescent="0.25">
      <c r="A1023" s="6" t="s">
        <v>1041</v>
      </c>
      <c r="B1023">
        <v>16.777763233245139</v>
      </c>
      <c r="C1023">
        <v>16.144972207433366</v>
      </c>
      <c r="D1023">
        <v>16.005569150767954</v>
      </c>
      <c r="E1023">
        <v>15.810553168362809</v>
      </c>
      <c r="F1023">
        <v>16.176681067160704</v>
      </c>
      <c r="G1023">
        <v>15.977372258937301</v>
      </c>
      <c r="H1023">
        <v>15.668534163490381</v>
      </c>
      <c r="I1023">
        <v>16.861179241432779</v>
      </c>
      <c r="J1023">
        <v>16.849206599766699</v>
      </c>
      <c r="K1023">
        <v>15.869792371737484</v>
      </c>
      <c r="L1023">
        <v>15.574016564706092</v>
      </c>
      <c r="M1023">
        <v>15.293494732143458</v>
      </c>
      <c r="N1023">
        <v>15.485312339434612</v>
      </c>
      <c r="O1023">
        <v>0</v>
      </c>
      <c r="P1023">
        <v>16.752057519052663</v>
      </c>
      <c r="Q1023">
        <v>16.015091924886459</v>
      </c>
      <c r="R1023">
        <v>15.401747622795478</v>
      </c>
      <c r="S1023">
        <v>16.760041463285361</v>
      </c>
      <c r="T1023">
        <v>16.299300353824663</v>
      </c>
    </row>
    <row r="1024" spans="1:20" x14ac:dyDescent="0.25">
      <c r="A1024" s="5" t="s">
        <v>1042</v>
      </c>
      <c r="B1024">
        <v>17.038206358560302</v>
      </c>
      <c r="C1024">
        <v>0</v>
      </c>
      <c r="D1024">
        <v>0</v>
      </c>
      <c r="E1024">
        <v>0</v>
      </c>
      <c r="F1024">
        <v>15.977372258937301</v>
      </c>
      <c r="G1024">
        <v>15.722115203695225</v>
      </c>
      <c r="H1024">
        <v>15.408006613267162</v>
      </c>
      <c r="I1024">
        <v>16.866340946548558</v>
      </c>
      <c r="J1024">
        <v>16.553056946070445</v>
      </c>
      <c r="K1024">
        <v>14.367800290872141</v>
      </c>
      <c r="L1024">
        <v>15.61687204366789</v>
      </c>
      <c r="M1024">
        <v>16.581071322240042</v>
      </c>
      <c r="N1024">
        <v>0</v>
      </c>
      <c r="O1024">
        <v>17.144972207433366</v>
      </c>
      <c r="P1024">
        <v>16.093625327433145</v>
      </c>
      <c r="Q1024">
        <v>14.785891114128539</v>
      </c>
      <c r="R1024">
        <v>15.588160747026361</v>
      </c>
      <c r="S1024">
        <v>14.542690230512186</v>
      </c>
      <c r="T1024">
        <v>14.59886063568357</v>
      </c>
    </row>
    <row r="1025" spans="1:20" x14ac:dyDescent="0.25">
      <c r="A1025" s="6" t="s">
        <v>1043</v>
      </c>
      <c r="B1025">
        <v>18.313329913728719</v>
      </c>
      <c r="C1025">
        <v>0</v>
      </c>
      <c r="D1025">
        <v>0</v>
      </c>
      <c r="E1025">
        <v>0</v>
      </c>
      <c r="F1025">
        <v>0</v>
      </c>
      <c r="G1025">
        <v>16.395515669083963</v>
      </c>
      <c r="H1025">
        <v>16.264811977439372</v>
      </c>
      <c r="I1025">
        <v>18.564197503675647</v>
      </c>
      <c r="J1025">
        <v>17.550285196820393</v>
      </c>
      <c r="K1025">
        <v>17.61542282703082</v>
      </c>
      <c r="L1025">
        <v>17.222277933600818</v>
      </c>
      <c r="M1025">
        <v>0</v>
      </c>
      <c r="N1025">
        <v>0</v>
      </c>
      <c r="O1025">
        <v>0</v>
      </c>
      <c r="P1025">
        <v>16.962556261807858</v>
      </c>
      <c r="Q1025">
        <v>17.979235002954489</v>
      </c>
      <c r="R1025">
        <v>17.147064586394606</v>
      </c>
      <c r="S1025">
        <v>0</v>
      </c>
      <c r="T1025">
        <v>18.598144835598983</v>
      </c>
    </row>
    <row r="1026" spans="1:20" x14ac:dyDescent="0.25">
      <c r="A1026" s="5" t="s">
        <v>1044</v>
      </c>
      <c r="B1026">
        <v>15.053824319375174</v>
      </c>
      <c r="C1026">
        <v>13.963477817278919</v>
      </c>
      <c r="D1026">
        <v>13.876286133822985</v>
      </c>
      <c r="E1026">
        <v>14.217323051658052</v>
      </c>
      <c r="F1026">
        <v>14.264811977439372</v>
      </c>
      <c r="G1026">
        <v>14.367800290872141</v>
      </c>
      <c r="H1026">
        <v>13.273371370752409</v>
      </c>
      <c r="I1026">
        <v>14.714337853103507</v>
      </c>
      <c r="J1026">
        <v>14.92257978609692</v>
      </c>
      <c r="K1026">
        <v>13.977372258937299</v>
      </c>
      <c r="L1026">
        <v>14.14758815564038</v>
      </c>
      <c r="M1026">
        <v>15.370853614849695</v>
      </c>
      <c r="N1026">
        <v>15.968094445349289</v>
      </c>
      <c r="O1026">
        <v>15.395515669083965</v>
      </c>
      <c r="P1026">
        <v>15.653583822024411</v>
      </c>
      <c r="Q1026">
        <v>15.171347622857667</v>
      </c>
      <c r="R1026">
        <v>16.166033822961197</v>
      </c>
      <c r="S1026">
        <v>16.034328143749374</v>
      </c>
      <c r="T1026">
        <v>15.491945431767057</v>
      </c>
    </row>
    <row r="1027" spans="1:20" x14ac:dyDescent="0.25">
      <c r="A1027" s="6" t="s">
        <v>1045</v>
      </c>
      <c r="B1027">
        <v>15.940613708927183</v>
      </c>
      <c r="C1027">
        <v>15.270503089517227</v>
      </c>
      <c r="D1027">
        <v>16.299300353824663</v>
      </c>
      <c r="E1027">
        <v>16.581071322240042</v>
      </c>
      <c r="F1027">
        <v>16.253496664211536</v>
      </c>
      <c r="G1027">
        <v>15.878457232864612</v>
      </c>
      <c r="H1027">
        <v>14.389310519557256</v>
      </c>
      <c r="I1027">
        <v>15.852617227929352</v>
      </c>
      <c r="J1027">
        <v>16.968094445349287</v>
      </c>
      <c r="K1027">
        <v>16.103749544706854</v>
      </c>
      <c r="L1027">
        <v>16.198214228710349</v>
      </c>
      <c r="M1027">
        <v>16.15546458125101</v>
      </c>
      <c r="N1027">
        <v>15.895944659593452</v>
      </c>
      <c r="O1027">
        <v>16.618322717536614</v>
      </c>
      <c r="P1027">
        <v>15.242269408788282</v>
      </c>
      <c r="Q1027">
        <v>15.113945311812744</v>
      </c>
      <c r="R1027">
        <v>14.414292876114592</v>
      </c>
      <c r="S1027">
        <v>15.27621674071162</v>
      </c>
      <c r="T1027">
        <v>14.59886063568357</v>
      </c>
    </row>
    <row r="1028" spans="1:20" x14ac:dyDescent="0.25">
      <c r="A1028" s="5" t="s">
        <v>1046</v>
      </c>
      <c r="B1028">
        <v>16.176681067160704</v>
      </c>
      <c r="C1028">
        <v>0</v>
      </c>
      <c r="D1028">
        <v>0</v>
      </c>
      <c r="E1028">
        <v>0</v>
      </c>
      <c r="F1028">
        <v>0</v>
      </c>
      <c r="G1028">
        <v>15.498609162048069</v>
      </c>
      <c r="H1028">
        <v>16.144972207433366</v>
      </c>
      <c r="I1028">
        <v>0</v>
      </c>
      <c r="J1028">
        <v>15.977372258937301</v>
      </c>
      <c r="K1028">
        <v>15.67606783617579</v>
      </c>
      <c r="L1028">
        <v>0</v>
      </c>
      <c r="M1028">
        <v>16.264811977439372</v>
      </c>
      <c r="N1028">
        <v>0</v>
      </c>
      <c r="O1028">
        <v>0</v>
      </c>
      <c r="P1028">
        <v>14.475419534676179</v>
      </c>
      <c r="Q1028">
        <v>13.854752972273344</v>
      </c>
      <c r="R1028">
        <v>15.498609162048069</v>
      </c>
      <c r="S1028">
        <v>14.75365077712833</v>
      </c>
      <c r="T1028">
        <v>14.563498692792091</v>
      </c>
    </row>
    <row r="1029" spans="1:20" x14ac:dyDescent="0.25">
      <c r="A1029" s="6" t="s">
        <v>1047</v>
      </c>
      <c r="B1029">
        <v>0</v>
      </c>
      <c r="C1029">
        <v>0</v>
      </c>
      <c r="D1029">
        <v>0</v>
      </c>
      <c r="E1029">
        <v>0</v>
      </c>
      <c r="F1029">
        <v>15.45908079786143</v>
      </c>
      <c r="G1029">
        <v>0</v>
      </c>
      <c r="H1029">
        <v>15.505303814622076</v>
      </c>
      <c r="I1029">
        <v>15.940613708927183</v>
      </c>
      <c r="J1029">
        <v>15.588160747026361</v>
      </c>
      <c r="K1029">
        <v>0</v>
      </c>
      <c r="L1029">
        <v>0</v>
      </c>
      <c r="M1029">
        <v>16.692781709737059</v>
      </c>
      <c r="N1029">
        <v>14.661039626943458</v>
      </c>
      <c r="O1029">
        <v>16.358678900903591</v>
      </c>
      <c r="P1029">
        <v>14.977372258937299</v>
      </c>
      <c r="Q1029">
        <v>14.192800732523983</v>
      </c>
      <c r="R1029">
        <v>14.657306908067127</v>
      </c>
      <c r="S1029">
        <v>15.225590667641651</v>
      </c>
      <c r="T1029">
        <v>13.82723190950944</v>
      </c>
    </row>
    <row r="1030" spans="1:20" x14ac:dyDescent="0.25">
      <c r="A1030" s="5" t="s">
        <v>1048</v>
      </c>
      <c r="B1030">
        <v>15.581071322240042</v>
      </c>
      <c r="C1030">
        <v>0</v>
      </c>
      <c r="D1030">
        <v>14.963477817278919</v>
      </c>
      <c r="E1030">
        <v>15.27621674071162</v>
      </c>
      <c r="F1030">
        <v>0</v>
      </c>
      <c r="G1030">
        <v>15.581071322240042</v>
      </c>
      <c r="H1030">
        <v>0</v>
      </c>
      <c r="I1030">
        <v>15.078570981710859</v>
      </c>
      <c r="J1030">
        <v>15.000831231761289</v>
      </c>
      <c r="K1030">
        <v>15.498609162048069</v>
      </c>
      <c r="L1030">
        <v>15.553056946070447</v>
      </c>
      <c r="M1030">
        <v>0</v>
      </c>
      <c r="N1030">
        <v>16.253496664211536</v>
      </c>
      <c r="O1030">
        <v>14.773716400182437</v>
      </c>
      <c r="P1030">
        <v>0</v>
      </c>
      <c r="Q1030">
        <v>0</v>
      </c>
      <c r="R1030">
        <v>16.144972207433366</v>
      </c>
      <c r="S1030">
        <v>15.729934708154525</v>
      </c>
      <c r="T1030">
        <v>16.287712379549451</v>
      </c>
    </row>
    <row r="1031" spans="1:20" x14ac:dyDescent="0.25">
      <c r="A1031" s="6" t="s">
        <v>1049</v>
      </c>
      <c r="B1031">
        <v>14.155464581251008</v>
      </c>
      <c r="C1031">
        <v>13.589938559994264</v>
      </c>
      <c r="D1031">
        <v>13.794065045574239</v>
      </c>
      <c r="E1031">
        <v>13.551323978845989</v>
      </c>
      <c r="F1031">
        <v>13.636947820432548</v>
      </c>
      <c r="G1031">
        <v>13.446141742153932</v>
      </c>
      <c r="H1031">
        <v>13.844105728073835</v>
      </c>
      <c r="I1031">
        <v>13.558268372715785</v>
      </c>
      <c r="J1031">
        <v>13.841985676199466</v>
      </c>
      <c r="K1031">
        <v>13.358678900903593</v>
      </c>
      <c r="L1031">
        <v>13.442925029470389</v>
      </c>
      <c r="M1031">
        <v>14.293494732143458</v>
      </c>
      <c r="N1031">
        <v>14.337617285375762</v>
      </c>
      <c r="O1031">
        <v>13.659172060286689</v>
      </c>
      <c r="P1031">
        <v>13.865479378866404</v>
      </c>
      <c r="Q1031">
        <v>13.649870319225345</v>
      </c>
      <c r="R1031">
        <v>13.450980299090315</v>
      </c>
      <c r="S1031">
        <v>13.361712960993227</v>
      </c>
      <c r="T1031">
        <v>13.579304396065853</v>
      </c>
    </row>
    <row r="1032" spans="1:20" x14ac:dyDescent="0.25">
      <c r="A1032" s="5" t="s">
        <v>1050</v>
      </c>
      <c r="B1032">
        <v>0</v>
      </c>
      <c r="C1032">
        <v>14.691254239990466</v>
      </c>
      <c r="D1032">
        <v>16.005569150767954</v>
      </c>
      <c r="E1032">
        <v>15.968094445349289</v>
      </c>
      <c r="F1032">
        <v>0</v>
      </c>
      <c r="G1032">
        <v>14.757641637324365</v>
      </c>
      <c r="H1032">
        <v>14.936084050446668</v>
      </c>
      <c r="I1032">
        <v>0</v>
      </c>
      <c r="J1032">
        <v>15.777763233245141</v>
      </c>
      <c r="K1032">
        <v>14.75365077712833</v>
      </c>
      <c r="L1032">
        <v>14.737796825927495</v>
      </c>
      <c r="M1032">
        <v>15.785891114128539</v>
      </c>
      <c r="N1032">
        <v>15.602444973032609</v>
      </c>
      <c r="O1032">
        <v>15.408006613267162</v>
      </c>
      <c r="P1032">
        <v>13.961175031409498</v>
      </c>
      <c r="Q1032">
        <v>13.763648703772239</v>
      </c>
      <c r="R1032">
        <v>13.331655727137047</v>
      </c>
      <c r="S1032">
        <v>13.404873723782199</v>
      </c>
      <c r="T1032">
        <v>14.584611679945288</v>
      </c>
    </row>
    <row r="1033" spans="1:20" x14ac:dyDescent="0.25">
      <c r="A1033" s="6" t="s">
        <v>1051</v>
      </c>
      <c r="B1033">
        <v>0</v>
      </c>
      <c r="C1033">
        <v>14.281953110260764</v>
      </c>
      <c r="D1033">
        <v>13.465594104820106</v>
      </c>
      <c r="E1033">
        <v>13.906982931045901</v>
      </c>
      <c r="F1033">
        <v>14.279082074406009</v>
      </c>
      <c r="G1033">
        <v>14.27621674071162</v>
      </c>
      <c r="H1033">
        <v>14.577539631269786</v>
      </c>
      <c r="I1033">
        <v>14.549593090766873</v>
      </c>
      <c r="J1033">
        <v>14.702749878828294</v>
      </c>
      <c r="K1033">
        <v>13.239141371234465</v>
      </c>
      <c r="L1033">
        <v>13.506982343073073</v>
      </c>
      <c r="M1033">
        <v>0</v>
      </c>
      <c r="N1033">
        <v>0</v>
      </c>
      <c r="O1033">
        <v>14.003198246305205</v>
      </c>
      <c r="P1033">
        <v>0</v>
      </c>
      <c r="Q1033">
        <v>0</v>
      </c>
      <c r="R1033">
        <v>14.996108821518886</v>
      </c>
      <c r="S1033">
        <v>14.386217924501876</v>
      </c>
      <c r="T1033">
        <v>0</v>
      </c>
    </row>
    <row r="1034" spans="1:20" x14ac:dyDescent="0.25">
      <c r="A1034" s="5" t="s">
        <v>1052</v>
      </c>
      <c r="B1034">
        <v>0</v>
      </c>
      <c r="C1034">
        <v>0</v>
      </c>
      <c r="D1034">
        <v>13.237677435052905</v>
      </c>
      <c r="E1034">
        <v>13.716278263672942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13.884990202703845</v>
      </c>
      <c r="M1034">
        <v>14.179355201459032</v>
      </c>
      <c r="N1034">
        <v>0</v>
      </c>
      <c r="O1034">
        <v>13.996108821518886</v>
      </c>
      <c r="P1034">
        <v>0</v>
      </c>
      <c r="Q1034">
        <v>14.071102310807008</v>
      </c>
      <c r="R1034">
        <v>12.905078324387683</v>
      </c>
      <c r="S1034">
        <v>13.360195133350974</v>
      </c>
      <c r="T1034">
        <v>14.083571662769224</v>
      </c>
    </row>
    <row r="1035" spans="1:20" x14ac:dyDescent="0.25">
      <c r="A1035" s="6" t="s">
        <v>1053</v>
      </c>
      <c r="B1035">
        <v>12.973584344232311</v>
      </c>
      <c r="C1035">
        <v>12.360870369465538</v>
      </c>
      <c r="D1035">
        <v>12.981508478851545</v>
      </c>
      <c r="E1035">
        <v>12.72743763647904</v>
      </c>
      <c r="F1035">
        <v>12.757801501587467</v>
      </c>
      <c r="G1035">
        <v>13.040307368179388</v>
      </c>
      <c r="H1035">
        <v>12.780125756093161</v>
      </c>
      <c r="I1035">
        <v>12.345839840373904</v>
      </c>
      <c r="J1035">
        <v>12.759261081896216</v>
      </c>
      <c r="K1035">
        <v>12.787583401304268</v>
      </c>
      <c r="L1035">
        <v>12.79786120866579</v>
      </c>
      <c r="M1035">
        <v>13.551323978845989</v>
      </c>
      <c r="N1035">
        <v>12.885666965743404</v>
      </c>
      <c r="O1035">
        <v>12.798272203623595</v>
      </c>
      <c r="P1035">
        <v>12.967250807943675</v>
      </c>
      <c r="Q1035">
        <v>12.964227014792371</v>
      </c>
      <c r="R1035">
        <v>12.437945250580817</v>
      </c>
      <c r="S1035">
        <v>12.510858806045769</v>
      </c>
      <c r="T1035">
        <v>13.486967755612673</v>
      </c>
    </row>
    <row r="1036" spans="1:20" x14ac:dyDescent="0.25">
      <c r="A1036" s="5" t="s">
        <v>1054</v>
      </c>
      <c r="B1036">
        <v>11.366325561302194</v>
      </c>
      <c r="C1036">
        <v>10.713499433325994</v>
      </c>
      <c r="D1036">
        <v>10.684108583803356</v>
      </c>
      <c r="E1036">
        <v>10.71000319739478</v>
      </c>
      <c r="F1036">
        <v>11.012937851226607</v>
      </c>
      <c r="G1036">
        <v>11.009703835414344</v>
      </c>
      <c r="H1036">
        <v>11.099447564672355</v>
      </c>
      <c r="I1036">
        <v>11.206294346888889</v>
      </c>
      <c r="J1036">
        <v>11.129278400328223</v>
      </c>
      <c r="K1036">
        <v>10.581321075075616</v>
      </c>
      <c r="L1036">
        <v>10.474571502286722</v>
      </c>
      <c r="M1036">
        <v>11.982973561767512</v>
      </c>
      <c r="N1036">
        <v>11.710605059068021</v>
      </c>
      <c r="O1036">
        <v>11.530497071043348</v>
      </c>
      <c r="P1036">
        <v>11.963207049291405</v>
      </c>
      <c r="Q1036">
        <v>11.835892001999712</v>
      </c>
      <c r="R1036">
        <v>11.32027444488677</v>
      </c>
      <c r="S1036">
        <v>11.513707617649841</v>
      </c>
      <c r="T1036">
        <v>11.879864764191932</v>
      </c>
    </row>
    <row r="1037" spans="1:20" x14ac:dyDescent="0.25">
      <c r="A1037" s="6" t="s">
        <v>1055</v>
      </c>
      <c r="B1037">
        <v>9.7185798185228141</v>
      </c>
      <c r="C1037">
        <v>8.49141781434618</v>
      </c>
      <c r="D1037">
        <v>8.5228848331411715</v>
      </c>
      <c r="E1037">
        <v>8.3364999468720171</v>
      </c>
      <c r="F1037">
        <v>8.8563588639492981</v>
      </c>
      <c r="G1037">
        <v>9.2864100335927624</v>
      </c>
      <c r="H1037">
        <v>9.2525908614708552</v>
      </c>
      <c r="I1037">
        <v>9.1500408244015041</v>
      </c>
      <c r="J1037">
        <v>9.5042944909362568</v>
      </c>
      <c r="K1037">
        <v>8.5995991766779163</v>
      </c>
      <c r="L1037">
        <v>8.6465438356846818</v>
      </c>
      <c r="M1037">
        <v>10.228400369587623</v>
      </c>
      <c r="N1037">
        <v>9.9110399771340667</v>
      </c>
      <c r="O1037">
        <v>9.3988561543999118</v>
      </c>
      <c r="P1037">
        <v>10.829054777666229</v>
      </c>
      <c r="Q1037">
        <v>11.194439554116464</v>
      </c>
      <c r="R1037">
        <v>11.192351648774174</v>
      </c>
      <c r="S1037">
        <v>11.224112800620691</v>
      </c>
      <c r="T1037">
        <v>11.213395341591132</v>
      </c>
    </row>
    <row r="1038" spans="1:20" x14ac:dyDescent="0.25">
      <c r="A1038" s="5" t="s">
        <v>1056</v>
      </c>
      <c r="B1038">
        <v>11.472452574749711</v>
      </c>
      <c r="C1038">
        <v>10.642077577994616</v>
      </c>
      <c r="D1038">
        <v>10.655299901758843</v>
      </c>
      <c r="E1038">
        <v>10.453049699297585</v>
      </c>
      <c r="F1038">
        <v>11.256913724059338</v>
      </c>
      <c r="G1038">
        <v>11.214409690267477</v>
      </c>
      <c r="H1038">
        <v>10.806844967561954</v>
      </c>
      <c r="I1038">
        <v>11.250889068503231</v>
      </c>
      <c r="J1038">
        <v>11.295241218081562</v>
      </c>
      <c r="K1038">
        <v>10.593233300586981</v>
      </c>
      <c r="L1038">
        <v>10.582922288147053</v>
      </c>
      <c r="M1038">
        <v>11.588373968945742</v>
      </c>
      <c r="N1038">
        <v>11.292911833093834</v>
      </c>
      <c r="O1038">
        <v>11.319960908146451</v>
      </c>
      <c r="P1038">
        <v>12.093833423455944</v>
      </c>
      <c r="Q1038">
        <v>12.199021224624817</v>
      </c>
      <c r="R1038">
        <v>11.723641563374986</v>
      </c>
      <c r="S1038">
        <v>11.820855594996635</v>
      </c>
      <c r="T1038">
        <v>11.84998393974192</v>
      </c>
    </row>
    <row r="1039" spans="1:20" x14ac:dyDescent="0.25">
      <c r="A1039" s="6" t="s">
        <v>1057</v>
      </c>
      <c r="B1039">
        <v>13.88063160409895</v>
      </c>
      <c r="C1039">
        <v>13.468861818654016</v>
      </c>
      <c r="D1039">
        <v>14.071102310807008</v>
      </c>
      <c r="E1039">
        <v>13.835644149325638</v>
      </c>
      <c r="F1039">
        <v>13.624140044131927</v>
      </c>
      <c r="G1039">
        <v>13.629615174198079</v>
      </c>
      <c r="H1039">
        <v>13.568748043789912</v>
      </c>
      <c r="I1039">
        <v>13.627787821147072</v>
      </c>
      <c r="J1039">
        <v>13.825136491507246</v>
      </c>
      <c r="K1039">
        <v>13.785891114128539</v>
      </c>
      <c r="L1039">
        <v>13.59528518145974</v>
      </c>
      <c r="M1039">
        <v>14.245068042140955</v>
      </c>
      <c r="N1039">
        <v>14.392409758216143</v>
      </c>
      <c r="O1039">
        <v>13.751659479309239</v>
      </c>
      <c r="P1039">
        <v>13.61687204366789</v>
      </c>
      <c r="Q1039">
        <v>13.972725894080934</v>
      </c>
      <c r="R1039">
        <v>13.833536486363649</v>
      </c>
      <c r="S1039">
        <v>14.525576209648337</v>
      </c>
      <c r="T1039">
        <v>14.27621674071162</v>
      </c>
    </row>
    <row r="1040" spans="1:20" x14ac:dyDescent="0.25">
      <c r="A1040" s="5" t="s">
        <v>1058</v>
      </c>
      <c r="B1040">
        <v>10.387305375604608</v>
      </c>
      <c r="C1040">
        <v>9.7644992214978661</v>
      </c>
      <c r="D1040">
        <v>9.8439200991106226</v>
      </c>
      <c r="E1040">
        <v>10.639177909702626</v>
      </c>
      <c r="F1040">
        <v>10.775718163757496</v>
      </c>
      <c r="G1040">
        <v>10.573717500392233</v>
      </c>
      <c r="H1040">
        <v>11.121167240485839</v>
      </c>
      <c r="I1040">
        <v>10.54861821718443</v>
      </c>
      <c r="J1040">
        <v>10.938618906843324</v>
      </c>
      <c r="K1040">
        <v>10.520847996401864</v>
      </c>
      <c r="L1040">
        <v>10.509472257686314</v>
      </c>
      <c r="M1040">
        <v>11.111281089681949</v>
      </c>
      <c r="N1040">
        <v>10.941569584146404</v>
      </c>
      <c r="O1040">
        <v>10.797845798632293</v>
      </c>
      <c r="P1040">
        <v>11.824508459120826</v>
      </c>
      <c r="Q1040">
        <v>12.297236682352253</v>
      </c>
      <c r="R1040">
        <v>12.615622008016894</v>
      </c>
      <c r="S1040">
        <v>12.954345896763407</v>
      </c>
      <c r="T1040">
        <v>12.099716656568337</v>
      </c>
    </row>
    <row r="1041" spans="1:20" x14ac:dyDescent="0.25">
      <c r="A1041" s="6" t="s">
        <v>1059</v>
      </c>
      <c r="B1041">
        <v>7.9776500626509241</v>
      </c>
      <c r="C1041">
        <v>8.0696236700895145</v>
      </c>
      <c r="D1041">
        <v>7.9832232411705588</v>
      </c>
      <c r="E1041">
        <v>8.0247136658313512</v>
      </c>
      <c r="F1041">
        <v>7.8569106125008199</v>
      </c>
      <c r="G1041">
        <v>8.0303833773838491</v>
      </c>
      <c r="H1041">
        <v>7.5979818729513129</v>
      </c>
      <c r="I1041">
        <v>8.2009956894183027</v>
      </c>
      <c r="J1041">
        <v>8.3711731559887355</v>
      </c>
      <c r="K1041">
        <v>8.4948138302548788</v>
      </c>
      <c r="L1041">
        <v>8.3727441875295359</v>
      </c>
      <c r="M1041">
        <v>8.0998152042447646</v>
      </c>
      <c r="N1041">
        <v>8.4852673593199555</v>
      </c>
      <c r="O1041">
        <v>8.0674977520052433</v>
      </c>
      <c r="P1041">
        <v>8.1531924155437423</v>
      </c>
      <c r="Q1041">
        <v>7.9205730444321301</v>
      </c>
      <c r="R1041">
        <v>8.1276255625976166</v>
      </c>
      <c r="S1041">
        <v>8.2635146146545821</v>
      </c>
      <c r="T1041">
        <v>7.9426503155009707</v>
      </c>
    </row>
    <row r="1042" spans="1:20" x14ac:dyDescent="0.25">
      <c r="A1042" s="5" t="s">
        <v>1060</v>
      </c>
      <c r="B1042">
        <v>11.088746833963389</v>
      </c>
      <c r="C1042">
        <v>11.320171154669602</v>
      </c>
      <c r="D1042">
        <v>10.737956970023186</v>
      </c>
      <c r="E1042">
        <v>10.891119927683532</v>
      </c>
      <c r="F1042">
        <v>10.59802184321771</v>
      </c>
      <c r="G1042">
        <v>11.335479469833471</v>
      </c>
      <c r="H1042">
        <v>10.888801130984422</v>
      </c>
      <c r="I1042">
        <v>11.060337876131006</v>
      </c>
      <c r="J1042">
        <v>11.454814266066862</v>
      </c>
      <c r="K1042">
        <v>11.470821910697468</v>
      </c>
      <c r="L1042">
        <v>11.346132761940355</v>
      </c>
      <c r="M1042">
        <v>10.940551329593982</v>
      </c>
      <c r="N1042">
        <v>11.387145007134757</v>
      </c>
      <c r="O1042">
        <v>11.09806806999446</v>
      </c>
      <c r="P1042">
        <v>11.356347015089941</v>
      </c>
      <c r="Q1042">
        <v>11.037038767586639</v>
      </c>
      <c r="R1042">
        <v>11.093332152156457</v>
      </c>
      <c r="S1042">
        <v>11.764797899755456</v>
      </c>
      <c r="T1042">
        <v>11.205125591919025</v>
      </c>
    </row>
    <row r="1043" spans="1:20" x14ac:dyDescent="0.25">
      <c r="A1043" s="6" t="s">
        <v>1061</v>
      </c>
      <c r="B1043">
        <v>7.6141028165168585</v>
      </c>
      <c r="C1043">
        <v>7.8709685503265465</v>
      </c>
      <c r="D1043">
        <v>8.3813576041895654</v>
      </c>
      <c r="E1043">
        <v>8.224792414165444</v>
      </c>
      <c r="F1043">
        <v>8.0818284423338849</v>
      </c>
      <c r="G1043">
        <v>7.6585353060247225</v>
      </c>
      <c r="H1043">
        <v>6.8195385032748232</v>
      </c>
      <c r="I1043">
        <v>8.0220557052920061</v>
      </c>
      <c r="J1043">
        <v>7.9437265290159331</v>
      </c>
      <c r="K1043">
        <v>8.3762551947490795</v>
      </c>
      <c r="L1043">
        <v>8.5623403951969657</v>
      </c>
      <c r="M1043">
        <v>7.9261727924426522</v>
      </c>
      <c r="N1043">
        <v>7.9135798714358838</v>
      </c>
      <c r="O1043">
        <v>8.0998389516793186</v>
      </c>
      <c r="P1043">
        <v>7.8405342444899482</v>
      </c>
      <c r="Q1043">
        <v>8.1505166909051674</v>
      </c>
      <c r="R1043">
        <v>8.5435981184961562</v>
      </c>
      <c r="S1043">
        <v>9.5975087426836119</v>
      </c>
      <c r="T1043">
        <v>9.0937065128408712</v>
      </c>
    </row>
    <row r="1044" spans="1:20" x14ac:dyDescent="0.25">
      <c r="A1044" s="5" t="s">
        <v>1062</v>
      </c>
      <c r="B1044">
        <v>11.789905879453601</v>
      </c>
      <c r="C1044">
        <v>11.685150980692843</v>
      </c>
      <c r="D1044">
        <v>11.326526185555318</v>
      </c>
      <c r="E1044">
        <v>11.635721591459493</v>
      </c>
      <c r="F1044">
        <v>10.992174478469948</v>
      </c>
      <c r="G1044">
        <v>11.419033515098024</v>
      </c>
      <c r="H1044">
        <v>11.478260890838033</v>
      </c>
      <c r="I1044">
        <v>11.613581705378349</v>
      </c>
      <c r="J1044">
        <v>11.249181379280715</v>
      </c>
      <c r="K1044">
        <v>11.553525204338866</v>
      </c>
      <c r="L1044">
        <v>11.49639839044268</v>
      </c>
      <c r="M1044">
        <v>12.104054371634966</v>
      </c>
      <c r="N1044">
        <v>12.995932031488531</v>
      </c>
      <c r="O1044">
        <v>11.545111098851184</v>
      </c>
      <c r="P1044">
        <v>12.321134253981841</v>
      </c>
      <c r="Q1044">
        <v>13.577539631269786</v>
      </c>
      <c r="R1044">
        <v>13.135957450994225</v>
      </c>
      <c r="S1044">
        <v>12.889504315429109</v>
      </c>
      <c r="T1044">
        <v>13.510345270099036</v>
      </c>
    </row>
    <row r="1045" spans="1:20" x14ac:dyDescent="0.25">
      <c r="A1045" s="6" t="s">
        <v>1063</v>
      </c>
      <c r="B1045">
        <v>15.048925519962333</v>
      </c>
      <c r="C1045">
        <v>14.508662826711991</v>
      </c>
      <c r="D1045">
        <v>14.949715916034434</v>
      </c>
      <c r="E1045">
        <v>0</v>
      </c>
      <c r="F1045">
        <v>14.814704811633275</v>
      </c>
      <c r="G1045">
        <v>13.952000469228988</v>
      </c>
      <c r="H1045">
        <v>14.019876987451836</v>
      </c>
      <c r="I1045">
        <v>14.609640474436812</v>
      </c>
      <c r="J1045">
        <v>15.000831231761289</v>
      </c>
      <c r="K1045">
        <v>14.27621674071162</v>
      </c>
      <c r="L1045">
        <v>14.646166350461927</v>
      </c>
      <c r="M1045">
        <v>15.103749544706854</v>
      </c>
      <c r="N1045">
        <v>15.532397475504352</v>
      </c>
      <c r="O1045">
        <v>0</v>
      </c>
      <c r="P1045">
        <v>0</v>
      </c>
      <c r="Q1045">
        <v>14.27335708657238</v>
      </c>
      <c r="R1045">
        <v>14.687442626040445</v>
      </c>
      <c r="S1045">
        <v>14.958875915319911</v>
      </c>
      <c r="T1045">
        <v>14.376979717646538</v>
      </c>
    </row>
    <row r="1046" spans="1:20" x14ac:dyDescent="0.25">
      <c r="A1046" s="5" t="s">
        <v>1064</v>
      </c>
      <c r="B1046">
        <v>0</v>
      </c>
      <c r="C1046">
        <v>15.27621674071162</v>
      </c>
      <c r="D1046">
        <v>15.737796825927495</v>
      </c>
      <c r="E1046">
        <v>15.624140044131927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17.211290104090846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25">
      <c r="A1047" s="6" t="s">
        <v>1065</v>
      </c>
      <c r="B1047">
        <v>12.629606031672923</v>
      </c>
      <c r="C1047">
        <v>12.433589030580221</v>
      </c>
      <c r="D1047">
        <v>12.141911037217696</v>
      </c>
      <c r="E1047">
        <v>12.313249146214304</v>
      </c>
      <c r="F1047">
        <v>11.777388424376818</v>
      </c>
      <c r="G1047">
        <v>13.104753176364223</v>
      </c>
      <c r="H1047">
        <v>12.724505427805514</v>
      </c>
      <c r="I1047">
        <v>12.618504154377812</v>
      </c>
      <c r="J1047">
        <v>13.035829715046694</v>
      </c>
      <c r="K1047">
        <v>12.564949103088784</v>
      </c>
      <c r="L1047">
        <v>12.995790615060757</v>
      </c>
      <c r="M1047">
        <v>12.950161120057532</v>
      </c>
      <c r="N1047">
        <v>13.570502080529854</v>
      </c>
      <c r="O1047">
        <v>13.004015768185255</v>
      </c>
      <c r="P1047">
        <v>13.505303814622076</v>
      </c>
      <c r="Q1047">
        <v>13.488625073475445</v>
      </c>
      <c r="R1047">
        <v>13.878457232864612</v>
      </c>
      <c r="S1047">
        <v>10.915573767606833</v>
      </c>
      <c r="T1047">
        <v>13.436513040956156</v>
      </c>
    </row>
    <row r="1048" spans="1:20" x14ac:dyDescent="0.25">
      <c r="A1048" s="5" t="s">
        <v>1066</v>
      </c>
      <c r="B1048">
        <v>13.958875915319911</v>
      </c>
      <c r="C1048">
        <v>13.278537222914688</v>
      </c>
      <c r="D1048">
        <v>15.395515669083965</v>
      </c>
      <c r="E1048">
        <v>0</v>
      </c>
      <c r="F1048">
        <v>13.759641214970715</v>
      </c>
      <c r="G1048">
        <v>13.716278263672942</v>
      </c>
      <c r="H1048">
        <v>13.929316117592796</v>
      </c>
      <c r="I1048">
        <v>13.520481342525573</v>
      </c>
      <c r="J1048">
        <v>14.414292876114592</v>
      </c>
      <c r="K1048">
        <v>15.452596764291233</v>
      </c>
      <c r="L1048">
        <v>14.848355201075194</v>
      </c>
      <c r="M1048">
        <v>14.679849476718214</v>
      </c>
      <c r="N1048">
        <v>14.827231909509438</v>
      </c>
      <c r="O1048">
        <v>14.398628280951302</v>
      </c>
      <c r="P1048">
        <v>14.794065045574239</v>
      </c>
      <c r="Q1048">
        <v>15.383131944628133</v>
      </c>
      <c r="R1048">
        <v>14.733860411368322</v>
      </c>
      <c r="S1048">
        <v>14.522177633186471</v>
      </c>
      <c r="T1048">
        <v>15.653583822024411</v>
      </c>
    </row>
    <row r="1049" spans="1:20" x14ac:dyDescent="0.25">
      <c r="A1049" s="6" t="s">
        <v>1067</v>
      </c>
      <c r="B1049">
        <v>0</v>
      </c>
      <c r="C1049">
        <v>15.638786820096328</v>
      </c>
      <c r="D1049">
        <v>16.525576209648339</v>
      </c>
      <c r="E1049">
        <v>15.895944659593452</v>
      </c>
      <c r="F1049">
        <v>0</v>
      </c>
      <c r="G1049">
        <v>16.187407473753765</v>
      </c>
      <c r="H1049">
        <v>0</v>
      </c>
      <c r="I1049">
        <v>16.539251146545414</v>
      </c>
      <c r="J1049">
        <v>0</v>
      </c>
      <c r="K1049">
        <v>16.231128851183083</v>
      </c>
      <c r="L1049">
        <v>16.253496664211536</v>
      </c>
      <c r="M1049">
        <v>0</v>
      </c>
      <c r="N1049">
        <v>0</v>
      </c>
      <c r="O1049">
        <v>16.880196467603149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25">
      <c r="A1050" s="5" t="s">
        <v>1068</v>
      </c>
      <c r="B1050">
        <v>11.560101184841406</v>
      </c>
      <c r="C1050">
        <v>10.962265518039773</v>
      </c>
      <c r="D1050">
        <v>11.356063357636502</v>
      </c>
      <c r="E1050">
        <v>11.161836494156647</v>
      </c>
      <c r="F1050">
        <v>10.366563626177143</v>
      </c>
      <c r="G1050">
        <v>11.323091953499222</v>
      </c>
      <c r="H1050">
        <v>11.667379342669914</v>
      </c>
      <c r="I1050">
        <v>11.00897227427382</v>
      </c>
      <c r="J1050">
        <v>11.231142723317475</v>
      </c>
      <c r="K1050">
        <v>11.196957164075611</v>
      </c>
      <c r="L1050">
        <v>11.320846363832811</v>
      </c>
      <c r="M1050">
        <v>11.867084462164696</v>
      </c>
      <c r="N1050">
        <v>12.099583687240827</v>
      </c>
      <c r="O1050">
        <v>11.407853727056926</v>
      </c>
      <c r="P1050">
        <v>12.036993296148896</v>
      </c>
      <c r="Q1050">
        <v>12.333337372199157</v>
      </c>
      <c r="R1050">
        <v>12.762244816084308</v>
      </c>
      <c r="S1050">
        <v>12.772979076457219</v>
      </c>
      <c r="T1050">
        <v>12.668891124389408</v>
      </c>
    </row>
    <row r="1051" spans="1:20" x14ac:dyDescent="0.25">
      <c r="A1051" s="6" t="s">
        <v>1069</v>
      </c>
      <c r="B1051">
        <v>15.015091924886457</v>
      </c>
      <c r="C1051">
        <v>15.12937535238235</v>
      </c>
      <c r="D1051">
        <v>15.408006613267162</v>
      </c>
      <c r="E1051">
        <v>15.802285552379209</v>
      </c>
      <c r="F1051">
        <v>15.525576209648337</v>
      </c>
      <c r="G1051">
        <v>14.62050146706858</v>
      </c>
      <c r="H1051">
        <v>14.963477817278919</v>
      </c>
      <c r="I1051">
        <v>15.305129432626858</v>
      </c>
      <c r="J1051">
        <v>14.913646661326911</v>
      </c>
      <c r="K1051">
        <v>15.048925519962333</v>
      </c>
      <c r="L1051">
        <v>15.253496664211537</v>
      </c>
      <c r="M1051">
        <v>15.005569150767952</v>
      </c>
      <c r="N1051">
        <v>15.638786820096328</v>
      </c>
      <c r="O1051">
        <v>15.887174449965721</v>
      </c>
      <c r="P1051">
        <v>14.88280925740432</v>
      </c>
      <c r="Q1051">
        <v>14.131963146871506</v>
      </c>
      <c r="R1051">
        <v>14.488625073475445</v>
      </c>
      <c r="S1051">
        <v>15.000831231761289</v>
      </c>
      <c r="T1051">
        <v>14.236688376524981</v>
      </c>
    </row>
    <row r="1052" spans="1:20" x14ac:dyDescent="0.25">
      <c r="A1052" s="5" t="s">
        <v>1070</v>
      </c>
      <c r="B1052">
        <v>0</v>
      </c>
      <c r="C1052">
        <v>15.539251146545414</v>
      </c>
      <c r="D1052">
        <v>15.166033822961197</v>
      </c>
      <c r="E1052">
        <v>15.322759326648649</v>
      </c>
      <c r="F1052">
        <v>0</v>
      </c>
      <c r="G1052">
        <v>0</v>
      </c>
      <c r="H1052">
        <v>0</v>
      </c>
      <c r="I1052">
        <v>0</v>
      </c>
      <c r="J1052">
        <v>16.566996137028319</v>
      </c>
      <c r="K1052">
        <v>16.310982158872296</v>
      </c>
      <c r="L1052">
        <v>15.581071322240042</v>
      </c>
      <c r="M1052">
        <v>0</v>
      </c>
      <c r="N1052">
        <v>16.581071322240042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25">
      <c r="A1053" s="6" t="s">
        <v>1071</v>
      </c>
      <c r="B1053">
        <v>11.503066018648898</v>
      </c>
      <c r="C1053">
        <v>11.491484275209704</v>
      </c>
      <c r="D1053">
        <v>11.635817998680569</v>
      </c>
      <c r="E1053">
        <v>11.842202838272193</v>
      </c>
      <c r="F1053">
        <v>11.653170221978286</v>
      </c>
      <c r="G1053">
        <v>11.100283496637129</v>
      </c>
      <c r="H1053">
        <v>11.662591545396257</v>
      </c>
      <c r="I1053">
        <v>11.432627639416824</v>
      </c>
      <c r="J1053">
        <v>10.997249638017884</v>
      </c>
      <c r="K1053">
        <v>11.072620919326623</v>
      </c>
      <c r="L1053">
        <v>10.904295618067227</v>
      </c>
      <c r="M1053">
        <v>10.834289622293397</v>
      </c>
      <c r="N1053">
        <v>11.79469533767586</v>
      </c>
      <c r="O1053">
        <v>11.188518184234731</v>
      </c>
      <c r="P1053">
        <v>10.419493815499964</v>
      </c>
      <c r="Q1053">
        <v>10.776894736990116</v>
      </c>
      <c r="R1053">
        <v>10.676372363831218</v>
      </c>
      <c r="S1053">
        <v>11.626081337299846</v>
      </c>
      <c r="T1053">
        <v>11.04873908201475</v>
      </c>
    </row>
    <row r="1054" spans="1:20" x14ac:dyDescent="0.25">
      <c r="A1054" s="5" t="s">
        <v>1072</v>
      </c>
      <c r="B1054">
        <v>8.9249689867961521</v>
      </c>
      <c r="C1054">
        <v>8.9563948283690351</v>
      </c>
      <c r="D1054">
        <v>9.0118910651463313</v>
      </c>
      <c r="E1054">
        <v>8.8929279976683731</v>
      </c>
      <c r="F1054">
        <v>9.330550889726215</v>
      </c>
      <c r="G1054">
        <v>8.9188637277909919</v>
      </c>
      <c r="H1054">
        <v>9.7032476944955413</v>
      </c>
      <c r="I1054">
        <v>9.2091051064587681</v>
      </c>
      <c r="J1054">
        <v>9.2790874522553999</v>
      </c>
      <c r="K1054">
        <v>9.1129536400020843</v>
      </c>
      <c r="L1054">
        <v>8.6440425980162399</v>
      </c>
      <c r="M1054">
        <v>8.848065308079585</v>
      </c>
      <c r="N1054">
        <v>9.1477264423618649</v>
      </c>
      <c r="O1054">
        <v>9.1271091868082816</v>
      </c>
      <c r="P1054">
        <v>9.071609888552489</v>
      </c>
      <c r="Q1054">
        <v>8.8915008184567359</v>
      </c>
      <c r="R1054">
        <v>9.2945135606320832</v>
      </c>
      <c r="S1054">
        <v>9.0734336742061554</v>
      </c>
      <c r="T1054">
        <v>8.8045582981904005</v>
      </c>
    </row>
    <row r="1055" spans="1:20" x14ac:dyDescent="0.25">
      <c r="A1055" s="6" t="s">
        <v>1073</v>
      </c>
      <c r="B1055">
        <v>12.577116408744613</v>
      </c>
      <c r="C1055">
        <v>12.522508642371889</v>
      </c>
      <c r="D1055">
        <v>12.413316709795904</v>
      </c>
      <c r="E1055">
        <v>12.478479055332162</v>
      </c>
      <c r="F1055">
        <v>12.737087478191714</v>
      </c>
      <c r="G1055">
        <v>12.684191662992388</v>
      </c>
      <c r="H1055">
        <v>13.032356678532565</v>
      </c>
      <c r="I1055">
        <v>12.550501548070875</v>
      </c>
      <c r="J1055">
        <v>12.620201693830152</v>
      </c>
      <c r="K1055">
        <v>12.412270426325126</v>
      </c>
      <c r="L1055">
        <v>12.415253942853504</v>
      </c>
      <c r="M1055">
        <v>12.901166273300264</v>
      </c>
      <c r="N1055">
        <v>13.243150392716519</v>
      </c>
      <c r="O1055">
        <v>12.871531997258302</v>
      </c>
      <c r="P1055">
        <v>12.938109314677678</v>
      </c>
      <c r="Q1055">
        <v>12.645260326593437</v>
      </c>
      <c r="R1055">
        <v>12.940647735154872</v>
      </c>
      <c r="S1055">
        <v>13.833536486363649</v>
      </c>
      <c r="T1055">
        <v>13.201268270864135</v>
      </c>
    </row>
    <row r="1056" spans="1:20" x14ac:dyDescent="0.25">
      <c r="A1056" s="5" t="s">
        <v>1074</v>
      </c>
      <c r="B1056">
        <v>11.909922284213181</v>
      </c>
      <c r="C1056">
        <v>11.984773388124824</v>
      </c>
      <c r="D1056">
        <v>12.132403533930312</v>
      </c>
      <c r="E1056">
        <v>12.577910052852326</v>
      </c>
      <c r="F1056">
        <v>11.646494693425131</v>
      </c>
      <c r="G1056">
        <v>12.298973166751027</v>
      </c>
      <c r="H1056">
        <v>11.782888625967015</v>
      </c>
      <c r="I1056">
        <v>12.041869927466633</v>
      </c>
      <c r="J1056">
        <v>11.923111934029627</v>
      </c>
      <c r="K1056">
        <v>11.949613196152043</v>
      </c>
      <c r="L1056">
        <v>11.596504309493705</v>
      </c>
      <c r="M1056">
        <v>12.555477918044328</v>
      </c>
      <c r="N1056">
        <v>12.462683907794801</v>
      </c>
      <c r="O1056">
        <v>12.902590623054337</v>
      </c>
      <c r="P1056">
        <v>12.537697651091285</v>
      </c>
      <c r="Q1056">
        <v>12.468943606405443</v>
      </c>
      <c r="R1056">
        <v>12.465700189238028</v>
      </c>
      <c r="S1056">
        <v>13.823044112546006</v>
      </c>
      <c r="T1056">
        <v>13.214097770655242</v>
      </c>
    </row>
    <row r="1057" spans="1:20" x14ac:dyDescent="0.25">
      <c r="A1057" s="6" t="s">
        <v>1075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14.4397154729945</v>
      </c>
      <c r="H1057">
        <v>15.525576209648337</v>
      </c>
      <c r="I1057">
        <v>0</v>
      </c>
      <c r="J1057">
        <v>0</v>
      </c>
      <c r="K1057">
        <v>15.737796825927495</v>
      </c>
      <c r="L1057">
        <v>0</v>
      </c>
      <c r="M1057">
        <v>0</v>
      </c>
      <c r="N1057">
        <v>0</v>
      </c>
      <c r="O1057">
        <v>0</v>
      </c>
      <c r="P1057">
        <v>14.679849476718214</v>
      </c>
      <c r="Q1057">
        <v>13.104168698339945</v>
      </c>
      <c r="R1057">
        <v>13.804348018836102</v>
      </c>
      <c r="S1057">
        <v>14.423773929125478</v>
      </c>
      <c r="T1057">
        <v>11.880283484403494</v>
      </c>
    </row>
    <row r="1058" spans="1:20" x14ac:dyDescent="0.25">
      <c r="A1058" s="5" t="s">
        <v>1076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11.512784087675714</v>
      </c>
      <c r="R1058">
        <v>11.643242309389803</v>
      </c>
      <c r="S1058">
        <v>12.860095480450244</v>
      </c>
      <c r="T1058">
        <v>10.802873054967</v>
      </c>
    </row>
    <row r="1059" spans="1:20" x14ac:dyDescent="0.25">
      <c r="A1059" s="6" t="s">
        <v>1077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11.651039041684266</v>
      </c>
      <c r="R1059">
        <v>12.393193369910243</v>
      </c>
      <c r="S1059">
        <v>12.756782670277286</v>
      </c>
      <c r="T1059">
        <v>11.062307872112239</v>
      </c>
    </row>
    <row r="1060" spans="1:20" x14ac:dyDescent="0.25">
      <c r="A1060" s="5" t="s">
        <v>1078</v>
      </c>
      <c r="B1060">
        <v>0</v>
      </c>
      <c r="C1060">
        <v>0</v>
      </c>
      <c r="D1060">
        <v>0</v>
      </c>
      <c r="E1060">
        <v>0</v>
      </c>
      <c r="F1060">
        <v>13.113702325133062</v>
      </c>
      <c r="G1060">
        <v>12.317293071235818</v>
      </c>
      <c r="H1060">
        <v>0</v>
      </c>
      <c r="I1060">
        <v>13.357164260301595</v>
      </c>
      <c r="J1060">
        <v>13.434914486730678</v>
      </c>
      <c r="K1060">
        <v>12.710571212793333</v>
      </c>
      <c r="L1060">
        <v>0</v>
      </c>
      <c r="M1060">
        <v>0</v>
      </c>
      <c r="N1060">
        <v>0</v>
      </c>
      <c r="O1060">
        <v>0</v>
      </c>
      <c r="P1060">
        <v>12.597465154316451</v>
      </c>
      <c r="Q1060">
        <v>10.596015194834777</v>
      </c>
      <c r="R1060">
        <v>11.503727776557643</v>
      </c>
      <c r="S1060">
        <v>12.005231058736356</v>
      </c>
      <c r="T1060">
        <v>10.097042214456488</v>
      </c>
    </row>
    <row r="1061" spans="1:20" x14ac:dyDescent="0.25">
      <c r="A1061" s="6" t="s">
        <v>1079</v>
      </c>
      <c r="B1061">
        <v>0</v>
      </c>
      <c r="C1061">
        <v>0</v>
      </c>
      <c r="D1061">
        <v>0</v>
      </c>
      <c r="E1061">
        <v>0</v>
      </c>
      <c r="F1061">
        <v>13.472136950686879</v>
      </c>
      <c r="G1061">
        <v>12.568581521166326</v>
      </c>
      <c r="H1061">
        <v>0</v>
      </c>
      <c r="I1061">
        <v>0</v>
      </c>
      <c r="J1061">
        <v>13.696990609539608</v>
      </c>
      <c r="K1061">
        <v>13.337617285375762</v>
      </c>
      <c r="L1061">
        <v>0</v>
      </c>
      <c r="M1061">
        <v>0</v>
      </c>
      <c r="N1061">
        <v>0</v>
      </c>
      <c r="O1061">
        <v>0</v>
      </c>
      <c r="P1061">
        <v>12.53556325185475</v>
      </c>
      <c r="Q1061">
        <v>10.959706048346469</v>
      </c>
      <c r="R1061">
        <v>11.347699775403395</v>
      </c>
      <c r="S1061">
        <v>12.630968907138229</v>
      </c>
      <c r="T1061">
        <v>10.503162331621063</v>
      </c>
    </row>
    <row r="1062" spans="1:20" x14ac:dyDescent="0.25">
      <c r="A1062" s="5" t="s">
        <v>1080</v>
      </c>
      <c r="B1062">
        <v>15.922579786096922</v>
      </c>
      <c r="C1062">
        <v>0</v>
      </c>
      <c r="D1062">
        <v>0</v>
      </c>
      <c r="E1062">
        <v>0</v>
      </c>
      <c r="F1062">
        <v>14.512029677810389</v>
      </c>
      <c r="G1062">
        <v>14.245068042140955</v>
      </c>
      <c r="H1062">
        <v>15.187407473753764</v>
      </c>
      <c r="I1062">
        <v>14.88280925740432</v>
      </c>
      <c r="J1062">
        <v>15.352629856230788</v>
      </c>
      <c r="K1062">
        <v>15.401747622795478</v>
      </c>
      <c r="L1062">
        <v>0</v>
      </c>
      <c r="M1062">
        <v>15.968094445349289</v>
      </c>
      <c r="N1062">
        <v>0</v>
      </c>
      <c r="O1062">
        <v>0</v>
      </c>
      <c r="P1062">
        <v>13.651725875803827</v>
      </c>
      <c r="Q1062">
        <v>12.216320383611954</v>
      </c>
      <c r="R1062">
        <v>12.833420654185682</v>
      </c>
      <c r="S1062">
        <v>14.0860785183798</v>
      </c>
      <c r="T1062">
        <v>11.731008307976929</v>
      </c>
    </row>
    <row r="1063" spans="1:20" x14ac:dyDescent="0.25">
      <c r="A1063" s="6" t="s">
        <v>1081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13.184597495058849</v>
      </c>
      <c r="Q1063">
        <v>11.642545663934348</v>
      </c>
      <c r="R1063">
        <v>12.456589102971321</v>
      </c>
      <c r="S1063">
        <v>0</v>
      </c>
      <c r="T1063">
        <v>11.16345704292268</v>
      </c>
    </row>
    <row r="1064" spans="1:20" x14ac:dyDescent="0.25">
      <c r="A1064" s="5" t="s">
        <v>1082</v>
      </c>
      <c r="B1064">
        <v>0</v>
      </c>
      <c r="C1064">
        <v>0</v>
      </c>
      <c r="D1064">
        <v>0</v>
      </c>
      <c r="E1064">
        <v>0</v>
      </c>
      <c r="F1064">
        <v>13.865479378866404</v>
      </c>
      <c r="G1064">
        <v>13.636947820432548</v>
      </c>
      <c r="H1064">
        <v>14.745702024012841</v>
      </c>
      <c r="I1064">
        <v>14.423773929125478</v>
      </c>
      <c r="J1064">
        <v>0</v>
      </c>
      <c r="K1064">
        <v>13.844105728073835</v>
      </c>
      <c r="L1064">
        <v>14.949715916034434</v>
      </c>
      <c r="M1064">
        <v>0</v>
      </c>
      <c r="N1064">
        <v>0</v>
      </c>
      <c r="O1064">
        <v>0</v>
      </c>
      <c r="P1064">
        <v>13.201390567126992</v>
      </c>
      <c r="Q1064">
        <v>11.435881400378284</v>
      </c>
      <c r="R1064">
        <v>12.128606378547282</v>
      </c>
      <c r="S1064">
        <v>13.404873723782199</v>
      </c>
      <c r="T1064">
        <v>10.844877670324777</v>
      </c>
    </row>
    <row r="1065" spans="1:20" x14ac:dyDescent="0.25">
      <c r="A1065" s="6" t="s">
        <v>1083</v>
      </c>
      <c r="B1065">
        <v>15.777763233245141</v>
      </c>
      <c r="C1065">
        <v>0</v>
      </c>
      <c r="D1065">
        <v>16.609640474436812</v>
      </c>
      <c r="E1065">
        <v>16.370853614849693</v>
      </c>
      <c r="F1065">
        <v>14.420606650046794</v>
      </c>
      <c r="G1065">
        <v>13.714337853103505</v>
      </c>
      <c r="H1065">
        <v>14.827231909509438</v>
      </c>
      <c r="I1065">
        <v>14.773716400182437</v>
      </c>
      <c r="J1065">
        <v>15.264811977439372</v>
      </c>
      <c r="K1065">
        <v>14.949715916034434</v>
      </c>
      <c r="L1065">
        <v>15.574016564706092</v>
      </c>
      <c r="M1065">
        <v>15.7066022043239</v>
      </c>
      <c r="N1065">
        <v>15.769680886947281</v>
      </c>
      <c r="O1065">
        <v>16.683641055880589</v>
      </c>
      <c r="P1065">
        <v>13.577539631269786</v>
      </c>
      <c r="Q1065">
        <v>11.794797850229125</v>
      </c>
      <c r="R1065">
        <v>12.35898959873033</v>
      </c>
      <c r="S1065">
        <v>12.909877872073725</v>
      </c>
      <c r="T1065">
        <v>11.085128534269817</v>
      </c>
    </row>
    <row r="1066" spans="1:20" x14ac:dyDescent="0.25">
      <c r="A1066" s="5" t="s">
        <v>1084</v>
      </c>
      <c r="B1066">
        <v>0</v>
      </c>
      <c r="C1066">
        <v>0</v>
      </c>
      <c r="D1066">
        <v>0</v>
      </c>
      <c r="E1066">
        <v>0</v>
      </c>
      <c r="F1066">
        <v>14.635111161952929</v>
      </c>
      <c r="G1066">
        <v>14.67229608228658</v>
      </c>
      <c r="H1066">
        <v>15.595285181459742</v>
      </c>
      <c r="I1066">
        <v>15.108838421379655</v>
      </c>
      <c r="J1066">
        <v>15.646166350461927</v>
      </c>
      <c r="K1066">
        <v>15.609640474436812</v>
      </c>
      <c r="L1066">
        <v>0</v>
      </c>
      <c r="M1066">
        <v>0</v>
      </c>
      <c r="N1066">
        <v>0</v>
      </c>
      <c r="O1066">
        <v>0</v>
      </c>
      <c r="P1066">
        <v>14.209102544853085</v>
      </c>
      <c r="Q1066">
        <v>12.37707948192317</v>
      </c>
      <c r="R1066">
        <v>12.819525304208314</v>
      </c>
      <c r="S1066">
        <v>14.284829871016328</v>
      </c>
      <c r="T1066">
        <v>11.653416508848208</v>
      </c>
    </row>
    <row r="1067" spans="1:20" x14ac:dyDescent="0.25">
      <c r="A1067" s="6" t="s">
        <v>1085</v>
      </c>
      <c r="B1067">
        <v>0</v>
      </c>
      <c r="C1067">
        <v>0</v>
      </c>
      <c r="D1067">
        <v>0</v>
      </c>
      <c r="E1067">
        <v>0</v>
      </c>
      <c r="F1067">
        <v>15.785891114128539</v>
      </c>
      <c r="G1067">
        <v>14.376979717646538</v>
      </c>
      <c r="H1067">
        <v>15.088589737535848</v>
      </c>
      <c r="I1067">
        <v>15.12937535238235</v>
      </c>
      <c r="J1067">
        <v>0</v>
      </c>
      <c r="K1067">
        <v>15.078570981710859</v>
      </c>
      <c r="L1067">
        <v>16.034328143749374</v>
      </c>
      <c r="M1067">
        <v>16.34660606860302</v>
      </c>
      <c r="N1067">
        <v>15.566996137028319</v>
      </c>
      <c r="O1067">
        <v>0</v>
      </c>
      <c r="P1067">
        <v>13.837754895921446</v>
      </c>
      <c r="Q1067">
        <v>12.169831194689785</v>
      </c>
      <c r="R1067">
        <v>12.865382484692153</v>
      </c>
      <c r="S1067">
        <v>13.794065045574239</v>
      </c>
      <c r="T1067">
        <v>11.270043410632441</v>
      </c>
    </row>
    <row r="1068" spans="1:20" x14ac:dyDescent="0.25">
      <c r="A1068" s="5" t="s">
        <v>1086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11.280258508140516</v>
      </c>
      <c r="R1068">
        <v>11.793793541161861</v>
      </c>
      <c r="S1068">
        <v>12.142798042844895</v>
      </c>
      <c r="T1068">
        <v>10.460511204526879</v>
      </c>
    </row>
    <row r="1069" spans="1:20" x14ac:dyDescent="0.25">
      <c r="A1069" s="6" t="s">
        <v>1087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12.872267376478755</v>
      </c>
      <c r="Q1069">
        <v>11.880996131926761</v>
      </c>
      <c r="R1069">
        <v>11.800503894090976</v>
      </c>
      <c r="S1069">
        <v>12.165881340275442</v>
      </c>
      <c r="T1069">
        <v>11.011522449485261</v>
      </c>
    </row>
    <row r="1070" spans="1:20" x14ac:dyDescent="0.25">
      <c r="A1070" s="5" t="s">
        <v>1088</v>
      </c>
      <c r="B1070">
        <v>0</v>
      </c>
      <c r="C1070">
        <v>0</v>
      </c>
      <c r="D1070">
        <v>0</v>
      </c>
      <c r="E1070">
        <v>0</v>
      </c>
      <c r="F1070">
        <v>14.296394622649251</v>
      </c>
      <c r="G1070">
        <v>13.956580457332247</v>
      </c>
      <c r="H1070">
        <v>15.053824319375174</v>
      </c>
      <c r="I1070">
        <v>14.702749878828294</v>
      </c>
      <c r="J1070">
        <v>15.370853614849695</v>
      </c>
      <c r="K1070">
        <v>15.203648114760977</v>
      </c>
      <c r="L1070">
        <v>16.553056946070445</v>
      </c>
      <c r="M1070">
        <v>0</v>
      </c>
      <c r="N1070">
        <v>0</v>
      </c>
      <c r="O1070">
        <v>0</v>
      </c>
      <c r="P1070">
        <v>13.627787821147072</v>
      </c>
      <c r="Q1070">
        <v>12.110381349504546</v>
      </c>
      <c r="R1070">
        <v>12.152663524429029</v>
      </c>
      <c r="S1070">
        <v>13.989054063984934</v>
      </c>
      <c r="T1070">
        <v>11.55898206546107</v>
      </c>
    </row>
    <row r="1071" spans="1:20" x14ac:dyDescent="0.25">
      <c r="A1071" s="6" t="s">
        <v>1089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14.187407473753764</v>
      </c>
      <c r="H1071">
        <v>0</v>
      </c>
      <c r="I1071">
        <v>0</v>
      </c>
      <c r="J1071">
        <v>0</v>
      </c>
      <c r="K1071">
        <v>14.726019658151142</v>
      </c>
      <c r="L1071">
        <v>0</v>
      </c>
      <c r="M1071">
        <v>0</v>
      </c>
      <c r="N1071">
        <v>15.225590667641651</v>
      </c>
      <c r="O1071">
        <v>0</v>
      </c>
      <c r="P1071">
        <v>13.582840415093099</v>
      </c>
      <c r="Q1071">
        <v>12.336027612629112</v>
      </c>
      <c r="R1071">
        <v>12.881164825228105</v>
      </c>
      <c r="S1071">
        <v>13.218738961377001</v>
      </c>
      <c r="T1071">
        <v>11.432312633968746</v>
      </c>
    </row>
    <row r="1072" spans="1:20" x14ac:dyDescent="0.25">
      <c r="A1072" s="5" t="s">
        <v>1090</v>
      </c>
      <c r="B1072">
        <v>0</v>
      </c>
      <c r="C1072">
        <v>14.176681067160706</v>
      </c>
      <c r="D1072">
        <v>13.313917449896843</v>
      </c>
      <c r="E1072">
        <v>13.577539631269786</v>
      </c>
      <c r="F1072">
        <v>13.887174449965721</v>
      </c>
      <c r="G1072">
        <v>13.733860411368322</v>
      </c>
      <c r="H1072">
        <v>14.044043298582588</v>
      </c>
      <c r="I1072">
        <v>14.46233377565652</v>
      </c>
      <c r="J1072">
        <v>0</v>
      </c>
      <c r="K1072">
        <v>13.633276838704052</v>
      </c>
      <c r="L1072">
        <v>14.022275483500353</v>
      </c>
      <c r="M1072">
        <v>0</v>
      </c>
      <c r="N1072">
        <v>0</v>
      </c>
      <c r="O1072">
        <v>13.735827276077723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25">
      <c r="A1073" s="6" t="s">
        <v>1091</v>
      </c>
      <c r="B1073">
        <v>14.472136950686876</v>
      </c>
      <c r="C1073">
        <v>14.236688376524981</v>
      </c>
      <c r="D1073">
        <v>13.802285552379209</v>
      </c>
      <c r="E1073">
        <v>12.123988243775619</v>
      </c>
      <c r="F1073">
        <v>13.423773929125478</v>
      </c>
      <c r="G1073">
        <v>15.171347622857667</v>
      </c>
      <c r="H1073">
        <v>15.287712379549449</v>
      </c>
      <c r="I1073">
        <v>13.319806009259304</v>
      </c>
      <c r="J1073">
        <v>14.931568569324176</v>
      </c>
      <c r="K1073">
        <v>14.190101582923029</v>
      </c>
      <c r="L1073">
        <v>14.895944659593452</v>
      </c>
      <c r="M1073">
        <v>15.166033822961197</v>
      </c>
      <c r="N1073">
        <v>0</v>
      </c>
      <c r="O1073">
        <v>13.077660224800345</v>
      </c>
      <c r="P1073">
        <v>0</v>
      </c>
      <c r="Q1073">
        <v>0</v>
      </c>
      <c r="R1073">
        <v>0</v>
      </c>
      <c r="S1073">
        <v>14.991401818841357</v>
      </c>
      <c r="T1073">
        <v>0</v>
      </c>
    </row>
    <row r="1074" spans="1:20" x14ac:dyDescent="0.25">
      <c r="A1074" s="5" t="s">
        <v>1092</v>
      </c>
      <c r="B1074">
        <v>0</v>
      </c>
      <c r="C1074">
        <v>12.924978803991381</v>
      </c>
      <c r="D1074">
        <v>12.705994780159077</v>
      </c>
      <c r="E1074">
        <v>12.687642485502394</v>
      </c>
      <c r="F1074">
        <v>0</v>
      </c>
      <c r="G1074">
        <v>0</v>
      </c>
      <c r="H1074">
        <v>0</v>
      </c>
      <c r="I1074">
        <v>14.0860785183798</v>
      </c>
      <c r="J1074">
        <v>0</v>
      </c>
      <c r="K1074">
        <v>13.174145222502371</v>
      </c>
      <c r="L1074">
        <v>13.064252758697883</v>
      </c>
      <c r="M1074">
        <v>0</v>
      </c>
      <c r="N1074">
        <v>14.668534163490381</v>
      </c>
      <c r="O1074">
        <v>13.67229608228658</v>
      </c>
      <c r="P1074">
        <v>14.661039626943458</v>
      </c>
      <c r="Q1074">
        <v>0</v>
      </c>
      <c r="R1074">
        <v>0</v>
      </c>
      <c r="S1074">
        <v>0</v>
      </c>
      <c r="T1074">
        <v>0</v>
      </c>
    </row>
    <row r="1075" spans="1:20" x14ac:dyDescent="0.25">
      <c r="A1075" s="6" t="s">
        <v>1093</v>
      </c>
      <c r="B1075">
        <v>11.994771648199626</v>
      </c>
      <c r="C1075">
        <v>12.336908059995645</v>
      </c>
      <c r="D1075">
        <v>11.784017642621132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12.205888753199103</v>
      </c>
      <c r="M1075">
        <v>0</v>
      </c>
      <c r="N1075">
        <v>0</v>
      </c>
      <c r="O1075">
        <v>11.835180199212745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25">
      <c r="A1076" s="5" t="s">
        <v>1094</v>
      </c>
      <c r="B1076">
        <v>13.375445751482999</v>
      </c>
      <c r="C1076">
        <v>12.4430937286198</v>
      </c>
      <c r="D1076">
        <v>14.192800732523983</v>
      </c>
      <c r="E1076">
        <v>14.532397475504352</v>
      </c>
      <c r="F1076">
        <v>12.34080937929828</v>
      </c>
      <c r="G1076">
        <v>11.900382928428725</v>
      </c>
      <c r="H1076">
        <v>11.532978773064924</v>
      </c>
      <c r="I1076">
        <v>12.891443267358513</v>
      </c>
      <c r="J1076">
        <v>13.108532582059521</v>
      </c>
      <c r="K1076">
        <v>14.319806009259304</v>
      </c>
      <c r="L1076">
        <v>12.68682418883804</v>
      </c>
      <c r="M1076">
        <v>12.951611839870925</v>
      </c>
      <c r="N1076">
        <v>12.395647818539691</v>
      </c>
      <c r="O1076">
        <v>12.951886155608953</v>
      </c>
      <c r="P1076">
        <v>11.409877841307562</v>
      </c>
      <c r="Q1076">
        <v>14.203648114760977</v>
      </c>
      <c r="R1076">
        <v>11.549381199682344</v>
      </c>
      <c r="S1076">
        <v>16.850910905978949</v>
      </c>
      <c r="T1076">
        <v>14.40800661326716</v>
      </c>
    </row>
    <row r="1077" spans="1:20" x14ac:dyDescent="0.25">
      <c r="A1077" s="6" t="s">
        <v>1095</v>
      </c>
      <c r="B1077">
        <v>13.040210144161971</v>
      </c>
      <c r="C1077">
        <v>12.384326978598519</v>
      </c>
      <c r="D1077">
        <v>13.245992783815073</v>
      </c>
      <c r="E1077">
        <v>13.193665528018716</v>
      </c>
      <c r="F1077">
        <v>13.544412851661193</v>
      </c>
      <c r="G1077">
        <v>13.017326966301829</v>
      </c>
      <c r="H1077">
        <v>11.95916884890727</v>
      </c>
      <c r="I1077">
        <v>11.781745253149973</v>
      </c>
      <c r="J1077">
        <v>11.644442620210079</v>
      </c>
      <c r="K1077">
        <v>12.74539488949463</v>
      </c>
      <c r="L1077">
        <v>11.417734403392457</v>
      </c>
      <c r="M1077">
        <v>11.65015777425085</v>
      </c>
      <c r="N1077">
        <v>11.180044594296556</v>
      </c>
      <c r="O1077">
        <v>11.318449510745923</v>
      </c>
      <c r="P1077">
        <v>11.588027499327646</v>
      </c>
      <c r="Q1077">
        <v>12.329396778570796</v>
      </c>
      <c r="R1077">
        <v>11.646157102446432</v>
      </c>
      <c r="S1077">
        <v>13.568748043789912</v>
      </c>
      <c r="T1077">
        <v>12.963938815857976</v>
      </c>
    </row>
    <row r="1078" spans="1:20" x14ac:dyDescent="0.25">
      <c r="A1078" s="5" t="s">
        <v>1096</v>
      </c>
      <c r="B1078">
        <v>12.336542385258321</v>
      </c>
      <c r="C1078">
        <v>13.213727667838407</v>
      </c>
      <c r="D1078">
        <v>12.217776541365875</v>
      </c>
      <c r="E1078">
        <v>13.450980299090315</v>
      </c>
      <c r="F1078">
        <v>13.126418016673469</v>
      </c>
      <c r="G1078">
        <v>11.755066268925003</v>
      </c>
      <c r="H1078">
        <v>11.051633112325824</v>
      </c>
      <c r="I1078">
        <v>13.024629884682438</v>
      </c>
      <c r="J1078">
        <v>13.071089895240458</v>
      </c>
      <c r="K1078">
        <v>13.588160747026361</v>
      </c>
      <c r="L1078">
        <v>12.874042481825446</v>
      </c>
      <c r="M1078">
        <v>12.124155683005272</v>
      </c>
      <c r="N1078">
        <v>12.317963251260791</v>
      </c>
      <c r="O1078">
        <v>12.420021464834971</v>
      </c>
      <c r="P1078">
        <v>13.276574596360458</v>
      </c>
      <c r="Q1078">
        <v>12.837945014675782</v>
      </c>
      <c r="R1078">
        <v>13.527278504879339</v>
      </c>
      <c r="S1078">
        <v>14.737796825927495</v>
      </c>
      <c r="T1078">
        <v>12.213063091877913</v>
      </c>
    </row>
    <row r="1079" spans="1:20" x14ac:dyDescent="0.25">
      <c r="A1079" s="6" t="s">
        <v>1097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14.134555591488031</v>
      </c>
      <c r="H1079">
        <v>0</v>
      </c>
      <c r="I1079">
        <v>0</v>
      </c>
      <c r="J1079">
        <v>14.977372258937299</v>
      </c>
      <c r="K1079">
        <v>0</v>
      </c>
      <c r="L1079">
        <v>14.982033636307161</v>
      </c>
      <c r="M1079">
        <v>0</v>
      </c>
      <c r="N1079">
        <v>0</v>
      </c>
      <c r="O1079">
        <v>0</v>
      </c>
      <c r="P1079">
        <v>14.982033636307161</v>
      </c>
      <c r="Q1079">
        <v>0</v>
      </c>
      <c r="R1079">
        <v>14.206372752097511</v>
      </c>
      <c r="S1079">
        <v>12.82032854879172</v>
      </c>
      <c r="T1079">
        <v>14.687442626040445</v>
      </c>
    </row>
    <row r="1080" spans="1:20" x14ac:dyDescent="0.25">
      <c r="A1080" s="5" t="s">
        <v>1098</v>
      </c>
      <c r="B1080">
        <v>17.051862803041885</v>
      </c>
      <c r="C1080">
        <v>0</v>
      </c>
      <c r="D1080">
        <v>0</v>
      </c>
      <c r="E1080">
        <v>0</v>
      </c>
      <c r="F1080">
        <v>16.812212392284501</v>
      </c>
      <c r="G1080">
        <v>16.34660606860302</v>
      </c>
      <c r="H1080">
        <v>16.472136950686878</v>
      </c>
      <c r="I1080">
        <v>17.093625327433145</v>
      </c>
      <c r="J1080">
        <v>17.233350091099762</v>
      </c>
      <c r="K1080">
        <v>0</v>
      </c>
      <c r="L1080">
        <v>17.624140044131927</v>
      </c>
      <c r="M1080">
        <v>16.971798414112708</v>
      </c>
      <c r="N1080">
        <v>16.774524859178594</v>
      </c>
      <c r="O1080">
        <v>17.087584725275846</v>
      </c>
      <c r="P1080">
        <v>16.842409437412936</v>
      </c>
      <c r="Q1080">
        <v>16.06367210533152</v>
      </c>
      <c r="R1080">
        <v>15.996108821518886</v>
      </c>
      <c r="S1080">
        <v>16.358678900903591</v>
      </c>
      <c r="T1080">
        <v>16.044043298582586</v>
      </c>
    </row>
    <row r="1081" spans="1:20" x14ac:dyDescent="0.25">
      <c r="A1081" s="6" t="s">
        <v>1099</v>
      </c>
      <c r="B1081">
        <v>12.467913419427177</v>
      </c>
      <c r="C1081">
        <v>12.624877974605688</v>
      </c>
      <c r="D1081">
        <v>12.808585315243398</v>
      </c>
      <c r="E1081">
        <v>13.177469421475362</v>
      </c>
      <c r="F1081">
        <v>12.071735646420821</v>
      </c>
      <c r="G1081">
        <v>11.699056502198118</v>
      </c>
      <c r="H1081">
        <v>11.123070892964327</v>
      </c>
      <c r="I1081">
        <v>12.256825462834007</v>
      </c>
      <c r="J1081">
        <v>12.405671964607617</v>
      </c>
      <c r="K1081">
        <v>12.508873024867952</v>
      </c>
      <c r="L1081">
        <v>11.956139000563846</v>
      </c>
      <c r="M1081">
        <v>12.098020633778113</v>
      </c>
      <c r="N1081">
        <v>11.866955127572538</v>
      </c>
      <c r="O1081">
        <v>12.074464651097257</v>
      </c>
      <c r="P1081">
        <v>11.983201337739498</v>
      </c>
      <c r="Q1081">
        <v>11.753092936632735</v>
      </c>
      <c r="R1081">
        <v>11.693364483659829</v>
      </c>
      <c r="S1081">
        <v>12.099330446230178</v>
      </c>
      <c r="T1081">
        <v>11.670935957092036</v>
      </c>
    </row>
    <row r="1082" spans="1:20" x14ac:dyDescent="0.25">
      <c r="A1082" s="5" t="s">
        <v>1100</v>
      </c>
      <c r="B1082">
        <v>14.818868436574812</v>
      </c>
      <c r="C1082">
        <v>0</v>
      </c>
      <c r="D1082">
        <v>0</v>
      </c>
      <c r="E1082">
        <v>0</v>
      </c>
      <c r="F1082">
        <v>14.95428864582426</v>
      </c>
      <c r="G1082">
        <v>16.917213276347105</v>
      </c>
      <c r="H1082">
        <v>13.539251146545414</v>
      </c>
      <c r="I1082">
        <v>15.949715916034434</v>
      </c>
      <c r="J1082">
        <v>14.972725894080934</v>
      </c>
      <c r="K1082">
        <v>14.546137532130656</v>
      </c>
      <c r="L1082">
        <v>15.299300353824661</v>
      </c>
      <c r="M1082">
        <v>14.465594104820106</v>
      </c>
      <c r="N1082">
        <v>13.949715916034434</v>
      </c>
      <c r="O1082">
        <v>15.525576209648337</v>
      </c>
      <c r="P1082">
        <v>13.893747103889208</v>
      </c>
      <c r="Q1082">
        <v>14.27621674071162</v>
      </c>
      <c r="R1082">
        <v>13.794065045574239</v>
      </c>
      <c r="S1082">
        <v>13.681744020707992</v>
      </c>
      <c r="T1082">
        <v>13.505303814622076</v>
      </c>
    </row>
    <row r="1083" spans="1:20" x14ac:dyDescent="0.25">
      <c r="A1083" s="6" t="s">
        <v>1101</v>
      </c>
      <c r="B1083">
        <v>16.05382431937517</v>
      </c>
      <c r="C1083">
        <v>17.726801818669564</v>
      </c>
      <c r="D1083">
        <v>17.395515669083967</v>
      </c>
      <c r="E1083">
        <v>0</v>
      </c>
      <c r="F1083">
        <v>17.262541803814543</v>
      </c>
      <c r="G1083">
        <v>19.13248126325017</v>
      </c>
      <c r="H1083">
        <v>15.518787043985698</v>
      </c>
      <c r="I1083">
        <v>17.990462258377743</v>
      </c>
      <c r="J1083">
        <v>15.668534163490381</v>
      </c>
      <c r="K1083">
        <v>16.015091924886459</v>
      </c>
      <c r="L1083">
        <v>16.764853124357753</v>
      </c>
      <c r="M1083">
        <v>16.408006613267162</v>
      </c>
      <c r="N1083">
        <v>15.108838421379655</v>
      </c>
      <c r="O1083">
        <v>16.433317701796351</v>
      </c>
      <c r="P1083">
        <v>16.334633426936943</v>
      </c>
      <c r="Q1083">
        <v>16.176681067160704</v>
      </c>
      <c r="R1083">
        <v>15.852617227929352</v>
      </c>
      <c r="S1083">
        <v>16.643210007130513</v>
      </c>
      <c r="T1083">
        <v>16.609640474436812</v>
      </c>
    </row>
    <row r="1084" spans="1:20" x14ac:dyDescent="0.25">
      <c r="A1084" s="5" t="s">
        <v>1102</v>
      </c>
      <c r="B1084">
        <v>14.505303814622076</v>
      </c>
      <c r="C1084">
        <v>15.015091924886457</v>
      </c>
      <c r="D1084">
        <v>15.187407473753764</v>
      </c>
      <c r="E1084">
        <v>14.895944659593452</v>
      </c>
      <c r="F1084">
        <v>13.979701064997272</v>
      </c>
      <c r="G1084">
        <v>15.305129432626858</v>
      </c>
      <c r="H1084">
        <v>14.53582024114514</v>
      </c>
      <c r="I1084">
        <v>14.515404404591045</v>
      </c>
      <c r="J1084">
        <v>15.119070343990609</v>
      </c>
      <c r="K1084">
        <v>14.337617285375762</v>
      </c>
      <c r="L1084">
        <v>14.420606650046794</v>
      </c>
      <c r="M1084">
        <v>0</v>
      </c>
      <c r="N1084">
        <v>14.869792371737484</v>
      </c>
      <c r="O1084">
        <v>14.361712960993227</v>
      </c>
      <c r="P1084">
        <v>14.581071322240041</v>
      </c>
      <c r="Q1084">
        <v>14.749670926215785</v>
      </c>
      <c r="R1084">
        <v>14.187407473753764</v>
      </c>
      <c r="S1084">
        <v>15.334633426936943</v>
      </c>
      <c r="T1084">
        <v>14.475419534676179</v>
      </c>
    </row>
    <row r="1085" spans="1:20" x14ac:dyDescent="0.25">
      <c r="A1085" s="6" t="s">
        <v>1103</v>
      </c>
      <c r="B1085">
        <v>14.695075950942874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13.865479378866404</v>
      </c>
      <c r="I1085">
        <v>0</v>
      </c>
      <c r="J1085">
        <v>0</v>
      </c>
      <c r="K1085">
        <v>14.404873723782199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12.494548952050881</v>
      </c>
      <c r="R1085">
        <v>13.491945431767057</v>
      </c>
      <c r="S1085">
        <v>14.913646661326911</v>
      </c>
      <c r="T1085">
        <v>11.78701738557354</v>
      </c>
    </row>
    <row r="1086" spans="1:20" x14ac:dyDescent="0.25">
      <c r="A1086" s="5" t="s">
        <v>1104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14.4397154729945</v>
      </c>
      <c r="I1086">
        <v>14.729934708154525</v>
      </c>
      <c r="J1086">
        <v>0</v>
      </c>
      <c r="K1086">
        <v>0</v>
      </c>
      <c r="L1086">
        <v>0</v>
      </c>
      <c r="M1086">
        <v>14.986710123516636</v>
      </c>
      <c r="N1086">
        <v>14.40800661326716</v>
      </c>
      <c r="O1086">
        <v>0</v>
      </c>
      <c r="P1086">
        <v>13.861179241432778</v>
      </c>
      <c r="Q1086">
        <v>13.588160747026361</v>
      </c>
      <c r="R1086">
        <v>13.800226030200914</v>
      </c>
      <c r="S1086">
        <v>14.343603580441494</v>
      </c>
      <c r="T1086">
        <v>13.103317816780962</v>
      </c>
    </row>
    <row r="1087" spans="1:20" x14ac:dyDescent="0.25">
      <c r="A1087" s="6" t="s">
        <v>1105</v>
      </c>
      <c r="B1087">
        <v>0</v>
      </c>
      <c r="C1087">
        <v>15.465594104820106</v>
      </c>
      <c r="D1087">
        <v>15.322759326648649</v>
      </c>
      <c r="E1087">
        <v>15.358678900903593</v>
      </c>
      <c r="F1087">
        <v>16.705060039515494</v>
      </c>
      <c r="G1087">
        <v>15.43331770179635</v>
      </c>
      <c r="H1087">
        <v>0</v>
      </c>
      <c r="I1087">
        <v>0</v>
      </c>
      <c r="J1087">
        <v>15.67606783617579</v>
      </c>
      <c r="K1087">
        <v>15.560009706712211</v>
      </c>
      <c r="L1087">
        <v>15.15546458125101</v>
      </c>
      <c r="M1087">
        <v>16.220073662674086</v>
      </c>
      <c r="N1087">
        <v>0</v>
      </c>
      <c r="O1087">
        <v>15.745702024012841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25">
      <c r="A1088" s="5" t="s">
        <v>1106</v>
      </c>
      <c r="B1088">
        <v>0</v>
      </c>
      <c r="C1088">
        <v>13.679849476718214</v>
      </c>
      <c r="D1088">
        <v>13.812627496600667</v>
      </c>
      <c r="E1088">
        <v>13.893747103889208</v>
      </c>
      <c r="F1088">
        <v>0</v>
      </c>
      <c r="G1088">
        <v>14.331655727137047</v>
      </c>
      <c r="H1088">
        <v>14.501952605122439</v>
      </c>
      <c r="I1088">
        <v>13.839868735187364</v>
      </c>
      <c r="J1088">
        <v>15.745702024012841</v>
      </c>
      <c r="K1088">
        <v>13.804348018836102</v>
      </c>
      <c r="L1088">
        <v>13.62050146706858</v>
      </c>
      <c r="M1088">
        <v>0</v>
      </c>
      <c r="N1088">
        <v>14.913646661326911</v>
      </c>
      <c r="O1088">
        <v>14.566996137028319</v>
      </c>
      <c r="P1088">
        <v>0</v>
      </c>
      <c r="Q1088">
        <v>15.134555591488031</v>
      </c>
      <c r="R1088">
        <v>14.757641637324365</v>
      </c>
      <c r="S1088">
        <v>14.14758815564038</v>
      </c>
      <c r="T1088">
        <v>14.773716400182437</v>
      </c>
    </row>
    <row r="1089" spans="1:20" x14ac:dyDescent="0.25">
      <c r="A1089" s="6" t="s">
        <v>1107</v>
      </c>
      <c r="B1089">
        <v>13.384674109436538</v>
      </c>
      <c r="C1089">
        <v>13.767667355509634</v>
      </c>
      <c r="D1089">
        <v>13.704674755752785</v>
      </c>
      <c r="E1089">
        <v>13.412718740616482</v>
      </c>
      <c r="F1089">
        <v>13.757641637324365</v>
      </c>
      <c r="G1089">
        <v>14.848355201075194</v>
      </c>
      <c r="H1089">
        <v>13.933824543264544</v>
      </c>
      <c r="I1089">
        <v>13.224637477254925</v>
      </c>
      <c r="J1089">
        <v>13.324238255574564</v>
      </c>
      <c r="K1089">
        <v>12.961554737962786</v>
      </c>
      <c r="L1089">
        <v>13.403309826565764</v>
      </c>
      <c r="M1089">
        <v>13.537534673956392</v>
      </c>
      <c r="N1089">
        <v>12.573031645831712</v>
      </c>
      <c r="O1089">
        <v>13.098387514465704</v>
      </c>
      <c r="P1089">
        <v>13.779790914592123</v>
      </c>
      <c r="Q1089">
        <v>13.745702024012841</v>
      </c>
      <c r="R1089">
        <v>14.058739809789287</v>
      </c>
      <c r="S1089">
        <v>13.164840910461058</v>
      </c>
      <c r="T1089">
        <v>13.46722703656307</v>
      </c>
    </row>
    <row r="1090" spans="1:20" x14ac:dyDescent="0.25">
      <c r="A1090" s="5" t="s">
        <v>1108</v>
      </c>
      <c r="B1090">
        <v>9.355345008264587</v>
      </c>
      <c r="C1090">
        <v>9.5599639698226824</v>
      </c>
      <c r="D1090">
        <v>9.6120917559957757</v>
      </c>
      <c r="E1090">
        <v>9.58571650010723</v>
      </c>
      <c r="F1090">
        <v>9.5240171808428293</v>
      </c>
      <c r="G1090">
        <v>9.7449924936259613</v>
      </c>
      <c r="H1090">
        <v>9.9931651456539345</v>
      </c>
      <c r="I1090">
        <v>9.5066223440467645</v>
      </c>
      <c r="J1090">
        <v>9.5676648953652705</v>
      </c>
      <c r="K1090">
        <v>9.7397690682590987</v>
      </c>
      <c r="L1090">
        <v>9.6312858000555401</v>
      </c>
      <c r="M1090">
        <v>9.6457317578048283</v>
      </c>
      <c r="N1090">
        <v>9.2527026256078244</v>
      </c>
      <c r="O1090">
        <v>9.6985481428496776</v>
      </c>
      <c r="P1090">
        <v>9.7632712746982566</v>
      </c>
      <c r="Q1090">
        <v>10.173973546806733</v>
      </c>
      <c r="R1090">
        <v>10.151642426299285</v>
      </c>
      <c r="S1090">
        <v>10.246096153519028</v>
      </c>
      <c r="T1090">
        <v>9.9352094838525282</v>
      </c>
    </row>
    <row r="1091" spans="1:20" x14ac:dyDescent="0.25">
      <c r="A1091" s="6" t="s">
        <v>1109</v>
      </c>
      <c r="B1091">
        <v>15.491945431767057</v>
      </c>
      <c r="C1091">
        <v>15.376979717646538</v>
      </c>
      <c r="D1091">
        <v>15.546137532130656</v>
      </c>
      <c r="E1091">
        <v>15.491945431767057</v>
      </c>
      <c r="F1091">
        <v>15.209102544853085</v>
      </c>
      <c r="G1091">
        <v>15.073587574196603</v>
      </c>
      <c r="H1091">
        <v>15.293494732143458</v>
      </c>
      <c r="I1091">
        <v>14.59886063568357</v>
      </c>
      <c r="J1091">
        <v>15.270503089517227</v>
      </c>
      <c r="K1091">
        <v>14.963477817278919</v>
      </c>
      <c r="L1091">
        <v>15.609640474436812</v>
      </c>
      <c r="M1091">
        <v>15.364753415313277</v>
      </c>
      <c r="N1091">
        <v>15.203648114760977</v>
      </c>
      <c r="O1091">
        <v>15.638786820096328</v>
      </c>
      <c r="P1091">
        <v>15.844105728073835</v>
      </c>
      <c r="Q1091">
        <v>15.785891114128539</v>
      </c>
      <c r="R1091">
        <v>16.276216740711622</v>
      </c>
      <c r="S1091">
        <v>15.95887591531991</v>
      </c>
      <c r="T1091">
        <v>0</v>
      </c>
    </row>
    <row r="1092" spans="1:20" x14ac:dyDescent="0.25">
      <c r="A1092" s="5" t="s">
        <v>1110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17.015091924886459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16.209102544853081</v>
      </c>
      <c r="Q1092">
        <v>14.869792371737484</v>
      </c>
      <c r="R1092">
        <v>14.958875915319911</v>
      </c>
      <c r="S1092">
        <v>15.653583822024411</v>
      </c>
      <c r="T1092">
        <v>13.687442626040445</v>
      </c>
    </row>
    <row r="1093" spans="1:20" x14ac:dyDescent="0.25">
      <c r="A1093" s="6" t="s">
        <v>1111</v>
      </c>
      <c r="B1093">
        <v>14.848355201075194</v>
      </c>
      <c r="C1093">
        <v>14.452596764291233</v>
      </c>
      <c r="D1093">
        <v>0</v>
      </c>
      <c r="E1093">
        <v>14.446141742153932</v>
      </c>
      <c r="F1093">
        <v>0</v>
      </c>
      <c r="G1093">
        <v>14.501952605122439</v>
      </c>
      <c r="H1093">
        <v>0</v>
      </c>
      <c r="I1093">
        <v>13.968094445349287</v>
      </c>
      <c r="J1093">
        <v>14.349614818475356</v>
      </c>
      <c r="K1093">
        <v>14.279082074406009</v>
      </c>
      <c r="L1093">
        <v>14.155464581251008</v>
      </c>
      <c r="M1093">
        <v>0</v>
      </c>
      <c r="N1093">
        <v>13.785891114128539</v>
      </c>
      <c r="O1093">
        <v>14.46233377565652</v>
      </c>
      <c r="P1093">
        <v>14.63144484475516</v>
      </c>
      <c r="Q1093">
        <v>0</v>
      </c>
      <c r="R1093">
        <v>14.574016564706092</v>
      </c>
      <c r="S1093">
        <v>13.998468094392807</v>
      </c>
      <c r="T1093">
        <v>14.691254239990466</v>
      </c>
    </row>
    <row r="1094" spans="1:20" x14ac:dyDescent="0.25">
      <c r="A1094" s="5" t="s">
        <v>1112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16.472136950686878</v>
      </c>
      <c r="H1094">
        <v>0</v>
      </c>
      <c r="I1094">
        <v>0</v>
      </c>
      <c r="J1094">
        <v>16.539251146545414</v>
      </c>
      <c r="K1094">
        <v>17.024677973715654</v>
      </c>
      <c r="L1094">
        <v>0</v>
      </c>
      <c r="M1094">
        <v>15.95887591531991</v>
      </c>
      <c r="N1094">
        <v>0</v>
      </c>
      <c r="O1094">
        <v>0</v>
      </c>
      <c r="P1094">
        <v>15.869792371737484</v>
      </c>
      <c r="Q1094">
        <v>14.931568569324176</v>
      </c>
      <c r="R1094">
        <v>15.053824319375174</v>
      </c>
      <c r="S1094">
        <v>15.75365077712833</v>
      </c>
      <c r="T1094">
        <v>14.638786820096328</v>
      </c>
    </row>
    <row r="1095" spans="1:20" x14ac:dyDescent="0.25">
      <c r="A1095" s="6" t="s">
        <v>1113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13.035563193167816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12.709565857091322</v>
      </c>
      <c r="Q1095">
        <v>12.034679177695553</v>
      </c>
      <c r="R1095">
        <v>12.648693278490965</v>
      </c>
      <c r="S1095">
        <v>12.068107050051514</v>
      </c>
      <c r="T1095">
        <v>12.022839709183293</v>
      </c>
    </row>
    <row r="1096" spans="1:20" x14ac:dyDescent="0.25">
      <c r="A1096" s="5" t="s">
        <v>1114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16.446141742153934</v>
      </c>
      <c r="Q1096">
        <v>16.015091924886459</v>
      </c>
      <c r="R1096">
        <v>16.103749544706854</v>
      </c>
      <c r="S1096">
        <v>0</v>
      </c>
      <c r="T1096">
        <v>16.358678900903591</v>
      </c>
    </row>
    <row r="1097" spans="1:20" x14ac:dyDescent="0.25">
      <c r="A1097" s="6" t="s">
        <v>1115</v>
      </c>
      <c r="B1097">
        <v>11.020557155598498</v>
      </c>
      <c r="C1097">
        <v>11.101684134625319</v>
      </c>
      <c r="D1097">
        <v>10.922927060392224</v>
      </c>
      <c r="E1097">
        <v>11.024650923437235</v>
      </c>
      <c r="F1097">
        <v>10.786191706908227</v>
      </c>
      <c r="G1097">
        <v>11.039918511415424</v>
      </c>
      <c r="H1097">
        <v>11.232634756197466</v>
      </c>
      <c r="I1097">
        <v>10.665353598963952</v>
      </c>
      <c r="J1097">
        <v>10.794995207403707</v>
      </c>
      <c r="K1097">
        <v>10.90514195522425</v>
      </c>
      <c r="L1097">
        <v>10.969329009450826</v>
      </c>
      <c r="M1097">
        <v>11.230002185728798</v>
      </c>
      <c r="N1097">
        <v>11.308726047480045</v>
      </c>
      <c r="O1097">
        <v>11.212073646598675</v>
      </c>
      <c r="P1097">
        <v>10.881698243509042</v>
      </c>
      <c r="Q1097">
        <v>11.663279223597478</v>
      </c>
      <c r="R1097">
        <v>11.124461631788504</v>
      </c>
      <c r="S1097">
        <v>11.564171292157928</v>
      </c>
      <c r="T1097">
        <v>11.713402537597128</v>
      </c>
    </row>
    <row r="1098" spans="1:20" x14ac:dyDescent="0.25">
      <c r="A1098" s="5" t="s">
        <v>1116</v>
      </c>
      <c r="B1098">
        <v>12.90367362793106</v>
      </c>
      <c r="C1098">
        <v>12.991072903071821</v>
      </c>
      <c r="D1098">
        <v>13.322759326648649</v>
      </c>
      <c r="E1098">
        <v>13.575777022570529</v>
      </c>
      <c r="F1098">
        <v>13.581071322240041</v>
      </c>
      <c r="G1098">
        <v>12.657819584596123</v>
      </c>
      <c r="H1098">
        <v>12.056943714326778</v>
      </c>
      <c r="I1098">
        <v>12.56505400856239</v>
      </c>
      <c r="J1098">
        <v>0</v>
      </c>
      <c r="K1098">
        <v>12.85466748176691</v>
      </c>
      <c r="L1098">
        <v>12.702297905187654</v>
      </c>
      <c r="M1098">
        <v>12.660254954468209</v>
      </c>
      <c r="N1098">
        <v>11.812886997463115</v>
      </c>
      <c r="O1098">
        <v>13.67606783617579</v>
      </c>
      <c r="P1098">
        <v>12.825304012993834</v>
      </c>
      <c r="Q1098">
        <v>12.881730908179161</v>
      </c>
      <c r="R1098">
        <v>10.384400254820571</v>
      </c>
      <c r="S1098">
        <v>12.861479834212464</v>
      </c>
      <c r="T1098">
        <v>13.640628166920497</v>
      </c>
    </row>
    <row r="1099" spans="1:20" x14ac:dyDescent="0.25">
      <c r="A1099" s="6" t="s">
        <v>1117</v>
      </c>
      <c r="B1099">
        <v>9.7970844911163333</v>
      </c>
      <c r="C1099">
        <v>9.7796032344075048</v>
      </c>
      <c r="D1099">
        <v>9.2872066232609569</v>
      </c>
      <c r="E1099">
        <v>9.548282243812201</v>
      </c>
      <c r="F1099">
        <v>9.9263426407512565</v>
      </c>
      <c r="G1099">
        <v>9.9623302826187263</v>
      </c>
      <c r="H1099">
        <v>9.8172119564697979</v>
      </c>
      <c r="I1099">
        <v>10.146067058541732</v>
      </c>
      <c r="J1099">
        <v>9.7523922061932211</v>
      </c>
      <c r="K1099">
        <v>9.7283784271098739</v>
      </c>
      <c r="L1099">
        <v>9.5090159771092999</v>
      </c>
      <c r="M1099">
        <v>9.6898832817225493</v>
      </c>
      <c r="N1099">
        <v>10.07437131969483</v>
      </c>
      <c r="O1099">
        <v>9.712490825315216</v>
      </c>
      <c r="P1099">
        <v>10.229305826574883</v>
      </c>
      <c r="Q1099">
        <v>10.358205404873583</v>
      </c>
      <c r="R1099">
        <v>10.390135041723791</v>
      </c>
      <c r="S1099">
        <v>10.455997248031624</v>
      </c>
      <c r="T1099">
        <v>9.9674818924192952</v>
      </c>
    </row>
    <row r="1100" spans="1:20" x14ac:dyDescent="0.25">
      <c r="A1100" s="5" t="s">
        <v>1118</v>
      </c>
      <c r="B1100">
        <v>14.488625073475445</v>
      </c>
      <c r="C1100">
        <v>14.150208855799516</v>
      </c>
      <c r="D1100">
        <v>14.414292876114592</v>
      </c>
      <c r="E1100">
        <v>13.706602204323898</v>
      </c>
      <c r="F1100">
        <v>12.252419271970288</v>
      </c>
      <c r="G1100">
        <v>13.139806581955957</v>
      </c>
      <c r="H1100">
        <v>12.643828490295853</v>
      </c>
      <c r="I1100">
        <v>13.411146320797728</v>
      </c>
      <c r="J1100">
        <v>14.75365077712833</v>
      </c>
      <c r="K1100">
        <v>14.200928613407385</v>
      </c>
      <c r="L1100">
        <v>14.198214228710349</v>
      </c>
      <c r="M1100">
        <v>14.532397475504352</v>
      </c>
      <c r="N1100">
        <v>13.874118297140276</v>
      </c>
      <c r="O1100">
        <v>14.310982158872298</v>
      </c>
      <c r="P1100">
        <v>15.340607327981576</v>
      </c>
      <c r="Q1100">
        <v>0</v>
      </c>
      <c r="R1100">
        <v>0</v>
      </c>
      <c r="S1100">
        <v>0</v>
      </c>
      <c r="T1100">
        <v>14.475419534676179</v>
      </c>
    </row>
    <row r="1101" spans="1:20" x14ac:dyDescent="0.25">
      <c r="A1101" s="6" t="s">
        <v>1119</v>
      </c>
      <c r="B1101">
        <v>13.574016564706092</v>
      </c>
      <c r="C1101">
        <v>13.223491719702457</v>
      </c>
      <c r="D1101">
        <v>0</v>
      </c>
      <c r="E1101">
        <v>14.982033636307161</v>
      </c>
      <c r="F1101">
        <v>0</v>
      </c>
      <c r="G1101">
        <v>0</v>
      </c>
      <c r="H1101">
        <v>13.269833218705211</v>
      </c>
      <c r="I1101">
        <v>12.632919417248116</v>
      </c>
      <c r="J1101">
        <v>12.818628702260707</v>
      </c>
      <c r="K1101">
        <v>0</v>
      </c>
      <c r="L1101">
        <v>0</v>
      </c>
      <c r="M1101">
        <v>0</v>
      </c>
      <c r="N1101">
        <v>0</v>
      </c>
      <c r="O1101">
        <v>13.129323643809347</v>
      </c>
      <c r="P1101">
        <v>11.926286490337489</v>
      </c>
      <c r="Q1101">
        <v>12.452329922735183</v>
      </c>
      <c r="R1101">
        <v>10.873089714730174</v>
      </c>
      <c r="S1101">
        <v>11.72221268638325</v>
      </c>
      <c r="T1101">
        <v>12.648656221936543</v>
      </c>
    </row>
    <row r="1102" spans="1:20" x14ac:dyDescent="0.25">
      <c r="A1102" s="5" t="s">
        <v>1120</v>
      </c>
      <c r="B1102">
        <v>13.152335118219382</v>
      </c>
      <c r="C1102">
        <v>13.871953713026953</v>
      </c>
      <c r="D1102">
        <v>13.292046969813342</v>
      </c>
      <c r="E1102">
        <v>13.757641637324365</v>
      </c>
      <c r="F1102">
        <v>13.130953354807833</v>
      </c>
      <c r="G1102">
        <v>13.039529759433716</v>
      </c>
      <c r="H1102">
        <v>13.348109659193405</v>
      </c>
      <c r="I1102">
        <v>13.006720444058391</v>
      </c>
      <c r="J1102">
        <v>12.322352886839843</v>
      </c>
      <c r="K1102">
        <v>12.652292295845241</v>
      </c>
      <c r="L1102">
        <v>12.265223829096055</v>
      </c>
      <c r="M1102">
        <v>13.718221287590733</v>
      </c>
      <c r="N1102">
        <v>13.110279286768929</v>
      </c>
      <c r="O1102">
        <v>13.789972290940359</v>
      </c>
      <c r="P1102">
        <v>13.266659127495375</v>
      </c>
      <c r="Q1102">
        <v>13.404873723782199</v>
      </c>
      <c r="R1102">
        <v>14.581071322240041</v>
      </c>
      <c r="S1102">
        <v>12.695391694618669</v>
      </c>
      <c r="T1102">
        <v>13.558268372715785</v>
      </c>
    </row>
    <row r="1103" spans="1:20" x14ac:dyDescent="0.25">
      <c r="A1103" s="6" t="s">
        <v>1121</v>
      </c>
      <c r="B1103">
        <v>13.837754895921446</v>
      </c>
      <c r="C1103">
        <v>14.179355201459032</v>
      </c>
      <c r="D1103">
        <v>13.604240486694223</v>
      </c>
      <c r="E1103">
        <v>15.119070343990609</v>
      </c>
      <c r="F1103">
        <v>13.452596764291233</v>
      </c>
      <c r="G1103">
        <v>13.20323986261255</v>
      </c>
      <c r="H1103">
        <v>11.556168509293736</v>
      </c>
      <c r="I1103">
        <v>13.823044112546006</v>
      </c>
      <c r="J1103">
        <v>13.933824543264544</v>
      </c>
      <c r="K1103">
        <v>13.642471866904184</v>
      </c>
      <c r="L1103">
        <v>13.677957417377007</v>
      </c>
      <c r="M1103">
        <v>13.22238823560331</v>
      </c>
      <c r="N1103">
        <v>13.171360931913895</v>
      </c>
      <c r="O1103">
        <v>13.156280935282917</v>
      </c>
      <c r="P1103">
        <v>13.376979717646538</v>
      </c>
      <c r="Q1103">
        <v>12.73408646440387</v>
      </c>
      <c r="R1103">
        <v>12.978175272359513</v>
      </c>
      <c r="S1103">
        <v>13.446141742153932</v>
      </c>
      <c r="T1103">
        <v>12.159201204783123</v>
      </c>
    </row>
    <row r="1104" spans="1:20" x14ac:dyDescent="0.25">
      <c r="A1104" s="5" t="s">
        <v>1122</v>
      </c>
      <c r="B1104">
        <v>9.9889265142692576</v>
      </c>
      <c r="C1104">
        <v>10.186516158225107</v>
      </c>
      <c r="D1104">
        <v>9.6772048313160415</v>
      </c>
      <c r="E1104">
        <v>9.8907309200575799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10.724398026670183</v>
      </c>
      <c r="L1104">
        <v>10.611551055701483</v>
      </c>
      <c r="M1104">
        <v>10.828550963648674</v>
      </c>
      <c r="N1104">
        <v>11.094347486214708</v>
      </c>
      <c r="O1104">
        <v>10.407667541373813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25">
      <c r="A1105" s="6" t="s">
        <v>1123</v>
      </c>
      <c r="B1105">
        <v>18.586740072326734</v>
      </c>
      <c r="C1105">
        <v>17.618322717536614</v>
      </c>
      <c r="D1105">
        <v>17.368410438921366</v>
      </c>
      <c r="E1105">
        <v>18.627057527514221</v>
      </c>
      <c r="F1105">
        <v>17.917213276347105</v>
      </c>
      <c r="G1105">
        <v>16.655071903683819</v>
      </c>
      <c r="H1105">
        <v>16.044043298582586</v>
      </c>
      <c r="I1105">
        <v>18.67455795111815</v>
      </c>
      <c r="J1105">
        <v>0</v>
      </c>
      <c r="K1105">
        <v>0</v>
      </c>
      <c r="L1105">
        <v>17.975511916911771</v>
      </c>
      <c r="M1105">
        <v>17.857748336032504</v>
      </c>
      <c r="N1105">
        <v>18.095644495069799</v>
      </c>
      <c r="O1105">
        <v>17.787522199707468</v>
      </c>
      <c r="P1105">
        <v>0</v>
      </c>
      <c r="Q1105">
        <v>18.009370720927805</v>
      </c>
      <c r="R1105">
        <v>0</v>
      </c>
      <c r="S1105">
        <v>18.400499076598219</v>
      </c>
      <c r="T1105">
        <v>17.864618325399547</v>
      </c>
    </row>
    <row r="1106" spans="1:20" x14ac:dyDescent="0.25">
      <c r="A1106" s="5" t="s">
        <v>1124</v>
      </c>
      <c r="B1106">
        <v>10.813172502334105</v>
      </c>
      <c r="C1106">
        <v>10.197358560288437</v>
      </c>
      <c r="D1106">
        <v>10.281044527288497</v>
      </c>
      <c r="E1106">
        <v>10.222541638344799</v>
      </c>
      <c r="F1106">
        <v>10.525859077059504</v>
      </c>
      <c r="G1106">
        <v>10.895862190816382</v>
      </c>
      <c r="H1106">
        <v>11.344529932031319</v>
      </c>
      <c r="I1106">
        <v>11.111747133163139</v>
      </c>
      <c r="J1106">
        <v>10.839466867325056</v>
      </c>
      <c r="K1106">
        <v>10.606368818289047</v>
      </c>
      <c r="L1106">
        <v>10.612734312694933</v>
      </c>
      <c r="M1106">
        <v>11.204008833612933</v>
      </c>
      <c r="N1106">
        <v>11.956511649988647</v>
      </c>
      <c r="O1106">
        <v>11.35946714290238</v>
      </c>
      <c r="P1106">
        <v>12.056826922547465</v>
      </c>
      <c r="Q1106">
        <v>11.962826907670321</v>
      </c>
      <c r="R1106">
        <v>12.552814205308009</v>
      </c>
      <c r="S1106">
        <v>12.752614959254242</v>
      </c>
      <c r="T1106">
        <v>12.198010855586752</v>
      </c>
    </row>
    <row r="1107" spans="1:20" x14ac:dyDescent="0.25">
      <c r="A1107" s="6" t="s">
        <v>1125</v>
      </c>
      <c r="B1107">
        <v>14.6989078125339</v>
      </c>
      <c r="C1107">
        <v>13.231378570012604</v>
      </c>
      <c r="D1107">
        <v>13.331655727137047</v>
      </c>
      <c r="E1107">
        <v>13.327200669430427</v>
      </c>
      <c r="F1107">
        <v>13.820954763823279</v>
      </c>
      <c r="G1107">
        <v>13.426948176920622</v>
      </c>
      <c r="H1107">
        <v>14.005569150767952</v>
      </c>
      <c r="I1107">
        <v>13.250625404280159</v>
      </c>
      <c r="J1107">
        <v>13.920341313900922</v>
      </c>
      <c r="K1107">
        <v>13.777763233245141</v>
      </c>
      <c r="L1107">
        <v>13.551323978845989</v>
      </c>
      <c r="M1107">
        <v>14.328684160605755</v>
      </c>
      <c r="N1107">
        <v>14.163384244547249</v>
      </c>
      <c r="O1107">
        <v>13.59528518145974</v>
      </c>
      <c r="P1107">
        <v>14.856891883029679</v>
      </c>
      <c r="Q1107">
        <v>14.726019658151142</v>
      </c>
      <c r="R1107">
        <v>14.710464843956299</v>
      </c>
      <c r="S1107">
        <v>14.364753415313277</v>
      </c>
      <c r="T1107">
        <v>14.718221287590733</v>
      </c>
    </row>
    <row r="1108" spans="1:20" x14ac:dyDescent="0.25">
      <c r="A1108" s="5" t="s">
        <v>1126</v>
      </c>
      <c r="B1108">
        <v>16.446141742153934</v>
      </c>
      <c r="C1108">
        <v>15.977372258937301</v>
      </c>
      <c r="D1108">
        <v>16.166033822961197</v>
      </c>
      <c r="E1108">
        <v>0</v>
      </c>
      <c r="F1108">
        <v>15.61687204366789</v>
      </c>
      <c r="G1108">
        <v>15.383131944628133</v>
      </c>
      <c r="H1108">
        <v>0</v>
      </c>
      <c r="I1108">
        <v>15.498609162048069</v>
      </c>
      <c r="J1108">
        <v>15.794065045574239</v>
      </c>
      <c r="K1108">
        <v>15.236688376524983</v>
      </c>
      <c r="L1108">
        <v>15.491945431767057</v>
      </c>
      <c r="M1108">
        <v>0</v>
      </c>
      <c r="N1108">
        <v>15.4397154729945</v>
      </c>
      <c r="O1108">
        <v>0</v>
      </c>
      <c r="P1108">
        <v>0</v>
      </c>
      <c r="Q1108">
        <v>14.657306908067127</v>
      </c>
      <c r="R1108">
        <v>15.166033822961197</v>
      </c>
      <c r="S1108">
        <v>14.498609162048069</v>
      </c>
      <c r="T1108">
        <v>14.398628280951302</v>
      </c>
    </row>
    <row r="1109" spans="1:20" x14ac:dyDescent="0.25">
      <c r="A1109" s="6" t="s">
        <v>1127</v>
      </c>
      <c r="B1109">
        <v>11.736161909913916</v>
      </c>
      <c r="C1109">
        <v>11.706370774485013</v>
      </c>
      <c r="D1109">
        <v>11.961773402229618</v>
      </c>
      <c r="E1109">
        <v>12.543318748892682</v>
      </c>
      <c r="F1109">
        <v>12.53576027288268</v>
      </c>
      <c r="G1109">
        <v>12.498316979100141</v>
      </c>
      <c r="H1109">
        <v>12.083628019144978</v>
      </c>
      <c r="I1109">
        <v>12.456540448200673</v>
      </c>
      <c r="J1109">
        <v>11.761899067751738</v>
      </c>
      <c r="K1109">
        <v>11.805049929634976</v>
      </c>
      <c r="L1109">
        <v>11.89625258468682</v>
      </c>
      <c r="M1109">
        <v>11.696348915830486</v>
      </c>
      <c r="N1109">
        <v>11.765003747654717</v>
      </c>
      <c r="O1109">
        <v>12.170476146960841</v>
      </c>
      <c r="P1109">
        <v>11.232263338662371</v>
      </c>
      <c r="Q1109">
        <v>10.820367679268887</v>
      </c>
      <c r="R1109">
        <v>11.414789084733826</v>
      </c>
      <c r="S1109">
        <v>11.280786062779088</v>
      </c>
      <c r="T1109">
        <v>11.126176145025388</v>
      </c>
    </row>
    <row r="1110" spans="1:20" x14ac:dyDescent="0.25">
      <c r="A1110" s="5" t="s">
        <v>1128</v>
      </c>
      <c r="B1110">
        <v>12.896879635349833</v>
      </c>
      <c r="C1110">
        <v>13.568748043789912</v>
      </c>
      <c r="D1110">
        <v>13.007955841818976</v>
      </c>
      <c r="E1110">
        <v>13.869792371737484</v>
      </c>
      <c r="F1110">
        <v>13.108124897128263</v>
      </c>
      <c r="G1110">
        <v>12.562363846545237</v>
      </c>
      <c r="H1110">
        <v>11.899980388439435</v>
      </c>
      <c r="I1110">
        <v>13.21418002862095</v>
      </c>
      <c r="J1110">
        <v>13.152965724180962</v>
      </c>
      <c r="K1110">
        <v>13.553056946070445</v>
      </c>
      <c r="L1110">
        <v>12.870073163065843</v>
      </c>
      <c r="M1110">
        <v>12.240795314005766</v>
      </c>
      <c r="N1110">
        <v>11.950052660266056</v>
      </c>
      <c r="O1110">
        <v>12.530339172552189</v>
      </c>
      <c r="P1110">
        <v>11.896802614446694</v>
      </c>
      <c r="Q1110">
        <v>10.995549060726539</v>
      </c>
      <c r="R1110">
        <v>11.650000130531678</v>
      </c>
      <c r="S1110">
        <v>11.697057668636521</v>
      </c>
      <c r="T1110">
        <v>11.085912304395928</v>
      </c>
    </row>
    <row r="1111" spans="1:20" x14ac:dyDescent="0.25">
      <c r="A1111" s="6" t="s">
        <v>1129</v>
      </c>
      <c r="B1111">
        <v>0</v>
      </c>
      <c r="C1111">
        <v>13.118787993588953</v>
      </c>
      <c r="D1111">
        <v>15.588160747026361</v>
      </c>
      <c r="E1111">
        <v>16.024677973715658</v>
      </c>
      <c r="F1111">
        <v>16.717443763971328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17.122154125088276</v>
      </c>
      <c r="O1111">
        <v>16.395515669083963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25">
      <c r="A1112" s="5" t="s">
        <v>1130</v>
      </c>
      <c r="B1112">
        <v>16.498609162048069</v>
      </c>
      <c r="C1112">
        <v>15.769680886947281</v>
      </c>
      <c r="D1112">
        <v>15.852617227929352</v>
      </c>
      <c r="E1112">
        <v>15.83564414932564</v>
      </c>
      <c r="F1112">
        <v>16.073587574196605</v>
      </c>
      <c r="G1112">
        <v>15.408006613267162</v>
      </c>
      <c r="H1112">
        <v>15.729934708154525</v>
      </c>
      <c r="I1112">
        <v>16.635845544784207</v>
      </c>
      <c r="J1112">
        <v>16.712787401540105</v>
      </c>
      <c r="K1112">
        <v>16.242269408788282</v>
      </c>
      <c r="L1112">
        <v>15.75365077712833</v>
      </c>
      <c r="M1112">
        <v>16.242269408788282</v>
      </c>
      <c r="N1112">
        <v>16.198214228710349</v>
      </c>
      <c r="O1112">
        <v>16.472136950686878</v>
      </c>
      <c r="P1112">
        <v>15.310982158872298</v>
      </c>
      <c r="Q1112">
        <v>15.220073662674086</v>
      </c>
      <c r="R1112">
        <v>15.414292876114592</v>
      </c>
      <c r="S1112">
        <v>15.27621674071162</v>
      </c>
      <c r="T1112">
        <v>15.029494990013431</v>
      </c>
    </row>
    <row r="1113" spans="1:20" x14ac:dyDescent="0.25">
      <c r="A1113" s="6" t="s">
        <v>1131</v>
      </c>
      <c r="B1113">
        <v>15.408006613267162</v>
      </c>
      <c r="C1113">
        <v>14.722115203695225</v>
      </c>
      <c r="D1113">
        <v>0</v>
      </c>
      <c r="E1113">
        <v>15.472136950686876</v>
      </c>
      <c r="F1113">
        <v>15.653583822024411</v>
      </c>
      <c r="G1113">
        <v>13.798169443906975</v>
      </c>
      <c r="H1113">
        <v>15.253496664211537</v>
      </c>
      <c r="I1113">
        <v>15.539251146545414</v>
      </c>
      <c r="J1113">
        <v>15.446141742153934</v>
      </c>
      <c r="K1113">
        <v>14.818868436574812</v>
      </c>
      <c r="L1113">
        <v>15.048925519962333</v>
      </c>
      <c r="M1113">
        <v>14.635111161952929</v>
      </c>
      <c r="N1113">
        <v>15.646166350461927</v>
      </c>
      <c r="O1113">
        <v>16.485312339434611</v>
      </c>
      <c r="P1113">
        <v>14.570502080529854</v>
      </c>
      <c r="Q1113">
        <v>13.607838231802827</v>
      </c>
      <c r="R1113">
        <v>14.031909542946732</v>
      </c>
      <c r="S1113">
        <v>12.429803023471512</v>
      </c>
      <c r="T1113">
        <v>13.033190896348051</v>
      </c>
    </row>
    <row r="1114" spans="1:20" x14ac:dyDescent="0.25">
      <c r="A1114" s="5" t="s">
        <v>1132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15.414292876114592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15.334633426936943</v>
      </c>
      <c r="R1114">
        <v>16.485312339434611</v>
      </c>
      <c r="S1114">
        <v>13.525576209648337</v>
      </c>
      <c r="T1114">
        <v>14.773716400182437</v>
      </c>
    </row>
    <row r="1115" spans="1:20" x14ac:dyDescent="0.25">
      <c r="A1115" s="6" t="s">
        <v>1133</v>
      </c>
      <c r="B1115">
        <v>14.67606783617579</v>
      </c>
      <c r="C1115">
        <v>0</v>
      </c>
      <c r="D1115">
        <v>14.852617227929352</v>
      </c>
      <c r="E1115">
        <v>15.45908079786143</v>
      </c>
      <c r="F1115">
        <v>14.358678900903593</v>
      </c>
      <c r="G1115">
        <v>0</v>
      </c>
      <c r="H1115">
        <v>0</v>
      </c>
      <c r="I1115">
        <v>14.539251146545414</v>
      </c>
      <c r="J1115">
        <v>14.182034301654912</v>
      </c>
      <c r="K1115">
        <v>15.053824319375174</v>
      </c>
      <c r="L1115">
        <v>14.7066022043239</v>
      </c>
      <c r="M1115">
        <v>14.144972207433367</v>
      </c>
      <c r="N1115">
        <v>13.606038237756618</v>
      </c>
      <c r="O1115">
        <v>14.749670926215785</v>
      </c>
      <c r="P1115">
        <v>14.131963146871506</v>
      </c>
      <c r="Q1115">
        <v>14.233905935853656</v>
      </c>
      <c r="R1115">
        <v>14.267654727208196</v>
      </c>
      <c r="S1115">
        <v>0</v>
      </c>
      <c r="T1115">
        <v>14.370853614849695</v>
      </c>
    </row>
    <row r="1116" spans="1:20" x14ac:dyDescent="0.25">
      <c r="A1116" s="5" t="s">
        <v>1134</v>
      </c>
      <c r="B1116">
        <v>14.646166350461927</v>
      </c>
      <c r="C1116">
        <v>13.549593090766873</v>
      </c>
      <c r="D1116">
        <v>13.14349629108767</v>
      </c>
      <c r="E1116">
        <v>13.366276048743151</v>
      </c>
      <c r="F1116">
        <v>14.264811977439372</v>
      </c>
      <c r="G1116">
        <v>13.769680886947281</v>
      </c>
      <c r="H1116">
        <v>14.549593090766873</v>
      </c>
      <c r="I1116">
        <v>13.400187108807861</v>
      </c>
      <c r="J1116">
        <v>13.777763233245141</v>
      </c>
      <c r="K1116">
        <v>13.454215042689613</v>
      </c>
      <c r="L1116">
        <v>13.483658820582097</v>
      </c>
      <c r="M1116">
        <v>13.965784284662087</v>
      </c>
      <c r="N1116">
        <v>13.485312339434611</v>
      </c>
      <c r="O1116">
        <v>13.759641214970715</v>
      </c>
      <c r="P1116">
        <v>14.12937535238235</v>
      </c>
      <c r="Q1116">
        <v>14.103749544706854</v>
      </c>
      <c r="R1116">
        <v>14.498609162048069</v>
      </c>
      <c r="S1116">
        <v>13.920341313900922</v>
      </c>
      <c r="T1116">
        <v>14.250681648604484</v>
      </c>
    </row>
    <row r="1117" spans="1:20" x14ac:dyDescent="0.25">
      <c r="A1117" s="6" t="s">
        <v>1135</v>
      </c>
      <c r="B1117">
        <v>0</v>
      </c>
      <c r="C1117">
        <v>14.773716400182437</v>
      </c>
      <c r="D1117">
        <v>15.364753415313277</v>
      </c>
      <c r="E1117">
        <v>15.668534163490381</v>
      </c>
      <c r="F1117">
        <v>0</v>
      </c>
      <c r="G1117">
        <v>14.83564414932564</v>
      </c>
      <c r="H1117">
        <v>0</v>
      </c>
      <c r="I1117">
        <v>0</v>
      </c>
      <c r="J1117">
        <v>0</v>
      </c>
      <c r="K1117">
        <v>0</v>
      </c>
      <c r="L1117">
        <v>15.761643567881864</v>
      </c>
      <c r="M1117">
        <v>0</v>
      </c>
      <c r="N1117">
        <v>0</v>
      </c>
      <c r="O1117">
        <v>16.433317701796351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25">
      <c r="A1118" s="5" t="s">
        <v>1136</v>
      </c>
      <c r="B1118">
        <v>0</v>
      </c>
      <c r="C1118">
        <v>15.073587574196603</v>
      </c>
      <c r="D1118">
        <v>0</v>
      </c>
      <c r="E1118">
        <v>14.729934708154525</v>
      </c>
      <c r="F1118">
        <v>15.581071322240042</v>
      </c>
      <c r="G1118">
        <v>0</v>
      </c>
      <c r="H1118">
        <v>14.691254239990466</v>
      </c>
      <c r="I1118">
        <v>15.370853614849695</v>
      </c>
      <c r="J1118">
        <v>0</v>
      </c>
      <c r="K1118">
        <v>14.968094445349289</v>
      </c>
      <c r="L1118">
        <v>15.270503089517227</v>
      </c>
      <c r="M1118">
        <v>0</v>
      </c>
      <c r="N1118">
        <v>0</v>
      </c>
      <c r="O1118">
        <v>14.996108821518886</v>
      </c>
      <c r="P1118">
        <v>0</v>
      </c>
      <c r="Q1118">
        <v>15.270503089517227</v>
      </c>
      <c r="R1118">
        <v>14.726019658151142</v>
      </c>
      <c r="S1118">
        <v>14.75365077712833</v>
      </c>
      <c r="T1118">
        <v>14.722115203695225</v>
      </c>
    </row>
    <row r="1119" spans="1:20" x14ac:dyDescent="0.25">
      <c r="A1119" s="6" t="s">
        <v>1137</v>
      </c>
      <c r="B1119">
        <v>13.604240486694223</v>
      </c>
      <c r="C1119">
        <v>13.820954763823279</v>
      </c>
      <c r="D1119">
        <v>14.071102310807008</v>
      </c>
      <c r="E1119">
        <v>13.854752972273344</v>
      </c>
      <c r="F1119">
        <v>13.506982343073073</v>
      </c>
      <c r="G1119">
        <v>13.271016392496213</v>
      </c>
      <c r="H1119">
        <v>13.508662826711991</v>
      </c>
      <c r="I1119">
        <v>13.063005260050934</v>
      </c>
      <c r="J1119">
        <v>13.023848662471286</v>
      </c>
      <c r="K1119">
        <v>13.735827276077723</v>
      </c>
      <c r="L1119">
        <v>12.900868331467516</v>
      </c>
      <c r="M1119">
        <v>13.163768131912381</v>
      </c>
      <c r="N1119">
        <v>12.140816076776664</v>
      </c>
      <c r="O1119">
        <v>12.980248880355894</v>
      </c>
      <c r="P1119">
        <v>12.561988670710075</v>
      </c>
      <c r="Q1119">
        <v>12.466255219500544</v>
      </c>
      <c r="R1119">
        <v>12.459730806901888</v>
      </c>
      <c r="S1119">
        <v>12.275293882862963</v>
      </c>
      <c r="T1119">
        <v>11.934259223445199</v>
      </c>
    </row>
    <row r="1120" spans="1:20" x14ac:dyDescent="0.25">
      <c r="A1120" s="5" t="s">
        <v>1138</v>
      </c>
      <c r="B1120">
        <v>10.176462341785466</v>
      </c>
      <c r="C1120">
        <v>9.8776576169817432</v>
      </c>
      <c r="D1120">
        <v>10.11280906149126</v>
      </c>
      <c r="E1120">
        <v>9.9371967452927521</v>
      </c>
      <c r="F1120">
        <v>9.670101221271393</v>
      </c>
      <c r="G1120">
        <v>10.066986202334776</v>
      </c>
      <c r="H1120">
        <v>10.891739268895336</v>
      </c>
      <c r="I1120">
        <v>10.04504280853185</v>
      </c>
      <c r="J1120">
        <v>9.9458859920534657</v>
      </c>
      <c r="K1120">
        <v>10.461914543151487</v>
      </c>
      <c r="L1120">
        <v>10.371132552666282</v>
      </c>
      <c r="M1120">
        <v>10.209561998884626</v>
      </c>
      <c r="N1120">
        <v>9.7886178459883677</v>
      </c>
      <c r="O1120">
        <v>9.9681464665410537</v>
      </c>
      <c r="P1120">
        <v>10.155676854691073</v>
      </c>
      <c r="Q1120">
        <v>10.085202190533037</v>
      </c>
      <c r="R1120">
        <v>10.626758670170034</v>
      </c>
      <c r="S1120">
        <v>10.124249071017198</v>
      </c>
      <c r="T1120">
        <v>10.329151776440481</v>
      </c>
    </row>
    <row r="1121" spans="1:20" x14ac:dyDescent="0.25">
      <c r="A1121" s="6" t="s">
        <v>1139</v>
      </c>
      <c r="B1121">
        <v>0</v>
      </c>
      <c r="C1121">
        <v>0</v>
      </c>
      <c r="D1121">
        <v>0</v>
      </c>
      <c r="E1121">
        <v>0</v>
      </c>
      <c r="F1121">
        <v>16.05382431937517</v>
      </c>
      <c r="G1121">
        <v>15.931568569324174</v>
      </c>
      <c r="H1121">
        <v>15.794065045574239</v>
      </c>
      <c r="I1121">
        <v>0</v>
      </c>
      <c r="J1121">
        <v>16.59528518145974</v>
      </c>
      <c r="K1121">
        <v>16.512029677810389</v>
      </c>
      <c r="L1121">
        <v>0</v>
      </c>
      <c r="M1121">
        <v>0</v>
      </c>
      <c r="N1121">
        <v>0</v>
      </c>
      <c r="O1121">
        <v>16.885426787679453</v>
      </c>
      <c r="P1121">
        <v>15.225590667641651</v>
      </c>
      <c r="Q1121">
        <v>14.346606068603018</v>
      </c>
      <c r="R1121">
        <v>15.139754498162349</v>
      </c>
      <c r="S1121">
        <v>14.861179241432778</v>
      </c>
      <c r="T1121">
        <v>13.066231204805531</v>
      </c>
    </row>
    <row r="1122" spans="1:20" x14ac:dyDescent="0.25">
      <c r="A1122" s="5" t="s">
        <v>1140</v>
      </c>
      <c r="B1122">
        <v>15.861179241432778</v>
      </c>
      <c r="C1122">
        <v>0</v>
      </c>
      <c r="D1122">
        <v>0</v>
      </c>
      <c r="E1122">
        <v>15.810553168362809</v>
      </c>
      <c r="F1122">
        <v>14.878457232864612</v>
      </c>
      <c r="G1122">
        <v>0</v>
      </c>
      <c r="H1122">
        <v>15.370853614849695</v>
      </c>
      <c r="I1122">
        <v>15.869792371737484</v>
      </c>
      <c r="J1122">
        <v>15.322759326648649</v>
      </c>
      <c r="K1122">
        <v>0</v>
      </c>
      <c r="L1122">
        <v>0</v>
      </c>
      <c r="M1122">
        <v>0</v>
      </c>
      <c r="N1122">
        <v>0</v>
      </c>
      <c r="O1122">
        <v>16.176681067160704</v>
      </c>
      <c r="P1122">
        <v>15.408006613267162</v>
      </c>
      <c r="Q1122">
        <v>14.270503089517227</v>
      </c>
      <c r="R1122">
        <v>13.726019658151142</v>
      </c>
      <c r="S1122">
        <v>14.570502080529854</v>
      </c>
      <c r="T1122">
        <v>14.757641637324365</v>
      </c>
    </row>
    <row r="1123" spans="1:20" x14ac:dyDescent="0.25">
      <c r="A1123" s="6" t="s">
        <v>1141</v>
      </c>
      <c r="B1123">
        <v>12.931162868392946</v>
      </c>
      <c r="C1123">
        <v>12.403067574174319</v>
      </c>
      <c r="D1123">
        <v>12.340569914176232</v>
      </c>
      <c r="E1123">
        <v>12.42785411788263</v>
      </c>
      <c r="F1123">
        <v>12.499836977026147</v>
      </c>
      <c r="G1123">
        <v>12.597930164809078</v>
      </c>
      <c r="H1123">
        <v>12.931230477292578</v>
      </c>
      <c r="I1123">
        <v>12.66857173416294</v>
      </c>
      <c r="J1123">
        <v>12.62488708721755</v>
      </c>
      <c r="K1123">
        <v>12.567906863041594</v>
      </c>
      <c r="L1123">
        <v>12.323239812275224</v>
      </c>
      <c r="M1123">
        <v>13.395515669083965</v>
      </c>
      <c r="N1123">
        <v>14.027084471422752</v>
      </c>
      <c r="O1123">
        <v>12.598627961698567</v>
      </c>
      <c r="P1123">
        <v>13.185820305945049</v>
      </c>
      <c r="Q1123">
        <v>13.475419534676179</v>
      </c>
      <c r="R1123">
        <v>13.232822236872728</v>
      </c>
      <c r="S1123">
        <v>13.260360130369369</v>
      </c>
      <c r="T1123">
        <v>13.422189420409488</v>
      </c>
    </row>
    <row r="1124" spans="1:20" x14ac:dyDescent="0.25">
      <c r="A1124" s="5" t="s">
        <v>1142</v>
      </c>
      <c r="B1124">
        <v>13.357164260301595</v>
      </c>
      <c r="C1124">
        <v>12.946216150364156</v>
      </c>
      <c r="D1124">
        <v>13.46722703656307</v>
      </c>
      <c r="E1124">
        <v>0</v>
      </c>
      <c r="F1124">
        <v>12.628984475843748</v>
      </c>
      <c r="G1124">
        <v>12.751520191339775</v>
      </c>
      <c r="H1124">
        <v>9.8039791364740072</v>
      </c>
      <c r="I1124">
        <v>11.748484072547724</v>
      </c>
      <c r="J1124">
        <v>12.116749011444854</v>
      </c>
      <c r="K1124">
        <v>13.297846756683162</v>
      </c>
      <c r="L1124">
        <v>12.333925666539141</v>
      </c>
      <c r="M1124">
        <v>11.729449644296736</v>
      </c>
      <c r="N1124">
        <v>10.15350951466907</v>
      </c>
      <c r="O1124">
        <v>10.592097100905272</v>
      </c>
      <c r="P1124">
        <v>12.23271807793421</v>
      </c>
      <c r="Q1124">
        <v>0</v>
      </c>
      <c r="R1124">
        <v>12.745999313234805</v>
      </c>
      <c r="S1124">
        <v>0</v>
      </c>
      <c r="T1124">
        <v>13.522177633186471</v>
      </c>
    </row>
    <row r="1125" spans="1:20" x14ac:dyDescent="0.25">
      <c r="A1125" s="6" t="s">
        <v>1143</v>
      </c>
      <c r="B1125">
        <v>16.408006613267162</v>
      </c>
      <c r="C1125">
        <v>16.618322717536614</v>
      </c>
      <c r="D1125">
        <v>16.714337853103505</v>
      </c>
      <c r="E1125">
        <v>16.553056946070445</v>
      </c>
      <c r="F1125">
        <v>15.810553168362809</v>
      </c>
      <c r="G1125">
        <v>15.498609162048069</v>
      </c>
      <c r="H1125">
        <v>15.119070343990609</v>
      </c>
      <c r="I1125">
        <v>15.802285552379209</v>
      </c>
      <c r="J1125">
        <v>16.358678900903591</v>
      </c>
      <c r="K1125">
        <v>15.722115203695225</v>
      </c>
      <c r="L1125">
        <v>15.745702024012841</v>
      </c>
      <c r="M1125">
        <v>16.897705117457889</v>
      </c>
      <c r="N1125">
        <v>16.703519521439713</v>
      </c>
      <c r="O1125">
        <v>16.498609162048069</v>
      </c>
      <c r="P1125">
        <v>14.63144484475516</v>
      </c>
      <c r="Q1125">
        <v>13.986710123516636</v>
      </c>
      <c r="R1125">
        <v>13.956580457332247</v>
      </c>
      <c r="S1125">
        <v>13.775738397767649</v>
      </c>
      <c r="T1125">
        <v>12.995920246256752</v>
      </c>
    </row>
    <row r="1126" spans="1:20" x14ac:dyDescent="0.25">
      <c r="A1126" s="5" t="s">
        <v>1144</v>
      </c>
      <c r="B1126">
        <v>8.7736292652457273</v>
      </c>
      <c r="C1126">
        <v>9.4683292893166122</v>
      </c>
      <c r="D1126">
        <v>8.6247498345969635</v>
      </c>
      <c r="E1126">
        <v>9.0036595264298409</v>
      </c>
      <c r="F1126">
        <v>8.9900242506666004</v>
      </c>
      <c r="G1126">
        <v>9.4795683130728712</v>
      </c>
      <c r="H1126">
        <v>9.2017796061217396</v>
      </c>
      <c r="I1126">
        <v>9.4120197849762111</v>
      </c>
      <c r="J1126">
        <v>9.6036791485910005</v>
      </c>
      <c r="K1126">
        <v>9.3324609607736502</v>
      </c>
      <c r="L1126">
        <v>9.452515898001538</v>
      </c>
      <c r="M1126">
        <v>9.0427560788129124</v>
      </c>
      <c r="N1126">
        <v>9.3870715913742746</v>
      </c>
      <c r="O1126">
        <v>9.0012703154030618</v>
      </c>
      <c r="P1126">
        <v>10.159400829470979</v>
      </c>
      <c r="Q1126">
        <v>9.9866910945882221</v>
      </c>
      <c r="R1126">
        <v>10.889143103954467</v>
      </c>
      <c r="S1126">
        <v>11.078599062121175</v>
      </c>
      <c r="T1126">
        <v>9.9303870014147737</v>
      </c>
    </row>
    <row r="1127" spans="1:20" x14ac:dyDescent="0.25">
      <c r="A1127" s="6" t="s">
        <v>1145</v>
      </c>
      <c r="B1127">
        <v>12.431929935088563</v>
      </c>
      <c r="C1127">
        <v>12.277555575895637</v>
      </c>
      <c r="D1127">
        <v>0</v>
      </c>
      <c r="E1127">
        <v>0</v>
      </c>
      <c r="F1127">
        <v>10.612115465656638</v>
      </c>
      <c r="G1127">
        <v>11.277337124914549</v>
      </c>
      <c r="H1127">
        <v>11.921006896517497</v>
      </c>
      <c r="I1127">
        <v>10.048163110406216</v>
      </c>
      <c r="J1127">
        <v>11.938052704435412</v>
      </c>
      <c r="K1127">
        <v>11.640586710762078</v>
      </c>
      <c r="L1127">
        <v>11.405104542157297</v>
      </c>
      <c r="M1127">
        <v>10.999666902859303</v>
      </c>
      <c r="N1127">
        <v>10.371575907288941</v>
      </c>
      <c r="O1127">
        <v>11.43770911816091</v>
      </c>
      <c r="P1127">
        <v>10.053218723133398</v>
      </c>
      <c r="Q1127">
        <v>10.845145691885277</v>
      </c>
      <c r="R1127">
        <v>11.605993266666983</v>
      </c>
      <c r="S1127">
        <v>10.627516200025369</v>
      </c>
      <c r="T1127">
        <v>13.261733916681129</v>
      </c>
    </row>
    <row r="1128" spans="1:20" x14ac:dyDescent="0.25">
      <c r="A1128" s="5" t="s">
        <v>1146</v>
      </c>
      <c r="B1128">
        <v>0</v>
      </c>
      <c r="C1128">
        <v>16.103749544706854</v>
      </c>
      <c r="D1128">
        <v>16.59528518145974</v>
      </c>
      <c r="E1128">
        <v>15.737796825927495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16.459080797861432</v>
      </c>
      <c r="L1128">
        <v>17.079569732211727</v>
      </c>
      <c r="M1128">
        <v>0</v>
      </c>
      <c r="N1128">
        <v>0</v>
      </c>
      <c r="O1128">
        <v>17.318036916406246</v>
      </c>
      <c r="P1128">
        <v>0</v>
      </c>
      <c r="Q1128">
        <v>16.682123228238336</v>
      </c>
      <c r="R1128">
        <v>0</v>
      </c>
      <c r="S1128">
        <v>0</v>
      </c>
      <c r="T1128">
        <v>0</v>
      </c>
    </row>
    <row r="1129" spans="1:20" x14ac:dyDescent="0.25">
      <c r="A1129" s="6" t="s">
        <v>1147</v>
      </c>
      <c r="B1129">
        <v>16.74411751529685</v>
      </c>
      <c r="C1129">
        <v>16.906539774832652</v>
      </c>
      <c r="D1129">
        <v>15.869792371737484</v>
      </c>
      <c r="E1129">
        <v>16.187407473753765</v>
      </c>
      <c r="F1129">
        <v>16.525576209648339</v>
      </c>
      <c r="G1129">
        <v>16.566996137028319</v>
      </c>
      <c r="H1129">
        <v>0</v>
      </c>
      <c r="I1129">
        <v>0</v>
      </c>
      <c r="J1129">
        <v>0</v>
      </c>
      <c r="K1129">
        <v>15.785891114128539</v>
      </c>
      <c r="L1129">
        <v>15.566996137028319</v>
      </c>
      <c r="M1129">
        <v>15.940613708927183</v>
      </c>
      <c r="N1129">
        <v>0</v>
      </c>
      <c r="O1129">
        <v>15.661039626943458</v>
      </c>
      <c r="P1129">
        <v>17.151258470280798</v>
      </c>
      <c r="Q1129">
        <v>17.172412735523903</v>
      </c>
      <c r="R1129">
        <v>17.067630118900205</v>
      </c>
      <c r="S1129">
        <v>15.931568569324174</v>
      </c>
      <c r="T1129">
        <v>15.187407473753764</v>
      </c>
    </row>
    <row r="1130" spans="1:20" x14ac:dyDescent="0.25">
      <c r="A1130" s="5" t="s">
        <v>1148</v>
      </c>
      <c r="B1130">
        <v>12.214207448985132</v>
      </c>
      <c r="C1130">
        <v>11.212857614887751</v>
      </c>
      <c r="D1130">
        <v>11.197163776026446</v>
      </c>
      <c r="E1130">
        <v>11.157252603503562</v>
      </c>
      <c r="F1130">
        <v>12.055407736121236</v>
      </c>
      <c r="G1130">
        <v>11.342415570944874</v>
      </c>
      <c r="H1130">
        <v>11.769162133892006</v>
      </c>
      <c r="I1130">
        <v>11.884330118861483</v>
      </c>
      <c r="J1130">
        <v>12.345584521371004</v>
      </c>
      <c r="K1130">
        <v>11.408077181598292</v>
      </c>
      <c r="L1130">
        <v>11.27148351431941</v>
      </c>
      <c r="M1130">
        <v>12.865619348607817</v>
      </c>
      <c r="N1130">
        <v>13.202831725958152</v>
      </c>
      <c r="O1130">
        <v>11.734224079247419</v>
      </c>
      <c r="P1130">
        <v>12.746623820076607</v>
      </c>
      <c r="Q1130">
        <v>12.831484475346658</v>
      </c>
      <c r="R1130">
        <v>13.128070277984417</v>
      </c>
      <c r="S1130">
        <v>13.034824458109311</v>
      </c>
      <c r="T1130">
        <v>12.717200873750558</v>
      </c>
    </row>
    <row r="1131" spans="1:20" x14ac:dyDescent="0.25">
      <c r="A1131" s="6" t="s">
        <v>1149</v>
      </c>
      <c r="B1131">
        <v>13.615060750221065</v>
      </c>
      <c r="C1131">
        <v>0</v>
      </c>
      <c r="D1131">
        <v>13.727975855116467</v>
      </c>
      <c r="E1131">
        <v>14.073587574196603</v>
      </c>
      <c r="F1131">
        <v>13.878457232864612</v>
      </c>
      <c r="G1131">
        <v>15.119070343990609</v>
      </c>
      <c r="H1131">
        <v>13.30659038975514</v>
      </c>
      <c r="I1131">
        <v>14.624140044131927</v>
      </c>
      <c r="J1131">
        <v>14.139754498162349</v>
      </c>
      <c r="K1131">
        <v>15.068621321303253</v>
      </c>
      <c r="L1131">
        <v>15.940613708927183</v>
      </c>
      <c r="M1131">
        <v>14.7066022043239</v>
      </c>
      <c r="N1131">
        <v>14.498609162048069</v>
      </c>
      <c r="O1131">
        <v>13.808481818343115</v>
      </c>
      <c r="P1131">
        <v>14.206372752097511</v>
      </c>
      <c r="Q1131">
        <v>13.238137369232376</v>
      </c>
      <c r="R1131">
        <v>13.294943948780526</v>
      </c>
      <c r="S1131">
        <v>14.401747622795481</v>
      </c>
      <c r="T1131">
        <v>12.263009734805387</v>
      </c>
    </row>
    <row r="1132" spans="1:20" x14ac:dyDescent="0.25">
      <c r="A1132" s="5" t="s">
        <v>1150</v>
      </c>
      <c r="B1132">
        <v>12.483865406827295</v>
      </c>
      <c r="C1132">
        <v>11.826906920344291</v>
      </c>
      <c r="D1132">
        <v>12.017087759012309</v>
      </c>
      <c r="E1132">
        <v>12.342194566709919</v>
      </c>
      <c r="F1132">
        <v>13.15899665937649</v>
      </c>
      <c r="G1132">
        <v>12.490906998668967</v>
      </c>
      <c r="H1132">
        <v>13.138322930190499</v>
      </c>
      <c r="I1132">
        <v>12.319400400498921</v>
      </c>
      <c r="J1132">
        <v>12.481149095926389</v>
      </c>
      <c r="K1132">
        <v>12.159194606091519</v>
      </c>
      <c r="L1132">
        <v>11.976005836335293</v>
      </c>
      <c r="M1132">
        <v>13.020524188514486</v>
      </c>
      <c r="N1132">
        <v>12.398129811553272</v>
      </c>
      <c r="O1132">
        <v>12.54513696634934</v>
      </c>
      <c r="P1132">
        <v>13.581071322240041</v>
      </c>
      <c r="Q1132">
        <v>13.367800290872143</v>
      </c>
      <c r="R1132">
        <v>12.678770698818054</v>
      </c>
      <c r="S1132">
        <v>12.863134214946246</v>
      </c>
      <c r="T1132">
        <v>14.024677973715656</v>
      </c>
    </row>
    <row r="1133" spans="1:20" x14ac:dyDescent="0.25">
      <c r="A1133" s="6" t="s">
        <v>1151</v>
      </c>
      <c r="B1133">
        <v>0</v>
      </c>
      <c r="C1133">
        <v>15.316858725208965</v>
      </c>
      <c r="D1133">
        <v>15.75365077712833</v>
      </c>
      <c r="E1133">
        <v>0</v>
      </c>
      <c r="F1133">
        <v>15.827231909509438</v>
      </c>
      <c r="G1133">
        <v>15.668534163490381</v>
      </c>
      <c r="H1133">
        <v>15.259143227352677</v>
      </c>
      <c r="I1133">
        <v>15.370853614849695</v>
      </c>
      <c r="J1133">
        <v>15.729934708154525</v>
      </c>
      <c r="K1133">
        <v>16.005569150767954</v>
      </c>
      <c r="L1133">
        <v>15.472136950686876</v>
      </c>
      <c r="M1133">
        <v>0</v>
      </c>
      <c r="N1133">
        <v>15.661039626943458</v>
      </c>
      <c r="O1133">
        <v>16.220073662674086</v>
      </c>
      <c r="P1133">
        <v>16.034328143749374</v>
      </c>
      <c r="Q1133">
        <v>15.913646661326911</v>
      </c>
      <c r="R1133">
        <v>15.75365077712833</v>
      </c>
      <c r="S1133">
        <v>15.346606068603018</v>
      </c>
      <c r="T1133">
        <v>15.977372258937301</v>
      </c>
    </row>
    <row r="1134" spans="1:20" x14ac:dyDescent="0.25">
      <c r="A1134" s="5" t="s">
        <v>1152</v>
      </c>
      <c r="B1134">
        <v>14.814704811633275</v>
      </c>
      <c r="C1134">
        <v>13.996108821518886</v>
      </c>
      <c r="D1134">
        <v>13.61687204366789</v>
      </c>
      <c r="E1134">
        <v>14.364753415313277</v>
      </c>
      <c r="F1134">
        <v>13.668534163490381</v>
      </c>
      <c r="G1134">
        <v>14.417446309153467</v>
      </c>
      <c r="H1134">
        <v>13.40800661326716</v>
      </c>
      <c r="I1134">
        <v>12.984241387508037</v>
      </c>
      <c r="J1134">
        <v>14.299300353824661</v>
      </c>
      <c r="K1134">
        <v>13.292046969813342</v>
      </c>
      <c r="L1134">
        <v>12.831494991038184</v>
      </c>
      <c r="M1134">
        <v>13.366276048743151</v>
      </c>
      <c r="N1134">
        <v>14.595285181459742</v>
      </c>
      <c r="O1134">
        <v>12.993847543562381</v>
      </c>
      <c r="P1134">
        <v>13.309516749867798</v>
      </c>
      <c r="Q1134">
        <v>14.211837512574323</v>
      </c>
      <c r="R1134">
        <v>13.554791997441193</v>
      </c>
      <c r="S1134">
        <v>13.247493246811365</v>
      </c>
      <c r="T1134">
        <v>14.442925029470389</v>
      </c>
    </row>
    <row r="1135" spans="1:20" x14ac:dyDescent="0.25">
      <c r="A1135" s="6" t="s">
        <v>1153</v>
      </c>
      <c r="B1135">
        <v>0</v>
      </c>
      <c r="C1135">
        <v>0</v>
      </c>
      <c r="D1135">
        <v>13.940613708927183</v>
      </c>
      <c r="E1135">
        <v>0</v>
      </c>
      <c r="F1135">
        <v>14.501952605122439</v>
      </c>
      <c r="G1135">
        <v>13.477063631766804</v>
      </c>
      <c r="H1135">
        <v>0</v>
      </c>
      <c r="I1135">
        <v>13.887174449965721</v>
      </c>
      <c r="J1135">
        <v>13.887174449965721</v>
      </c>
      <c r="K1135">
        <v>0</v>
      </c>
      <c r="L1135">
        <v>14.515404404591045</v>
      </c>
      <c r="M1135">
        <v>13.871953713026953</v>
      </c>
      <c r="N1135">
        <v>14.124213647266572</v>
      </c>
      <c r="O1135">
        <v>0</v>
      </c>
      <c r="P1135">
        <v>0</v>
      </c>
      <c r="Q1135">
        <v>13.837754895921446</v>
      </c>
      <c r="R1135">
        <v>13.648017146149867</v>
      </c>
      <c r="S1135">
        <v>14.570502080529854</v>
      </c>
      <c r="T1135">
        <v>13.649870319225345</v>
      </c>
    </row>
    <row r="1136" spans="1:20" x14ac:dyDescent="0.25">
      <c r="A1136" s="5" t="s">
        <v>1154</v>
      </c>
      <c r="B1136">
        <v>13.001458112504812</v>
      </c>
      <c r="C1136">
        <v>13.463963019241179</v>
      </c>
      <c r="D1136">
        <v>13.604240486694223</v>
      </c>
      <c r="E1136">
        <v>14.039177543410771</v>
      </c>
      <c r="F1136">
        <v>12.143313539272617</v>
      </c>
      <c r="G1136">
        <v>11.100622440382864</v>
      </c>
      <c r="H1136">
        <v>12.455065366065909</v>
      </c>
      <c r="I1136">
        <v>12.277254766737615</v>
      </c>
      <c r="J1136">
        <v>12.501375307892769</v>
      </c>
      <c r="K1136">
        <v>12.622638018966695</v>
      </c>
      <c r="L1136">
        <v>12.670357469062166</v>
      </c>
      <c r="M1136">
        <v>12.347711055050322</v>
      </c>
      <c r="N1136">
        <v>12.062567038886748</v>
      </c>
      <c r="O1136">
        <v>13.254511415952642</v>
      </c>
      <c r="P1136">
        <v>11.46940170351802</v>
      </c>
      <c r="Q1136">
        <v>10.852278469127853</v>
      </c>
      <c r="R1136">
        <v>11.235094772614231</v>
      </c>
      <c r="S1136">
        <v>9.8784721704847236</v>
      </c>
      <c r="T1136">
        <v>10.387291849864594</v>
      </c>
    </row>
    <row r="1137" spans="1:20" x14ac:dyDescent="0.25">
      <c r="A1137" s="6" t="s">
        <v>1155</v>
      </c>
      <c r="B1137">
        <v>15.316858725208965</v>
      </c>
      <c r="C1137">
        <v>14.781821449819493</v>
      </c>
      <c r="D1137">
        <v>14.606038237756618</v>
      </c>
      <c r="E1137">
        <v>14.53582024114514</v>
      </c>
      <c r="F1137">
        <v>15.024677973715658</v>
      </c>
      <c r="G1137">
        <v>14.777763233245141</v>
      </c>
      <c r="H1137">
        <v>15.010322680738586</v>
      </c>
      <c r="I1137">
        <v>14.789972290940359</v>
      </c>
      <c r="J1137">
        <v>15.088589737535848</v>
      </c>
      <c r="K1137">
        <v>15.389310519557258</v>
      </c>
      <c r="L1137">
        <v>15.15546458125101</v>
      </c>
      <c r="M1137">
        <v>15.745702024012841</v>
      </c>
      <c r="N1137">
        <v>14.895944659593452</v>
      </c>
      <c r="O1137">
        <v>15.346606068603018</v>
      </c>
      <c r="P1137">
        <v>15.299300353824661</v>
      </c>
      <c r="Q1137">
        <v>15.383131944628133</v>
      </c>
      <c r="R1137">
        <v>15.15546458125101</v>
      </c>
      <c r="S1137">
        <v>15.073587574196603</v>
      </c>
      <c r="T1137">
        <v>15.220073662674086</v>
      </c>
    </row>
    <row r="1138" spans="1:20" x14ac:dyDescent="0.25">
      <c r="A1138" s="5" t="s">
        <v>1156</v>
      </c>
      <c r="B1138">
        <v>13.695075950942874</v>
      </c>
      <c r="C1138">
        <v>13.831431898038725</v>
      </c>
      <c r="D1138">
        <v>13.7085322314223</v>
      </c>
      <c r="E1138">
        <v>13.956580457332247</v>
      </c>
      <c r="F1138">
        <v>13.655444164049936</v>
      </c>
      <c r="G1138">
        <v>13.929316117592796</v>
      </c>
      <c r="H1138">
        <v>14.225590667641651</v>
      </c>
      <c r="I1138">
        <v>13.771697232545785</v>
      </c>
      <c r="J1138">
        <v>13.651725875803827</v>
      </c>
      <c r="K1138">
        <v>13.902557482665108</v>
      </c>
      <c r="L1138">
        <v>13.729934708154524</v>
      </c>
      <c r="M1138">
        <v>14.231128851183081</v>
      </c>
      <c r="N1138">
        <v>13.130707486833009</v>
      </c>
      <c r="O1138">
        <v>13.657306908067127</v>
      </c>
      <c r="P1138">
        <v>13.814704811633275</v>
      </c>
      <c r="Q1138">
        <v>14.066144591011041</v>
      </c>
      <c r="R1138">
        <v>14.192800732523983</v>
      </c>
      <c r="S1138">
        <v>13.975047205991057</v>
      </c>
      <c r="T1138">
        <v>13.712400048862014</v>
      </c>
    </row>
    <row r="1139" spans="1:20" x14ac:dyDescent="0.25">
      <c r="A1139" s="6" t="s">
        <v>1157</v>
      </c>
      <c r="B1139">
        <v>15.75365077712833</v>
      </c>
      <c r="C1139">
        <v>15.119070343990609</v>
      </c>
      <c r="D1139">
        <v>15.078570981710859</v>
      </c>
      <c r="E1139">
        <v>14.95428864582426</v>
      </c>
      <c r="F1139">
        <v>15.574016564706092</v>
      </c>
      <c r="G1139">
        <v>16.276216740711622</v>
      </c>
      <c r="H1139">
        <v>15.861179241432778</v>
      </c>
      <c r="I1139">
        <v>15.949715916034434</v>
      </c>
      <c r="J1139">
        <v>15.769680886947281</v>
      </c>
      <c r="K1139">
        <v>15.609640474436812</v>
      </c>
      <c r="L1139">
        <v>15.539251146545414</v>
      </c>
      <c r="M1139">
        <v>16.15546458125101</v>
      </c>
      <c r="N1139">
        <v>16.539251146545414</v>
      </c>
      <c r="O1139">
        <v>15.691254239990466</v>
      </c>
      <c r="P1139">
        <v>16.472136950686878</v>
      </c>
      <c r="Q1139">
        <v>0</v>
      </c>
      <c r="R1139">
        <v>0</v>
      </c>
      <c r="S1139">
        <v>0</v>
      </c>
      <c r="T1139">
        <v>0</v>
      </c>
    </row>
    <row r="1140" spans="1:20" x14ac:dyDescent="0.25">
      <c r="A1140" s="5" t="s">
        <v>1158</v>
      </c>
      <c r="B1140">
        <v>9.1330392559787423</v>
      </c>
      <c r="C1140">
        <v>8.853421765374101</v>
      </c>
      <c r="D1140">
        <v>8.6582351027483568</v>
      </c>
      <c r="E1140">
        <v>8.5214628276070812</v>
      </c>
      <c r="F1140">
        <v>8.9509070019329684</v>
      </c>
      <c r="G1140">
        <v>9.5010480662316468</v>
      </c>
      <c r="H1140">
        <v>9.1063768213467498</v>
      </c>
      <c r="I1140">
        <v>8.9892102177828956</v>
      </c>
      <c r="J1140">
        <v>9.1642837275915596</v>
      </c>
      <c r="K1140">
        <v>8.7695675511811864</v>
      </c>
      <c r="L1140">
        <v>9.201783004304378</v>
      </c>
      <c r="M1140">
        <v>9.6123729099156563</v>
      </c>
      <c r="N1140">
        <v>9.3043146787565707</v>
      </c>
      <c r="O1140">
        <v>9.1367587775392369</v>
      </c>
      <c r="P1140">
        <v>10.322990309380359</v>
      </c>
      <c r="Q1140">
        <v>11.746356141184519</v>
      </c>
      <c r="R1140">
        <v>11.384936441474879</v>
      </c>
      <c r="S1140">
        <v>11.54160603433469</v>
      </c>
      <c r="T1140">
        <v>11.132011712378365</v>
      </c>
    </row>
    <row r="1141" spans="1:20" x14ac:dyDescent="0.25">
      <c r="A1141" s="6" t="s">
        <v>1159</v>
      </c>
      <c r="B1141">
        <v>14.163384244547249</v>
      </c>
      <c r="C1141">
        <v>14.465594104820106</v>
      </c>
      <c r="D1141">
        <v>14.331655727137047</v>
      </c>
      <c r="E1141">
        <v>13.475419534676179</v>
      </c>
      <c r="F1141">
        <v>13.986710123516636</v>
      </c>
      <c r="G1141">
        <v>15.209102544853085</v>
      </c>
      <c r="H1141">
        <v>14.296394622649251</v>
      </c>
      <c r="I1141">
        <v>14.198214228710349</v>
      </c>
      <c r="J1141">
        <v>14.163384244547249</v>
      </c>
      <c r="K1141">
        <v>14.0860785183798</v>
      </c>
      <c r="L1141">
        <v>14.525576209648337</v>
      </c>
      <c r="M1141">
        <v>14.664782028629272</v>
      </c>
      <c r="N1141">
        <v>13.900349838713455</v>
      </c>
      <c r="O1141">
        <v>14.340607327981576</v>
      </c>
      <c r="P1141">
        <v>14.355651208206025</v>
      </c>
      <c r="Q1141">
        <v>15.019876987451834</v>
      </c>
      <c r="R1141">
        <v>15.073587574196603</v>
      </c>
      <c r="S1141">
        <v>14.430129424165303</v>
      </c>
      <c r="T1141">
        <v>13.998468094392807</v>
      </c>
    </row>
    <row r="1142" spans="1:20" x14ac:dyDescent="0.25">
      <c r="A1142" s="5" t="s">
        <v>1160</v>
      </c>
      <c r="B1142">
        <v>16.310982158872296</v>
      </c>
      <c r="C1142">
        <v>0</v>
      </c>
      <c r="D1142">
        <v>15.420606650046794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15.844105728073835</v>
      </c>
      <c r="M1142">
        <v>15.714337853103507</v>
      </c>
      <c r="N1142">
        <v>15.691254239990466</v>
      </c>
      <c r="O1142">
        <v>0</v>
      </c>
      <c r="P1142">
        <v>16.857748336032504</v>
      </c>
      <c r="Q1142">
        <v>15.75365077712833</v>
      </c>
      <c r="R1142">
        <v>15.113945311812744</v>
      </c>
      <c r="S1142">
        <v>14.67606783617579</v>
      </c>
      <c r="T1142">
        <v>15.334633426936943</v>
      </c>
    </row>
    <row r="1143" spans="1:20" x14ac:dyDescent="0.25">
      <c r="A1143" s="6" t="s">
        <v>1161</v>
      </c>
      <c r="B1143">
        <v>12.711615978081332</v>
      </c>
      <c r="C1143">
        <v>12.205677480650559</v>
      </c>
      <c r="D1143">
        <v>12.836667475759597</v>
      </c>
      <c r="E1143">
        <v>12.824759639269022</v>
      </c>
      <c r="F1143">
        <v>12.010132238517876</v>
      </c>
      <c r="G1143">
        <v>12.126198717996887</v>
      </c>
      <c r="H1143">
        <v>11.720478478641436</v>
      </c>
      <c r="I1143">
        <v>11.671302923385193</v>
      </c>
      <c r="J1143">
        <v>12.495040238189922</v>
      </c>
      <c r="K1143">
        <v>12.501208018536673</v>
      </c>
      <c r="L1143">
        <v>12.034255526699074</v>
      </c>
      <c r="M1143">
        <v>12.614400194201428</v>
      </c>
      <c r="N1143">
        <v>11.636773237328912</v>
      </c>
      <c r="O1143">
        <v>12.500422018297893</v>
      </c>
      <c r="P1143">
        <v>11.540948169667217</v>
      </c>
      <c r="Q1143">
        <v>11.293259371880762</v>
      </c>
      <c r="R1143">
        <v>11.335740464238615</v>
      </c>
      <c r="S1143">
        <v>10.776694778380136</v>
      </c>
      <c r="T1143">
        <v>12.440597389465864</v>
      </c>
    </row>
    <row r="1144" spans="1:20" x14ac:dyDescent="0.25">
      <c r="A1144" s="5" t="s">
        <v>1162</v>
      </c>
      <c r="B1144">
        <v>12.988925048246124</v>
      </c>
      <c r="C1144">
        <v>12.205806966606819</v>
      </c>
      <c r="D1144">
        <v>12.071499665361854</v>
      </c>
      <c r="E1144">
        <v>11.813816393405503</v>
      </c>
      <c r="F1144">
        <v>12.615622008016894</v>
      </c>
      <c r="G1144">
        <v>12.517204672812063</v>
      </c>
      <c r="H1144">
        <v>12.35170960170448</v>
      </c>
      <c r="I1144">
        <v>12.239643634371969</v>
      </c>
      <c r="J1144">
        <v>12.439002316740053</v>
      </c>
      <c r="K1144">
        <v>12.385175668149161</v>
      </c>
      <c r="L1144">
        <v>12.327015340245136</v>
      </c>
      <c r="M1144">
        <v>12.923061511597174</v>
      </c>
      <c r="N1144">
        <v>13.12622451611108</v>
      </c>
      <c r="O1144">
        <v>12.192071464325242</v>
      </c>
      <c r="P1144">
        <v>13.515404404591045</v>
      </c>
      <c r="Q1144">
        <v>13.297846756683162</v>
      </c>
      <c r="R1144">
        <v>13.280301566594829</v>
      </c>
      <c r="S1144">
        <v>13.351121549725512</v>
      </c>
      <c r="T1144">
        <v>13.322759326648649</v>
      </c>
    </row>
    <row r="1145" spans="1:20" x14ac:dyDescent="0.25">
      <c r="A1145" s="6" t="s">
        <v>1163</v>
      </c>
      <c r="B1145">
        <v>9.641741018920909</v>
      </c>
      <c r="C1145">
        <v>9.8771297604290726</v>
      </c>
      <c r="D1145">
        <v>10.536222949761616</v>
      </c>
      <c r="E1145">
        <v>9.9466972921334555</v>
      </c>
      <c r="F1145">
        <v>9.7930420477951579</v>
      </c>
      <c r="G1145">
        <v>10.176267019671462</v>
      </c>
      <c r="H1145">
        <v>9.9393850492847911</v>
      </c>
      <c r="I1145">
        <v>9.7061936111039966</v>
      </c>
      <c r="J1145">
        <v>9.5837268827268378</v>
      </c>
      <c r="K1145">
        <v>9.7040765658367309</v>
      </c>
      <c r="L1145">
        <v>9.781198025325315</v>
      </c>
      <c r="M1145">
        <v>10.068525268774323</v>
      </c>
      <c r="N1145">
        <v>10.203243264236479</v>
      </c>
      <c r="O1145">
        <v>9.9695604270701104</v>
      </c>
      <c r="P1145">
        <v>10.09531145331661</v>
      </c>
      <c r="Q1145">
        <v>10.614305207593945</v>
      </c>
      <c r="R1145">
        <v>10.723529347770386</v>
      </c>
      <c r="S1145">
        <v>10.773511830831161</v>
      </c>
      <c r="T1145">
        <v>11.504088101516802</v>
      </c>
    </row>
    <row r="1146" spans="1:20" x14ac:dyDescent="0.25">
      <c r="A1146" s="5" t="s">
        <v>1164</v>
      </c>
      <c r="B1146">
        <v>14.155464581251008</v>
      </c>
      <c r="C1146">
        <v>13.337617285375762</v>
      </c>
      <c r="D1146">
        <v>13.2391274219764</v>
      </c>
      <c r="E1146">
        <v>12.763999889255036</v>
      </c>
      <c r="F1146">
        <v>13.392409758216141</v>
      </c>
      <c r="G1146">
        <v>13.528982811091586</v>
      </c>
      <c r="H1146">
        <v>13.624140044131927</v>
      </c>
      <c r="I1146">
        <v>13.285607580919141</v>
      </c>
      <c r="J1146">
        <v>13.45908079786143</v>
      </c>
      <c r="K1146">
        <v>13.724066110065387</v>
      </c>
      <c r="L1146">
        <v>12.859452047309272</v>
      </c>
      <c r="M1146">
        <v>14.991401818841357</v>
      </c>
      <c r="N1146">
        <v>13.869792371737484</v>
      </c>
      <c r="O1146">
        <v>13.810553168362809</v>
      </c>
      <c r="P1146">
        <v>13.534107843269455</v>
      </c>
      <c r="Q1146">
        <v>12.769630514396486</v>
      </c>
      <c r="R1146">
        <v>12.935507539889887</v>
      </c>
      <c r="S1146">
        <v>12.575732984932488</v>
      </c>
      <c r="T1146">
        <v>12.962878739266332</v>
      </c>
    </row>
    <row r="1147" spans="1:20" x14ac:dyDescent="0.25">
      <c r="A1147" s="6" t="s">
        <v>1165</v>
      </c>
      <c r="B1147">
        <v>10.852710600637325</v>
      </c>
      <c r="C1147">
        <v>11.174505307791748</v>
      </c>
      <c r="D1147">
        <v>13.036738682579431</v>
      </c>
      <c r="E1147">
        <v>12.747923263929518</v>
      </c>
      <c r="F1147">
        <v>10.317350134880947</v>
      </c>
      <c r="G1147">
        <v>10.379587365241791</v>
      </c>
      <c r="H1147">
        <v>12.91902224257165</v>
      </c>
      <c r="I1147">
        <v>10.866987460133602</v>
      </c>
      <c r="J1147">
        <v>10.300538883439732</v>
      </c>
      <c r="K1147">
        <v>12.513505149527312</v>
      </c>
      <c r="L1147">
        <v>12.707412501242958</v>
      </c>
      <c r="M1147">
        <v>12.284397991042772</v>
      </c>
      <c r="N1147">
        <v>12.198051527918015</v>
      </c>
      <c r="O1147">
        <v>12.127385908974093</v>
      </c>
      <c r="P1147">
        <v>10.735209883550393</v>
      </c>
      <c r="Q1147">
        <v>12.266396119458456</v>
      </c>
      <c r="R1147">
        <v>10.54050761108134</v>
      </c>
      <c r="S1147">
        <v>12.574430079248637</v>
      </c>
      <c r="T1147">
        <v>12.617035171676152</v>
      </c>
    </row>
    <row r="1148" spans="1:20" x14ac:dyDescent="0.25">
      <c r="A1148" s="5" t="s">
        <v>1166</v>
      </c>
      <c r="B1148">
        <v>11.760832280074673</v>
      </c>
      <c r="C1148">
        <v>11.997577015499012</v>
      </c>
      <c r="D1148">
        <v>11.552978917799747</v>
      </c>
      <c r="E1148">
        <v>11.339201236090915</v>
      </c>
      <c r="F1148">
        <v>11.982605691916323</v>
      </c>
      <c r="G1148">
        <v>12.481371822524927</v>
      </c>
      <c r="H1148">
        <v>12.617624398654316</v>
      </c>
      <c r="I1148">
        <v>11.895493887822598</v>
      </c>
      <c r="J1148">
        <v>11.88280925740432</v>
      </c>
      <c r="K1148">
        <v>11.705811638928632</v>
      </c>
      <c r="L1148">
        <v>12.074676224632157</v>
      </c>
      <c r="M1148">
        <v>12.458187513351747</v>
      </c>
      <c r="N1148">
        <v>12.58308826129611</v>
      </c>
      <c r="O1148">
        <v>11.511511513018327</v>
      </c>
      <c r="P1148">
        <v>13.16799764853209</v>
      </c>
      <c r="Q1148">
        <v>14.710464843956299</v>
      </c>
      <c r="R1148">
        <v>13.871953713026953</v>
      </c>
      <c r="S1148">
        <v>15.15546458125101</v>
      </c>
      <c r="T1148">
        <v>14.878457232864612</v>
      </c>
    </row>
    <row r="1149" spans="1:20" x14ac:dyDescent="0.25">
      <c r="A1149" s="6" t="s">
        <v>1167</v>
      </c>
      <c r="B1149">
        <v>14.761643567881864</v>
      </c>
      <c r="C1149">
        <v>15.346606068603018</v>
      </c>
      <c r="D1149">
        <v>15.088589737535848</v>
      </c>
      <c r="E1149">
        <v>15.166033822961197</v>
      </c>
      <c r="F1149">
        <v>14.968094445349289</v>
      </c>
      <c r="G1149">
        <v>14.904768509980459</v>
      </c>
      <c r="H1149">
        <v>14.827231909509438</v>
      </c>
      <c r="I1149">
        <v>14.818868436574812</v>
      </c>
      <c r="J1149">
        <v>15.609640474436812</v>
      </c>
      <c r="K1149">
        <v>15.068621321303253</v>
      </c>
      <c r="L1149">
        <v>15.236688376524983</v>
      </c>
      <c r="M1149">
        <v>15.253496664211537</v>
      </c>
      <c r="N1149">
        <v>15.198214228710349</v>
      </c>
      <c r="O1149">
        <v>15.119070343990609</v>
      </c>
      <c r="P1149">
        <v>14.722115203695225</v>
      </c>
      <c r="Q1149">
        <v>15.247872115017659</v>
      </c>
      <c r="R1149">
        <v>14.856891883029679</v>
      </c>
      <c r="S1149">
        <v>15.299300353824661</v>
      </c>
      <c r="T1149">
        <v>15.187407473753764</v>
      </c>
    </row>
    <row r="1150" spans="1:20" x14ac:dyDescent="0.25">
      <c r="A1150" s="5" t="s">
        <v>1168</v>
      </c>
      <c r="B1150">
        <v>14.367800290872141</v>
      </c>
      <c r="C1150">
        <v>14.525576209648337</v>
      </c>
      <c r="D1150">
        <v>14.355651208206025</v>
      </c>
      <c r="E1150">
        <v>13.812627496600667</v>
      </c>
      <c r="F1150">
        <v>14.546137532130656</v>
      </c>
      <c r="G1150">
        <v>0</v>
      </c>
      <c r="H1150">
        <v>15.103749544706854</v>
      </c>
      <c r="I1150">
        <v>14.325718702129196</v>
      </c>
      <c r="J1150">
        <v>14.325718702129196</v>
      </c>
      <c r="K1150">
        <v>14.179355201459032</v>
      </c>
      <c r="L1150">
        <v>14.553056946070445</v>
      </c>
      <c r="M1150">
        <v>15.150208855799516</v>
      </c>
      <c r="N1150">
        <v>14.936084050446668</v>
      </c>
      <c r="O1150">
        <v>14.056279971101485</v>
      </c>
      <c r="P1150">
        <v>0</v>
      </c>
      <c r="Q1150">
        <v>0</v>
      </c>
      <c r="R1150">
        <v>0</v>
      </c>
      <c r="S1150">
        <v>0</v>
      </c>
      <c r="T1150">
        <v>15.6989078125339</v>
      </c>
    </row>
    <row r="1151" spans="1:20" x14ac:dyDescent="0.25">
      <c r="A1151" s="6" t="s">
        <v>1169</v>
      </c>
      <c r="B1151">
        <v>11.116707364175721</v>
      </c>
      <c r="C1151">
        <v>9.9932063156881057</v>
      </c>
      <c r="D1151">
        <v>10.208977885539653</v>
      </c>
      <c r="E1151">
        <v>10.097834066458393</v>
      </c>
      <c r="F1151">
        <v>10.628420280210849</v>
      </c>
      <c r="G1151">
        <v>10.226039852397015</v>
      </c>
      <c r="H1151">
        <v>11.34120233788313</v>
      </c>
      <c r="I1151">
        <v>10.703401643289652</v>
      </c>
      <c r="J1151">
        <v>10.938035721795886</v>
      </c>
      <c r="K1151">
        <v>10.775601823705996</v>
      </c>
      <c r="L1151">
        <v>10.736472007603702</v>
      </c>
      <c r="M1151">
        <v>10.980327573051152</v>
      </c>
      <c r="N1151">
        <v>10.581935695344827</v>
      </c>
      <c r="O1151">
        <v>10.853166879919318</v>
      </c>
      <c r="P1151">
        <v>11.906406854508782</v>
      </c>
      <c r="Q1151">
        <v>11.58918716673073</v>
      </c>
      <c r="R1151">
        <v>11.576574336263862</v>
      </c>
      <c r="S1151">
        <v>11.009085255430541</v>
      </c>
      <c r="T1151">
        <v>11.811019632248174</v>
      </c>
    </row>
    <row r="1152" spans="1:20" x14ac:dyDescent="0.25">
      <c r="A1152" s="5" t="s">
        <v>1170</v>
      </c>
      <c r="B1152">
        <v>0</v>
      </c>
      <c r="C1152">
        <v>14.891552890476294</v>
      </c>
      <c r="D1152">
        <v>14.729934708154525</v>
      </c>
      <c r="E1152">
        <v>14.958875915319911</v>
      </c>
      <c r="F1152">
        <v>0</v>
      </c>
      <c r="G1152">
        <v>0</v>
      </c>
      <c r="H1152">
        <v>0</v>
      </c>
      <c r="I1152">
        <v>15.949715916034434</v>
      </c>
      <c r="J1152">
        <v>0</v>
      </c>
      <c r="K1152">
        <v>15.485312339434612</v>
      </c>
      <c r="L1152">
        <v>16.134555591488027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25">
      <c r="A1153" s="6" t="s">
        <v>1171</v>
      </c>
      <c r="B1153">
        <v>9.0985385635842224</v>
      </c>
      <c r="C1153">
        <v>9.7255762148762326</v>
      </c>
      <c r="D1153">
        <v>9.3835260036962893</v>
      </c>
      <c r="E1153">
        <v>9.1650057056158953</v>
      </c>
      <c r="F1153">
        <v>9.4055154119845827</v>
      </c>
      <c r="G1153">
        <v>9.4662215443009963</v>
      </c>
      <c r="H1153">
        <v>9.2639034792727681</v>
      </c>
      <c r="I1153">
        <v>9.2484493786784778</v>
      </c>
      <c r="J1153">
        <v>8.8328508426407826</v>
      </c>
      <c r="K1153">
        <v>9.1954355827811192</v>
      </c>
      <c r="L1153">
        <v>9.4559759700984003</v>
      </c>
      <c r="M1153">
        <v>8.9649823691312172</v>
      </c>
      <c r="N1153">
        <v>8.6794460234510176</v>
      </c>
      <c r="O1153">
        <v>8.7443742608538653</v>
      </c>
      <c r="P1153">
        <v>8.8234839140692163</v>
      </c>
      <c r="Q1153">
        <v>8.9519983257652864</v>
      </c>
      <c r="R1153">
        <v>8.380890073122389</v>
      </c>
      <c r="S1153">
        <v>8.934427203142576</v>
      </c>
      <c r="T1153">
        <v>8.795291934741579</v>
      </c>
    </row>
    <row r="1154" spans="1:20" x14ac:dyDescent="0.25">
      <c r="A1154" s="5" t="s">
        <v>1172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14.945157634072132</v>
      </c>
      <c r="I1154">
        <v>15.452596764291233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14.918106309517611</v>
      </c>
      <c r="Q1154">
        <v>13.993753400520754</v>
      </c>
      <c r="R1154">
        <v>14.505303814622076</v>
      </c>
      <c r="S1154">
        <v>14.741744010444156</v>
      </c>
      <c r="T1154">
        <v>14.794065045574239</v>
      </c>
    </row>
    <row r="1155" spans="1:20" x14ac:dyDescent="0.25">
      <c r="A1155" s="6" t="s">
        <v>1173</v>
      </c>
      <c r="B1155">
        <v>16.187407473753765</v>
      </c>
      <c r="C1155">
        <v>14.525576209648337</v>
      </c>
      <c r="D1155">
        <v>15.588160747026361</v>
      </c>
      <c r="E1155">
        <v>15.518787043985698</v>
      </c>
      <c r="F1155">
        <v>13.222953665765704</v>
      </c>
      <c r="G1155">
        <v>11.600252988982207</v>
      </c>
      <c r="H1155">
        <v>13.59171856643955</v>
      </c>
      <c r="I1155">
        <v>13.28186689600175</v>
      </c>
      <c r="J1155">
        <v>13.839868735187364</v>
      </c>
      <c r="K1155">
        <v>13.525576209648337</v>
      </c>
      <c r="L1155">
        <v>13.615060750221065</v>
      </c>
      <c r="M1155">
        <v>14.160739523291683</v>
      </c>
      <c r="N1155">
        <v>14.022275483500353</v>
      </c>
      <c r="O1155">
        <v>15.383131944628133</v>
      </c>
      <c r="P1155">
        <v>12.613676644361037</v>
      </c>
      <c r="Q1155">
        <v>11.518042182527282</v>
      </c>
      <c r="R1155">
        <v>11.201003331187049</v>
      </c>
      <c r="S1155">
        <v>10.413279329460181</v>
      </c>
      <c r="T1155">
        <v>11.245474295025705</v>
      </c>
    </row>
    <row r="1156" spans="1:20" x14ac:dyDescent="0.25">
      <c r="A1156" s="5" t="s">
        <v>1174</v>
      </c>
      <c r="B1156">
        <v>0</v>
      </c>
      <c r="C1156">
        <v>0</v>
      </c>
      <c r="D1156">
        <v>0</v>
      </c>
      <c r="E1156">
        <v>0</v>
      </c>
      <c r="F1156">
        <v>18.040149382478095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16.446141742153934</v>
      </c>
      <c r="Q1156">
        <v>14.6989078125339</v>
      </c>
      <c r="R1156">
        <v>14.577539631269786</v>
      </c>
      <c r="S1156">
        <v>15.187407473753764</v>
      </c>
      <c r="T1156">
        <v>13.220693273543196</v>
      </c>
    </row>
    <row r="1157" spans="1:20" x14ac:dyDescent="0.25">
      <c r="A1157" s="6" t="s">
        <v>1175</v>
      </c>
      <c r="B1157">
        <v>12.988057423934931</v>
      </c>
      <c r="C1157">
        <v>12.500731350267779</v>
      </c>
      <c r="D1157">
        <v>0</v>
      </c>
      <c r="E1157">
        <v>0</v>
      </c>
      <c r="F1157">
        <v>12.250906647831528</v>
      </c>
      <c r="G1157">
        <v>13.010870342198086</v>
      </c>
      <c r="H1157">
        <v>12.809869294033579</v>
      </c>
      <c r="I1157">
        <v>12.133842204700898</v>
      </c>
      <c r="J1157">
        <v>12.588338429770706</v>
      </c>
      <c r="K1157">
        <v>12.388382044759005</v>
      </c>
      <c r="L1157">
        <v>12.303421988760254</v>
      </c>
      <c r="M1157">
        <v>12.822835041457907</v>
      </c>
      <c r="N1157">
        <v>11.851204036477659</v>
      </c>
      <c r="O1157">
        <v>12.246104914003871</v>
      </c>
      <c r="P1157">
        <v>12.286147904004672</v>
      </c>
      <c r="Q1157">
        <v>11.80033922754787</v>
      </c>
      <c r="R1157">
        <v>11.855324820292845</v>
      </c>
      <c r="S1157">
        <v>11.942997485059323</v>
      </c>
      <c r="T1157">
        <v>11.447176635081245</v>
      </c>
    </row>
    <row r="1158" spans="1:20" x14ac:dyDescent="0.25">
      <c r="A1158" s="5" t="s">
        <v>1176</v>
      </c>
      <c r="B1158">
        <v>13.132740391233067</v>
      </c>
      <c r="C1158">
        <v>12.887895977883181</v>
      </c>
      <c r="D1158">
        <v>12.791536398710337</v>
      </c>
      <c r="E1158">
        <v>12.967585892510394</v>
      </c>
      <c r="F1158">
        <v>13.15409624966107</v>
      </c>
      <c r="G1158">
        <v>12.984673988491993</v>
      </c>
      <c r="H1158">
        <v>12.288462776090727</v>
      </c>
      <c r="I1158">
        <v>13.460706369910472</v>
      </c>
      <c r="J1158">
        <v>12.458244342253828</v>
      </c>
      <c r="K1158">
        <v>13.367800290872143</v>
      </c>
      <c r="L1158">
        <v>13.028964330247547</v>
      </c>
      <c r="M1158">
        <v>13.589938559994264</v>
      </c>
      <c r="N1158">
        <v>13.839868735187364</v>
      </c>
      <c r="O1158">
        <v>13.490284297397135</v>
      </c>
      <c r="P1158">
        <v>13.03808500640976</v>
      </c>
      <c r="Q1158">
        <v>12.54239758936267</v>
      </c>
      <c r="R1158">
        <v>13.077248701397858</v>
      </c>
      <c r="S1158">
        <v>13.43172268224097</v>
      </c>
      <c r="T1158">
        <v>13.114290679088882</v>
      </c>
    </row>
    <row r="1159" spans="1:20" x14ac:dyDescent="0.25">
      <c r="A1159" s="6" t="s">
        <v>1177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17.315681495408118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16.420606650046796</v>
      </c>
      <c r="R1159">
        <v>16.609640474436812</v>
      </c>
      <c r="S1159">
        <v>16.973653970691188</v>
      </c>
      <c r="T1159">
        <v>15.010322680738586</v>
      </c>
    </row>
    <row r="1160" spans="1:20" x14ac:dyDescent="0.25">
      <c r="A1160" s="5" t="s">
        <v>1178</v>
      </c>
      <c r="B1160">
        <v>14.794065045574239</v>
      </c>
      <c r="C1160">
        <v>15.43331770179635</v>
      </c>
      <c r="D1160">
        <v>15.334633426936943</v>
      </c>
      <c r="E1160">
        <v>15.247872115017659</v>
      </c>
      <c r="F1160">
        <v>14.722115203695225</v>
      </c>
      <c r="G1160">
        <v>0</v>
      </c>
      <c r="H1160">
        <v>15.668534163490381</v>
      </c>
      <c r="I1160">
        <v>16.176681067160704</v>
      </c>
      <c r="J1160">
        <v>16.187407473753765</v>
      </c>
      <c r="K1160">
        <v>15.426948176920622</v>
      </c>
      <c r="L1160">
        <v>15.566996137028319</v>
      </c>
      <c r="M1160">
        <v>0</v>
      </c>
      <c r="N1160">
        <v>15.922579786096922</v>
      </c>
      <c r="O1160">
        <v>15.968094445349289</v>
      </c>
      <c r="P1160">
        <v>16.512029677810389</v>
      </c>
      <c r="Q1160">
        <v>0</v>
      </c>
      <c r="R1160">
        <v>16.370853614849693</v>
      </c>
      <c r="S1160">
        <v>16.395515669083963</v>
      </c>
      <c r="T1160">
        <v>15.777763233245141</v>
      </c>
    </row>
    <row r="1161" spans="1:20" x14ac:dyDescent="0.25">
      <c r="A1161" s="6" t="s">
        <v>1179</v>
      </c>
      <c r="B1161">
        <v>18.82723190950944</v>
      </c>
      <c r="C1161">
        <v>19.067630118900205</v>
      </c>
      <c r="D1161">
        <v>18.226696604867822</v>
      </c>
      <c r="E1161">
        <v>18.055788506255688</v>
      </c>
      <c r="F1161">
        <v>0</v>
      </c>
      <c r="G1161">
        <v>0</v>
      </c>
      <c r="H1161">
        <v>0</v>
      </c>
      <c r="I1161">
        <v>19.405499757656589</v>
      </c>
      <c r="J1161">
        <v>18.982967721830818</v>
      </c>
      <c r="K1161">
        <v>19.365971393469952</v>
      </c>
      <c r="L1161">
        <v>19.705060039515494</v>
      </c>
      <c r="M1161">
        <v>19.466900302320731</v>
      </c>
      <c r="N1161">
        <v>19.52014232359771</v>
      </c>
      <c r="O1161">
        <v>18.946068139019289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25">
      <c r="A1162" s="5" t="s">
        <v>1180</v>
      </c>
      <c r="B1162">
        <v>10.617923636786943</v>
      </c>
      <c r="C1162">
        <v>10.515292490259261</v>
      </c>
      <c r="D1162">
        <v>9.999587148215662</v>
      </c>
      <c r="E1162">
        <v>9.9677289048781059</v>
      </c>
      <c r="F1162">
        <v>10.526561168150357</v>
      </c>
      <c r="G1162">
        <v>10.825228102410074</v>
      </c>
      <c r="H1162">
        <v>10.471286748922061</v>
      </c>
      <c r="I1162">
        <v>10.604364010393162</v>
      </c>
      <c r="J1162">
        <v>10.442065773324874</v>
      </c>
      <c r="K1162">
        <v>10.240135603184932</v>
      </c>
      <c r="L1162">
        <v>10.474850702460571</v>
      </c>
      <c r="M1162">
        <v>10.724200331848886</v>
      </c>
      <c r="N1162">
        <v>10.592203999208149</v>
      </c>
      <c r="O1162">
        <v>10.106721176700932</v>
      </c>
      <c r="P1162">
        <v>10.844694595110168</v>
      </c>
      <c r="Q1162">
        <v>11.298467990246289</v>
      </c>
      <c r="R1162">
        <v>11.379060847524071</v>
      </c>
      <c r="S1162">
        <v>11.698840667385761</v>
      </c>
      <c r="T1162">
        <v>11.488152543872157</v>
      </c>
    </row>
    <row r="1163" spans="1:20" x14ac:dyDescent="0.25">
      <c r="A1163" s="6" t="s">
        <v>1181</v>
      </c>
      <c r="B1163">
        <v>13.874118297140276</v>
      </c>
      <c r="C1163">
        <v>12.37317847059871</v>
      </c>
      <c r="D1163">
        <v>14.171347622857667</v>
      </c>
      <c r="E1163">
        <v>12.769247740476784</v>
      </c>
      <c r="F1163">
        <v>12.322219895040257</v>
      </c>
      <c r="G1163">
        <v>11.997671408389682</v>
      </c>
      <c r="H1163">
        <v>11.468849550891202</v>
      </c>
      <c r="I1163">
        <v>12.43680096891817</v>
      </c>
      <c r="J1163">
        <v>12.399103544956928</v>
      </c>
      <c r="K1163">
        <v>12.277226121517227</v>
      </c>
      <c r="L1163">
        <v>12.19889912903616</v>
      </c>
      <c r="M1163">
        <v>13.054572850239627</v>
      </c>
      <c r="N1163">
        <v>12.211755388059387</v>
      </c>
      <c r="O1163">
        <v>13.275243822187131</v>
      </c>
      <c r="P1163">
        <v>13.558268372715785</v>
      </c>
      <c r="Q1163">
        <v>13.865479378866404</v>
      </c>
      <c r="R1163">
        <v>13.785891114128539</v>
      </c>
      <c r="S1163">
        <v>11.466467493396907</v>
      </c>
      <c r="T1163">
        <v>13.060402575051532</v>
      </c>
    </row>
    <row r="1164" spans="1:20" x14ac:dyDescent="0.25">
      <c r="A1164" s="5" t="s">
        <v>1182</v>
      </c>
      <c r="B1164">
        <v>13.898145567786724</v>
      </c>
      <c r="C1164">
        <v>14.891552890476294</v>
      </c>
      <c r="D1164">
        <v>14.491945431767057</v>
      </c>
      <c r="E1164">
        <v>14.488625073475445</v>
      </c>
      <c r="F1164">
        <v>14.019876987451836</v>
      </c>
      <c r="G1164">
        <v>12.636883497883765</v>
      </c>
      <c r="H1164">
        <v>13.556529137977249</v>
      </c>
      <c r="I1164">
        <v>14.789972290940359</v>
      </c>
      <c r="J1164">
        <v>13.986710123516636</v>
      </c>
      <c r="K1164">
        <v>13.28438359727001</v>
      </c>
      <c r="L1164">
        <v>13.900349838713455</v>
      </c>
      <c r="M1164">
        <v>13.878457232864612</v>
      </c>
      <c r="N1164">
        <v>14.757641637324365</v>
      </c>
      <c r="O1164">
        <v>15.220073662674086</v>
      </c>
      <c r="P1164">
        <v>13.710464843956299</v>
      </c>
      <c r="Q1164">
        <v>12.593055014002363</v>
      </c>
      <c r="R1164">
        <v>13.076538164617617</v>
      </c>
      <c r="S1164">
        <v>12.01435165877513</v>
      </c>
      <c r="T1164">
        <v>11.759366108652872</v>
      </c>
    </row>
    <row r="1165" spans="1:20" x14ac:dyDescent="0.25">
      <c r="A1165" s="6" t="s">
        <v>1183</v>
      </c>
      <c r="B1165">
        <v>15.609640474436812</v>
      </c>
      <c r="C1165">
        <v>14.869792371737484</v>
      </c>
      <c r="D1165">
        <v>15.198214228710349</v>
      </c>
      <c r="E1165">
        <v>15.383131944628133</v>
      </c>
      <c r="F1165">
        <v>15.661039626943458</v>
      </c>
      <c r="G1165">
        <v>14.958875915319911</v>
      </c>
      <c r="H1165">
        <v>15.024677973715658</v>
      </c>
      <c r="I1165">
        <v>14.695075950942874</v>
      </c>
      <c r="J1165">
        <v>15.019876987451834</v>
      </c>
      <c r="K1165">
        <v>14.563498692792091</v>
      </c>
      <c r="L1165">
        <v>15.231128851183083</v>
      </c>
      <c r="M1165">
        <v>0</v>
      </c>
      <c r="N1165">
        <v>0</v>
      </c>
      <c r="O1165">
        <v>15.176681067160706</v>
      </c>
      <c r="P1165">
        <v>15.553056946070447</v>
      </c>
      <c r="Q1165">
        <v>17.686681510200639</v>
      </c>
      <c r="R1165">
        <v>15.714337853103507</v>
      </c>
      <c r="S1165">
        <v>16.566996137028319</v>
      </c>
      <c r="T1165">
        <v>0</v>
      </c>
    </row>
    <row r="1166" spans="1:20" x14ac:dyDescent="0.25">
      <c r="A1166" s="5" t="s">
        <v>1184</v>
      </c>
      <c r="B1166">
        <v>12.917570423283173</v>
      </c>
      <c r="C1166">
        <v>12.738614979240101</v>
      </c>
      <c r="D1166">
        <v>12.646295828903817</v>
      </c>
      <c r="E1166">
        <v>12.511936984261085</v>
      </c>
      <c r="F1166">
        <v>13.010286970907249</v>
      </c>
      <c r="G1166">
        <v>12.884510111778093</v>
      </c>
      <c r="H1166">
        <v>13.414292876114592</v>
      </c>
      <c r="I1166">
        <v>12.54808026532884</v>
      </c>
      <c r="J1166">
        <v>12.636644610664629</v>
      </c>
      <c r="K1166">
        <v>12.863284707309695</v>
      </c>
      <c r="L1166">
        <v>12.664641513228203</v>
      </c>
      <c r="M1166">
        <v>13.089935036787338</v>
      </c>
      <c r="N1166">
        <v>12.451925711366028</v>
      </c>
      <c r="O1166">
        <v>12.670761915972802</v>
      </c>
      <c r="P1166">
        <v>13.67606783617579</v>
      </c>
      <c r="Q1166">
        <v>14.638786820096328</v>
      </c>
      <c r="R1166">
        <v>14.031909542946732</v>
      </c>
      <c r="S1166">
        <v>13.940613708927183</v>
      </c>
      <c r="T1166">
        <v>14.649870319225345</v>
      </c>
    </row>
    <row r="1167" spans="1:20" x14ac:dyDescent="0.25">
      <c r="A1167" s="6" t="s">
        <v>1185</v>
      </c>
      <c r="B1167">
        <v>10.796770071524575</v>
      </c>
      <c r="C1167">
        <v>10.857453872961726</v>
      </c>
      <c r="D1167">
        <v>10.829674290199971</v>
      </c>
      <c r="E1167">
        <v>11.126276113723463</v>
      </c>
      <c r="F1167">
        <v>10.643576911048116</v>
      </c>
      <c r="G1167">
        <v>10.767750358134991</v>
      </c>
      <c r="H1167">
        <v>10.630177550872482</v>
      </c>
      <c r="I1167">
        <v>10.799107397762125</v>
      </c>
      <c r="J1167">
        <v>11.407132636214129</v>
      </c>
      <c r="K1167">
        <v>10.608908041814844</v>
      </c>
      <c r="L1167">
        <v>11.108258656047655</v>
      </c>
      <c r="M1167">
        <v>11.437200964218727</v>
      </c>
      <c r="N1167">
        <v>11.573370135858411</v>
      </c>
      <c r="O1167">
        <v>11.688704108087165</v>
      </c>
      <c r="P1167">
        <v>11.080003779949163</v>
      </c>
      <c r="Q1167">
        <v>10.416615893635802</v>
      </c>
      <c r="R1167">
        <v>10.53607299192833</v>
      </c>
      <c r="S1167">
        <v>10.453448157015462</v>
      </c>
      <c r="T1167">
        <v>9.6798660431933943</v>
      </c>
    </row>
    <row r="1168" spans="1:20" x14ac:dyDescent="0.25">
      <c r="A1168" s="5" t="s">
        <v>1186</v>
      </c>
      <c r="B1168">
        <v>12.478701370073129</v>
      </c>
      <c r="C1168">
        <v>11.881545818159887</v>
      </c>
      <c r="D1168">
        <v>12.062925012417448</v>
      </c>
      <c r="E1168">
        <v>12.00432986714563</v>
      </c>
      <c r="F1168">
        <v>12.566663515110962</v>
      </c>
      <c r="G1168">
        <v>12.384296126565802</v>
      </c>
      <c r="H1168">
        <v>13.120804159707001</v>
      </c>
      <c r="I1168">
        <v>12.65360241357514</v>
      </c>
      <c r="J1168">
        <v>12.378208065988845</v>
      </c>
      <c r="K1168">
        <v>12.03869793918134</v>
      </c>
      <c r="L1168">
        <v>11.90064767347654</v>
      </c>
      <c r="M1168">
        <v>12.897176754499819</v>
      </c>
      <c r="N1168">
        <v>14.383131944628133</v>
      </c>
      <c r="O1168">
        <v>12.386279711479803</v>
      </c>
      <c r="P1168">
        <v>13.13096629638834</v>
      </c>
      <c r="Q1168">
        <v>14.116505552131308</v>
      </c>
      <c r="R1168">
        <v>13.537534673956392</v>
      </c>
      <c r="S1168">
        <v>13.240690577858601</v>
      </c>
      <c r="T1168">
        <v>14.171347622857667</v>
      </c>
    </row>
    <row r="1169" spans="1:20" x14ac:dyDescent="0.25">
      <c r="A1169" s="6" t="s">
        <v>1187</v>
      </c>
      <c r="B1169">
        <v>15.532397475504352</v>
      </c>
      <c r="C1169">
        <v>14.887174449965721</v>
      </c>
      <c r="D1169">
        <v>14.59171856643955</v>
      </c>
      <c r="E1169">
        <v>14.228357101933028</v>
      </c>
      <c r="F1169">
        <v>14.765656630388486</v>
      </c>
      <c r="G1169">
        <v>14.869792371737484</v>
      </c>
      <c r="H1169">
        <v>15.588160747026361</v>
      </c>
      <c r="I1169">
        <v>14.861179241432778</v>
      </c>
      <c r="J1169">
        <v>15.048925519962333</v>
      </c>
      <c r="K1169">
        <v>15.068621321303253</v>
      </c>
      <c r="L1169">
        <v>14.831431898038725</v>
      </c>
      <c r="M1169">
        <v>16.166033822961197</v>
      </c>
      <c r="N1169">
        <v>16.034328143749374</v>
      </c>
      <c r="O1169">
        <v>14.581071322240041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25">
      <c r="A1170" s="5" t="s">
        <v>1188</v>
      </c>
      <c r="B1170">
        <v>15.505303814622076</v>
      </c>
      <c r="C1170">
        <v>12.907614663941695</v>
      </c>
      <c r="D1170">
        <v>13.315387337992298</v>
      </c>
      <c r="E1170">
        <v>12.688880327331013</v>
      </c>
      <c r="F1170">
        <v>14.250681648604484</v>
      </c>
      <c r="G1170">
        <v>13.940613708927183</v>
      </c>
      <c r="H1170">
        <v>16.044043298582586</v>
      </c>
      <c r="I1170">
        <v>15.465594104820106</v>
      </c>
      <c r="J1170">
        <v>15.281953110260764</v>
      </c>
      <c r="K1170">
        <v>13.865479378866404</v>
      </c>
      <c r="L1170">
        <v>14.259143227352677</v>
      </c>
      <c r="M1170">
        <v>0</v>
      </c>
      <c r="N1170">
        <v>16.61542282703082</v>
      </c>
      <c r="O1170">
        <v>15.358678900903593</v>
      </c>
      <c r="P1170">
        <v>0</v>
      </c>
      <c r="Q1170">
        <v>0</v>
      </c>
      <c r="R1170">
        <v>0</v>
      </c>
      <c r="S1170">
        <v>16.842409437412936</v>
      </c>
      <c r="T1170">
        <v>0</v>
      </c>
    </row>
    <row r="1171" spans="1:20" x14ac:dyDescent="0.25">
      <c r="A1171" s="6" t="s">
        <v>1189</v>
      </c>
      <c r="B1171">
        <v>14.95428864582426</v>
      </c>
      <c r="C1171">
        <v>15.242269408788282</v>
      </c>
      <c r="D1171">
        <v>15.624140044131927</v>
      </c>
      <c r="E1171">
        <v>15.878457232864612</v>
      </c>
      <c r="F1171">
        <v>15.166033822961197</v>
      </c>
      <c r="G1171">
        <v>14.733860411368322</v>
      </c>
      <c r="H1171">
        <v>14.679849476718214</v>
      </c>
      <c r="I1171">
        <v>15.346606068603018</v>
      </c>
      <c r="J1171">
        <v>15.518787043985698</v>
      </c>
      <c r="K1171">
        <v>14.737796825927495</v>
      </c>
      <c r="L1171">
        <v>15.010322680738586</v>
      </c>
      <c r="M1171">
        <v>15.209102544853085</v>
      </c>
      <c r="N1171">
        <v>15.389310519557258</v>
      </c>
      <c r="O1171">
        <v>16.310982158872296</v>
      </c>
      <c r="P1171">
        <v>14.144972207433367</v>
      </c>
      <c r="Q1171">
        <v>13.303669953452426</v>
      </c>
      <c r="R1171">
        <v>13.82723190950944</v>
      </c>
      <c r="S1171">
        <v>13.577539631269786</v>
      </c>
      <c r="T1171">
        <v>13.282384258854169</v>
      </c>
    </row>
    <row r="1172" spans="1:20" x14ac:dyDescent="0.25">
      <c r="A1172" s="5" t="s">
        <v>1190</v>
      </c>
      <c r="B1172">
        <v>15.777763233245141</v>
      </c>
      <c r="C1172">
        <v>0</v>
      </c>
      <c r="D1172">
        <v>16.472136950686878</v>
      </c>
      <c r="E1172">
        <v>0</v>
      </c>
      <c r="F1172">
        <v>0</v>
      </c>
      <c r="G1172">
        <v>0</v>
      </c>
      <c r="H1172">
        <v>14.913646661326911</v>
      </c>
      <c r="I1172">
        <v>0</v>
      </c>
      <c r="J1172">
        <v>15.940613708927183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15.4397154729945</v>
      </c>
      <c r="Q1172">
        <v>14.293494732143458</v>
      </c>
      <c r="R1172">
        <v>14.83564414932564</v>
      </c>
      <c r="S1172">
        <v>14.741744010444156</v>
      </c>
      <c r="T1172">
        <v>13.339111532056094</v>
      </c>
    </row>
    <row r="1173" spans="1:20" x14ac:dyDescent="0.25">
      <c r="A1173" s="6" t="s">
        <v>1191</v>
      </c>
      <c r="B1173">
        <v>15.259143227352677</v>
      </c>
      <c r="C1173">
        <v>0</v>
      </c>
      <c r="D1173">
        <v>15.546137532130656</v>
      </c>
      <c r="E1173">
        <v>15.83564414932564</v>
      </c>
      <c r="F1173">
        <v>15.389310519557258</v>
      </c>
      <c r="G1173">
        <v>15.922579786096922</v>
      </c>
      <c r="H1173">
        <v>14.635111161952929</v>
      </c>
      <c r="I1173">
        <v>15.383131944628133</v>
      </c>
      <c r="J1173">
        <v>15.505303814622076</v>
      </c>
      <c r="K1173">
        <v>15.745702024012841</v>
      </c>
      <c r="L1173">
        <v>16.459080797861432</v>
      </c>
      <c r="M1173">
        <v>15.646166350461927</v>
      </c>
      <c r="N1173">
        <v>15.683641055880589</v>
      </c>
      <c r="O1173">
        <v>15.922579786096922</v>
      </c>
      <c r="P1173">
        <v>14.664782028629272</v>
      </c>
      <c r="Q1173">
        <v>14.113945311812744</v>
      </c>
      <c r="R1173">
        <v>14.4397154729945</v>
      </c>
      <c r="S1173">
        <v>14.512029677810389</v>
      </c>
      <c r="T1173">
        <v>12.872386370112483</v>
      </c>
    </row>
    <row r="1174" spans="1:20" x14ac:dyDescent="0.25">
      <c r="A1174" s="5" t="s">
        <v>1192</v>
      </c>
      <c r="B1174">
        <v>12.645685532246882</v>
      </c>
      <c r="C1174">
        <v>12.497032076658535</v>
      </c>
      <c r="D1174">
        <v>12.947799683131441</v>
      </c>
      <c r="E1174">
        <v>13.292046969813342</v>
      </c>
      <c r="F1174">
        <v>11.803558777170243</v>
      </c>
      <c r="G1174">
        <v>10.422042941247318</v>
      </c>
      <c r="H1174">
        <v>12.040228373166167</v>
      </c>
      <c r="I1174">
        <v>12.209334815592186</v>
      </c>
      <c r="J1174">
        <v>12.106361712947916</v>
      </c>
      <c r="K1174">
        <v>11.663859560870625</v>
      </c>
      <c r="L1174">
        <v>11.89424675375261</v>
      </c>
      <c r="M1174">
        <v>12.122353512734707</v>
      </c>
      <c r="N1174">
        <v>12.767727720581751</v>
      </c>
      <c r="O1174">
        <v>13.322759326648649</v>
      </c>
      <c r="P1174">
        <v>10.993618080660289</v>
      </c>
      <c r="Q1174">
        <v>10.167443393215869</v>
      </c>
      <c r="R1174">
        <v>10.150531858913206</v>
      </c>
      <c r="S1174">
        <v>8.6358145554545942</v>
      </c>
      <c r="T1174">
        <v>9.9108552551019731</v>
      </c>
    </row>
    <row r="1175" spans="1:20" x14ac:dyDescent="0.25">
      <c r="A1175" s="6" t="s">
        <v>1193</v>
      </c>
      <c r="B1175">
        <v>15.745702024012841</v>
      </c>
      <c r="C1175">
        <v>16.322759326648651</v>
      </c>
      <c r="D1175">
        <v>17.005569150767954</v>
      </c>
      <c r="E1175">
        <v>0</v>
      </c>
      <c r="F1175">
        <v>14.802285552379209</v>
      </c>
      <c r="G1175">
        <v>13.328684160605755</v>
      </c>
      <c r="H1175">
        <v>15.247872115017659</v>
      </c>
      <c r="I1175">
        <v>14.532397475504352</v>
      </c>
      <c r="J1175">
        <v>15.029494990013431</v>
      </c>
      <c r="K1175">
        <v>14.88280925740432</v>
      </c>
      <c r="L1175">
        <v>14.958875915319911</v>
      </c>
      <c r="M1175">
        <v>15.420606650046794</v>
      </c>
      <c r="N1175">
        <v>15.346606068603018</v>
      </c>
      <c r="O1175">
        <v>16.005569150767954</v>
      </c>
      <c r="P1175">
        <v>13.575777022570529</v>
      </c>
      <c r="Q1175">
        <v>12.631518079864742</v>
      </c>
      <c r="R1175">
        <v>13.212001775630183</v>
      </c>
      <c r="S1175">
        <v>11.632617052856121</v>
      </c>
      <c r="T1175">
        <v>12.105204402865393</v>
      </c>
    </row>
    <row r="1176" spans="1:20" x14ac:dyDescent="0.25">
      <c r="A1176" s="5" t="s">
        <v>1194</v>
      </c>
      <c r="B1176">
        <v>14.729934708154525</v>
      </c>
      <c r="C1176">
        <v>14.887174449965721</v>
      </c>
      <c r="D1176">
        <v>15.044043298582586</v>
      </c>
      <c r="E1176">
        <v>0</v>
      </c>
      <c r="F1176">
        <v>13.73189622448781</v>
      </c>
      <c r="G1176">
        <v>12.20115957177738</v>
      </c>
      <c r="H1176">
        <v>13.891552890476294</v>
      </c>
      <c r="I1176">
        <v>13.534107843269455</v>
      </c>
      <c r="J1176">
        <v>13.759641214970715</v>
      </c>
      <c r="K1176">
        <v>13.409575612922502</v>
      </c>
      <c r="L1176">
        <v>14.051372840381076</v>
      </c>
      <c r="M1176">
        <v>13.942883882552009</v>
      </c>
      <c r="N1176">
        <v>14.000831231761289</v>
      </c>
      <c r="O1176">
        <v>15.401747622795478</v>
      </c>
      <c r="P1176">
        <v>12.592974792226812</v>
      </c>
      <c r="Q1176">
        <v>11.726542681026444</v>
      </c>
      <c r="R1176">
        <v>12.074060258619431</v>
      </c>
      <c r="S1176">
        <v>11.001369386418173</v>
      </c>
      <c r="T1176">
        <v>11.377597599680147</v>
      </c>
    </row>
    <row r="1177" spans="1:20" x14ac:dyDescent="0.25">
      <c r="A1177" s="6" t="s">
        <v>1195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15.802285552379209</v>
      </c>
      <c r="J1177">
        <v>0</v>
      </c>
      <c r="K1177">
        <v>0</v>
      </c>
      <c r="L1177">
        <v>0</v>
      </c>
      <c r="M1177">
        <v>15.861179241432778</v>
      </c>
      <c r="N1177">
        <v>15.305129432626858</v>
      </c>
      <c r="O1177">
        <v>16.92796633264398</v>
      </c>
      <c r="P1177">
        <v>0</v>
      </c>
      <c r="Q1177">
        <v>15.119070343990609</v>
      </c>
      <c r="R1177">
        <v>15.624140044131927</v>
      </c>
      <c r="S1177">
        <v>15.281953110260764</v>
      </c>
      <c r="T1177">
        <v>15.498609162048069</v>
      </c>
    </row>
    <row r="1178" spans="1:20" x14ac:dyDescent="0.25">
      <c r="A1178" s="5" t="s">
        <v>1196</v>
      </c>
      <c r="B1178">
        <v>11.906235183880209</v>
      </c>
      <c r="C1178">
        <v>11.435138177721264</v>
      </c>
      <c r="D1178">
        <v>11.908390854916103</v>
      </c>
      <c r="E1178">
        <v>11.706717933166633</v>
      </c>
      <c r="F1178">
        <v>12.748915994134585</v>
      </c>
      <c r="G1178">
        <v>11.7763303681478</v>
      </c>
      <c r="H1178">
        <v>12.060636747780169</v>
      </c>
      <c r="I1178">
        <v>12.329107235068422</v>
      </c>
      <c r="J1178">
        <v>12.510252684706764</v>
      </c>
      <c r="K1178">
        <v>11.846829262494257</v>
      </c>
      <c r="L1178">
        <v>11.956792633969279</v>
      </c>
      <c r="M1178">
        <v>11.965368848310277</v>
      </c>
      <c r="N1178">
        <v>12.626245510008845</v>
      </c>
      <c r="O1178">
        <v>12.155306630586741</v>
      </c>
      <c r="P1178">
        <v>12.746564331586146</v>
      </c>
      <c r="Q1178">
        <v>12.572820679239117</v>
      </c>
      <c r="R1178">
        <v>12.592609393908971</v>
      </c>
      <c r="S1178">
        <v>12.507234290864421</v>
      </c>
      <c r="T1178">
        <v>11.860149112834288</v>
      </c>
    </row>
    <row r="1179" spans="1:20" x14ac:dyDescent="0.25">
      <c r="A1179" s="6" t="s">
        <v>1197</v>
      </c>
      <c r="B1179">
        <v>12.682398216038253</v>
      </c>
      <c r="C1179">
        <v>12.857191583750007</v>
      </c>
      <c r="D1179">
        <v>12.230532475552645</v>
      </c>
      <c r="E1179">
        <v>12.290925952442514</v>
      </c>
      <c r="F1179">
        <v>12.511886426653378</v>
      </c>
      <c r="G1179">
        <v>13.130202941701407</v>
      </c>
      <c r="H1179">
        <v>13.266460089973528</v>
      </c>
      <c r="I1179">
        <v>12.705166010591201</v>
      </c>
      <c r="J1179">
        <v>12.716501578303662</v>
      </c>
      <c r="K1179">
        <v>12.647970847308674</v>
      </c>
      <c r="L1179">
        <v>12.619656811110563</v>
      </c>
      <c r="M1179">
        <v>13.535820241145142</v>
      </c>
      <c r="N1179">
        <v>13.052720638300647</v>
      </c>
      <c r="O1179">
        <v>12.677125696725593</v>
      </c>
      <c r="P1179">
        <v>13.633276838704052</v>
      </c>
      <c r="Q1179">
        <v>14.560009706712211</v>
      </c>
      <c r="R1179">
        <v>14.430129424165303</v>
      </c>
      <c r="S1179">
        <v>15.340607327981576</v>
      </c>
      <c r="T1179">
        <v>14.869792371737484</v>
      </c>
    </row>
    <row r="1180" spans="1:20" x14ac:dyDescent="0.25">
      <c r="A1180" s="5" t="s">
        <v>1198</v>
      </c>
      <c r="B1180">
        <v>8.4229869039931433</v>
      </c>
      <c r="C1180">
        <v>7.9508937939720443</v>
      </c>
      <c r="D1180">
        <v>8.561072408560678</v>
      </c>
      <c r="E1180">
        <v>7.9705382145878385</v>
      </c>
      <c r="F1180">
        <v>7.3171791807889299</v>
      </c>
      <c r="G1180">
        <v>8.0574136662814215</v>
      </c>
      <c r="H1180">
        <v>8.0657259021119696</v>
      </c>
      <c r="I1180">
        <v>7.7445360649574324</v>
      </c>
      <c r="J1180">
        <v>7.8422832892279661</v>
      </c>
      <c r="K1180">
        <v>8.5846017104961909</v>
      </c>
      <c r="L1180">
        <v>8.4714157834432235</v>
      </c>
      <c r="M1180">
        <v>8.4674236232825439</v>
      </c>
      <c r="N1180">
        <v>8.5273673985830456</v>
      </c>
      <c r="O1180">
        <v>7.8835763016359142</v>
      </c>
      <c r="P1180">
        <v>8.9222885882272145</v>
      </c>
      <c r="Q1180">
        <v>8.8482614449030752</v>
      </c>
      <c r="R1180">
        <v>8.8303183664708929</v>
      </c>
      <c r="S1180">
        <v>7.9715430995019068</v>
      </c>
      <c r="T1180">
        <v>8.7051876874520051</v>
      </c>
    </row>
    <row r="1181" spans="1:20" x14ac:dyDescent="0.25">
      <c r="A1181" s="6" t="s">
        <v>1199</v>
      </c>
      <c r="B1181">
        <v>6.1911675653585387</v>
      </c>
      <c r="C1181">
        <v>6.0882019789596136</v>
      </c>
      <c r="D1181">
        <v>6.3582351121801013</v>
      </c>
      <c r="E1181">
        <v>6.2959670889372763</v>
      </c>
      <c r="F1181">
        <v>6.3174166352829015</v>
      </c>
      <c r="G1181">
        <v>6.1680813654015232</v>
      </c>
      <c r="H1181">
        <v>6.1141297772182366</v>
      </c>
      <c r="I1181">
        <v>6.118205820346053</v>
      </c>
      <c r="J1181">
        <v>6.0005372904206551</v>
      </c>
      <c r="K1181">
        <v>6.5691863530871881</v>
      </c>
      <c r="L1181">
        <v>6.2573423090703342</v>
      </c>
      <c r="M1181">
        <v>6.1117240868073077</v>
      </c>
      <c r="N1181">
        <v>5.6679985209299888</v>
      </c>
      <c r="O1181">
        <v>6.1314535100113492</v>
      </c>
      <c r="P1181">
        <v>6.7297327315115156</v>
      </c>
      <c r="Q1181">
        <v>6.6708967078101749</v>
      </c>
      <c r="R1181">
        <v>6.280734016499907</v>
      </c>
      <c r="S1181">
        <v>6.6392329870860882</v>
      </c>
      <c r="T1181">
        <v>6.7851068109843773</v>
      </c>
    </row>
    <row r="1182" spans="1:20" x14ac:dyDescent="0.25">
      <c r="A1182" s="5" t="s">
        <v>1200</v>
      </c>
      <c r="B1182">
        <v>16.485312339434611</v>
      </c>
      <c r="C1182">
        <v>0</v>
      </c>
      <c r="D1182">
        <v>0</v>
      </c>
      <c r="E1182">
        <v>0</v>
      </c>
      <c r="F1182">
        <v>15.777763233245141</v>
      </c>
      <c r="G1182">
        <v>0</v>
      </c>
      <c r="H1182">
        <v>16.083571662769224</v>
      </c>
      <c r="I1182">
        <v>16.810553168362809</v>
      </c>
      <c r="J1182">
        <v>0</v>
      </c>
      <c r="K1182">
        <v>16.459080797861432</v>
      </c>
      <c r="L1182">
        <v>17.020835907421262</v>
      </c>
      <c r="M1182">
        <v>0</v>
      </c>
      <c r="N1182">
        <v>0</v>
      </c>
      <c r="O1182">
        <v>0</v>
      </c>
      <c r="P1182">
        <v>15.624140044131927</v>
      </c>
      <c r="Q1182">
        <v>14.982033636307161</v>
      </c>
      <c r="R1182">
        <v>15.602444973032609</v>
      </c>
      <c r="S1182">
        <v>16.015091924886459</v>
      </c>
      <c r="T1182">
        <v>15.553056946070447</v>
      </c>
    </row>
    <row r="1183" spans="1:20" x14ac:dyDescent="0.25">
      <c r="A1183" s="6" t="s">
        <v>1201</v>
      </c>
      <c r="B1183">
        <v>12.09036906908524</v>
      </c>
      <c r="C1183">
        <v>11.997636010331933</v>
      </c>
      <c r="D1183">
        <v>12.031776637465317</v>
      </c>
      <c r="E1183">
        <v>11.895757737132413</v>
      </c>
      <c r="F1183">
        <v>11.321610506106051</v>
      </c>
      <c r="G1183">
        <v>11.659643392766366</v>
      </c>
      <c r="H1183">
        <v>11.452447165218985</v>
      </c>
      <c r="I1183">
        <v>12.007070761919708</v>
      </c>
      <c r="J1183">
        <v>12.106845260205191</v>
      </c>
      <c r="K1183">
        <v>11.625278983988101</v>
      </c>
      <c r="L1183">
        <v>11.671533501238926</v>
      </c>
      <c r="M1183">
        <v>11.927735870625858</v>
      </c>
      <c r="N1183">
        <v>11.862553891408993</v>
      </c>
      <c r="O1183">
        <v>12.457635577624087</v>
      </c>
      <c r="P1183">
        <v>11.7470700619605</v>
      </c>
      <c r="Q1183">
        <v>11.166862815135296</v>
      </c>
      <c r="R1183">
        <v>11.72801011218969</v>
      </c>
      <c r="S1183">
        <v>10.932732775364737</v>
      </c>
      <c r="T1183">
        <v>11.084589547565271</v>
      </c>
    </row>
    <row r="1184" spans="1:20" x14ac:dyDescent="0.25">
      <c r="A1184" s="5" t="s">
        <v>1202</v>
      </c>
      <c r="B1184">
        <v>13.381591426552351</v>
      </c>
      <c r="C1184">
        <v>13.30075541702505</v>
      </c>
      <c r="D1184">
        <v>13.292046969813342</v>
      </c>
      <c r="E1184">
        <v>13.535820241145142</v>
      </c>
      <c r="F1184">
        <v>13.477063631766804</v>
      </c>
      <c r="G1184">
        <v>13.478709604610362</v>
      </c>
      <c r="H1184">
        <v>13.852617227929352</v>
      </c>
      <c r="I1184">
        <v>13.430129424165303</v>
      </c>
      <c r="J1184">
        <v>13.428537923683015</v>
      </c>
      <c r="K1184">
        <v>13.321281912243151</v>
      </c>
      <c r="L1184">
        <v>13.389310519557256</v>
      </c>
      <c r="M1184">
        <v>13.510345270099036</v>
      </c>
      <c r="N1184">
        <v>12.654588108765337</v>
      </c>
      <c r="O1184">
        <v>13.572258252433731</v>
      </c>
      <c r="P1184">
        <v>13.229700735285228</v>
      </c>
      <c r="Q1184">
        <v>13.75365077712833</v>
      </c>
      <c r="R1184">
        <v>13.679849476718214</v>
      </c>
      <c r="S1184">
        <v>13.816785122074323</v>
      </c>
      <c r="T1184">
        <v>13.441319358697088</v>
      </c>
    </row>
    <row r="1185" spans="1:20" x14ac:dyDescent="0.25">
      <c r="A1185" s="6" t="s">
        <v>1203</v>
      </c>
      <c r="B1185">
        <v>16.322759326648651</v>
      </c>
      <c r="C1185">
        <v>17.030460326309662</v>
      </c>
      <c r="D1185">
        <v>16.59528518145974</v>
      </c>
      <c r="E1185">
        <v>16.073587574196605</v>
      </c>
      <c r="F1185">
        <v>15.922579786096922</v>
      </c>
      <c r="G1185">
        <v>0</v>
      </c>
      <c r="H1185">
        <v>16.485312339434611</v>
      </c>
      <c r="I1185">
        <v>16.655071903683819</v>
      </c>
      <c r="J1185">
        <v>16.894186347321096</v>
      </c>
      <c r="K1185">
        <v>16.299300353824663</v>
      </c>
      <c r="L1185">
        <v>16.982967721830818</v>
      </c>
      <c r="M1185">
        <v>16.06367210533152</v>
      </c>
      <c r="N1185">
        <v>16.472136950686878</v>
      </c>
      <c r="O1185">
        <v>15.895944659593452</v>
      </c>
      <c r="P1185">
        <v>16.485312339434611</v>
      </c>
      <c r="Q1185">
        <v>16.992341991595964</v>
      </c>
      <c r="R1185">
        <v>17.358678900903595</v>
      </c>
      <c r="S1185">
        <v>0</v>
      </c>
      <c r="T1185">
        <v>16.734646835503845</v>
      </c>
    </row>
    <row r="1186" spans="1:20" x14ac:dyDescent="0.25">
      <c r="A1186" s="5" t="s">
        <v>1204</v>
      </c>
      <c r="B1186">
        <v>14.012705332049579</v>
      </c>
      <c r="C1186">
        <v>12.853962378319853</v>
      </c>
      <c r="D1186">
        <v>13.14779763655274</v>
      </c>
      <c r="E1186">
        <v>13.059724920814858</v>
      </c>
      <c r="F1186">
        <v>13.933824543264544</v>
      </c>
      <c r="G1186">
        <v>13.403309826565764</v>
      </c>
      <c r="H1186">
        <v>13.991401818841355</v>
      </c>
      <c r="I1186">
        <v>13.802285552379209</v>
      </c>
      <c r="J1186">
        <v>13.998468094392807</v>
      </c>
      <c r="K1186">
        <v>13.118993333855229</v>
      </c>
      <c r="L1186">
        <v>13.265507933239483</v>
      </c>
      <c r="M1186">
        <v>14.27335708657238</v>
      </c>
      <c r="N1186">
        <v>13.390859306652745</v>
      </c>
      <c r="O1186">
        <v>13.584611679945288</v>
      </c>
      <c r="P1186">
        <v>14.264811977439372</v>
      </c>
      <c r="Q1186">
        <v>14.518787043985698</v>
      </c>
      <c r="R1186">
        <v>0</v>
      </c>
      <c r="S1186">
        <v>0</v>
      </c>
      <c r="T1186">
        <v>0</v>
      </c>
    </row>
    <row r="1187" spans="1:20" x14ac:dyDescent="0.25">
      <c r="A1187" s="6" t="s">
        <v>1205</v>
      </c>
      <c r="B1187">
        <v>13.398628280951302</v>
      </c>
      <c r="C1187">
        <v>12.778472597589584</v>
      </c>
      <c r="D1187">
        <v>13.128664521907295</v>
      </c>
      <c r="E1187">
        <v>13.051434076614489</v>
      </c>
      <c r="F1187">
        <v>13.468861818654016</v>
      </c>
      <c r="G1187">
        <v>12.828784480562609</v>
      </c>
      <c r="H1187">
        <v>13.498609162048069</v>
      </c>
      <c r="I1187">
        <v>12.882798360957246</v>
      </c>
      <c r="J1187">
        <v>12.987623807369076</v>
      </c>
      <c r="K1187">
        <v>12.858958942835287</v>
      </c>
      <c r="L1187">
        <v>13.043860536294369</v>
      </c>
      <c r="M1187">
        <v>13.884990202703845</v>
      </c>
      <c r="N1187">
        <v>13.100400692476946</v>
      </c>
      <c r="O1187">
        <v>13.089557723509508</v>
      </c>
      <c r="P1187">
        <v>13.984369985062118</v>
      </c>
      <c r="Q1187">
        <v>14.245068042140955</v>
      </c>
      <c r="R1187">
        <v>14.59886063568357</v>
      </c>
      <c r="S1187">
        <v>14.000831231761289</v>
      </c>
      <c r="T1187">
        <v>0</v>
      </c>
    </row>
    <row r="1188" spans="1:20" x14ac:dyDescent="0.25">
      <c r="A1188" s="5" t="s">
        <v>1206</v>
      </c>
      <c r="B1188">
        <v>15.922579786096922</v>
      </c>
      <c r="C1188">
        <v>15.005569150767952</v>
      </c>
      <c r="D1188">
        <v>15.653583822024411</v>
      </c>
      <c r="E1188">
        <v>16.044043298582586</v>
      </c>
      <c r="F1188">
        <v>0</v>
      </c>
      <c r="G1188">
        <v>0</v>
      </c>
      <c r="H1188">
        <v>15.661039626943458</v>
      </c>
      <c r="I1188">
        <v>14.839868735187364</v>
      </c>
      <c r="J1188">
        <v>0</v>
      </c>
      <c r="K1188">
        <v>15.745702024012841</v>
      </c>
      <c r="L1188">
        <v>15.113945311812744</v>
      </c>
      <c r="M1188">
        <v>0</v>
      </c>
      <c r="N1188">
        <v>15.491945431767057</v>
      </c>
      <c r="O1188">
        <v>0</v>
      </c>
      <c r="P1188">
        <v>15.810553168362809</v>
      </c>
      <c r="Q1188">
        <v>16.073587574196605</v>
      </c>
      <c r="R1188">
        <v>15.878457232864612</v>
      </c>
      <c r="S1188">
        <v>15.61687204366789</v>
      </c>
      <c r="T1188">
        <v>15.539251146545414</v>
      </c>
    </row>
    <row r="1189" spans="1:20" x14ac:dyDescent="0.25">
      <c r="A1189" s="6" t="s">
        <v>1207</v>
      </c>
      <c r="B1189">
        <v>13.720166931905704</v>
      </c>
      <c r="C1189">
        <v>13.045250110698939</v>
      </c>
      <c r="D1189">
        <v>13.199489353461619</v>
      </c>
      <c r="E1189">
        <v>13.095669752557015</v>
      </c>
      <c r="F1189">
        <v>14.200928613407385</v>
      </c>
      <c r="G1189">
        <v>13.62050146706858</v>
      </c>
      <c r="H1189">
        <v>13.528982811091586</v>
      </c>
      <c r="I1189">
        <v>12.975488677810267</v>
      </c>
      <c r="J1189">
        <v>14.465594104820106</v>
      </c>
      <c r="K1189">
        <v>13.518787043985698</v>
      </c>
      <c r="L1189">
        <v>13.282125554236613</v>
      </c>
      <c r="M1189">
        <v>13.724066110065387</v>
      </c>
      <c r="N1189">
        <v>14.426948176920622</v>
      </c>
      <c r="O1189">
        <v>13.785891114128539</v>
      </c>
      <c r="P1189">
        <v>14.160739523291683</v>
      </c>
      <c r="Q1189">
        <v>13.977372258937299</v>
      </c>
      <c r="R1189">
        <v>13.670413896708604</v>
      </c>
      <c r="S1189">
        <v>13.593500771781558</v>
      </c>
      <c r="T1189">
        <v>13.893747103889208</v>
      </c>
    </row>
    <row r="1190" spans="1:20" x14ac:dyDescent="0.25">
      <c r="A1190" s="5" t="s">
        <v>1208</v>
      </c>
      <c r="B1190">
        <v>10.783053854741278</v>
      </c>
      <c r="C1190">
        <v>10.866472919536889</v>
      </c>
      <c r="D1190">
        <v>11.221754114224021</v>
      </c>
      <c r="E1190">
        <v>10.804035881467865</v>
      </c>
      <c r="F1190">
        <v>10.903187280275125</v>
      </c>
      <c r="G1190">
        <v>11.541348012435799</v>
      </c>
      <c r="H1190">
        <v>11.162180295220224</v>
      </c>
      <c r="I1190">
        <v>10.713569686799056</v>
      </c>
      <c r="J1190">
        <v>11.112117521640359</v>
      </c>
      <c r="K1190">
        <v>11.098678555159433</v>
      </c>
      <c r="L1190">
        <v>11.309784075998991</v>
      </c>
      <c r="M1190">
        <v>11.168339600821165</v>
      </c>
      <c r="N1190">
        <v>11.76346812737737</v>
      </c>
      <c r="O1190">
        <v>11.262155520628708</v>
      </c>
      <c r="P1190">
        <v>11.164857471937337</v>
      </c>
      <c r="Q1190">
        <v>11.586775572149342</v>
      </c>
      <c r="R1190">
        <v>11.359190451224515</v>
      </c>
      <c r="S1190">
        <v>12.05575779526102</v>
      </c>
      <c r="T1190">
        <v>11.424673912457925</v>
      </c>
    </row>
    <row r="1191" spans="1:20" x14ac:dyDescent="0.25">
      <c r="A1191" s="6" t="s">
        <v>1209</v>
      </c>
      <c r="B1191">
        <v>12.091829382426209</v>
      </c>
      <c r="C1191">
        <v>11.532786406031173</v>
      </c>
      <c r="D1191">
        <v>11.584093359921093</v>
      </c>
      <c r="E1191">
        <v>11.458508220055405</v>
      </c>
      <c r="F1191">
        <v>12.374081892009514</v>
      </c>
      <c r="G1191">
        <v>12.17881328887913</v>
      </c>
      <c r="H1191">
        <v>11.985445977327585</v>
      </c>
      <c r="I1191">
        <v>11.808161025128214</v>
      </c>
      <c r="J1191">
        <v>12.139448543842631</v>
      </c>
      <c r="K1191">
        <v>11.812726101429925</v>
      </c>
      <c r="L1191">
        <v>11.565276958025017</v>
      </c>
      <c r="M1191">
        <v>12.317793835699392</v>
      </c>
      <c r="N1191">
        <v>12.808885498247847</v>
      </c>
      <c r="O1191">
        <v>12.314042332163694</v>
      </c>
      <c r="P1191">
        <v>12.740084877386588</v>
      </c>
      <c r="Q1191">
        <v>12.396837708671674</v>
      </c>
      <c r="R1191">
        <v>12.677031213347743</v>
      </c>
      <c r="S1191">
        <v>12.7085322314223</v>
      </c>
      <c r="T1191">
        <v>12.531662640324932</v>
      </c>
    </row>
    <row r="1192" spans="1:20" x14ac:dyDescent="0.25">
      <c r="A1192" s="5" t="s">
        <v>1210</v>
      </c>
      <c r="B1192">
        <v>10.432163130136004</v>
      </c>
      <c r="C1192">
        <v>10.674532013777025</v>
      </c>
      <c r="D1192">
        <v>10.310641318449667</v>
      </c>
      <c r="E1192">
        <v>10.609336188043201</v>
      </c>
      <c r="F1192">
        <v>10.143127547802914</v>
      </c>
      <c r="G1192">
        <v>10.375219629439997</v>
      </c>
      <c r="H1192">
        <v>10.626459874721959</v>
      </c>
      <c r="I1192">
        <v>10.470869002025397</v>
      </c>
      <c r="J1192">
        <v>10.213604321328587</v>
      </c>
      <c r="K1192">
        <v>10.259836453258545</v>
      </c>
      <c r="L1192">
        <v>10.104885034303043</v>
      </c>
      <c r="M1192">
        <v>10.708730205168052</v>
      </c>
      <c r="N1192">
        <v>10.055925178110073</v>
      </c>
      <c r="O1192">
        <v>10.38838784587125</v>
      </c>
      <c r="P1192">
        <v>9.990346323798402</v>
      </c>
      <c r="Q1192">
        <v>10.333752504368043</v>
      </c>
      <c r="R1192">
        <v>9.9589663737564607</v>
      </c>
      <c r="S1192">
        <v>9.6136133510117361</v>
      </c>
      <c r="T1192">
        <v>10.00222582098087</v>
      </c>
    </row>
    <row r="1193" spans="1:20" x14ac:dyDescent="0.25">
      <c r="A1193" s="6" t="s">
        <v>1211</v>
      </c>
      <c r="B1193">
        <v>11.139855412220232</v>
      </c>
      <c r="C1193">
        <v>11.091077010568274</v>
      </c>
      <c r="D1193">
        <v>10.938862442214651</v>
      </c>
      <c r="E1193">
        <v>10.883602194790756</v>
      </c>
      <c r="F1193">
        <v>11.116845125116228</v>
      </c>
      <c r="G1193">
        <v>11.409622709285589</v>
      </c>
      <c r="H1193">
        <v>11.147087488574952</v>
      </c>
      <c r="I1193">
        <v>11.189842055991576</v>
      </c>
      <c r="J1193">
        <v>11.328943928468437</v>
      </c>
      <c r="K1193">
        <v>11.060602852006234</v>
      </c>
      <c r="L1193">
        <v>11.122337432064224</v>
      </c>
      <c r="M1193">
        <v>11.259079580446016</v>
      </c>
      <c r="N1193">
        <v>11.496356710316689</v>
      </c>
      <c r="O1193">
        <v>11.347440367861404</v>
      </c>
      <c r="P1193">
        <v>11.542746183373842</v>
      </c>
      <c r="Q1193">
        <v>11.319971972989096</v>
      </c>
      <c r="R1193">
        <v>11.282377071988334</v>
      </c>
      <c r="S1193">
        <v>11.590143149012572</v>
      </c>
      <c r="T1193">
        <v>11.553139313823683</v>
      </c>
    </row>
    <row r="1194" spans="1:20" x14ac:dyDescent="0.25">
      <c r="A1194" s="5" t="s">
        <v>1212</v>
      </c>
      <c r="B1194">
        <v>8.9975099118092263</v>
      </c>
      <c r="C1194">
        <v>8.2765146493500819</v>
      </c>
      <c r="D1194">
        <v>8.352120626472594</v>
      </c>
      <c r="E1194">
        <v>8.1064929227435396</v>
      </c>
      <c r="F1194">
        <v>8.9550373812584212</v>
      </c>
      <c r="G1194">
        <v>8.4525310600855939</v>
      </c>
      <c r="H1194">
        <v>8.7626952901048369</v>
      </c>
      <c r="I1194">
        <v>8.4580495096227377</v>
      </c>
      <c r="J1194">
        <v>8.8169536284945949</v>
      </c>
      <c r="K1194">
        <v>8.3212588396436029</v>
      </c>
      <c r="L1194">
        <v>8.3235619196310591</v>
      </c>
      <c r="M1194">
        <v>9.2511290448301384</v>
      </c>
      <c r="N1194">
        <v>9.2026991064018802</v>
      </c>
      <c r="O1194">
        <v>8.5137202728509962</v>
      </c>
      <c r="P1194">
        <v>8.8252575500071693</v>
      </c>
      <c r="Q1194">
        <v>8.8461405933724979</v>
      </c>
      <c r="R1194">
        <v>8.3537701452392294</v>
      </c>
      <c r="S1194">
        <v>8.8610417142810505</v>
      </c>
      <c r="T1194">
        <v>8.9056884660004698</v>
      </c>
    </row>
    <row r="1195" spans="1:20" x14ac:dyDescent="0.25">
      <c r="A1195" s="6" t="s">
        <v>1213</v>
      </c>
      <c r="B1195">
        <v>0</v>
      </c>
      <c r="C1195">
        <v>0</v>
      </c>
      <c r="D1195">
        <v>0</v>
      </c>
      <c r="E1195">
        <v>0</v>
      </c>
      <c r="F1195">
        <v>13.800226030200914</v>
      </c>
      <c r="G1195">
        <v>0</v>
      </c>
      <c r="H1195">
        <v>15.203648114760977</v>
      </c>
      <c r="I1195">
        <v>12.943292893449772</v>
      </c>
      <c r="J1195">
        <v>12.937713089622076</v>
      </c>
      <c r="K1195">
        <v>15.376979717646538</v>
      </c>
      <c r="L1195">
        <v>15.691254239990466</v>
      </c>
      <c r="M1195">
        <v>15.6989078125339</v>
      </c>
      <c r="N1195">
        <v>13.850484640636539</v>
      </c>
      <c r="O1195">
        <v>14.777763233245141</v>
      </c>
      <c r="P1195">
        <v>12.832073472141893</v>
      </c>
      <c r="Q1195">
        <v>10.898911170171287</v>
      </c>
      <c r="R1195">
        <v>10.297376468268574</v>
      </c>
      <c r="S1195">
        <v>12.562224234836663</v>
      </c>
      <c r="T1195">
        <v>11.100628776538166</v>
      </c>
    </row>
    <row r="1196" spans="1:20" x14ac:dyDescent="0.25">
      <c r="A1196" s="5" t="s">
        <v>1214</v>
      </c>
      <c r="B1196">
        <v>11.545921834284563</v>
      </c>
      <c r="C1196">
        <v>12.064308365430044</v>
      </c>
      <c r="D1196">
        <v>12.114073215978872</v>
      </c>
      <c r="E1196">
        <v>11.818566169425498</v>
      </c>
      <c r="F1196">
        <v>11.485767389559525</v>
      </c>
      <c r="G1196">
        <v>11.937299999375599</v>
      </c>
      <c r="H1196">
        <v>11.988872272405432</v>
      </c>
      <c r="I1196">
        <v>11.72863177467352</v>
      </c>
      <c r="J1196">
        <v>11.421615465491934</v>
      </c>
      <c r="K1196">
        <v>11.850053175256795</v>
      </c>
      <c r="L1196">
        <v>11.90707157862594</v>
      </c>
      <c r="M1196">
        <v>11.765214646693121</v>
      </c>
      <c r="N1196">
        <v>11.69597552400767</v>
      </c>
      <c r="O1196">
        <v>11.616464304326575</v>
      </c>
      <c r="P1196">
        <v>11.141686111452941</v>
      </c>
      <c r="Q1196">
        <v>11.259786926074202</v>
      </c>
      <c r="R1196">
        <v>10.845997853541352</v>
      </c>
      <c r="S1196">
        <v>11.650412822625801</v>
      </c>
      <c r="T1196">
        <v>11.24352462405837</v>
      </c>
    </row>
    <row r="1197" spans="1:20" x14ac:dyDescent="0.25">
      <c r="A1197" s="6" t="s">
        <v>1215</v>
      </c>
      <c r="B1197">
        <v>8.2512604773548084</v>
      </c>
      <c r="C1197">
        <v>8.8728766462634159</v>
      </c>
      <c r="D1197">
        <v>8.6184066292394785</v>
      </c>
      <c r="E1197">
        <v>8.5281852647087018</v>
      </c>
      <c r="F1197">
        <v>8.4818215050687389</v>
      </c>
      <c r="G1197">
        <v>8.8124173351132953</v>
      </c>
      <c r="H1197">
        <v>8.8278001612144426</v>
      </c>
      <c r="I1197">
        <v>8.6856296907965866</v>
      </c>
      <c r="J1197">
        <v>8.3987431869950164</v>
      </c>
      <c r="K1197">
        <v>8.4380213014524319</v>
      </c>
      <c r="L1197">
        <v>8.7274413054718067</v>
      </c>
      <c r="M1197">
        <v>8.6509369726304257</v>
      </c>
      <c r="N1197">
        <v>8.5067005286186781</v>
      </c>
      <c r="O1197">
        <v>8.4394294670166055</v>
      </c>
      <c r="P1197">
        <v>8.5847922496691869</v>
      </c>
      <c r="Q1197">
        <v>9.2978022633756829</v>
      </c>
      <c r="R1197">
        <v>8.9078453985312169</v>
      </c>
      <c r="S1197">
        <v>9.3490342053926927</v>
      </c>
      <c r="T1197">
        <v>9.1635521827005473</v>
      </c>
    </row>
    <row r="1198" spans="1:20" x14ac:dyDescent="0.25">
      <c r="A1198" s="5" t="s">
        <v>1216</v>
      </c>
      <c r="B1198">
        <v>13.000180983017421</v>
      </c>
      <c r="C1198">
        <v>13.082645229100399</v>
      </c>
      <c r="D1198">
        <v>13.102403995663543</v>
      </c>
      <c r="E1198">
        <v>12.916220426085113</v>
      </c>
      <c r="F1198">
        <v>12.608694016338836</v>
      </c>
      <c r="G1198">
        <v>12.803038010987146</v>
      </c>
      <c r="H1198">
        <v>12.864091183821225</v>
      </c>
      <c r="I1198">
        <v>12.527542540528364</v>
      </c>
      <c r="J1198">
        <v>12.366466490963861</v>
      </c>
      <c r="K1198">
        <v>13.277634369612125</v>
      </c>
      <c r="L1198">
        <v>12.734007833243639</v>
      </c>
      <c r="M1198">
        <v>12.679537115940116</v>
      </c>
      <c r="N1198">
        <v>12.162729224418783</v>
      </c>
      <c r="O1198">
        <v>12.339799405571419</v>
      </c>
      <c r="P1198">
        <v>12.224230145933177</v>
      </c>
      <c r="Q1198">
        <v>12.244374874665199</v>
      </c>
      <c r="R1198">
        <v>12.109794587353605</v>
      </c>
      <c r="S1198">
        <v>12.109373796249663</v>
      </c>
      <c r="T1198">
        <v>12.159709394693197</v>
      </c>
    </row>
    <row r="1199" spans="1:20" x14ac:dyDescent="0.25">
      <c r="A1199" s="6" t="s">
        <v>1217</v>
      </c>
      <c r="B1199">
        <v>11.590441189278554</v>
      </c>
      <c r="C1199">
        <v>12.256408942725844</v>
      </c>
      <c r="D1199">
        <v>11.919424543282792</v>
      </c>
      <c r="E1199">
        <v>11.830900974608909</v>
      </c>
      <c r="F1199">
        <v>11.880180152537369</v>
      </c>
      <c r="G1199">
        <v>11.872180841818357</v>
      </c>
      <c r="H1199">
        <v>12.195200464780898</v>
      </c>
      <c r="I1199">
        <v>11.982874286058571</v>
      </c>
      <c r="J1199">
        <v>11.4202863503575</v>
      </c>
      <c r="K1199">
        <v>11.958456721696667</v>
      </c>
      <c r="L1199">
        <v>12.190526364085828</v>
      </c>
      <c r="M1199">
        <v>11.669163601351325</v>
      </c>
      <c r="N1199">
        <v>11.774661331321628</v>
      </c>
      <c r="O1199">
        <v>12.022953781613776</v>
      </c>
      <c r="P1199">
        <v>11.626966266797433</v>
      </c>
      <c r="Q1199">
        <v>11.41787649844761</v>
      </c>
      <c r="R1199">
        <v>11.135882780614633</v>
      </c>
      <c r="S1199">
        <v>11.808637066477944</v>
      </c>
      <c r="T1199">
        <v>11.310447112073598</v>
      </c>
    </row>
    <row r="1200" spans="1:20" x14ac:dyDescent="0.25">
      <c r="A1200" s="5" t="s">
        <v>1218</v>
      </c>
      <c r="B1200">
        <v>15.15546458125101</v>
      </c>
      <c r="C1200">
        <v>0</v>
      </c>
      <c r="D1200">
        <v>15.119070343990609</v>
      </c>
      <c r="E1200">
        <v>15.761643567881864</v>
      </c>
      <c r="F1200">
        <v>14.773716400182437</v>
      </c>
      <c r="G1200">
        <v>15.401747622795478</v>
      </c>
      <c r="H1200">
        <v>15.485312339434612</v>
      </c>
      <c r="I1200">
        <v>15.048925519962333</v>
      </c>
      <c r="J1200">
        <v>15.198214228710349</v>
      </c>
      <c r="K1200">
        <v>16.370853614849693</v>
      </c>
      <c r="L1200">
        <v>15.904768509980459</v>
      </c>
      <c r="M1200">
        <v>14.913646661326911</v>
      </c>
      <c r="N1200">
        <v>14.848355201075194</v>
      </c>
      <c r="O1200">
        <v>14.831431898038725</v>
      </c>
      <c r="P1200">
        <v>14.370853614849695</v>
      </c>
      <c r="Q1200">
        <v>14.364753415313277</v>
      </c>
      <c r="R1200">
        <v>14.609640474436812</v>
      </c>
      <c r="S1200">
        <v>15.078570981710859</v>
      </c>
      <c r="T1200">
        <v>14.986710123516636</v>
      </c>
    </row>
    <row r="1201" spans="1:20" x14ac:dyDescent="0.25">
      <c r="A1201" s="6" t="s">
        <v>1219</v>
      </c>
      <c r="B1201">
        <v>12.822824588698783</v>
      </c>
      <c r="C1201">
        <v>13.078995366194251</v>
      </c>
      <c r="D1201">
        <v>12.640167609840482</v>
      </c>
      <c r="E1201">
        <v>12.364334972693904</v>
      </c>
      <c r="F1201">
        <v>12.584611679945292</v>
      </c>
      <c r="G1201">
        <v>13.268779158461001</v>
      </c>
      <c r="H1201">
        <v>12.928146231022028</v>
      </c>
      <c r="I1201">
        <v>12.561753145040264</v>
      </c>
      <c r="J1201">
        <v>13.296394622649251</v>
      </c>
      <c r="K1201">
        <v>13.411146320797728</v>
      </c>
      <c r="L1201">
        <v>13.520481342525573</v>
      </c>
      <c r="M1201">
        <v>13.765656630388486</v>
      </c>
      <c r="N1201">
        <v>13.831431898038725</v>
      </c>
      <c r="O1201">
        <v>12.561709533394701</v>
      </c>
      <c r="P1201">
        <v>14.27621674071162</v>
      </c>
      <c r="Q1201">
        <v>15.364753415313277</v>
      </c>
      <c r="R1201">
        <v>15.340607327981576</v>
      </c>
      <c r="S1201">
        <v>15.931568569324174</v>
      </c>
      <c r="T1201">
        <v>15.761643567881864</v>
      </c>
    </row>
    <row r="1202" spans="1:20" x14ac:dyDescent="0.25">
      <c r="A1202" s="5" t="s">
        <v>1220</v>
      </c>
      <c r="B1202">
        <v>15.574016564706092</v>
      </c>
      <c r="C1202">
        <v>0</v>
      </c>
      <c r="D1202">
        <v>16.264811977439372</v>
      </c>
      <c r="E1202">
        <v>16.334633426936943</v>
      </c>
      <c r="F1202">
        <v>15.408006613267162</v>
      </c>
      <c r="G1202">
        <v>15.322759326648649</v>
      </c>
      <c r="H1202">
        <v>15.352629856230788</v>
      </c>
      <c r="I1202">
        <v>15.108838421379655</v>
      </c>
      <c r="J1202">
        <v>15.068621321303253</v>
      </c>
      <c r="K1202">
        <v>15.852617227929352</v>
      </c>
      <c r="L1202">
        <v>16.187407473753765</v>
      </c>
      <c r="M1202">
        <v>15.505303814622076</v>
      </c>
      <c r="N1202">
        <v>15.4397154729945</v>
      </c>
      <c r="O1202">
        <v>15.638786820096328</v>
      </c>
      <c r="P1202">
        <v>14.59171856643955</v>
      </c>
      <c r="Q1202">
        <v>14.340607327981576</v>
      </c>
      <c r="R1202">
        <v>14.426948176920622</v>
      </c>
      <c r="S1202">
        <v>14.823044112546006</v>
      </c>
      <c r="T1202">
        <v>14.242269408788282</v>
      </c>
    </row>
    <row r="1203" spans="1:20" x14ac:dyDescent="0.25">
      <c r="A1203" s="6" t="s">
        <v>1221</v>
      </c>
      <c r="B1203">
        <v>14.67606783617579</v>
      </c>
      <c r="C1203">
        <v>14.798169443906975</v>
      </c>
      <c r="D1203">
        <v>14.581071322240041</v>
      </c>
      <c r="E1203">
        <v>14.588160747026361</v>
      </c>
      <c r="F1203">
        <v>14.831431898038725</v>
      </c>
      <c r="G1203">
        <v>15.134555591488031</v>
      </c>
      <c r="H1203">
        <v>15.192800732523983</v>
      </c>
      <c r="I1203">
        <v>14.737796825927495</v>
      </c>
      <c r="J1203">
        <v>14.515404404591045</v>
      </c>
      <c r="K1203">
        <v>14.43331770179635</v>
      </c>
      <c r="L1203">
        <v>14.781821449819493</v>
      </c>
      <c r="M1203">
        <v>14.789972290940359</v>
      </c>
      <c r="N1203">
        <v>14.761643567881864</v>
      </c>
      <c r="O1203">
        <v>14.358678900903593</v>
      </c>
      <c r="P1203">
        <v>15.370853614849695</v>
      </c>
      <c r="Q1203">
        <v>0</v>
      </c>
      <c r="R1203">
        <v>15.43331770179635</v>
      </c>
      <c r="S1203">
        <v>0</v>
      </c>
      <c r="T1203">
        <v>16.581071322240042</v>
      </c>
    </row>
    <row r="1204" spans="1:20" x14ac:dyDescent="0.25">
      <c r="A1204" s="5" t="s">
        <v>1222</v>
      </c>
      <c r="B1204">
        <v>13.345104043437788</v>
      </c>
      <c r="C1204">
        <v>12.097369334152484</v>
      </c>
      <c r="D1204">
        <v>12.338267092504591</v>
      </c>
      <c r="E1204">
        <v>12.301301444297406</v>
      </c>
      <c r="F1204">
        <v>12.314497876763589</v>
      </c>
      <c r="G1204">
        <v>11.358766041103339</v>
      </c>
      <c r="H1204">
        <v>12.34156545190249</v>
      </c>
      <c r="I1204">
        <v>13.505303814622076</v>
      </c>
      <c r="J1204">
        <v>13.141878437107856</v>
      </c>
      <c r="K1204">
        <v>12.160706494937134</v>
      </c>
      <c r="L1204">
        <v>12.458707175232313</v>
      </c>
      <c r="M1204">
        <v>14.058739809789287</v>
      </c>
      <c r="N1204">
        <v>0</v>
      </c>
      <c r="O1204">
        <v>0</v>
      </c>
      <c r="P1204">
        <v>12.51357263574438</v>
      </c>
      <c r="Q1204">
        <v>12.281220453229766</v>
      </c>
      <c r="R1204">
        <v>13.629615174198079</v>
      </c>
      <c r="S1204">
        <v>10.919083697920465</v>
      </c>
      <c r="T1204">
        <v>12.062604066512534</v>
      </c>
    </row>
    <row r="1205" spans="1:20" x14ac:dyDescent="0.25">
      <c r="A1205" s="6" t="s">
        <v>1223</v>
      </c>
      <c r="B1205">
        <v>0</v>
      </c>
      <c r="C1205">
        <v>16.539251146545414</v>
      </c>
      <c r="D1205">
        <v>16.420606650046796</v>
      </c>
      <c r="E1205">
        <v>16.198214228710349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25">
      <c r="A1206" s="5" t="s">
        <v>1224</v>
      </c>
      <c r="B1206">
        <v>14.242269408788282</v>
      </c>
      <c r="C1206">
        <v>0</v>
      </c>
      <c r="D1206">
        <v>15.340607327981576</v>
      </c>
      <c r="E1206">
        <v>14.891552890476294</v>
      </c>
      <c r="F1206">
        <v>13.553056946070445</v>
      </c>
      <c r="G1206">
        <v>13.060858630695719</v>
      </c>
      <c r="H1206">
        <v>14.019876987451836</v>
      </c>
      <c r="I1206">
        <v>13.397071135586007</v>
      </c>
      <c r="J1206">
        <v>13.727975855116467</v>
      </c>
      <c r="K1206">
        <v>12.965184248323984</v>
      </c>
      <c r="L1206">
        <v>14.570502080529854</v>
      </c>
      <c r="M1206">
        <v>14.322759326648649</v>
      </c>
      <c r="N1206">
        <v>15.182034301654912</v>
      </c>
      <c r="O1206">
        <v>15.236688376524983</v>
      </c>
      <c r="P1206">
        <v>12.130461660752529</v>
      </c>
      <c r="Q1206">
        <v>10.770527408880472</v>
      </c>
      <c r="R1206">
        <v>11.314049678516048</v>
      </c>
      <c r="S1206">
        <v>12.113446593885834</v>
      </c>
      <c r="T1206">
        <v>10.315806530473925</v>
      </c>
    </row>
    <row r="1207" spans="1:20" x14ac:dyDescent="0.25">
      <c r="A1207" s="6" t="s">
        <v>1225</v>
      </c>
      <c r="B1207">
        <v>14.909200756295721</v>
      </c>
      <c r="C1207">
        <v>0</v>
      </c>
      <c r="D1207">
        <v>0</v>
      </c>
      <c r="E1207">
        <v>0</v>
      </c>
      <c r="F1207">
        <v>14.093625327433148</v>
      </c>
      <c r="G1207">
        <v>13.588160747026361</v>
      </c>
      <c r="H1207">
        <v>14.664782028629272</v>
      </c>
      <c r="I1207">
        <v>14.182034301654912</v>
      </c>
      <c r="J1207">
        <v>14.687442626040445</v>
      </c>
      <c r="K1207">
        <v>14.091105335454632</v>
      </c>
      <c r="L1207">
        <v>15.852617227929352</v>
      </c>
      <c r="M1207">
        <v>15.166033822961197</v>
      </c>
      <c r="N1207">
        <v>0</v>
      </c>
      <c r="O1207">
        <v>0</v>
      </c>
      <c r="P1207">
        <v>13.15062860996043</v>
      </c>
      <c r="Q1207">
        <v>11.431547337698712</v>
      </c>
      <c r="R1207">
        <v>12.332243336004861</v>
      </c>
      <c r="S1207">
        <v>13.024617862674591</v>
      </c>
      <c r="T1207">
        <v>11.091165134263248</v>
      </c>
    </row>
    <row r="1208" spans="1:20" x14ac:dyDescent="0.25">
      <c r="A1208" s="5" t="s">
        <v>1226</v>
      </c>
      <c r="B1208">
        <v>11.57316791148693</v>
      </c>
      <c r="C1208">
        <v>11.649073163062376</v>
      </c>
      <c r="D1208">
        <v>11.547065400522806</v>
      </c>
      <c r="E1208">
        <v>11.61272753555992</v>
      </c>
      <c r="F1208">
        <v>11.566681019615908</v>
      </c>
      <c r="G1208">
        <v>11.025234119610166</v>
      </c>
      <c r="H1208">
        <v>11.048124924131063</v>
      </c>
      <c r="I1208">
        <v>10.787149945920328</v>
      </c>
      <c r="J1208">
        <v>11.243912947970111</v>
      </c>
      <c r="K1208">
        <v>11.509474360695858</v>
      </c>
      <c r="L1208">
        <v>11.650343259506331</v>
      </c>
      <c r="M1208">
        <v>11.127250364954779</v>
      </c>
      <c r="N1208">
        <v>10.863515851152217</v>
      </c>
      <c r="O1208">
        <v>11.006011162471582</v>
      </c>
      <c r="P1208">
        <v>11.156346790418517</v>
      </c>
      <c r="Q1208">
        <v>10.734460020951794</v>
      </c>
      <c r="R1208">
        <v>10.692877230314501</v>
      </c>
      <c r="S1208">
        <v>10.395884940554943</v>
      </c>
      <c r="T1208">
        <v>11.310022147812308</v>
      </c>
    </row>
    <row r="1209" spans="1:20" x14ac:dyDescent="0.25">
      <c r="A1209" s="6" t="s">
        <v>1227</v>
      </c>
      <c r="B1209">
        <v>13.370853614849695</v>
      </c>
      <c r="C1209">
        <v>12.172852323687883</v>
      </c>
      <c r="D1209">
        <v>12.193388466778352</v>
      </c>
      <c r="E1209">
        <v>12.291294707175453</v>
      </c>
      <c r="F1209">
        <v>12.94123765064796</v>
      </c>
      <c r="G1209">
        <v>12.527891823202646</v>
      </c>
      <c r="H1209">
        <v>13.525576209648337</v>
      </c>
      <c r="I1209">
        <v>13.989054063984934</v>
      </c>
      <c r="J1209">
        <v>13.179502422750131</v>
      </c>
      <c r="K1209">
        <v>12.8869558763662</v>
      </c>
      <c r="L1209">
        <v>12.420290304241146</v>
      </c>
      <c r="M1209">
        <v>13.473777309068133</v>
      </c>
      <c r="N1209">
        <v>0</v>
      </c>
      <c r="O1209">
        <v>13.878457232864612</v>
      </c>
      <c r="P1209">
        <v>14.426948176920622</v>
      </c>
      <c r="Q1209">
        <v>13.876286133822985</v>
      </c>
      <c r="R1209">
        <v>14.299300353824661</v>
      </c>
      <c r="S1209">
        <v>13.668534163490381</v>
      </c>
      <c r="T1209">
        <v>13.816785122074323</v>
      </c>
    </row>
    <row r="1210" spans="1:20" x14ac:dyDescent="0.25">
      <c r="A1210" s="5" t="s">
        <v>1228</v>
      </c>
      <c r="B1210">
        <v>12.654178870513311</v>
      </c>
      <c r="C1210">
        <v>11.705642976781878</v>
      </c>
      <c r="D1210">
        <v>11.945146256395851</v>
      </c>
      <c r="E1210">
        <v>11.974681351467522</v>
      </c>
      <c r="F1210">
        <v>12.154260643990312</v>
      </c>
      <c r="G1210">
        <v>11.927870770754064</v>
      </c>
      <c r="H1210">
        <v>12.463669619577576</v>
      </c>
      <c r="I1210">
        <v>12.096737285600209</v>
      </c>
      <c r="J1210">
        <v>12.63829005912419</v>
      </c>
      <c r="K1210">
        <v>12.860342205927111</v>
      </c>
      <c r="L1210">
        <v>12.414143259387286</v>
      </c>
      <c r="M1210">
        <v>13.361712960993227</v>
      </c>
      <c r="N1210">
        <v>13.276202428331812</v>
      </c>
      <c r="O1210">
        <v>12.233982381257814</v>
      </c>
      <c r="P1210">
        <v>13.034328143749374</v>
      </c>
      <c r="Q1210">
        <v>12.685493069979152</v>
      </c>
      <c r="R1210">
        <v>12.635634371429406</v>
      </c>
      <c r="S1210">
        <v>12.629057586161611</v>
      </c>
      <c r="T1210">
        <v>12.62740437089632</v>
      </c>
    </row>
    <row r="1211" spans="1:20" x14ac:dyDescent="0.25">
      <c r="A1211" s="6" t="s">
        <v>1229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14.512029677810389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14.539251146545414</v>
      </c>
      <c r="Q1211">
        <v>12.192219989063201</v>
      </c>
      <c r="R1211">
        <v>14.233905935853656</v>
      </c>
      <c r="S1211">
        <v>12.907337554052884</v>
      </c>
      <c r="T1211">
        <v>12.002452217654147</v>
      </c>
    </row>
    <row r="1212" spans="1:20" x14ac:dyDescent="0.25">
      <c r="A1212" s="5" t="s">
        <v>1230</v>
      </c>
      <c r="B1212">
        <v>16.134555591488027</v>
      </c>
      <c r="C1212">
        <v>0</v>
      </c>
      <c r="D1212">
        <v>0</v>
      </c>
      <c r="E1212">
        <v>17.024677973715654</v>
      </c>
      <c r="F1212">
        <v>15.869792371737484</v>
      </c>
      <c r="G1212">
        <v>15.370853614849695</v>
      </c>
      <c r="H1212">
        <v>15.661039626943458</v>
      </c>
      <c r="I1212">
        <v>16.334633426936943</v>
      </c>
      <c r="J1212">
        <v>0</v>
      </c>
      <c r="K1212">
        <v>16.408006613267162</v>
      </c>
      <c r="L1212">
        <v>16.322759326648651</v>
      </c>
      <c r="M1212">
        <v>17.126276113723463</v>
      </c>
      <c r="N1212">
        <v>0</v>
      </c>
      <c r="O1212">
        <v>0</v>
      </c>
      <c r="P1212">
        <v>15.574016564706092</v>
      </c>
      <c r="Q1212">
        <v>15.408006613267162</v>
      </c>
      <c r="R1212">
        <v>15.887174449965721</v>
      </c>
      <c r="S1212">
        <v>0</v>
      </c>
      <c r="T1212">
        <v>15.328684160605755</v>
      </c>
    </row>
    <row r="1213" spans="1:20" x14ac:dyDescent="0.25">
      <c r="A1213" s="6" t="s">
        <v>1231</v>
      </c>
      <c r="B1213">
        <v>15.683641055880589</v>
      </c>
      <c r="C1213">
        <v>15.034328143749375</v>
      </c>
      <c r="D1213">
        <v>14.904768509980459</v>
      </c>
      <c r="E1213">
        <v>14.848355201075194</v>
      </c>
      <c r="F1213">
        <v>16.785891114128539</v>
      </c>
      <c r="G1213">
        <v>15.383131944628133</v>
      </c>
      <c r="H1213">
        <v>16.093625327433145</v>
      </c>
      <c r="I1213">
        <v>17.953372939642524</v>
      </c>
      <c r="J1213">
        <v>15.869792371737484</v>
      </c>
      <c r="K1213">
        <v>16.144972207433366</v>
      </c>
      <c r="L1213">
        <v>15.06367210533152</v>
      </c>
      <c r="M1213">
        <v>17.881937801599573</v>
      </c>
      <c r="N1213">
        <v>0</v>
      </c>
      <c r="O1213">
        <v>15.426948176920622</v>
      </c>
      <c r="P1213">
        <v>0</v>
      </c>
      <c r="Q1213">
        <v>16.59528518145974</v>
      </c>
      <c r="R1213">
        <v>0</v>
      </c>
      <c r="S1213">
        <v>0</v>
      </c>
      <c r="T1213">
        <v>16.683641055880589</v>
      </c>
    </row>
    <row r="1214" spans="1:20" x14ac:dyDescent="0.25">
      <c r="A1214" s="5" t="s">
        <v>1232</v>
      </c>
      <c r="B1214">
        <v>12.958060609529513</v>
      </c>
      <c r="C1214">
        <v>11.491259982064799</v>
      </c>
      <c r="D1214">
        <v>11.672960138488666</v>
      </c>
      <c r="E1214">
        <v>11.545865758126576</v>
      </c>
      <c r="F1214">
        <v>13.144201407878564</v>
      </c>
      <c r="G1214">
        <v>12.284311630560218</v>
      </c>
      <c r="H1214">
        <v>13.755644827260419</v>
      </c>
      <c r="I1214">
        <v>13.954288645824258</v>
      </c>
      <c r="J1214">
        <v>13.67229608228658</v>
      </c>
      <c r="K1214">
        <v>12.185894245322039</v>
      </c>
      <c r="L1214">
        <v>12.173718571100002</v>
      </c>
      <c r="M1214">
        <v>13.024509669111797</v>
      </c>
      <c r="N1214">
        <v>13.460706369910472</v>
      </c>
      <c r="O1214">
        <v>13.111938701537673</v>
      </c>
      <c r="P1214">
        <v>14.718221287590733</v>
      </c>
      <c r="Q1214">
        <v>0</v>
      </c>
      <c r="R1214">
        <v>0</v>
      </c>
      <c r="S1214">
        <v>14.869792371737484</v>
      </c>
      <c r="T1214">
        <v>14.144972207433367</v>
      </c>
    </row>
    <row r="1215" spans="1:20" x14ac:dyDescent="0.25">
      <c r="A1215" s="6" t="s">
        <v>1233</v>
      </c>
      <c r="B1215">
        <v>13.395515669083965</v>
      </c>
      <c r="C1215">
        <v>14.370853614849695</v>
      </c>
      <c r="D1215">
        <v>11.458061685891362</v>
      </c>
      <c r="E1215">
        <v>12.505370918277563</v>
      </c>
      <c r="F1215">
        <v>14.098678555159433</v>
      </c>
      <c r="G1215">
        <v>13.395515669083965</v>
      </c>
      <c r="H1215">
        <v>14.113945311812744</v>
      </c>
      <c r="I1215">
        <v>0</v>
      </c>
      <c r="J1215">
        <v>0</v>
      </c>
      <c r="K1215">
        <v>13.011334826775814</v>
      </c>
      <c r="L1215">
        <v>13.415868731040131</v>
      </c>
      <c r="M1215">
        <v>10.266987954981653</v>
      </c>
      <c r="N1215">
        <v>11.232221690321964</v>
      </c>
      <c r="O1215">
        <v>11.923240799363946</v>
      </c>
      <c r="P1215">
        <v>14.222829527964596</v>
      </c>
      <c r="Q1215">
        <v>13.3693261451031</v>
      </c>
      <c r="R1215">
        <v>0</v>
      </c>
      <c r="S1215">
        <v>12.268273767635916</v>
      </c>
      <c r="T1215">
        <v>12.444701376523096</v>
      </c>
    </row>
    <row r="1216" spans="1:20" x14ac:dyDescent="0.25">
      <c r="A1216" s="5" t="s">
        <v>1234</v>
      </c>
      <c r="B1216">
        <v>14.007943957955854</v>
      </c>
      <c r="C1216">
        <v>12.649972312839878</v>
      </c>
      <c r="D1216">
        <v>13.600651691209556</v>
      </c>
      <c r="E1216">
        <v>13.438113368398</v>
      </c>
      <c r="F1216">
        <v>12.705445426198938</v>
      </c>
      <c r="G1216">
        <v>12.541709256016651</v>
      </c>
      <c r="H1216">
        <v>12.560131678840168</v>
      </c>
      <c r="I1216">
        <v>13.498609162048069</v>
      </c>
      <c r="J1216">
        <v>13.218505171768745</v>
      </c>
      <c r="K1216">
        <v>12.937837605771167</v>
      </c>
      <c r="L1216">
        <v>12.268786277906131</v>
      </c>
      <c r="M1216">
        <v>12.978291688207815</v>
      </c>
      <c r="N1216">
        <v>12.731945296582268</v>
      </c>
      <c r="O1216">
        <v>12.979910842047154</v>
      </c>
      <c r="P1216">
        <v>12.974187885207535</v>
      </c>
      <c r="Q1216">
        <v>13.434914486730678</v>
      </c>
      <c r="R1216">
        <v>12.391006527943844</v>
      </c>
      <c r="S1216">
        <v>13.679849476718214</v>
      </c>
      <c r="T1216">
        <v>13.558268372715785</v>
      </c>
    </row>
    <row r="1217" spans="1:20" x14ac:dyDescent="0.25">
      <c r="A1217" s="6" t="s">
        <v>1235</v>
      </c>
      <c r="B1217">
        <v>14.718221287590733</v>
      </c>
      <c r="C1217">
        <v>13.324238255574564</v>
      </c>
      <c r="D1217">
        <v>13.452596764291233</v>
      </c>
      <c r="E1217">
        <v>13.315387337992298</v>
      </c>
      <c r="F1217">
        <v>0</v>
      </c>
      <c r="G1217">
        <v>13.589938559994264</v>
      </c>
      <c r="H1217">
        <v>14.198214228710349</v>
      </c>
      <c r="I1217">
        <v>14.931568569324176</v>
      </c>
      <c r="J1217">
        <v>14.733860411368322</v>
      </c>
      <c r="K1217">
        <v>13.613251727989191</v>
      </c>
      <c r="L1217">
        <v>13.716278263672942</v>
      </c>
      <c r="M1217">
        <v>15.093625327433148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25">
      <c r="A1218" s="5" t="s">
        <v>1236</v>
      </c>
      <c r="B1218">
        <v>15.714337853103507</v>
      </c>
      <c r="C1218">
        <v>15.098678555159433</v>
      </c>
      <c r="D1218">
        <v>14.436513040956156</v>
      </c>
      <c r="E1218">
        <v>14.313917449896843</v>
      </c>
      <c r="F1218">
        <v>15.505303814622076</v>
      </c>
      <c r="G1218">
        <v>14.518787043985698</v>
      </c>
      <c r="H1218">
        <v>15.119070343990609</v>
      </c>
      <c r="I1218">
        <v>14.794065045574239</v>
      </c>
      <c r="J1218">
        <v>15.053824319375174</v>
      </c>
      <c r="K1218">
        <v>14.895944659593452</v>
      </c>
      <c r="L1218">
        <v>14.904768509980459</v>
      </c>
      <c r="M1218">
        <v>0</v>
      </c>
      <c r="N1218">
        <v>0</v>
      </c>
      <c r="O1218">
        <v>15.869792371737484</v>
      </c>
      <c r="P1218">
        <v>0</v>
      </c>
      <c r="Q1218">
        <v>15.068621321303253</v>
      </c>
      <c r="R1218">
        <v>14.940613708927183</v>
      </c>
      <c r="S1218">
        <v>15.214577674919234</v>
      </c>
      <c r="T1218">
        <v>14.940613708927183</v>
      </c>
    </row>
    <row r="1219" spans="1:20" x14ac:dyDescent="0.25">
      <c r="A1219" s="6" t="s">
        <v>1237</v>
      </c>
      <c r="B1219">
        <v>17.030460326309662</v>
      </c>
      <c r="C1219">
        <v>15.525576209648337</v>
      </c>
      <c r="D1219">
        <v>15.61687204366789</v>
      </c>
      <c r="E1219">
        <v>15.566996137028319</v>
      </c>
      <c r="F1219">
        <v>16.996108821518888</v>
      </c>
      <c r="G1219">
        <v>16.472136950686878</v>
      </c>
      <c r="H1219">
        <v>16.653583822024409</v>
      </c>
      <c r="I1219">
        <v>16.810553168362809</v>
      </c>
      <c r="J1219">
        <v>0</v>
      </c>
      <c r="K1219">
        <v>15.668534163490381</v>
      </c>
      <c r="L1219">
        <v>15.646166350461927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17.026602850640149</v>
      </c>
    </row>
    <row r="1220" spans="1:20" x14ac:dyDescent="0.25">
      <c r="A1220" s="5" t="s">
        <v>1238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15.346606068603018</v>
      </c>
      <c r="I1220">
        <v>0</v>
      </c>
      <c r="J1220">
        <v>14.931568569324176</v>
      </c>
      <c r="K1220">
        <v>0</v>
      </c>
      <c r="L1220">
        <v>0</v>
      </c>
      <c r="M1220">
        <v>0</v>
      </c>
      <c r="N1220">
        <v>15.098678555159433</v>
      </c>
      <c r="O1220">
        <v>0</v>
      </c>
      <c r="P1220">
        <v>14.765656630388486</v>
      </c>
      <c r="Q1220">
        <v>14.12937535238235</v>
      </c>
      <c r="R1220">
        <v>14.769680886947281</v>
      </c>
      <c r="S1220">
        <v>14.392409758216143</v>
      </c>
      <c r="T1220">
        <v>13.488625073475445</v>
      </c>
    </row>
    <row r="1221" spans="1:20" x14ac:dyDescent="0.25">
      <c r="A1221" s="6" t="s">
        <v>1239</v>
      </c>
      <c r="B1221">
        <v>12.210941239564109</v>
      </c>
      <c r="C1221">
        <v>12.226150442405331</v>
      </c>
      <c r="D1221">
        <v>12.070425818150001</v>
      </c>
      <c r="E1221">
        <v>11.994630345464106</v>
      </c>
      <c r="F1221">
        <v>11.954265746084717</v>
      </c>
      <c r="G1221">
        <v>12.128541777562114</v>
      </c>
      <c r="H1221">
        <v>12.681459680456591</v>
      </c>
      <c r="I1221">
        <v>12.110579116604219</v>
      </c>
      <c r="J1221">
        <v>12.459698299493432</v>
      </c>
      <c r="K1221">
        <v>11.89558183223104</v>
      </c>
      <c r="L1221">
        <v>11.908080328412293</v>
      </c>
      <c r="M1221">
        <v>12.121626845415474</v>
      </c>
      <c r="N1221">
        <v>11.523672020574645</v>
      </c>
      <c r="O1221">
        <v>11.754363333560743</v>
      </c>
      <c r="P1221">
        <v>12.631408228594427</v>
      </c>
      <c r="Q1221">
        <v>12.993106333357362</v>
      </c>
      <c r="R1221">
        <v>13.006079404533255</v>
      </c>
      <c r="S1221">
        <v>13.064042708161203</v>
      </c>
      <c r="T1221">
        <v>12.667951943145859</v>
      </c>
    </row>
    <row r="1222" spans="1:20" x14ac:dyDescent="0.25">
      <c r="A1222" s="5" t="s">
        <v>1240</v>
      </c>
      <c r="B1222">
        <v>11.804833126615739</v>
      </c>
      <c r="C1222">
        <v>11.829430128499123</v>
      </c>
      <c r="D1222">
        <v>11.682327093478756</v>
      </c>
      <c r="E1222">
        <v>11.746658522828866</v>
      </c>
      <c r="F1222">
        <v>11.722022601242308</v>
      </c>
      <c r="G1222">
        <v>12.18143107019508</v>
      </c>
      <c r="H1222">
        <v>12.044146874157326</v>
      </c>
      <c r="I1222">
        <v>12.249859293747782</v>
      </c>
      <c r="J1222">
        <v>11.900917984166904</v>
      </c>
      <c r="K1222">
        <v>11.830937764981453</v>
      </c>
      <c r="L1222">
        <v>12.214954854577702</v>
      </c>
      <c r="M1222">
        <v>12.490035292125244</v>
      </c>
      <c r="N1222">
        <v>12.358572824285709</v>
      </c>
      <c r="O1222">
        <v>12.281665749431035</v>
      </c>
      <c r="P1222">
        <v>11.848238173038288</v>
      </c>
      <c r="Q1222">
        <v>11.15148489351958</v>
      </c>
      <c r="R1222">
        <v>11.571169174049409</v>
      </c>
      <c r="S1222">
        <v>12.765405486678061</v>
      </c>
      <c r="T1222">
        <v>10.798719293580058</v>
      </c>
    </row>
    <row r="1223" spans="1:20" x14ac:dyDescent="0.25">
      <c r="A1223" s="6" t="s">
        <v>1241</v>
      </c>
      <c r="B1223">
        <v>14.259143227352677</v>
      </c>
      <c r="C1223">
        <v>14.395515669083965</v>
      </c>
      <c r="D1223">
        <v>13.687442626040445</v>
      </c>
      <c r="E1223">
        <v>13.977372258937299</v>
      </c>
      <c r="F1223">
        <v>14.522177633186471</v>
      </c>
      <c r="G1223">
        <v>14.588160747026361</v>
      </c>
      <c r="H1223">
        <v>13.556529137977249</v>
      </c>
      <c r="I1223">
        <v>14.319806009259304</v>
      </c>
      <c r="J1223">
        <v>0</v>
      </c>
      <c r="K1223">
        <v>14.073587574196603</v>
      </c>
      <c r="L1223">
        <v>14.012705332049579</v>
      </c>
      <c r="M1223">
        <v>14.501952605122439</v>
      </c>
      <c r="N1223">
        <v>14.683641055880589</v>
      </c>
      <c r="O1223">
        <v>13.904768509980459</v>
      </c>
      <c r="P1223">
        <v>14.0760771262223</v>
      </c>
      <c r="Q1223">
        <v>13.330169178792346</v>
      </c>
      <c r="R1223">
        <v>13.360195133350974</v>
      </c>
      <c r="S1223">
        <v>14.231128851183081</v>
      </c>
      <c r="T1223">
        <v>13.105007371119733</v>
      </c>
    </row>
    <row r="1224" spans="1:20" x14ac:dyDescent="0.25">
      <c r="A1224" s="5" t="s">
        <v>1242</v>
      </c>
      <c r="B1224">
        <v>7.2285710731432635</v>
      </c>
      <c r="C1224">
        <v>7.8883160104202279</v>
      </c>
      <c r="D1224">
        <v>7.8757560679024525</v>
      </c>
      <c r="E1224">
        <v>7.640483075577464</v>
      </c>
      <c r="F1224">
        <v>7.751040869899974</v>
      </c>
      <c r="G1224">
        <v>7.8029664847717521</v>
      </c>
      <c r="H1224">
        <v>7.8689203096926548</v>
      </c>
      <c r="I1224">
        <v>7.5472820789936392</v>
      </c>
      <c r="J1224">
        <v>7.3164410665708113</v>
      </c>
      <c r="K1224">
        <v>7.5509367827968568</v>
      </c>
      <c r="L1224">
        <v>7.7979909163043484</v>
      </c>
      <c r="M1224">
        <v>7.4939681075636742</v>
      </c>
      <c r="N1224">
        <v>7.4571337936225115</v>
      </c>
      <c r="O1224">
        <v>7.3902959849593337</v>
      </c>
      <c r="P1224">
        <v>7.4366754932452634</v>
      </c>
      <c r="Q1224">
        <v>8.0055973286806452</v>
      </c>
      <c r="R1224">
        <v>7.891894831083702</v>
      </c>
      <c r="S1224">
        <v>8.3270283125132032</v>
      </c>
      <c r="T1224">
        <v>8.3261422967667862</v>
      </c>
    </row>
    <row r="1225" spans="1:20" x14ac:dyDescent="0.25">
      <c r="A1225" s="6" t="s">
        <v>1243</v>
      </c>
      <c r="B1225">
        <v>11.675180587239806</v>
      </c>
      <c r="C1225">
        <v>11.866211678590862</v>
      </c>
      <c r="D1225">
        <v>11.30129416257425</v>
      </c>
      <c r="E1225">
        <v>12.131386960964536</v>
      </c>
      <c r="F1225">
        <v>12.470514831037194</v>
      </c>
      <c r="G1225">
        <v>12.734843508538148</v>
      </c>
      <c r="H1225">
        <v>12.760391771672404</v>
      </c>
      <c r="I1225">
        <v>12.511667364157697</v>
      </c>
      <c r="J1225">
        <v>12.344848854606839</v>
      </c>
      <c r="K1225">
        <v>11.916047583799616</v>
      </c>
      <c r="L1225">
        <v>12.109577800851454</v>
      </c>
      <c r="M1225">
        <v>12.930318024368544</v>
      </c>
      <c r="N1225">
        <v>12.907005092430259</v>
      </c>
      <c r="O1225">
        <v>12.590134253234547</v>
      </c>
      <c r="P1225">
        <v>12.987096611452388</v>
      </c>
      <c r="Q1225">
        <v>14.214577674919234</v>
      </c>
      <c r="R1225">
        <v>14.119070343990613</v>
      </c>
      <c r="S1225">
        <v>15.093625327433148</v>
      </c>
      <c r="T1225">
        <v>14.446141742153932</v>
      </c>
    </row>
    <row r="1226" spans="1:20" x14ac:dyDescent="0.25">
      <c r="A1226" s="5" t="s">
        <v>1244</v>
      </c>
      <c r="B1226">
        <v>13.468861818654016</v>
      </c>
      <c r="C1226">
        <v>13.865479378866404</v>
      </c>
      <c r="D1226">
        <v>14.0760771262223</v>
      </c>
      <c r="E1226">
        <v>13.722115203695225</v>
      </c>
      <c r="F1226">
        <v>12.926606576973372</v>
      </c>
      <c r="G1226">
        <v>13.053505391440201</v>
      </c>
      <c r="H1226">
        <v>13.273899984862165</v>
      </c>
      <c r="I1226">
        <v>12.944441015649698</v>
      </c>
      <c r="J1226">
        <v>12.988256696872771</v>
      </c>
      <c r="K1226">
        <v>13.386217924501876</v>
      </c>
      <c r="L1226">
        <v>13.523875920658497</v>
      </c>
      <c r="M1226">
        <v>13.074259329981272</v>
      </c>
      <c r="N1226">
        <v>12.367685916835041</v>
      </c>
      <c r="O1226">
        <v>13.831431898038725</v>
      </c>
      <c r="P1226">
        <v>12.443471364878835</v>
      </c>
      <c r="Q1226">
        <v>11.879853889961383</v>
      </c>
      <c r="R1226">
        <v>11.530450126443499</v>
      </c>
      <c r="S1226">
        <v>11.312654542804843</v>
      </c>
      <c r="T1226">
        <v>11.716661803574446</v>
      </c>
    </row>
    <row r="1227" spans="1:20" x14ac:dyDescent="0.25">
      <c r="A1227" s="6" t="s">
        <v>1245</v>
      </c>
      <c r="B1227">
        <v>15.310982158872298</v>
      </c>
      <c r="C1227">
        <v>15.334633426936943</v>
      </c>
      <c r="D1227">
        <v>16.176681067160704</v>
      </c>
      <c r="E1227">
        <v>16.408006613267162</v>
      </c>
      <c r="F1227">
        <v>15.305129432626858</v>
      </c>
      <c r="G1227">
        <v>15.465594104820106</v>
      </c>
      <c r="H1227">
        <v>14.810553168362809</v>
      </c>
      <c r="I1227">
        <v>14.661039626943458</v>
      </c>
      <c r="J1227">
        <v>14.878457232864612</v>
      </c>
      <c r="K1227">
        <v>14.635111161952929</v>
      </c>
      <c r="L1227">
        <v>14.4397154729945</v>
      </c>
      <c r="M1227">
        <v>14.358678900903593</v>
      </c>
      <c r="N1227">
        <v>14.270503089517227</v>
      </c>
      <c r="O1227">
        <v>15.024677973715658</v>
      </c>
      <c r="P1227">
        <v>14.679849476718214</v>
      </c>
      <c r="Q1227">
        <v>13.88063160409895</v>
      </c>
      <c r="R1227">
        <v>13.343603580441494</v>
      </c>
      <c r="S1227">
        <v>14.508662826711991</v>
      </c>
      <c r="T1227">
        <v>13.59886063568357</v>
      </c>
    </row>
    <row r="1228" spans="1:20" x14ac:dyDescent="0.25">
      <c r="A1228" s="5" t="s">
        <v>1246</v>
      </c>
      <c r="B1228">
        <v>0</v>
      </c>
      <c r="C1228">
        <v>17.034328143749374</v>
      </c>
      <c r="D1228">
        <v>0</v>
      </c>
      <c r="E1228">
        <v>18.005569150767954</v>
      </c>
      <c r="F1228">
        <v>17.339410567198815</v>
      </c>
      <c r="G1228">
        <v>0</v>
      </c>
      <c r="H1228">
        <v>16.99422417717394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16.264811977439372</v>
      </c>
      <c r="R1228">
        <v>17.598144835598983</v>
      </c>
      <c r="S1228">
        <v>16.06367210533152</v>
      </c>
      <c r="T1228">
        <v>16.951543269085441</v>
      </c>
    </row>
    <row r="1229" spans="1:20" x14ac:dyDescent="0.25">
      <c r="A1229" s="6" t="s">
        <v>1247</v>
      </c>
      <c r="B1229">
        <v>14.563498692792091</v>
      </c>
      <c r="C1229">
        <v>15.465594104820106</v>
      </c>
      <c r="D1229">
        <v>14.505303814622076</v>
      </c>
      <c r="E1229">
        <v>15.144972207433367</v>
      </c>
      <c r="F1229">
        <v>14.081069155566054</v>
      </c>
      <c r="G1229">
        <v>13.206045523795147</v>
      </c>
      <c r="H1229">
        <v>13.493608480989701</v>
      </c>
      <c r="I1229">
        <v>14.206372752097511</v>
      </c>
      <c r="J1229">
        <v>13.789972290940359</v>
      </c>
      <c r="K1229">
        <v>15.058739809789289</v>
      </c>
      <c r="L1229">
        <v>14.247872115017659</v>
      </c>
      <c r="M1229">
        <v>13.940613708927183</v>
      </c>
      <c r="N1229">
        <v>14.468861818654016</v>
      </c>
      <c r="O1229">
        <v>14.613251727989191</v>
      </c>
      <c r="P1229">
        <v>13.749670926215785</v>
      </c>
      <c r="Q1229">
        <v>14.290600658874276</v>
      </c>
      <c r="R1229">
        <v>14.823044112546006</v>
      </c>
      <c r="S1229">
        <v>14.991401818841357</v>
      </c>
      <c r="T1229">
        <v>14.13715270297407</v>
      </c>
    </row>
    <row r="1230" spans="1:20" x14ac:dyDescent="0.25">
      <c r="A1230" s="5" t="s">
        <v>1248</v>
      </c>
      <c r="B1230">
        <v>13.915874762219028</v>
      </c>
      <c r="C1230">
        <v>13.297846756683162</v>
      </c>
      <c r="D1230">
        <v>13.666656876249709</v>
      </c>
      <c r="E1230">
        <v>13.600651691209556</v>
      </c>
      <c r="F1230">
        <v>14.119070343990613</v>
      </c>
      <c r="G1230">
        <v>14.259143227352677</v>
      </c>
      <c r="H1230">
        <v>12.981636833022021</v>
      </c>
      <c r="I1230">
        <v>12.657120525398966</v>
      </c>
      <c r="J1230">
        <v>13.724066110065387</v>
      </c>
      <c r="K1230">
        <v>13.18065394373563</v>
      </c>
      <c r="L1230">
        <v>12.973619157041718</v>
      </c>
      <c r="M1230">
        <v>13.648017146149867</v>
      </c>
      <c r="N1230">
        <v>12.811984135810501</v>
      </c>
      <c r="O1230">
        <v>13.203961186330726</v>
      </c>
      <c r="P1230">
        <v>13.092440382948213</v>
      </c>
      <c r="Q1230">
        <v>12.849185308674677</v>
      </c>
      <c r="R1230">
        <v>12.435449805125003</v>
      </c>
      <c r="S1230">
        <v>12.386426466158643</v>
      </c>
      <c r="T1230">
        <v>12.455575800762094</v>
      </c>
    </row>
    <row r="1231" spans="1:20" x14ac:dyDescent="0.25">
      <c r="A1231" s="6" t="s">
        <v>1249</v>
      </c>
      <c r="B1231">
        <v>0</v>
      </c>
      <c r="C1231">
        <v>0</v>
      </c>
      <c r="D1231">
        <v>16.253496664211536</v>
      </c>
      <c r="E1231">
        <v>0</v>
      </c>
      <c r="F1231">
        <v>0</v>
      </c>
      <c r="G1231">
        <v>14.228357101933028</v>
      </c>
      <c r="H1231">
        <v>15.498609162048069</v>
      </c>
      <c r="I1231">
        <v>14.958875915319911</v>
      </c>
      <c r="J1231">
        <v>14.904768509980459</v>
      </c>
      <c r="K1231">
        <v>15.602444973032609</v>
      </c>
      <c r="L1231">
        <v>14.638786820096328</v>
      </c>
      <c r="M1231">
        <v>15.401747622795478</v>
      </c>
      <c r="N1231">
        <v>15.370853614849695</v>
      </c>
      <c r="O1231">
        <v>15.722115203695225</v>
      </c>
      <c r="P1231">
        <v>14.019876987451836</v>
      </c>
      <c r="Q1231">
        <v>15.171347622857667</v>
      </c>
      <c r="R1231">
        <v>13.996108821518886</v>
      </c>
      <c r="S1231">
        <v>13.785891114128539</v>
      </c>
      <c r="T1231">
        <v>13.737796825927495</v>
      </c>
    </row>
    <row r="1232" spans="1:20" x14ac:dyDescent="0.25">
      <c r="A1232" s="5" t="s">
        <v>1250</v>
      </c>
      <c r="B1232">
        <v>8.6211375559704031</v>
      </c>
      <c r="C1232">
        <v>8.5161415667910294</v>
      </c>
      <c r="D1232">
        <v>9.3850097486596109</v>
      </c>
      <c r="E1232">
        <v>9.2577065519156623</v>
      </c>
      <c r="F1232">
        <v>8.1579113220052371</v>
      </c>
      <c r="G1232">
        <v>7.3781017437277105</v>
      </c>
      <c r="H1232">
        <v>7.1571862951643652</v>
      </c>
      <c r="I1232">
        <v>7.2814769755389293</v>
      </c>
      <c r="J1232">
        <v>7.9718770094070157</v>
      </c>
      <c r="K1232">
        <v>8.1242241132841819</v>
      </c>
      <c r="L1232">
        <v>7.40392492010767</v>
      </c>
      <c r="M1232">
        <v>7.6125705408432847</v>
      </c>
      <c r="N1232">
        <v>7.8767139888820754</v>
      </c>
      <c r="O1232">
        <v>8.3272205937351309</v>
      </c>
      <c r="P1232">
        <v>8.0650020850772979</v>
      </c>
      <c r="Q1232">
        <v>7.6834325564299411</v>
      </c>
      <c r="R1232">
        <v>7.8096902838879023</v>
      </c>
      <c r="S1232">
        <v>9.4383395577981855</v>
      </c>
      <c r="T1232">
        <v>8.1205339166357611</v>
      </c>
    </row>
    <row r="1233" spans="1:20" x14ac:dyDescent="0.25">
      <c r="A1233" s="6" t="s">
        <v>1251</v>
      </c>
      <c r="B1233">
        <v>13.769680886947281</v>
      </c>
      <c r="C1233">
        <v>14.113945311812744</v>
      </c>
      <c r="D1233">
        <v>13.865479378866404</v>
      </c>
      <c r="E1233">
        <v>14.195504941452361</v>
      </c>
      <c r="F1233">
        <v>14.06367210533152</v>
      </c>
      <c r="G1233">
        <v>13.414292876114592</v>
      </c>
      <c r="H1233">
        <v>13.706602204323898</v>
      </c>
      <c r="I1233">
        <v>13.79201721692538</v>
      </c>
      <c r="J1233">
        <v>13.913646661326911</v>
      </c>
      <c r="K1233">
        <v>14.414292876114592</v>
      </c>
      <c r="L1233">
        <v>13.520481342525573</v>
      </c>
      <c r="M1233">
        <v>14.452596764291233</v>
      </c>
      <c r="N1233">
        <v>13.513716054438275</v>
      </c>
      <c r="O1233">
        <v>13.651725875803827</v>
      </c>
      <c r="P1233">
        <v>13.348109659193405</v>
      </c>
      <c r="Q1233">
        <v>13.986710123516636</v>
      </c>
      <c r="R1233">
        <v>13.527278504879339</v>
      </c>
      <c r="S1233">
        <v>14.12937535238235</v>
      </c>
      <c r="T1233">
        <v>13.7397690682591</v>
      </c>
    </row>
    <row r="1234" spans="1:20" x14ac:dyDescent="0.25">
      <c r="A1234" s="5" t="s">
        <v>1252</v>
      </c>
      <c r="B1234">
        <v>13.714337853103505</v>
      </c>
      <c r="C1234">
        <v>0</v>
      </c>
      <c r="D1234">
        <v>14.231128851183081</v>
      </c>
      <c r="E1234">
        <v>14.267654727208196</v>
      </c>
      <c r="F1234">
        <v>12.929113569325681</v>
      </c>
      <c r="G1234">
        <v>13.486967755612673</v>
      </c>
      <c r="H1234">
        <v>13.355651208206025</v>
      </c>
      <c r="I1234">
        <v>0</v>
      </c>
      <c r="J1234">
        <v>12.549307693719792</v>
      </c>
      <c r="K1234">
        <v>13.556529137977249</v>
      </c>
      <c r="L1234">
        <v>13.404873723782199</v>
      </c>
      <c r="M1234">
        <v>13.105109061563812</v>
      </c>
      <c r="N1234">
        <v>13.422189420409488</v>
      </c>
      <c r="O1234">
        <v>13.679849476718214</v>
      </c>
      <c r="P1234">
        <v>12.159590581018769</v>
      </c>
      <c r="Q1234">
        <v>11.224868809797563</v>
      </c>
      <c r="R1234">
        <v>11.617325222575616</v>
      </c>
      <c r="S1234">
        <v>11.800915642694482</v>
      </c>
      <c r="T1234">
        <v>11.464382847522014</v>
      </c>
    </row>
    <row r="1235" spans="1:20" x14ac:dyDescent="0.25">
      <c r="A1235" s="6" t="s">
        <v>1253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15.913646661326911</v>
      </c>
      <c r="R1235">
        <v>15.602444973032609</v>
      </c>
      <c r="S1235">
        <v>15.358678900903593</v>
      </c>
      <c r="T1235">
        <v>15.653583822024411</v>
      </c>
    </row>
    <row r="1236" spans="1:20" x14ac:dyDescent="0.25">
      <c r="A1236" s="5" t="s">
        <v>1254</v>
      </c>
      <c r="B1236">
        <v>12.460568125036557</v>
      </c>
      <c r="C1236">
        <v>12.002523251383401</v>
      </c>
      <c r="D1236">
        <v>11.684794723920998</v>
      </c>
      <c r="E1236">
        <v>12.050491326699555</v>
      </c>
      <c r="F1236">
        <v>12.248152822293743</v>
      </c>
      <c r="G1236">
        <v>12.900030010587697</v>
      </c>
      <c r="H1236">
        <v>13.53239747550435</v>
      </c>
      <c r="I1236">
        <v>13.607838231802827</v>
      </c>
      <c r="J1236">
        <v>13.426948176920622</v>
      </c>
      <c r="K1236">
        <v>12.745642573519056</v>
      </c>
      <c r="L1236">
        <v>12.499895470478418</v>
      </c>
      <c r="M1236">
        <v>13.829330375393436</v>
      </c>
      <c r="N1236">
        <v>14.968094445349289</v>
      </c>
      <c r="O1236">
        <v>13.02051220067071</v>
      </c>
      <c r="P1236">
        <v>14.741744010444156</v>
      </c>
      <c r="Q1236">
        <v>15.949715916034434</v>
      </c>
      <c r="R1236">
        <v>15.43331770179635</v>
      </c>
      <c r="S1236">
        <v>15.044043298582586</v>
      </c>
      <c r="T1236">
        <v>15.370853614849695</v>
      </c>
    </row>
    <row r="1237" spans="1:20" x14ac:dyDescent="0.25">
      <c r="A1237" s="6" t="s">
        <v>1255</v>
      </c>
      <c r="B1237">
        <v>16.253496664211536</v>
      </c>
      <c r="C1237">
        <v>16.383131944628133</v>
      </c>
      <c r="D1237">
        <v>15.225590667641651</v>
      </c>
      <c r="E1237">
        <v>16.15546458125101</v>
      </c>
      <c r="F1237">
        <v>15.383131944628133</v>
      </c>
      <c r="G1237">
        <v>16.420606650046796</v>
      </c>
      <c r="H1237">
        <v>16.310982158872296</v>
      </c>
      <c r="I1237">
        <v>16.144972207433366</v>
      </c>
      <c r="J1237">
        <v>16.779385150269128</v>
      </c>
      <c r="K1237">
        <v>16.209102544853081</v>
      </c>
      <c r="L1237">
        <v>16.144972207433366</v>
      </c>
      <c r="M1237">
        <v>16.459080797861432</v>
      </c>
      <c r="N1237">
        <v>16.024677973715658</v>
      </c>
      <c r="O1237">
        <v>16.322759326648651</v>
      </c>
      <c r="P1237">
        <v>17.692781709737059</v>
      </c>
      <c r="Q1237">
        <v>0</v>
      </c>
      <c r="R1237">
        <v>17.451303447269712</v>
      </c>
      <c r="S1237">
        <v>16.498609162048069</v>
      </c>
      <c r="T1237">
        <v>0</v>
      </c>
    </row>
    <row r="1238" spans="1:20" x14ac:dyDescent="0.25">
      <c r="A1238" s="5" t="s">
        <v>1256</v>
      </c>
      <c r="B1238">
        <v>13.486967755612673</v>
      </c>
      <c r="C1238">
        <v>12.806568463706233</v>
      </c>
      <c r="D1238">
        <v>12.519041061952882</v>
      </c>
      <c r="E1238">
        <v>12.987916777254799</v>
      </c>
      <c r="F1238">
        <v>13.212070224090414</v>
      </c>
      <c r="G1238">
        <v>14.119070343990613</v>
      </c>
      <c r="H1238">
        <v>14.769680886947281</v>
      </c>
      <c r="I1238">
        <v>14.203648114760977</v>
      </c>
      <c r="J1238">
        <v>14.231128851183081</v>
      </c>
      <c r="K1238">
        <v>13.607838231802827</v>
      </c>
      <c r="L1238">
        <v>13.058013721140876</v>
      </c>
      <c r="M1238">
        <v>14.765656630388486</v>
      </c>
      <c r="N1238">
        <v>15.465594104820106</v>
      </c>
      <c r="O1238">
        <v>14.06367210533152</v>
      </c>
      <c r="P1238">
        <v>15.539251146545414</v>
      </c>
      <c r="Q1238">
        <v>16.955204933591414</v>
      </c>
      <c r="R1238">
        <v>17.001777571605579</v>
      </c>
      <c r="S1238">
        <v>16.873252073733351</v>
      </c>
      <c r="T1238">
        <v>17.322759326648651</v>
      </c>
    </row>
    <row r="1239" spans="1:20" x14ac:dyDescent="0.25">
      <c r="A1239" s="6" t="s">
        <v>1257</v>
      </c>
      <c r="B1239">
        <v>14.217323051658052</v>
      </c>
      <c r="C1239">
        <v>13.763648703772239</v>
      </c>
      <c r="D1239">
        <v>14.228357101933028</v>
      </c>
      <c r="E1239">
        <v>14.293494732143458</v>
      </c>
      <c r="F1239">
        <v>13.493608480989701</v>
      </c>
      <c r="G1239">
        <v>13.644317926069556</v>
      </c>
      <c r="H1239">
        <v>13.061228511405245</v>
      </c>
      <c r="I1239">
        <v>12.968765084471185</v>
      </c>
      <c r="J1239">
        <v>14.088589737535848</v>
      </c>
      <c r="K1239">
        <v>13.783854846972021</v>
      </c>
      <c r="L1239">
        <v>13.390859306652745</v>
      </c>
      <c r="M1239">
        <v>13.977372258937299</v>
      </c>
      <c r="N1239">
        <v>13.823044112546006</v>
      </c>
      <c r="O1239">
        <v>14.184718386226123</v>
      </c>
      <c r="P1239">
        <v>13.655444164049936</v>
      </c>
      <c r="Q1239">
        <v>13.554791997441193</v>
      </c>
      <c r="R1239">
        <v>12.877859854848897</v>
      </c>
      <c r="S1239">
        <v>12.337983232700259</v>
      </c>
      <c r="T1239">
        <v>13.495273449484813</v>
      </c>
    </row>
    <row r="1240" spans="1:20" x14ac:dyDescent="0.25">
      <c r="A1240" s="5" t="s">
        <v>1258</v>
      </c>
      <c r="B1240">
        <v>14.810553168362809</v>
      </c>
      <c r="C1240">
        <v>13.963477817278919</v>
      </c>
      <c r="D1240">
        <v>14.777763233245141</v>
      </c>
      <c r="E1240">
        <v>14.61687204366789</v>
      </c>
      <c r="F1240">
        <v>14.895944659593452</v>
      </c>
      <c r="G1240">
        <v>13.683641055880589</v>
      </c>
      <c r="H1240">
        <v>13.544412851661193</v>
      </c>
      <c r="I1240">
        <v>14.549593090766873</v>
      </c>
      <c r="J1240">
        <v>14.798169443906975</v>
      </c>
      <c r="K1240">
        <v>14.305129432626858</v>
      </c>
      <c r="L1240">
        <v>14.242269408788282</v>
      </c>
      <c r="M1240">
        <v>14.563498692792091</v>
      </c>
      <c r="N1240">
        <v>14.364753415313277</v>
      </c>
      <c r="O1240">
        <v>14.683641055880589</v>
      </c>
      <c r="P1240">
        <v>14.247872115017659</v>
      </c>
      <c r="Q1240">
        <v>13.67229608228658</v>
      </c>
      <c r="R1240">
        <v>13.657306908067127</v>
      </c>
      <c r="S1240">
        <v>12.444058102370509</v>
      </c>
      <c r="T1240">
        <v>14.305129432626858</v>
      </c>
    </row>
    <row r="1241" spans="1:20" x14ac:dyDescent="0.25">
      <c r="A1241" s="6" t="s">
        <v>1259</v>
      </c>
      <c r="B1241">
        <v>0</v>
      </c>
      <c r="C1241">
        <v>16.683641055880589</v>
      </c>
      <c r="D1241">
        <v>17.378208065988847</v>
      </c>
      <c r="E1241">
        <v>16.083571662769224</v>
      </c>
      <c r="F1241">
        <v>0</v>
      </c>
      <c r="G1241">
        <v>16.383131944628133</v>
      </c>
      <c r="H1241">
        <v>0</v>
      </c>
      <c r="I1241">
        <v>0</v>
      </c>
      <c r="J1241">
        <v>18.902999417127404</v>
      </c>
      <c r="K1241">
        <v>17.318036916406246</v>
      </c>
      <c r="L1241">
        <v>16.854325570391715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16.996108821518888</v>
      </c>
      <c r="T1241">
        <v>0</v>
      </c>
    </row>
    <row r="1242" spans="1:20" x14ac:dyDescent="0.25">
      <c r="A1242" s="5" t="s">
        <v>1260</v>
      </c>
      <c r="B1242">
        <v>13.419025614227316</v>
      </c>
      <c r="C1242">
        <v>13.422189420409488</v>
      </c>
      <c r="D1242">
        <v>0</v>
      </c>
      <c r="E1242">
        <v>0</v>
      </c>
      <c r="F1242">
        <v>14.653583822024411</v>
      </c>
      <c r="G1242">
        <v>13.018679233094213</v>
      </c>
      <c r="H1242">
        <v>13.0871578069773</v>
      </c>
      <c r="I1242">
        <v>0</v>
      </c>
      <c r="J1242">
        <v>12.47485275560315</v>
      </c>
      <c r="K1242">
        <v>13.423773929125478</v>
      </c>
      <c r="L1242">
        <v>12.056077221565454</v>
      </c>
      <c r="M1242">
        <v>12.661927568720952</v>
      </c>
      <c r="N1242">
        <v>11.835754886747482</v>
      </c>
      <c r="O1242">
        <v>12.989652378661065</v>
      </c>
      <c r="P1242">
        <v>12.072642669708184</v>
      </c>
      <c r="Q1242">
        <v>12.520930665350722</v>
      </c>
      <c r="R1242">
        <v>12.381837798928968</v>
      </c>
      <c r="S1242">
        <v>0</v>
      </c>
      <c r="T1242">
        <v>0</v>
      </c>
    </row>
    <row r="1243" spans="1:20" x14ac:dyDescent="0.25">
      <c r="A1243" s="6" t="s">
        <v>1261</v>
      </c>
      <c r="B1243">
        <v>14.539251146545414</v>
      </c>
      <c r="C1243">
        <v>14.364753415313277</v>
      </c>
      <c r="D1243">
        <v>15.029494990013431</v>
      </c>
      <c r="E1243">
        <v>13.977372258937299</v>
      </c>
      <c r="F1243">
        <v>14.613251727989191</v>
      </c>
      <c r="G1243">
        <v>15.119070343990609</v>
      </c>
      <c r="H1243">
        <v>13.488625073475445</v>
      </c>
      <c r="I1243">
        <v>14.296394622649251</v>
      </c>
      <c r="J1243">
        <v>14.250681648604484</v>
      </c>
      <c r="K1243">
        <v>13.779790914592123</v>
      </c>
      <c r="L1243">
        <v>13.56524635507836</v>
      </c>
      <c r="M1243">
        <v>14.46233377565652</v>
      </c>
      <c r="N1243">
        <v>14.299300353824661</v>
      </c>
      <c r="O1243">
        <v>14.179355201459032</v>
      </c>
      <c r="P1243">
        <v>14.40800661326716</v>
      </c>
      <c r="Q1243">
        <v>13.510345270099036</v>
      </c>
      <c r="R1243">
        <v>14.029494990013431</v>
      </c>
      <c r="S1243">
        <v>13.75365077712833</v>
      </c>
      <c r="T1243">
        <v>13.947434974783196</v>
      </c>
    </row>
    <row r="1244" spans="1:20" x14ac:dyDescent="0.25">
      <c r="A1244" s="5" t="s">
        <v>1262</v>
      </c>
      <c r="B1244">
        <v>14.051372840381076</v>
      </c>
      <c r="C1244">
        <v>14.702749878828294</v>
      </c>
      <c r="D1244">
        <v>14.566996137028319</v>
      </c>
      <c r="E1244">
        <v>14.664782028629272</v>
      </c>
      <c r="F1244">
        <v>14.305129432626858</v>
      </c>
      <c r="G1244">
        <v>14.187407473753764</v>
      </c>
      <c r="H1244">
        <v>13.993753400520754</v>
      </c>
      <c r="I1244">
        <v>14.209102544853085</v>
      </c>
      <c r="J1244">
        <v>13.53239747550435</v>
      </c>
      <c r="K1244">
        <v>14.823044112546006</v>
      </c>
      <c r="L1244">
        <v>14.236688376524981</v>
      </c>
      <c r="M1244">
        <v>13.457457055381768</v>
      </c>
      <c r="N1244">
        <v>13.891552890476294</v>
      </c>
      <c r="O1244">
        <v>13.45908079786143</v>
      </c>
      <c r="P1244">
        <v>13.135438084928824</v>
      </c>
      <c r="Q1244">
        <v>12.359618777288746</v>
      </c>
      <c r="R1244">
        <v>12.906417930734705</v>
      </c>
      <c r="S1244">
        <v>12.297621580166938</v>
      </c>
      <c r="T1244">
        <v>12.156287520661202</v>
      </c>
    </row>
    <row r="1245" spans="1:20" x14ac:dyDescent="0.25">
      <c r="A1245" s="6" t="s">
        <v>1263</v>
      </c>
      <c r="B1245">
        <v>12.286717263246892</v>
      </c>
      <c r="C1245">
        <v>12.367304735517857</v>
      </c>
      <c r="D1245">
        <v>12.612573929038088</v>
      </c>
      <c r="E1245">
        <v>12.403262935831343</v>
      </c>
      <c r="F1245">
        <v>12.19644584206392</v>
      </c>
      <c r="G1245">
        <v>12.679603368635874</v>
      </c>
      <c r="H1245">
        <v>12.512248795331786</v>
      </c>
      <c r="I1245">
        <v>12.168900843821865</v>
      </c>
      <c r="J1245">
        <v>11.996993096778498</v>
      </c>
      <c r="K1245">
        <v>12.165543283971715</v>
      </c>
      <c r="L1245">
        <v>12.096402412103723</v>
      </c>
      <c r="M1245">
        <v>12.358390996798775</v>
      </c>
      <c r="N1245">
        <v>11.738432579579808</v>
      </c>
      <c r="O1245">
        <v>12.08634826484279</v>
      </c>
      <c r="P1245">
        <v>12.080356735158601</v>
      </c>
      <c r="Q1245">
        <v>11.988754999671077</v>
      </c>
      <c r="R1245">
        <v>11.926275260516981</v>
      </c>
      <c r="S1245">
        <v>11.987981238614498</v>
      </c>
      <c r="T1245">
        <v>11.916900845288412</v>
      </c>
    </row>
    <row r="1246" spans="1:20" x14ac:dyDescent="0.25">
      <c r="A1246" s="5" t="s">
        <v>1264</v>
      </c>
      <c r="B1246">
        <v>14.781821449819493</v>
      </c>
      <c r="C1246">
        <v>14.539251146545414</v>
      </c>
      <c r="D1246">
        <v>14.991401818841357</v>
      </c>
      <c r="E1246">
        <v>14.386217924501876</v>
      </c>
      <c r="F1246">
        <v>12.909422726453998</v>
      </c>
      <c r="G1246">
        <v>11.229413203330783</v>
      </c>
      <c r="H1246">
        <v>12.028204861603799</v>
      </c>
      <c r="I1246">
        <v>12.637287858696673</v>
      </c>
      <c r="J1246">
        <v>13.887174449965721</v>
      </c>
      <c r="K1246">
        <v>12.540531247394872</v>
      </c>
      <c r="L1246">
        <v>13.062338722858458</v>
      </c>
      <c r="M1246">
        <v>12.92584297887981</v>
      </c>
      <c r="N1246">
        <v>13.470498455291123</v>
      </c>
      <c r="O1246">
        <v>13.810553168362809</v>
      </c>
      <c r="P1246">
        <v>12.14006702913246</v>
      </c>
      <c r="Q1246">
        <v>10.36699795771049</v>
      </c>
      <c r="R1246">
        <v>12.026675083508522</v>
      </c>
      <c r="S1246">
        <v>9.2798127492528408</v>
      </c>
      <c r="T1246">
        <v>10.464460304922413</v>
      </c>
    </row>
    <row r="1247" spans="1:20" x14ac:dyDescent="0.25">
      <c r="A1247" s="6" t="s">
        <v>1265</v>
      </c>
      <c r="B1247">
        <v>11.720196136554351</v>
      </c>
      <c r="C1247">
        <v>11.721540189873389</v>
      </c>
      <c r="D1247">
        <v>11.681597104580836</v>
      </c>
      <c r="E1247">
        <v>12.141839317948405</v>
      </c>
      <c r="F1247">
        <v>11.937565948027114</v>
      </c>
      <c r="G1247">
        <v>11.713426760919244</v>
      </c>
      <c r="H1247">
        <v>11.949402072692385</v>
      </c>
      <c r="I1247">
        <v>11.47537434846625</v>
      </c>
      <c r="J1247">
        <v>11.918955203358456</v>
      </c>
      <c r="K1247">
        <v>11.643763860246622</v>
      </c>
      <c r="L1247">
        <v>11.533543197714231</v>
      </c>
      <c r="M1247">
        <v>11.962924813359459</v>
      </c>
      <c r="N1247">
        <v>11.358690266718119</v>
      </c>
      <c r="O1247">
        <v>11.789139814129697</v>
      </c>
      <c r="P1247">
        <v>11.661034955011122</v>
      </c>
      <c r="Q1247">
        <v>12.594588999131386</v>
      </c>
      <c r="R1247">
        <v>12.152170943143938</v>
      </c>
      <c r="S1247">
        <v>12.40698767776551</v>
      </c>
      <c r="T1247">
        <v>12.351098937127789</v>
      </c>
    </row>
    <row r="1248" spans="1:20" x14ac:dyDescent="0.25">
      <c r="A1248" s="5" t="s">
        <v>1266</v>
      </c>
      <c r="B1248">
        <v>15.259143227352677</v>
      </c>
      <c r="C1248">
        <v>0</v>
      </c>
      <c r="D1248">
        <v>0</v>
      </c>
      <c r="E1248">
        <v>0</v>
      </c>
      <c r="F1248">
        <v>15.777763233245141</v>
      </c>
      <c r="G1248">
        <v>0</v>
      </c>
      <c r="H1248">
        <v>15.485312339434612</v>
      </c>
      <c r="I1248">
        <v>15.512029677810389</v>
      </c>
      <c r="J1248">
        <v>15.446141742153934</v>
      </c>
      <c r="K1248">
        <v>16.408006613267162</v>
      </c>
      <c r="L1248">
        <v>0</v>
      </c>
      <c r="M1248">
        <v>0</v>
      </c>
      <c r="N1248">
        <v>14.59171856643955</v>
      </c>
      <c r="O1248">
        <v>15.729934708154525</v>
      </c>
      <c r="P1248">
        <v>14.806413438001886</v>
      </c>
      <c r="Q1248">
        <v>14.563498692792091</v>
      </c>
      <c r="R1248">
        <v>14.714337853103507</v>
      </c>
      <c r="S1248">
        <v>15.420606650046794</v>
      </c>
      <c r="T1248">
        <v>14.726019658151142</v>
      </c>
    </row>
    <row r="1249" spans="1:20" x14ac:dyDescent="0.25">
      <c r="A1249" s="6" t="s">
        <v>1267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15.010322680738586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14.119070343990613</v>
      </c>
      <c r="Q1249">
        <v>13.586385122136509</v>
      </c>
      <c r="R1249">
        <v>13.346606068603018</v>
      </c>
      <c r="S1249">
        <v>14.769680886947281</v>
      </c>
      <c r="T1249">
        <v>13.863327708011353</v>
      </c>
    </row>
    <row r="1250" spans="1:20" x14ac:dyDescent="0.25">
      <c r="A1250" s="5" t="s">
        <v>1268</v>
      </c>
      <c r="B1250">
        <v>11.956844249221273</v>
      </c>
      <c r="C1250">
        <v>12.718833882507726</v>
      </c>
      <c r="D1250">
        <v>12.18923218297158</v>
      </c>
      <c r="E1250">
        <v>12.479228475232397</v>
      </c>
      <c r="F1250">
        <v>12.631435690627853</v>
      </c>
      <c r="G1250">
        <v>12.240243789041546</v>
      </c>
      <c r="H1250">
        <v>12.330466365947766</v>
      </c>
      <c r="I1250">
        <v>11.974501361865501</v>
      </c>
      <c r="J1250">
        <v>12.313285858160318</v>
      </c>
      <c r="K1250">
        <v>0</v>
      </c>
      <c r="L1250">
        <v>11.49734902417414</v>
      </c>
      <c r="M1250">
        <v>11.601503222144853</v>
      </c>
      <c r="N1250">
        <v>12.302160945776004</v>
      </c>
      <c r="O1250">
        <v>0</v>
      </c>
      <c r="P1250">
        <v>11.491621360410837</v>
      </c>
      <c r="Q1250">
        <v>11.107230305165565</v>
      </c>
      <c r="R1250">
        <v>10.85741640015469</v>
      </c>
      <c r="S1250">
        <v>11.373542067970762</v>
      </c>
      <c r="T1250">
        <v>10.913207018027521</v>
      </c>
    </row>
    <row r="1251" spans="1:20" x14ac:dyDescent="0.25">
      <c r="A1251" s="6" t="s">
        <v>1269</v>
      </c>
      <c r="B1251">
        <v>17.237802857106391</v>
      </c>
      <c r="C1251">
        <v>15.714337853103507</v>
      </c>
      <c r="D1251">
        <v>15.465594104820106</v>
      </c>
      <c r="E1251">
        <v>16.113945311812746</v>
      </c>
      <c r="F1251">
        <v>16.96071491498369</v>
      </c>
      <c r="G1251">
        <v>0</v>
      </c>
      <c r="H1251">
        <v>0</v>
      </c>
      <c r="I1251">
        <v>0</v>
      </c>
      <c r="J1251">
        <v>17.533765607461685</v>
      </c>
      <c r="K1251">
        <v>16.370853614849693</v>
      </c>
      <c r="L1251">
        <v>16.383131944628133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17.823880700009802</v>
      </c>
      <c r="S1251">
        <v>0</v>
      </c>
      <c r="T1251">
        <v>0</v>
      </c>
    </row>
    <row r="1252" spans="1:20" x14ac:dyDescent="0.25">
      <c r="A1252" s="5" t="s">
        <v>1270</v>
      </c>
      <c r="B1252">
        <v>7.4105509685273079</v>
      </c>
      <c r="C1252">
        <v>6.862544154174361</v>
      </c>
      <c r="D1252">
        <v>6.7485279724661398</v>
      </c>
      <c r="E1252">
        <v>6.8096172942630684</v>
      </c>
      <c r="F1252">
        <v>6.9403555256290224</v>
      </c>
      <c r="G1252">
        <v>7.0451357859669574</v>
      </c>
      <c r="H1252">
        <v>7.7177410565306657</v>
      </c>
      <c r="I1252">
        <v>7.3313178674439019</v>
      </c>
      <c r="J1252">
        <v>7.3491120617331207</v>
      </c>
      <c r="K1252">
        <v>6.9863996539980109</v>
      </c>
      <c r="L1252">
        <v>6.7641421123384236</v>
      </c>
      <c r="M1252">
        <v>7.5075403616391565</v>
      </c>
      <c r="N1252">
        <v>7.4805182238964107</v>
      </c>
      <c r="O1252">
        <v>7.0689633667124339</v>
      </c>
      <c r="P1252">
        <v>7.4646233867283831</v>
      </c>
      <c r="Q1252">
        <v>7.9244838200994998</v>
      </c>
      <c r="R1252">
        <v>7.3639675089940564</v>
      </c>
      <c r="S1252">
        <v>7.3712300025600461</v>
      </c>
      <c r="T1252">
        <v>7.7679066298237247</v>
      </c>
    </row>
    <row r="1253" spans="1:20" x14ac:dyDescent="0.25">
      <c r="A1253" s="6" t="s">
        <v>1271</v>
      </c>
      <c r="B1253">
        <v>11.937254736402181</v>
      </c>
      <c r="C1253">
        <v>12.068342476788473</v>
      </c>
      <c r="D1253">
        <v>12.517052450539794</v>
      </c>
      <c r="E1253">
        <v>12.642379625924587</v>
      </c>
      <c r="F1253">
        <v>11.329846057233913</v>
      </c>
      <c r="G1253">
        <v>10.110912511228287</v>
      </c>
      <c r="H1253">
        <v>11.901839627769942</v>
      </c>
      <c r="I1253">
        <v>11.499527836741171</v>
      </c>
      <c r="J1253">
        <v>11.724241821108468</v>
      </c>
      <c r="K1253">
        <v>11.750470989275744</v>
      </c>
      <c r="L1253">
        <v>11.640126166913971</v>
      </c>
      <c r="M1253">
        <v>11.374315495515743</v>
      </c>
      <c r="N1253">
        <v>11.633606844814651</v>
      </c>
      <c r="O1253">
        <v>12.211235374664582</v>
      </c>
      <c r="P1253">
        <v>10.456696554736393</v>
      </c>
      <c r="Q1253">
        <v>10.213998381870462</v>
      </c>
      <c r="R1253">
        <v>10.359402703113942</v>
      </c>
      <c r="S1253">
        <v>8.8429843625146365</v>
      </c>
      <c r="T1253">
        <v>9.804087469762786</v>
      </c>
    </row>
    <row r="1254" spans="1:20" x14ac:dyDescent="0.25">
      <c r="A1254" s="5" t="s">
        <v>1272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13.745702024012841</v>
      </c>
      <c r="R1254">
        <v>13.392409758216141</v>
      </c>
      <c r="S1254">
        <v>13.854752972273344</v>
      </c>
      <c r="T1254">
        <v>13.215441905086005</v>
      </c>
    </row>
    <row r="1255" spans="1:20" x14ac:dyDescent="0.25">
      <c r="A1255" s="6" t="s">
        <v>1273</v>
      </c>
      <c r="B1255">
        <v>15.401747622795478</v>
      </c>
      <c r="C1255">
        <v>14.373913414598753</v>
      </c>
      <c r="D1255">
        <v>14.40800661326716</v>
      </c>
      <c r="E1255">
        <v>14.46233377565652</v>
      </c>
      <c r="F1255">
        <v>15.029494990013431</v>
      </c>
      <c r="G1255">
        <v>15.078570981710859</v>
      </c>
      <c r="H1255">
        <v>0</v>
      </c>
      <c r="I1255">
        <v>14.679849476718214</v>
      </c>
      <c r="J1255">
        <v>15.395515669083965</v>
      </c>
      <c r="K1255">
        <v>14.518787043985698</v>
      </c>
      <c r="L1255">
        <v>14.512029677810389</v>
      </c>
      <c r="M1255">
        <v>14.789972290940359</v>
      </c>
      <c r="N1255">
        <v>15.124213647266568</v>
      </c>
      <c r="O1255">
        <v>15.861179241432778</v>
      </c>
      <c r="P1255">
        <v>14.963477817278919</v>
      </c>
      <c r="Q1255">
        <v>14.991401818841357</v>
      </c>
      <c r="R1255">
        <v>14.192800732523983</v>
      </c>
      <c r="S1255">
        <v>15.638786820096328</v>
      </c>
      <c r="T1255">
        <v>14.331655727137047</v>
      </c>
    </row>
    <row r="1256" spans="1:20" x14ac:dyDescent="0.25">
      <c r="A1256" s="5" t="s">
        <v>1274</v>
      </c>
      <c r="B1256">
        <v>14.498609162048069</v>
      </c>
      <c r="C1256">
        <v>14.423773929125478</v>
      </c>
      <c r="D1256">
        <v>14.972725894080934</v>
      </c>
      <c r="E1256">
        <v>14.982033636307161</v>
      </c>
      <c r="F1256">
        <v>14.831431898038725</v>
      </c>
      <c r="G1256">
        <v>15.852617227929352</v>
      </c>
      <c r="H1256">
        <v>15.810553168362809</v>
      </c>
      <c r="I1256">
        <v>14.613251727989191</v>
      </c>
      <c r="J1256">
        <v>14.501952605122439</v>
      </c>
      <c r="K1256">
        <v>14.839868735187364</v>
      </c>
      <c r="L1256">
        <v>15.12937535238235</v>
      </c>
      <c r="M1256">
        <v>0</v>
      </c>
      <c r="N1256">
        <v>0</v>
      </c>
      <c r="O1256">
        <v>15.06367210533152</v>
      </c>
      <c r="P1256">
        <v>16.044043298582586</v>
      </c>
      <c r="Q1256">
        <v>0</v>
      </c>
      <c r="R1256">
        <v>0</v>
      </c>
      <c r="S1256">
        <v>0</v>
      </c>
      <c r="T1256">
        <v>0</v>
      </c>
    </row>
    <row r="1257" spans="1:20" x14ac:dyDescent="0.25">
      <c r="A1257" s="6" t="s">
        <v>1275</v>
      </c>
      <c r="B1257">
        <v>0</v>
      </c>
      <c r="C1257">
        <v>13.745702024012841</v>
      </c>
      <c r="D1257">
        <v>13.655444164049936</v>
      </c>
      <c r="E1257">
        <v>13.706602204323898</v>
      </c>
      <c r="F1257">
        <v>0</v>
      </c>
      <c r="G1257">
        <v>14.420606650046794</v>
      </c>
      <c r="H1257">
        <v>15.103749544706854</v>
      </c>
      <c r="I1257">
        <v>14.522177633186471</v>
      </c>
      <c r="J1257">
        <v>0</v>
      </c>
      <c r="K1257">
        <v>13.611444971283561</v>
      </c>
      <c r="L1257">
        <v>13.681744020707992</v>
      </c>
      <c r="M1257">
        <v>0</v>
      </c>
      <c r="N1257">
        <v>0</v>
      </c>
      <c r="O1257">
        <v>15.053824319375174</v>
      </c>
      <c r="P1257">
        <v>0</v>
      </c>
      <c r="Q1257">
        <v>0</v>
      </c>
      <c r="R1257">
        <v>0</v>
      </c>
      <c r="S1257">
        <v>0</v>
      </c>
      <c r="T1257">
        <v>15.364753415313277</v>
      </c>
    </row>
    <row r="1258" spans="1:20" x14ac:dyDescent="0.25">
      <c r="A1258" s="5" t="s">
        <v>1276</v>
      </c>
      <c r="B1258">
        <v>12.009674089922141</v>
      </c>
      <c r="C1258">
        <v>11.558163959482862</v>
      </c>
      <c r="D1258">
        <v>11.531940295671573</v>
      </c>
      <c r="E1258">
        <v>11.615807633235217</v>
      </c>
      <c r="F1258">
        <v>11.856501295187794</v>
      </c>
      <c r="G1258">
        <v>11.575829869510622</v>
      </c>
      <c r="H1258">
        <v>12.220046130588688</v>
      </c>
      <c r="I1258">
        <v>11.879310282911478</v>
      </c>
      <c r="J1258">
        <v>12.146704742726433</v>
      </c>
      <c r="K1258">
        <v>11.86233901599106</v>
      </c>
      <c r="L1258">
        <v>11.665859768288026</v>
      </c>
      <c r="M1258">
        <v>12.407426515599496</v>
      </c>
      <c r="N1258">
        <v>12.565010297021345</v>
      </c>
      <c r="O1258">
        <v>12.029790555643068</v>
      </c>
      <c r="P1258">
        <v>12.29124408819979</v>
      </c>
      <c r="Q1258">
        <v>12.247914217627356</v>
      </c>
      <c r="R1258">
        <v>12.179294978897024</v>
      </c>
      <c r="S1258">
        <v>11.90050977936853</v>
      </c>
      <c r="T1258">
        <v>12.466981978944348</v>
      </c>
    </row>
    <row r="1259" spans="1:20" x14ac:dyDescent="0.25">
      <c r="A1259" s="6" t="s">
        <v>1277</v>
      </c>
      <c r="B1259">
        <v>0</v>
      </c>
      <c r="C1259">
        <v>16.446141742153934</v>
      </c>
      <c r="D1259">
        <v>16.625598048339789</v>
      </c>
      <c r="E1259">
        <v>16.933373066170923</v>
      </c>
      <c r="F1259">
        <v>17.018918704426969</v>
      </c>
      <c r="G1259">
        <v>0</v>
      </c>
      <c r="H1259">
        <v>17.246749831770952</v>
      </c>
      <c r="I1259">
        <v>0</v>
      </c>
      <c r="J1259">
        <v>17.598144835598983</v>
      </c>
      <c r="K1259">
        <v>0</v>
      </c>
      <c r="L1259">
        <v>17.902999417127404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25">
      <c r="A1260" s="5" t="s">
        <v>1278</v>
      </c>
      <c r="B1260">
        <v>11.758961047571921</v>
      </c>
      <c r="C1260">
        <v>11.891306250173898</v>
      </c>
      <c r="D1260">
        <v>11.508372803540787</v>
      </c>
      <c r="E1260">
        <v>11.582543940748957</v>
      </c>
      <c r="F1260">
        <v>12.464916980442672</v>
      </c>
      <c r="G1260">
        <v>12.431993711185868</v>
      </c>
      <c r="H1260">
        <v>12.179857153928308</v>
      </c>
      <c r="I1260">
        <v>11.825764797407091</v>
      </c>
      <c r="J1260">
        <v>11.844466446925793</v>
      </c>
      <c r="K1260">
        <v>11.853060134992878</v>
      </c>
      <c r="L1260">
        <v>11.809185743724674</v>
      </c>
      <c r="M1260">
        <v>12.072518386230115</v>
      </c>
      <c r="N1260">
        <v>11.824743939228496</v>
      </c>
      <c r="O1260">
        <v>11.374369114772463</v>
      </c>
      <c r="P1260">
        <v>12.487539315187464</v>
      </c>
      <c r="Q1260">
        <v>13.874118297140276</v>
      </c>
      <c r="R1260">
        <v>12.87268930729315</v>
      </c>
      <c r="S1260">
        <v>12.578412920030196</v>
      </c>
      <c r="T1260">
        <v>13.031849129846456</v>
      </c>
    </row>
    <row r="1261" spans="1:20" x14ac:dyDescent="0.25">
      <c r="A1261" s="6" t="s">
        <v>1279</v>
      </c>
      <c r="B1261">
        <v>12.580850338086911</v>
      </c>
      <c r="C1261">
        <v>11.582676682922775</v>
      </c>
      <c r="D1261">
        <v>11.161743946328423</v>
      </c>
      <c r="E1261">
        <v>11.207075180108804</v>
      </c>
      <c r="F1261">
        <v>12.322766717523324</v>
      </c>
      <c r="G1261">
        <v>11.962844184662087</v>
      </c>
      <c r="H1261">
        <v>12.160884857035263</v>
      </c>
      <c r="I1261">
        <v>12.186042135445366</v>
      </c>
      <c r="J1261">
        <v>12.601843975298072</v>
      </c>
      <c r="K1261">
        <v>11.443214240090864</v>
      </c>
      <c r="L1261">
        <v>11.488629219156808</v>
      </c>
      <c r="M1261">
        <v>12.696789450949021</v>
      </c>
      <c r="N1261">
        <v>12.527193342396453</v>
      </c>
      <c r="O1261">
        <v>12.049481920668182</v>
      </c>
      <c r="P1261">
        <v>12.819879928497189</v>
      </c>
      <c r="Q1261">
        <v>12.821487260397689</v>
      </c>
      <c r="R1261">
        <v>12.580072743034133</v>
      </c>
      <c r="S1261">
        <v>12.545576784794829</v>
      </c>
      <c r="T1261">
        <v>12.640443926445068</v>
      </c>
    </row>
    <row r="1262" spans="1:20" x14ac:dyDescent="0.25">
      <c r="A1262" s="5" t="s">
        <v>1280</v>
      </c>
      <c r="B1262">
        <v>11.770855065560728</v>
      </c>
      <c r="C1262">
        <v>10.465398277155497</v>
      </c>
      <c r="D1262">
        <v>10.367388586766825</v>
      </c>
      <c r="E1262">
        <v>10.371744111931553</v>
      </c>
      <c r="F1262">
        <v>11.382527095151493</v>
      </c>
      <c r="G1262">
        <v>10.815965641767775</v>
      </c>
      <c r="H1262">
        <v>11.187979551148221</v>
      </c>
      <c r="I1262">
        <v>11.228523256802886</v>
      </c>
      <c r="J1262">
        <v>11.606591496851498</v>
      </c>
      <c r="K1262">
        <v>10.451751935290302</v>
      </c>
      <c r="L1262">
        <v>10.524020367322292</v>
      </c>
      <c r="M1262">
        <v>11.695429971275479</v>
      </c>
      <c r="N1262">
        <v>12.068856831983574</v>
      </c>
      <c r="O1262">
        <v>11.356123866546881</v>
      </c>
      <c r="P1262">
        <v>12.065328202208219</v>
      </c>
      <c r="Q1262">
        <v>11.921135573953029</v>
      </c>
      <c r="R1262">
        <v>11.92248458032652</v>
      </c>
      <c r="S1262">
        <v>12.082513823856701</v>
      </c>
      <c r="T1262">
        <v>11.76910170877275</v>
      </c>
    </row>
    <row r="1263" spans="1:20" x14ac:dyDescent="0.25">
      <c r="A1263" s="6" t="s">
        <v>1281</v>
      </c>
      <c r="B1263">
        <v>13.833536486363649</v>
      </c>
      <c r="C1263">
        <v>12.752893760146438</v>
      </c>
      <c r="D1263">
        <v>13.019301941257726</v>
      </c>
      <c r="E1263">
        <v>12.890172247554403</v>
      </c>
      <c r="F1263">
        <v>14.220073662674087</v>
      </c>
      <c r="G1263">
        <v>13.386217924501876</v>
      </c>
      <c r="H1263">
        <v>13.480357457491845</v>
      </c>
      <c r="I1263">
        <v>13.640628166920497</v>
      </c>
      <c r="J1263">
        <v>13.814704811633275</v>
      </c>
      <c r="K1263">
        <v>12.946899476493382</v>
      </c>
      <c r="L1263">
        <v>13.065155088200722</v>
      </c>
      <c r="M1263">
        <v>14.343603580441494</v>
      </c>
      <c r="N1263">
        <v>14.613251727989191</v>
      </c>
      <c r="O1263">
        <v>13.781821449819493</v>
      </c>
      <c r="P1263">
        <v>14.577539631269786</v>
      </c>
      <c r="Q1263">
        <v>14.785891114128539</v>
      </c>
      <c r="R1263">
        <v>14.661039626943458</v>
      </c>
      <c r="S1263">
        <v>14.446141742153932</v>
      </c>
      <c r="T1263">
        <v>14.495273449484813</v>
      </c>
    </row>
    <row r="1264" spans="1:20" x14ac:dyDescent="0.25">
      <c r="A1264" s="5" t="s">
        <v>1282</v>
      </c>
      <c r="B1264">
        <v>14.144972207433367</v>
      </c>
      <c r="C1264">
        <v>12.079906966620886</v>
      </c>
      <c r="D1264">
        <v>12.572855838195602</v>
      </c>
      <c r="E1264">
        <v>12.284397991042772</v>
      </c>
      <c r="F1264">
        <v>12.735256609201032</v>
      </c>
      <c r="G1264">
        <v>12.24198285538457</v>
      </c>
      <c r="H1264">
        <v>13.700827566697265</v>
      </c>
      <c r="I1264">
        <v>13.090601864836753</v>
      </c>
      <c r="J1264">
        <v>13.622319608507558</v>
      </c>
      <c r="K1264">
        <v>12.29787581427772</v>
      </c>
      <c r="L1264">
        <v>12.238932146523897</v>
      </c>
      <c r="M1264">
        <v>13.961175031409498</v>
      </c>
      <c r="N1264">
        <v>13.996108821518886</v>
      </c>
      <c r="O1264">
        <v>13.020056736403317</v>
      </c>
      <c r="P1264">
        <v>14.214577674919234</v>
      </c>
      <c r="Q1264">
        <v>13.893747103889208</v>
      </c>
      <c r="R1264">
        <v>13.128406124908279</v>
      </c>
      <c r="S1264">
        <v>13.348109659193405</v>
      </c>
      <c r="T1264">
        <v>13.989054063984934</v>
      </c>
    </row>
    <row r="1265" spans="1:20" x14ac:dyDescent="0.25">
      <c r="A1265" s="6" t="s">
        <v>1283</v>
      </c>
      <c r="B1265">
        <v>0</v>
      </c>
      <c r="C1265">
        <v>14.949715916034434</v>
      </c>
      <c r="D1265">
        <v>15.352629856230788</v>
      </c>
      <c r="E1265">
        <v>15.068621321303253</v>
      </c>
      <c r="F1265">
        <v>15.198214228710349</v>
      </c>
      <c r="G1265">
        <v>15.024677973715658</v>
      </c>
      <c r="H1265">
        <v>15.546137532130656</v>
      </c>
      <c r="I1265">
        <v>15.668534163490381</v>
      </c>
      <c r="J1265">
        <v>15.668534163490381</v>
      </c>
      <c r="K1265">
        <v>15.539251146545414</v>
      </c>
      <c r="L1265">
        <v>15.729934708154525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15.683641055880589</v>
      </c>
    </row>
    <row r="1266" spans="1:20" x14ac:dyDescent="0.25">
      <c r="A1266" s="5" t="s">
        <v>1284</v>
      </c>
      <c r="B1266">
        <v>14.718221287590733</v>
      </c>
      <c r="C1266">
        <v>13.783854846972021</v>
      </c>
      <c r="D1266">
        <v>13.570502080529854</v>
      </c>
      <c r="E1266">
        <v>13.677957417377007</v>
      </c>
      <c r="F1266">
        <v>14.491945431767057</v>
      </c>
      <c r="G1266">
        <v>14.27621674071162</v>
      </c>
      <c r="H1266">
        <v>14.40800661326716</v>
      </c>
      <c r="I1266">
        <v>14.679849476718214</v>
      </c>
      <c r="J1266">
        <v>15.029494990013431</v>
      </c>
      <c r="K1266">
        <v>13.940613708927183</v>
      </c>
      <c r="L1266">
        <v>14.214577674919234</v>
      </c>
      <c r="M1266">
        <v>15.088589737535848</v>
      </c>
      <c r="N1266">
        <v>0</v>
      </c>
      <c r="O1266">
        <v>14.945157634072132</v>
      </c>
      <c r="P1266">
        <v>0</v>
      </c>
      <c r="Q1266">
        <v>15.236688376524983</v>
      </c>
      <c r="R1266">
        <v>15.505303814622076</v>
      </c>
      <c r="S1266">
        <v>15.401747622795478</v>
      </c>
      <c r="T1266">
        <v>15.376979717646538</v>
      </c>
    </row>
    <row r="1267" spans="1:20" x14ac:dyDescent="0.25">
      <c r="A1267" s="6" t="s">
        <v>1285</v>
      </c>
      <c r="B1267">
        <v>10.172520955029576</v>
      </c>
      <c r="C1267">
        <v>9.7248032636885675</v>
      </c>
      <c r="D1267">
        <v>9.462206568454361</v>
      </c>
      <c r="E1267">
        <v>9.5374456876339337</v>
      </c>
      <c r="F1267">
        <v>10.032754080843747</v>
      </c>
      <c r="G1267">
        <v>10.312797665674674</v>
      </c>
      <c r="H1267">
        <v>10.786240113295221</v>
      </c>
      <c r="I1267">
        <v>10.121329531797503</v>
      </c>
      <c r="J1267">
        <v>10.060616718362953</v>
      </c>
      <c r="K1267">
        <v>9.5821059782105866</v>
      </c>
      <c r="L1267">
        <v>9.8041803333425648</v>
      </c>
      <c r="M1267">
        <v>10.576206460002153</v>
      </c>
      <c r="N1267">
        <v>10.331590658596145</v>
      </c>
      <c r="O1267">
        <v>10.193891946830007</v>
      </c>
      <c r="P1267">
        <v>11.108892587183778</v>
      </c>
      <c r="Q1267">
        <v>12.21465310296252</v>
      </c>
      <c r="R1267">
        <v>12.084855882106869</v>
      </c>
      <c r="S1267">
        <v>11.662535422868936</v>
      </c>
      <c r="T1267">
        <v>11.472001704366367</v>
      </c>
    </row>
    <row r="1268" spans="1:20" x14ac:dyDescent="0.25">
      <c r="A1268" s="5" t="s">
        <v>1286</v>
      </c>
      <c r="B1268">
        <v>13.92257978609692</v>
      </c>
      <c r="C1268">
        <v>13.444532489292275</v>
      </c>
      <c r="D1268">
        <v>13.109297301960577</v>
      </c>
      <c r="E1268">
        <v>13.334633426936943</v>
      </c>
      <c r="F1268">
        <v>14.022275483500353</v>
      </c>
      <c r="G1268">
        <v>14.328684160605755</v>
      </c>
      <c r="H1268">
        <v>14.367800290872141</v>
      </c>
      <c r="I1268">
        <v>14.411146320797728</v>
      </c>
      <c r="J1268">
        <v>0</v>
      </c>
      <c r="K1268">
        <v>14.048925519962333</v>
      </c>
      <c r="L1268">
        <v>14.220073662674087</v>
      </c>
      <c r="M1268">
        <v>14.927067177089235</v>
      </c>
      <c r="N1268">
        <v>15.005569150767952</v>
      </c>
      <c r="O1268">
        <v>14.411146320797728</v>
      </c>
      <c r="P1268">
        <v>0</v>
      </c>
      <c r="Q1268">
        <v>0</v>
      </c>
      <c r="R1268">
        <v>0</v>
      </c>
      <c r="S1268">
        <v>0</v>
      </c>
      <c r="T1268">
        <v>16.864618325399547</v>
      </c>
    </row>
    <row r="1269" spans="1:20" x14ac:dyDescent="0.25">
      <c r="A1269" s="6" t="s">
        <v>1287</v>
      </c>
      <c r="B1269">
        <v>9.4228646044610826</v>
      </c>
      <c r="C1269">
        <v>8.5679895355082163</v>
      </c>
      <c r="D1269">
        <v>8.8217385678487137</v>
      </c>
      <c r="E1269">
        <v>8.9527673190854991</v>
      </c>
      <c r="F1269">
        <v>8.9488758250570779</v>
      </c>
      <c r="G1269">
        <v>9.3075846863381937</v>
      </c>
      <c r="H1269">
        <v>9.5841664450567556</v>
      </c>
      <c r="I1269">
        <v>9.0734227930100744</v>
      </c>
      <c r="J1269">
        <v>8.9500597955280838</v>
      </c>
      <c r="K1269">
        <v>8.9439187056983478</v>
      </c>
      <c r="L1269">
        <v>9.0981842953166829</v>
      </c>
      <c r="M1269">
        <v>9.751839827461346</v>
      </c>
      <c r="N1269">
        <v>9.1708752308885533</v>
      </c>
      <c r="O1269">
        <v>9.3248256259936202</v>
      </c>
      <c r="P1269">
        <v>10.181854981515569</v>
      </c>
      <c r="Q1269">
        <v>10.801669962098913</v>
      </c>
      <c r="R1269">
        <v>10.874922726374484</v>
      </c>
      <c r="S1269">
        <v>10.841998916853477</v>
      </c>
      <c r="T1269">
        <v>10.593728161292283</v>
      </c>
    </row>
    <row r="1270" spans="1:20" x14ac:dyDescent="0.25">
      <c r="A1270" s="5" t="s">
        <v>1288</v>
      </c>
      <c r="B1270">
        <v>13.130629853019132</v>
      </c>
      <c r="C1270">
        <v>13.430129424165303</v>
      </c>
      <c r="D1270">
        <v>13.143287433760152</v>
      </c>
      <c r="E1270">
        <v>13.342104676368077</v>
      </c>
      <c r="F1270">
        <v>13.53239747550435</v>
      </c>
      <c r="G1270">
        <v>13.911421996212397</v>
      </c>
      <c r="H1270">
        <v>14.012705332049579</v>
      </c>
      <c r="I1270">
        <v>13.681744020707992</v>
      </c>
      <c r="J1270">
        <v>13.696990609539608</v>
      </c>
      <c r="K1270">
        <v>13.802285552379209</v>
      </c>
      <c r="L1270">
        <v>13.679849476718214</v>
      </c>
      <c r="M1270">
        <v>14.103749544706854</v>
      </c>
      <c r="N1270">
        <v>14.101211821904954</v>
      </c>
      <c r="O1270">
        <v>13.485312339434611</v>
      </c>
      <c r="P1270">
        <v>14.337617285375762</v>
      </c>
      <c r="Q1270">
        <v>14.968094445349289</v>
      </c>
      <c r="R1270">
        <v>14.861179241432778</v>
      </c>
      <c r="S1270">
        <v>15.566996137028319</v>
      </c>
      <c r="T1270">
        <v>15.039177543410771</v>
      </c>
    </row>
    <row r="1271" spans="1:20" x14ac:dyDescent="0.25">
      <c r="A1271" s="6" t="s">
        <v>1289</v>
      </c>
      <c r="B1271">
        <v>12.720556375838662</v>
      </c>
      <c r="C1271">
        <v>13.334633426936943</v>
      </c>
      <c r="D1271">
        <v>13.674180726631523</v>
      </c>
      <c r="E1271">
        <v>14.211837512574323</v>
      </c>
      <c r="F1271">
        <v>12.074508207818091</v>
      </c>
      <c r="G1271">
        <v>12.184530337676206</v>
      </c>
      <c r="H1271">
        <v>12.540402326752618</v>
      </c>
      <c r="I1271">
        <v>11.768452298527366</v>
      </c>
      <c r="J1271">
        <v>13.269662237692197</v>
      </c>
      <c r="K1271">
        <v>13.346606068603018</v>
      </c>
      <c r="L1271">
        <v>13.071536922962997</v>
      </c>
      <c r="M1271">
        <v>12.328736110436576</v>
      </c>
      <c r="N1271">
        <v>11.766546030605213</v>
      </c>
      <c r="O1271">
        <v>13.312449057870957</v>
      </c>
      <c r="P1271">
        <v>12.121311855620219</v>
      </c>
      <c r="Q1271">
        <v>10.499788930607306</v>
      </c>
      <c r="R1271">
        <v>11.877713263500603</v>
      </c>
      <c r="S1271">
        <v>11.595878986939978</v>
      </c>
      <c r="T1271">
        <v>10.29024292064347</v>
      </c>
    </row>
    <row r="1272" spans="1:20" x14ac:dyDescent="0.25">
      <c r="A1272" s="5" t="s">
        <v>1290</v>
      </c>
      <c r="B1272">
        <v>15.358678900903593</v>
      </c>
      <c r="C1272">
        <v>0</v>
      </c>
      <c r="D1272">
        <v>0</v>
      </c>
      <c r="E1272">
        <v>0</v>
      </c>
      <c r="F1272">
        <v>15.264811977439372</v>
      </c>
      <c r="G1272">
        <v>15.078570981710859</v>
      </c>
      <c r="H1272">
        <v>15.43331770179635</v>
      </c>
      <c r="I1272">
        <v>15.203648114760977</v>
      </c>
      <c r="J1272">
        <v>0</v>
      </c>
      <c r="K1272">
        <v>0</v>
      </c>
      <c r="L1272">
        <v>0</v>
      </c>
      <c r="M1272">
        <v>14.972725894080934</v>
      </c>
      <c r="N1272">
        <v>14.373913414598753</v>
      </c>
      <c r="O1272">
        <v>0</v>
      </c>
      <c r="P1272">
        <v>14.222829527964596</v>
      </c>
      <c r="Q1272">
        <v>12.936163197329918</v>
      </c>
      <c r="R1272">
        <v>13.902557482665108</v>
      </c>
      <c r="S1272">
        <v>14.48200719471094</v>
      </c>
      <c r="T1272">
        <v>12.516925610914168</v>
      </c>
    </row>
    <row r="1273" spans="1:20" x14ac:dyDescent="0.25">
      <c r="A1273" s="6" t="s">
        <v>1291</v>
      </c>
      <c r="B1273">
        <v>7.6877736583225644</v>
      </c>
      <c r="C1273">
        <v>8.0823949437104918</v>
      </c>
      <c r="D1273">
        <v>8.2441233337392994</v>
      </c>
      <c r="E1273">
        <v>8.1401553476780304</v>
      </c>
      <c r="F1273">
        <v>7.4430811759204625</v>
      </c>
      <c r="G1273">
        <v>7.8330735424177345</v>
      </c>
      <c r="H1273">
        <v>8.0892339416282173</v>
      </c>
      <c r="I1273">
        <v>7.5691956686048405</v>
      </c>
      <c r="J1273">
        <v>7.2976063729393559</v>
      </c>
      <c r="K1273">
        <v>8.2241020156848688</v>
      </c>
      <c r="L1273">
        <v>8.1630198942486611</v>
      </c>
      <c r="M1273">
        <v>7.7157553086993245</v>
      </c>
      <c r="N1273">
        <v>7.4511850353551301</v>
      </c>
      <c r="O1273">
        <v>7.5762064600021519</v>
      </c>
      <c r="P1273">
        <v>7.0627118763137453</v>
      </c>
      <c r="Q1273">
        <v>6.7882520065785306</v>
      </c>
      <c r="R1273">
        <v>6.8311945024915639</v>
      </c>
      <c r="S1273">
        <v>6.8135555893865236</v>
      </c>
      <c r="T1273">
        <v>6.8605691904010921</v>
      </c>
    </row>
    <row r="1274" spans="1:20" x14ac:dyDescent="0.25">
      <c r="A1274" s="5" t="s">
        <v>1292</v>
      </c>
      <c r="B1274">
        <v>7.6955020417995428</v>
      </c>
      <c r="C1274">
        <v>8.1719029643572672</v>
      </c>
      <c r="D1274">
        <v>8.0706205100165747</v>
      </c>
      <c r="E1274">
        <v>8.1135029307830226</v>
      </c>
      <c r="F1274">
        <v>7.8497522912149771</v>
      </c>
      <c r="G1274">
        <v>8.2371767264935123</v>
      </c>
      <c r="H1274">
        <v>8.2069447276899776</v>
      </c>
      <c r="I1274">
        <v>7.902059087800378</v>
      </c>
      <c r="J1274">
        <v>7.776690032863729</v>
      </c>
      <c r="K1274">
        <v>8.1704316725686326</v>
      </c>
      <c r="L1274">
        <v>8.1627370795901744</v>
      </c>
      <c r="M1274">
        <v>7.8922347962706256</v>
      </c>
      <c r="N1274">
        <v>7.8342725012007781</v>
      </c>
      <c r="O1274">
        <v>7.6723408140599654</v>
      </c>
      <c r="P1274">
        <v>7.8168885657681244</v>
      </c>
      <c r="Q1274">
        <v>8.4030529231164444</v>
      </c>
      <c r="R1274">
        <v>8.557010478734794</v>
      </c>
      <c r="S1274">
        <v>8.4984348886682266</v>
      </c>
      <c r="T1274">
        <v>8.5720029259141111</v>
      </c>
    </row>
    <row r="1275" spans="1:20" x14ac:dyDescent="0.25">
      <c r="A1275" s="6" t="s">
        <v>1293</v>
      </c>
      <c r="B1275">
        <v>12.533526090692218</v>
      </c>
      <c r="C1275">
        <v>14.101211821904954</v>
      </c>
      <c r="D1275">
        <v>14.015091924886457</v>
      </c>
      <c r="E1275">
        <v>14.635111161952929</v>
      </c>
      <c r="F1275">
        <v>11.972522956881924</v>
      </c>
      <c r="G1275">
        <v>12.541287813965443</v>
      </c>
      <c r="H1275">
        <v>12.085413777311265</v>
      </c>
      <c r="I1275">
        <v>12.743424839589162</v>
      </c>
      <c r="J1275">
        <v>12.328417019591958</v>
      </c>
      <c r="K1275">
        <v>13.406439318120201</v>
      </c>
      <c r="L1275">
        <v>0</v>
      </c>
      <c r="M1275">
        <v>12.108526211096407</v>
      </c>
      <c r="N1275">
        <v>11.941816456008839</v>
      </c>
      <c r="O1275">
        <v>12.850005242623379</v>
      </c>
      <c r="P1275">
        <v>11.185114711643012</v>
      </c>
      <c r="Q1275">
        <v>10.335714362673285</v>
      </c>
      <c r="R1275">
        <v>10.977316995467989</v>
      </c>
      <c r="S1275">
        <v>11.194023759218529</v>
      </c>
      <c r="T1275">
        <v>9.727385048608058</v>
      </c>
    </row>
    <row r="1276" spans="1:20" x14ac:dyDescent="0.25">
      <c r="A1276" s="5" t="s">
        <v>1294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13.554791997441193</v>
      </c>
      <c r="H1276">
        <v>14.878457232864612</v>
      </c>
      <c r="I1276">
        <v>0</v>
      </c>
      <c r="J1276">
        <v>14.968094445349289</v>
      </c>
      <c r="K1276">
        <v>15.478709604610364</v>
      </c>
      <c r="L1276">
        <v>15.588160747026361</v>
      </c>
      <c r="M1276">
        <v>14.810553168362809</v>
      </c>
      <c r="N1276">
        <v>0</v>
      </c>
      <c r="O1276">
        <v>15.931568569324174</v>
      </c>
      <c r="P1276">
        <v>13.503627236814692</v>
      </c>
      <c r="Q1276">
        <v>13.06955119245429</v>
      </c>
      <c r="R1276">
        <v>13.30075541702505</v>
      </c>
      <c r="S1276">
        <v>12.44566682586961</v>
      </c>
      <c r="T1276">
        <v>12.794936253731546</v>
      </c>
    </row>
    <row r="1277" spans="1:20" x14ac:dyDescent="0.25">
      <c r="A1277" s="6" t="s">
        <v>1295</v>
      </c>
      <c r="B1277">
        <v>10.863924475047092</v>
      </c>
      <c r="C1277">
        <v>10.435917372478205</v>
      </c>
      <c r="D1277">
        <v>10.414359814937407</v>
      </c>
      <c r="E1277">
        <v>10.525091423081784</v>
      </c>
      <c r="F1277">
        <v>10.657642457560646</v>
      </c>
      <c r="G1277">
        <v>10.498980737263478</v>
      </c>
      <c r="H1277">
        <v>10.704226992672357</v>
      </c>
      <c r="I1277">
        <v>10.624802797753981</v>
      </c>
      <c r="J1277">
        <v>10.299849467765958</v>
      </c>
      <c r="K1277">
        <v>10.601119971025449</v>
      </c>
      <c r="L1277">
        <v>10.49345456844881</v>
      </c>
      <c r="M1277">
        <v>11.327990438602574</v>
      </c>
      <c r="N1277">
        <v>10.986797952592683</v>
      </c>
      <c r="O1277">
        <v>10.630678387793669</v>
      </c>
      <c r="P1277">
        <v>10.960559658804709</v>
      </c>
      <c r="Q1277">
        <v>11.207992943524518</v>
      </c>
      <c r="R1277">
        <v>11.085655180865375</v>
      </c>
      <c r="S1277">
        <v>10.261057482101551</v>
      </c>
      <c r="T1277">
        <v>11.169126731022432</v>
      </c>
    </row>
    <row r="1278" spans="1:20" x14ac:dyDescent="0.25">
      <c r="A1278" s="5" t="s">
        <v>1296</v>
      </c>
      <c r="B1278">
        <v>8.3514862268080687</v>
      </c>
      <c r="C1278">
        <v>8.8630670359235157</v>
      </c>
      <c r="D1278">
        <v>8.6098118046458509</v>
      </c>
      <c r="E1278">
        <v>8.5988572795420612</v>
      </c>
      <c r="F1278">
        <v>7.9333392110837808</v>
      </c>
      <c r="G1278">
        <v>7.9810075692713935</v>
      </c>
      <c r="H1278">
        <v>8.4963640042518129</v>
      </c>
      <c r="I1278">
        <v>8.1860400346272417</v>
      </c>
      <c r="J1278">
        <v>7.6861415398772506</v>
      </c>
      <c r="K1278">
        <v>8.4201613143770988</v>
      </c>
      <c r="L1278">
        <v>8.0039746588776435</v>
      </c>
      <c r="M1278">
        <v>8.0271153307347785</v>
      </c>
      <c r="N1278">
        <v>7.6405337407376086</v>
      </c>
      <c r="O1278">
        <v>7.885942332692184</v>
      </c>
      <c r="P1278">
        <v>7.2909279857579721</v>
      </c>
      <c r="Q1278">
        <v>6.2002388242066049</v>
      </c>
      <c r="R1278">
        <v>6.6089873237835812</v>
      </c>
      <c r="S1278">
        <v>6.393432999541238</v>
      </c>
      <c r="T1278">
        <v>6.4253792752204877</v>
      </c>
    </row>
    <row r="1279" spans="1:20" x14ac:dyDescent="0.25">
      <c r="A1279" s="6" t="s">
        <v>1297</v>
      </c>
      <c r="B1279">
        <v>13.566996137028319</v>
      </c>
      <c r="C1279">
        <v>13.193584431416278</v>
      </c>
      <c r="D1279">
        <v>12.959163104539709</v>
      </c>
      <c r="E1279">
        <v>13.420606650046794</v>
      </c>
      <c r="F1279">
        <v>13.88280925740432</v>
      </c>
      <c r="G1279">
        <v>13.687442626040445</v>
      </c>
      <c r="H1279">
        <v>14.340607327981576</v>
      </c>
      <c r="I1279">
        <v>14.174011880384722</v>
      </c>
      <c r="J1279">
        <v>13.785891114128539</v>
      </c>
      <c r="K1279">
        <v>13.629615174198079</v>
      </c>
      <c r="L1279">
        <v>13.393961877828884</v>
      </c>
      <c r="M1279">
        <v>14.549593090766873</v>
      </c>
      <c r="N1279">
        <v>15.595285181459742</v>
      </c>
      <c r="O1279">
        <v>13.406439318120201</v>
      </c>
      <c r="P1279">
        <v>14.664782028629272</v>
      </c>
      <c r="Q1279">
        <v>16.134555591488027</v>
      </c>
      <c r="R1279">
        <v>15.370853614849695</v>
      </c>
      <c r="S1279">
        <v>16.093625327433145</v>
      </c>
      <c r="T1279">
        <v>16.124213647266568</v>
      </c>
    </row>
    <row r="1280" spans="1:20" x14ac:dyDescent="0.25">
      <c r="A1280" s="5" t="s">
        <v>1298</v>
      </c>
      <c r="B1280">
        <v>14.968094445349289</v>
      </c>
      <c r="C1280">
        <v>14.455835138357777</v>
      </c>
      <c r="D1280">
        <v>14.106291739269308</v>
      </c>
      <c r="E1280">
        <v>15.000831231761289</v>
      </c>
      <c r="F1280">
        <v>14.653583822024411</v>
      </c>
      <c r="G1280">
        <v>13.702749878828293</v>
      </c>
      <c r="H1280">
        <v>14.518787043985698</v>
      </c>
      <c r="I1280">
        <v>13.909200756295721</v>
      </c>
      <c r="J1280">
        <v>14.088589737535848</v>
      </c>
      <c r="K1280">
        <v>14.584611679945288</v>
      </c>
      <c r="L1280">
        <v>13.404873723782199</v>
      </c>
      <c r="M1280">
        <v>14.542690230512186</v>
      </c>
      <c r="N1280">
        <v>15.401747622795478</v>
      </c>
      <c r="O1280">
        <v>14.195504941452361</v>
      </c>
      <c r="P1280">
        <v>15.088589737535848</v>
      </c>
      <c r="Q1280">
        <v>15.785891114128539</v>
      </c>
      <c r="R1280">
        <v>15.420606650046794</v>
      </c>
      <c r="S1280">
        <v>15.452596764291233</v>
      </c>
      <c r="T1280">
        <v>15.253496664211537</v>
      </c>
    </row>
    <row r="1281" spans="1:20" x14ac:dyDescent="0.25">
      <c r="A1281" s="6" t="s">
        <v>1299</v>
      </c>
      <c r="B1281">
        <v>16.083571662769224</v>
      </c>
      <c r="C1281">
        <v>15.6989078125339</v>
      </c>
      <c r="D1281">
        <v>16.485312339434611</v>
      </c>
      <c r="E1281">
        <v>16.044043298582586</v>
      </c>
      <c r="F1281">
        <v>16.862897758659074</v>
      </c>
      <c r="G1281">
        <v>0</v>
      </c>
      <c r="H1281">
        <v>15.595285181459742</v>
      </c>
      <c r="I1281">
        <v>16.093625327433145</v>
      </c>
      <c r="J1281">
        <v>0</v>
      </c>
      <c r="K1281">
        <v>16.933373066170923</v>
      </c>
      <c r="L1281">
        <v>16.566996137028319</v>
      </c>
      <c r="M1281">
        <v>16.67003775408077</v>
      </c>
      <c r="N1281">
        <v>17.418077823736056</v>
      </c>
      <c r="O1281">
        <v>17.665531675328857</v>
      </c>
      <c r="P1281">
        <v>16.96994524103723</v>
      </c>
      <c r="Q1281">
        <v>16.187407473753765</v>
      </c>
      <c r="R1281">
        <v>16.370853614849693</v>
      </c>
      <c r="S1281">
        <v>16.485312339434611</v>
      </c>
      <c r="T1281">
        <v>16.498609162048069</v>
      </c>
    </row>
    <row r="1282" spans="1:20" x14ac:dyDescent="0.25">
      <c r="A1282" s="5" t="s">
        <v>1300</v>
      </c>
      <c r="B1282">
        <v>0</v>
      </c>
      <c r="C1282">
        <v>17.764853124357753</v>
      </c>
      <c r="D1282">
        <v>17.287712379549451</v>
      </c>
      <c r="E1282">
        <v>17.453891241758868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18.385600200218882</v>
      </c>
      <c r="S1282">
        <v>0</v>
      </c>
      <c r="T1282">
        <v>0</v>
      </c>
    </row>
    <row r="1283" spans="1:20" x14ac:dyDescent="0.25">
      <c r="A1283" s="6" t="s">
        <v>1301</v>
      </c>
      <c r="B1283">
        <v>12.202437303580989</v>
      </c>
      <c r="C1283">
        <v>11.804982820456958</v>
      </c>
      <c r="D1283">
        <v>11.668074002138495</v>
      </c>
      <c r="E1283">
        <v>11.72377818545808</v>
      </c>
      <c r="F1283">
        <v>11.198709223100916</v>
      </c>
      <c r="G1283">
        <v>11.92045315506078</v>
      </c>
      <c r="H1283">
        <v>12.034485493231941</v>
      </c>
      <c r="I1283">
        <v>11.840339485950516</v>
      </c>
      <c r="J1283">
        <v>11.686819432656117</v>
      </c>
      <c r="K1283">
        <v>12.072555670149354</v>
      </c>
      <c r="L1283">
        <v>12.22132003965767</v>
      </c>
      <c r="M1283">
        <v>12.478273238890852</v>
      </c>
      <c r="N1283">
        <v>12.964665187463934</v>
      </c>
      <c r="O1283">
        <v>11.93812629818353</v>
      </c>
      <c r="P1283">
        <v>12.44610953949903</v>
      </c>
      <c r="Q1283">
        <v>12.412640078909265</v>
      </c>
      <c r="R1283">
        <v>12.432807103652323</v>
      </c>
      <c r="S1283">
        <v>12.803244232538972</v>
      </c>
      <c r="T1283">
        <v>12.631600473806975</v>
      </c>
    </row>
    <row r="1284" spans="1:20" x14ac:dyDescent="0.25">
      <c r="A1284" s="5" t="s">
        <v>1302</v>
      </c>
      <c r="B1284">
        <v>14.844105728073835</v>
      </c>
      <c r="C1284">
        <v>12.930622111226199</v>
      </c>
      <c r="D1284">
        <v>13.185833749186282</v>
      </c>
      <c r="E1284">
        <v>14.426948176920622</v>
      </c>
      <c r="F1284">
        <v>12.931106530063415</v>
      </c>
      <c r="G1284">
        <v>12.465439072393663</v>
      </c>
      <c r="H1284">
        <v>0</v>
      </c>
      <c r="I1284">
        <v>13.938347101955237</v>
      </c>
      <c r="J1284">
        <v>14.103749544706854</v>
      </c>
      <c r="K1284">
        <v>13.086480019820057</v>
      </c>
      <c r="L1284">
        <v>12.711557915712151</v>
      </c>
      <c r="M1284">
        <v>13.816785122074323</v>
      </c>
      <c r="N1284">
        <v>14.225590667641651</v>
      </c>
      <c r="O1284">
        <v>14.253496664211537</v>
      </c>
      <c r="P1284">
        <v>13.336124584734696</v>
      </c>
      <c r="Q1284">
        <v>12.546517238683943</v>
      </c>
      <c r="R1284">
        <v>12.404287063642274</v>
      </c>
      <c r="S1284">
        <v>11.52777254644011</v>
      </c>
      <c r="T1284">
        <v>12.698639250689514</v>
      </c>
    </row>
    <row r="1285" spans="1:20" x14ac:dyDescent="0.25">
      <c r="A1285" s="6" t="s">
        <v>1303</v>
      </c>
      <c r="B1285">
        <v>12.371251022027593</v>
      </c>
      <c r="C1285">
        <v>12.69909007940457</v>
      </c>
      <c r="D1285">
        <v>11.949858594671833</v>
      </c>
      <c r="E1285">
        <v>11.98441090486968</v>
      </c>
      <c r="F1285">
        <v>11.860326113848913</v>
      </c>
      <c r="G1285">
        <v>12.294480041050049</v>
      </c>
      <c r="H1285">
        <v>13.025712275830838</v>
      </c>
      <c r="I1285">
        <v>12.739058750382227</v>
      </c>
      <c r="J1285">
        <v>12.523918403470113</v>
      </c>
      <c r="K1285">
        <v>12.590027508176473</v>
      </c>
      <c r="L1285">
        <v>12.53551185948956</v>
      </c>
      <c r="M1285">
        <v>12.526503711498126</v>
      </c>
      <c r="N1285">
        <v>12.818732929676326</v>
      </c>
      <c r="O1285">
        <v>12.362723201147169</v>
      </c>
      <c r="P1285">
        <v>12.594392700737876</v>
      </c>
      <c r="Q1285">
        <v>12.779821351517427</v>
      </c>
      <c r="R1285">
        <v>13.027963844029978</v>
      </c>
      <c r="S1285">
        <v>12.717006591012376</v>
      </c>
      <c r="T1285">
        <v>12.57885417594915</v>
      </c>
    </row>
    <row r="1286" spans="1:20" x14ac:dyDescent="0.25">
      <c r="A1286" s="5" t="s">
        <v>1304</v>
      </c>
      <c r="B1286">
        <v>12.494324181977033</v>
      </c>
      <c r="C1286">
        <v>12.094268630339867</v>
      </c>
      <c r="D1286">
        <v>11.274014305275932</v>
      </c>
      <c r="E1286">
        <v>11.503899548162122</v>
      </c>
      <c r="F1286">
        <v>11.23584264257638</v>
      </c>
      <c r="G1286">
        <v>12.384296126565802</v>
      </c>
      <c r="H1286">
        <v>12.370731357738409</v>
      </c>
      <c r="I1286">
        <v>11.952652229878019</v>
      </c>
      <c r="J1286">
        <v>11.893428736004722</v>
      </c>
      <c r="K1286">
        <v>12.152453335843104</v>
      </c>
      <c r="L1286">
        <v>11.865867020652496</v>
      </c>
      <c r="M1286">
        <v>12.71060989431494</v>
      </c>
      <c r="N1286">
        <v>13.107844680551509</v>
      </c>
      <c r="O1286">
        <v>11.854192033266292</v>
      </c>
      <c r="P1286">
        <v>12.735020537195451</v>
      </c>
      <c r="Q1286">
        <v>12.988455997339086</v>
      </c>
      <c r="R1286">
        <v>13.063066992037305</v>
      </c>
      <c r="S1286">
        <v>13.267014619954827</v>
      </c>
      <c r="T1286">
        <v>12.861018235345798</v>
      </c>
    </row>
    <row r="1287" spans="1:20" x14ac:dyDescent="0.25">
      <c r="A1287" s="6" t="s">
        <v>1305</v>
      </c>
      <c r="B1287">
        <v>12.772575223210294</v>
      </c>
      <c r="C1287">
        <v>12.516646602985043</v>
      </c>
      <c r="D1287">
        <v>12.530842801052479</v>
      </c>
      <c r="E1287">
        <v>12.188316173260182</v>
      </c>
      <c r="F1287">
        <v>13.046238253848008</v>
      </c>
      <c r="G1287">
        <v>12.433860410402708</v>
      </c>
      <c r="H1287">
        <v>12.340539983830528</v>
      </c>
      <c r="I1287">
        <v>12.079900720822796</v>
      </c>
      <c r="J1287">
        <v>12.487514460062069</v>
      </c>
      <c r="K1287">
        <v>12.071387898331151</v>
      </c>
      <c r="L1287">
        <v>12.506906767314749</v>
      </c>
      <c r="M1287">
        <v>12.376289231028128</v>
      </c>
      <c r="N1287">
        <v>12.795695145921425</v>
      </c>
      <c r="O1287">
        <v>12.892693464959125</v>
      </c>
      <c r="P1287">
        <v>12.316637921437261</v>
      </c>
      <c r="Q1287">
        <v>12.387230019525063</v>
      </c>
      <c r="R1287">
        <v>12.272664473552959</v>
      </c>
      <c r="S1287">
        <v>11.661198481645432</v>
      </c>
      <c r="T1287">
        <v>11.575213442294448</v>
      </c>
    </row>
    <row r="1288" spans="1:20" x14ac:dyDescent="0.25">
      <c r="A1288" s="5" t="s">
        <v>1306</v>
      </c>
      <c r="B1288">
        <v>16.231128851183083</v>
      </c>
      <c r="C1288">
        <v>14.349614818475356</v>
      </c>
      <c r="D1288">
        <v>13.46722703656307</v>
      </c>
      <c r="E1288">
        <v>13.737796825927495</v>
      </c>
      <c r="F1288">
        <v>14.053824319375174</v>
      </c>
      <c r="G1288">
        <v>14.259143227352677</v>
      </c>
      <c r="H1288">
        <v>14.449365643028219</v>
      </c>
      <c r="I1288">
        <v>14.92257978609692</v>
      </c>
      <c r="J1288">
        <v>14.806413438001886</v>
      </c>
      <c r="K1288">
        <v>13.856891883029679</v>
      </c>
      <c r="L1288">
        <v>13.984369985062118</v>
      </c>
      <c r="M1288">
        <v>14.334633426936943</v>
      </c>
      <c r="N1288">
        <v>14.891552890476294</v>
      </c>
      <c r="O1288">
        <v>15.139754498162349</v>
      </c>
      <c r="P1288">
        <v>15.27621674071162</v>
      </c>
      <c r="Q1288">
        <v>15.203648114760977</v>
      </c>
      <c r="R1288">
        <v>0</v>
      </c>
      <c r="S1288">
        <v>15.737796825927495</v>
      </c>
      <c r="T1288">
        <v>14.452596764291233</v>
      </c>
    </row>
    <row r="1289" spans="1:20" x14ac:dyDescent="0.25">
      <c r="A1289" s="6" t="s">
        <v>1307</v>
      </c>
      <c r="B1289">
        <v>0</v>
      </c>
      <c r="C1289">
        <v>15.182034301654912</v>
      </c>
      <c r="D1289">
        <v>15.119070343990609</v>
      </c>
      <c r="E1289">
        <v>15.861179241432778</v>
      </c>
      <c r="F1289">
        <v>16.176681067160704</v>
      </c>
      <c r="G1289">
        <v>0</v>
      </c>
      <c r="H1289">
        <v>0</v>
      </c>
      <c r="I1289">
        <v>0</v>
      </c>
      <c r="J1289">
        <v>0</v>
      </c>
      <c r="K1289">
        <v>16.566996137028319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25">
      <c r="A1290" s="5" t="s">
        <v>1308</v>
      </c>
      <c r="B1290">
        <v>15.242269408788282</v>
      </c>
      <c r="C1290">
        <v>14.012705332049579</v>
      </c>
      <c r="D1290">
        <v>13.577539631269786</v>
      </c>
      <c r="E1290">
        <v>12.978245120741212</v>
      </c>
      <c r="F1290">
        <v>13.360195133350974</v>
      </c>
      <c r="G1290">
        <v>14.267654727208196</v>
      </c>
      <c r="H1290">
        <v>14.331655727137047</v>
      </c>
      <c r="I1290">
        <v>14.420606650046794</v>
      </c>
      <c r="J1290">
        <v>14.62050146706858</v>
      </c>
      <c r="K1290">
        <v>13.722115203695225</v>
      </c>
      <c r="L1290">
        <v>14.331655727137047</v>
      </c>
      <c r="M1290">
        <v>14.4397154729945</v>
      </c>
      <c r="N1290">
        <v>14.918106309517611</v>
      </c>
      <c r="O1290">
        <v>14.852617227929352</v>
      </c>
      <c r="P1290">
        <v>0</v>
      </c>
      <c r="Q1290">
        <v>14.95428864582426</v>
      </c>
      <c r="R1290">
        <v>0</v>
      </c>
      <c r="S1290">
        <v>15.108838421379655</v>
      </c>
      <c r="T1290">
        <v>14.749670926215785</v>
      </c>
    </row>
    <row r="1291" spans="1:20" x14ac:dyDescent="0.25">
      <c r="A1291" s="6" t="s">
        <v>1309</v>
      </c>
      <c r="B1291">
        <v>0</v>
      </c>
      <c r="C1291">
        <v>14.92257978609692</v>
      </c>
      <c r="D1291">
        <v>15.426948176920622</v>
      </c>
      <c r="E1291">
        <v>15.408006613267162</v>
      </c>
      <c r="F1291">
        <v>13.43331770179635</v>
      </c>
      <c r="G1291">
        <v>12.21758413438317</v>
      </c>
      <c r="H1291">
        <v>13.491945431767057</v>
      </c>
      <c r="I1291">
        <v>13.558268372715785</v>
      </c>
      <c r="J1291">
        <v>13.59886063568357</v>
      </c>
      <c r="K1291">
        <v>13.783854846972021</v>
      </c>
      <c r="L1291">
        <v>13.802285552379209</v>
      </c>
      <c r="M1291">
        <v>13.79201721692538</v>
      </c>
      <c r="N1291">
        <v>13.572258252433731</v>
      </c>
      <c r="O1291">
        <v>14.63144484475516</v>
      </c>
      <c r="P1291">
        <v>12.645861197247191</v>
      </c>
      <c r="Q1291">
        <v>12.105992799048543</v>
      </c>
      <c r="R1291">
        <v>12.128141316006289</v>
      </c>
      <c r="S1291">
        <v>10.931120614439545</v>
      </c>
      <c r="T1291">
        <v>11.535010879846931</v>
      </c>
    </row>
    <row r="1292" spans="1:20" x14ac:dyDescent="0.25">
      <c r="A1292" s="5" t="s">
        <v>1310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17.935179822876556</v>
      </c>
      <c r="H1292">
        <v>18.351423084900794</v>
      </c>
      <c r="I1292">
        <v>18.924373067919969</v>
      </c>
      <c r="J1292">
        <v>0</v>
      </c>
      <c r="K1292">
        <v>19.044043298582586</v>
      </c>
      <c r="L1292">
        <v>18.656561521824305</v>
      </c>
      <c r="M1292">
        <v>0</v>
      </c>
      <c r="N1292">
        <v>0</v>
      </c>
      <c r="O1292">
        <v>0</v>
      </c>
      <c r="P1292">
        <v>0</v>
      </c>
      <c r="Q1292">
        <v>19.020835907421262</v>
      </c>
      <c r="R1292">
        <v>19.405499757656589</v>
      </c>
      <c r="S1292">
        <v>17.997995931063151</v>
      </c>
      <c r="T1292">
        <v>19.244507880984283</v>
      </c>
    </row>
    <row r="1293" spans="1:20" x14ac:dyDescent="0.25">
      <c r="A1293" s="6" t="s">
        <v>1311</v>
      </c>
      <c r="B1293">
        <v>12.246343219595737</v>
      </c>
      <c r="C1293">
        <v>12.341932402199713</v>
      </c>
      <c r="D1293">
        <v>12.031432348390263</v>
      </c>
      <c r="E1293">
        <v>12.988608422157332</v>
      </c>
      <c r="F1293">
        <v>12.409457878740678</v>
      </c>
      <c r="G1293">
        <v>11.220445397261267</v>
      </c>
      <c r="H1293">
        <v>10.738661815306179</v>
      </c>
      <c r="I1293">
        <v>11.895812711812844</v>
      </c>
      <c r="J1293">
        <v>12.050693292683274</v>
      </c>
      <c r="K1293">
        <v>12.784526497457808</v>
      </c>
      <c r="L1293">
        <v>12.246483417745663</v>
      </c>
      <c r="M1293">
        <v>11.675600546648742</v>
      </c>
      <c r="N1293">
        <v>11.14915017502185</v>
      </c>
      <c r="O1293">
        <v>11.884221043173449</v>
      </c>
      <c r="P1293">
        <v>11.655816520495646</v>
      </c>
      <c r="Q1293">
        <v>10.785891114128539</v>
      </c>
      <c r="R1293">
        <v>11.645218737116902</v>
      </c>
      <c r="S1293">
        <v>0</v>
      </c>
      <c r="T1293">
        <v>10.258148181721706</v>
      </c>
    </row>
    <row r="1294" spans="1:20" x14ac:dyDescent="0.25">
      <c r="A1294" s="5" t="s">
        <v>1312</v>
      </c>
      <c r="B1294">
        <v>0</v>
      </c>
      <c r="C1294">
        <v>0</v>
      </c>
      <c r="D1294">
        <v>0</v>
      </c>
      <c r="E1294">
        <v>0</v>
      </c>
      <c r="F1294">
        <v>17.547518762529016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14.61687204366789</v>
      </c>
      <c r="R1294">
        <v>14.931568569324176</v>
      </c>
      <c r="S1294">
        <v>17.528300846984873</v>
      </c>
      <c r="T1294">
        <v>14.239476193896602</v>
      </c>
    </row>
    <row r="1295" spans="1:20" x14ac:dyDescent="0.25">
      <c r="A1295" s="6" t="s">
        <v>1313</v>
      </c>
      <c r="B1295">
        <v>16.06367210533152</v>
      </c>
      <c r="C1295">
        <v>14.13715270297407</v>
      </c>
      <c r="D1295">
        <v>14.386217924501876</v>
      </c>
      <c r="E1295">
        <v>0</v>
      </c>
      <c r="F1295">
        <v>14.977372258937299</v>
      </c>
      <c r="G1295">
        <v>14.066144591011041</v>
      </c>
      <c r="H1295">
        <v>0</v>
      </c>
      <c r="I1295">
        <v>15.426948176920622</v>
      </c>
      <c r="J1295">
        <v>0</v>
      </c>
      <c r="K1295">
        <v>15.06367210533152</v>
      </c>
      <c r="L1295">
        <v>14.613251727989191</v>
      </c>
      <c r="M1295">
        <v>0</v>
      </c>
      <c r="N1295">
        <v>0</v>
      </c>
      <c r="O1295">
        <v>0</v>
      </c>
      <c r="P1295">
        <v>15.000831231761289</v>
      </c>
      <c r="Q1295">
        <v>14.522177633186471</v>
      </c>
      <c r="R1295">
        <v>14.679849476718214</v>
      </c>
      <c r="S1295">
        <v>14.364753415313277</v>
      </c>
      <c r="T1295">
        <v>13.898145567786724</v>
      </c>
    </row>
    <row r="1296" spans="1:20" x14ac:dyDescent="0.25">
      <c r="A1296" s="5" t="s">
        <v>1314</v>
      </c>
      <c r="B1296">
        <v>13.109807340515308</v>
      </c>
      <c r="C1296">
        <v>12.697086409203701</v>
      </c>
      <c r="D1296">
        <v>12.527883303106851</v>
      </c>
      <c r="E1296">
        <v>12.556842045531535</v>
      </c>
      <c r="F1296">
        <v>12.402544135349855</v>
      </c>
      <c r="G1296">
        <v>12.401856922014508</v>
      </c>
      <c r="H1296">
        <v>12.661263897489425</v>
      </c>
      <c r="I1296">
        <v>12.317013307959</v>
      </c>
      <c r="J1296">
        <v>12.760511896988987</v>
      </c>
      <c r="K1296">
        <v>12.278666248093941</v>
      </c>
      <c r="L1296">
        <v>12.570247612971979</v>
      </c>
      <c r="M1296">
        <v>13.470498455291123</v>
      </c>
      <c r="N1296">
        <v>12.707219532121464</v>
      </c>
      <c r="O1296">
        <v>12.530791576563642</v>
      </c>
      <c r="P1296">
        <v>12.696952291455096</v>
      </c>
      <c r="Q1296">
        <v>12.47427798977996</v>
      </c>
      <c r="R1296">
        <v>12.791076190958904</v>
      </c>
      <c r="S1296">
        <v>12.391944447765121</v>
      </c>
      <c r="T1296">
        <v>12.253778468107518</v>
      </c>
    </row>
    <row r="1297" spans="1:20" x14ac:dyDescent="0.25">
      <c r="A1297" s="6" t="s">
        <v>1315</v>
      </c>
      <c r="B1297">
        <v>0</v>
      </c>
      <c r="C1297">
        <v>0</v>
      </c>
      <c r="D1297">
        <v>15.346606068603018</v>
      </c>
      <c r="E1297">
        <v>15.401747622795478</v>
      </c>
      <c r="F1297">
        <v>0</v>
      </c>
      <c r="G1297">
        <v>15.383131944628133</v>
      </c>
      <c r="H1297">
        <v>0</v>
      </c>
      <c r="I1297">
        <v>15.624140044131927</v>
      </c>
      <c r="J1297">
        <v>17.228911025933265</v>
      </c>
      <c r="K1297">
        <v>14.831431898038725</v>
      </c>
      <c r="L1297">
        <v>15.395515669083965</v>
      </c>
      <c r="M1297">
        <v>0</v>
      </c>
      <c r="N1297">
        <v>14.757641637324365</v>
      </c>
      <c r="O1297">
        <v>15.119070343990609</v>
      </c>
      <c r="P1297">
        <v>15.878457232864612</v>
      </c>
      <c r="Q1297">
        <v>14.936084050446668</v>
      </c>
      <c r="R1297">
        <v>15.346606068603018</v>
      </c>
      <c r="S1297">
        <v>0</v>
      </c>
      <c r="T1297">
        <v>14.710464843956299</v>
      </c>
    </row>
    <row r="1298" spans="1:20" x14ac:dyDescent="0.25">
      <c r="A1298" s="5" t="s">
        <v>1316</v>
      </c>
      <c r="B1298">
        <v>0</v>
      </c>
      <c r="C1298">
        <v>0</v>
      </c>
      <c r="D1298">
        <v>16.083571662769224</v>
      </c>
      <c r="E1298">
        <v>0</v>
      </c>
      <c r="F1298">
        <v>0</v>
      </c>
      <c r="G1298">
        <v>0</v>
      </c>
      <c r="H1298">
        <v>16.176681067160704</v>
      </c>
      <c r="I1298">
        <v>16.539251146545414</v>
      </c>
      <c r="J1298">
        <v>0</v>
      </c>
      <c r="K1298">
        <v>15.802285552379209</v>
      </c>
      <c r="L1298">
        <v>0</v>
      </c>
      <c r="M1298">
        <v>0</v>
      </c>
      <c r="N1298">
        <v>15.691254239990466</v>
      </c>
      <c r="O1298">
        <v>0</v>
      </c>
      <c r="P1298">
        <v>15.818868436574812</v>
      </c>
      <c r="Q1298">
        <v>15.472136950686876</v>
      </c>
      <c r="R1298">
        <v>15.525576209648337</v>
      </c>
      <c r="S1298">
        <v>15.683641055880589</v>
      </c>
      <c r="T1298">
        <v>0</v>
      </c>
    </row>
    <row r="1299" spans="1:20" x14ac:dyDescent="0.25">
      <c r="A1299" s="6" t="s">
        <v>1317</v>
      </c>
      <c r="B1299">
        <v>10.302465171732143</v>
      </c>
      <c r="C1299">
        <v>10.716450601267169</v>
      </c>
      <c r="D1299">
        <v>10.229399347816425</v>
      </c>
      <c r="E1299">
        <v>10.331428929507284</v>
      </c>
      <c r="F1299">
        <v>10.752734438753617</v>
      </c>
      <c r="G1299">
        <v>11.02739761117256</v>
      </c>
      <c r="H1299">
        <v>11.327690052900447</v>
      </c>
      <c r="I1299">
        <v>10.646453068350016</v>
      </c>
      <c r="J1299">
        <v>10.591976849781561</v>
      </c>
      <c r="K1299">
        <v>10.423716460275349</v>
      </c>
      <c r="L1299">
        <v>10.844726432609141</v>
      </c>
      <c r="M1299">
        <v>10.740376075179663</v>
      </c>
      <c r="N1299">
        <v>10.650990326007776</v>
      </c>
      <c r="O1299">
        <v>10.325789061149196</v>
      </c>
      <c r="P1299">
        <v>11.938681202676445</v>
      </c>
      <c r="Q1299">
        <v>13.290600658874276</v>
      </c>
      <c r="R1299">
        <v>13.044079853818701</v>
      </c>
      <c r="S1299">
        <v>0</v>
      </c>
      <c r="T1299">
        <v>13.993753400520754</v>
      </c>
    </row>
    <row r="1300" spans="1:20" x14ac:dyDescent="0.25">
      <c r="A1300" s="5" t="s">
        <v>1318</v>
      </c>
      <c r="B1300">
        <v>15.949715916034434</v>
      </c>
      <c r="C1300">
        <v>15.785891114128539</v>
      </c>
      <c r="D1300">
        <v>15.869792371737484</v>
      </c>
      <c r="E1300">
        <v>16.134555591488027</v>
      </c>
      <c r="F1300">
        <v>0</v>
      </c>
      <c r="G1300">
        <v>0</v>
      </c>
      <c r="H1300">
        <v>0</v>
      </c>
      <c r="I1300">
        <v>0</v>
      </c>
      <c r="J1300">
        <v>16.874985040957807</v>
      </c>
      <c r="K1300">
        <v>16.566996137028319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25">
      <c r="A1301" s="6" t="s">
        <v>1319</v>
      </c>
      <c r="B1301">
        <v>10.249940102729141</v>
      </c>
      <c r="C1301">
        <v>11.581150884822167</v>
      </c>
      <c r="D1301">
        <v>11.455328663000323</v>
      </c>
      <c r="E1301">
        <v>11.901226972699384</v>
      </c>
      <c r="F1301">
        <v>10.51885477773725</v>
      </c>
      <c r="G1301">
        <v>10.450913658781253</v>
      </c>
      <c r="H1301">
        <v>10.261836649146789</v>
      </c>
      <c r="I1301">
        <v>10.212236225094099</v>
      </c>
      <c r="J1301">
        <v>10.457716731401167</v>
      </c>
      <c r="K1301">
        <v>11.156919856976554</v>
      </c>
      <c r="L1301">
        <v>10.778249616923699</v>
      </c>
      <c r="M1301">
        <v>9.939623046941291</v>
      </c>
      <c r="N1301">
        <v>9.7004758205935104</v>
      </c>
      <c r="O1301">
        <v>10.547898832833811</v>
      </c>
      <c r="P1301">
        <v>10.353911269720648</v>
      </c>
      <c r="Q1301">
        <v>9.8019171969246504</v>
      </c>
      <c r="R1301">
        <v>9.680236471924017</v>
      </c>
      <c r="S1301">
        <v>10.318862223116634</v>
      </c>
      <c r="T1301">
        <v>9.4420958787901661</v>
      </c>
    </row>
    <row r="1302" spans="1:20" x14ac:dyDescent="0.25">
      <c r="A1302" s="5" t="s">
        <v>1320</v>
      </c>
      <c r="B1302">
        <v>10.522943737898089</v>
      </c>
      <c r="C1302">
        <v>10.747742164353268</v>
      </c>
      <c r="D1302">
        <v>10.769645625977052</v>
      </c>
      <c r="E1302">
        <v>10.46462542536762</v>
      </c>
      <c r="F1302">
        <v>9.5197726718796929</v>
      </c>
      <c r="G1302">
        <v>9.7242711083630287</v>
      </c>
      <c r="H1302">
        <v>9.8512306876583899</v>
      </c>
      <c r="I1302">
        <v>9.8044925019689408</v>
      </c>
      <c r="J1302">
        <v>9.5021932138305107</v>
      </c>
      <c r="K1302">
        <v>10.269359508520132</v>
      </c>
      <c r="L1302">
        <v>10.441957398851239</v>
      </c>
      <c r="M1302">
        <v>9.8637335902705221</v>
      </c>
      <c r="N1302">
        <v>9.0558852501621949</v>
      </c>
      <c r="O1302">
        <v>9.9357434857244691</v>
      </c>
      <c r="P1302">
        <v>9.3964574981925804</v>
      </c>
      <c r="Q1302">
        <v>8.9630796042913055</v>
      </c>
      <c r="R1302">
        <v>8.5894888996945049</v>
      </c>
      <c r="S1302">
        <v>8.8248695443369165</v>
      </c>
      <c r="T1302">
        <v>8.8110176883357187</v>
      </c>
    </row>
    <row r="1303" spans="1:20" x14ac:dyDescent="0.25">
      <c r="A1303" s="6" t="s">
        <v>1321</v>
      </c>
      <c r="B1303">
        <v>13.613251727989191</v>
      </c>
      <c r="C1303">
        <v>11.98184689175433</v>
      </c>
      <c r="D1303">
        <v>12.508099646627876</v>
      </c>
      <c r="E1303">
        <v>12.38920990592233</v>
      </c>
      <c r="F1303">
        <v>13.414292876114592</v>
      </c>
      <c r="G1303">
        <v>12.857063132960544</v>
      </c>
      <c r="H1303">
        <v>13.841985676199466</v>
      </c>
      <c r="I1303">
        <v>14.449365643028219</v>
      </c>
      <c r="J1303">
        <v>13.490284297397135</v>
      </c>
      <c r="K1303">
        <v>13.083421389862377</v>
      </c>
      <c r="L1303">
        <v>13.259369550208408</v>
      </c>
      <c r="M1303">
        <v>13.859033969601219</v>
      </c>
      <c r="N1303">
        <v>14.512029677810389</v>
      </c>
      <c r="O1303">
        <v>14.126792191368347</v>
      </c>
      <c r="P1303">
        <v>15.737796825927495</v>
      </c>
      <c r="Q1303">
        <v>14.101211821904954</v>
      </c>
      <c r="R1303">
        <v>15.166033822961197</v>
      </c>
      <c r="S1303">
        <v>0</v>
      </c>
      <c r="T1303">
        <v>14.452596764291233</v>
      </c>
    </row>
    <row r="1304" spans="1:20" x14ac:dyDescent="0.25">
      <c r="A1304" s="5" t="s">
        <v>1322</v>
      </c>
      <c r="B1304">
        <v>12.10613908120442</v>
      </c>
      <c r="C1304">
        <v>12.861737535024261</v>
      </c>
      <c r="D1304">
        <v>12.468534714006681</v>
      </c>
      <c r="E1304">
        <v>12.345111549675009</v>
      </c>
      <c r="F1304">
        <v>11.838991115899345</v>
      </c>
      <c r="G1304">
        <v>12.564040241712201</v>
      </c>
      <c r="H1304">
        <v>11.710977420506232</v>
      </c>
      <c r="I1304">
        <v>12.210107043007403</v>
      </c>
      <c r="J1304">
        <v>11.985141811198522</v>
      </c>
      <c r="K1304">
        <v>12.482774965553695</v>
      </c>
      <c r="L1304">
        <v>12.56433730648024</v>
      </c>
      <c r="M1304">
        <v>12.535486163993468</v>
      </c>
      <c r="N1304">
        <v>12.323469023329793</v>
      </c>
      <c r="O1304">
        <v>12.097053275263576</v>
      </c>
      <c r="P1304">
        <v>12.323343322435639</v>
      </c>
      <c r="Q1304">
        <v>12.678713943372784</v>
      </c>
      <c r="R1304">
        <v>12.177462738696345</v>
      </c>
      <c r="S1304">
        <v>12.953361496992462</v>
      </c>
      <c r="T1304">
        <v>13.012979589404951</v>
      </c>
    </row>
    <row r="1305" spans="1:20" x14ac:dyDescent="0.25">
      <c r="A1305" s="6" t="s">
        <v>1323</v>
      </c>
      <c r="B1305">
        <v>12.805824492203049</v>
      </c>
      <c r="C1305">
        <v>13.952000469228988</v>
      </c>
      <c r="D1305">
        <v>12.937781006189335</v>
      </c>
      <c r="E1305">
        <v>13.165874710959026</v>
      </c>
      <c r="F1305">
        <v>13.204287942156984</v>
      </c>
      <c r="G1305">
        <v>13.00057109709322</v>
      </c>
      <c r="H1305">
        <v>12.092484485781753</v>
      </c>
      <c r="I1305">
        <v>12.768009457652981</v>
      </c>
      <c r="J1305">
        <v>12.439218630265087</v>
      </c>
      <c r="K1305">
        <v>12.989183091262255</v>
      </c>
      <c r="L1305">
        <v>13.093953249935046</v>
      </c>
      <c r="M1305">
        <v>12.760031455724059</v>
      </c>
      <c r="N1305">
        <v>13.393961877828884</v>
      </c>
      <c r="O1305">
        <v>12.917079369036932</v>
      </c>
      <c r="P1305">
        <v>12.450616843886275</v>
      </c>
      <c r="Q1305">
        <v>13.310982158872298</v>
      </c>
      <c r="R1305">
        <v>12.580832660816858</v>
      </c>
      <c r="S1305">
        <v>13.491945431767057</v>
      </c>
      <c r="T1305">
        <v>13.039080395500502</v>
      </c>
    </row>
    <row r="1306" spans="1:20" x14ac:dyDescent="0.25">
      <c r="A1306" s="5" t="s">
        <v>1324</v>
      </c>
      <c r="B1306">
        <v>11.46086496122722</v>
      </c>
      <c r="C1306">
        <v>12.199686148608555</v>
      </c>
      <c r="D1306">
        <v>11.504335353256751</v>
      </c>
      <c r="E1306">
        <v>11.439971974913727</v>
      </c>
      <c r="F1306">
        <v>11.484708585406516</v>
      </c>
      <c r="G1306">
        <v>11.92495636478616</v>
      </c>
      <c r="H1306">
        <v>11.3300243222477</v>
      </c>
      <c r="I1306">
        <v>11.74524134675168</v>
      </c>
      <c r="J1306">
        <v>11.63140365163968</v>
      </c>
      <c r="K1306">
        <v>11.54342209319279</v>
      </c>
      <c r="L1306">
        <v>11.627381549690083</v>
      </c>
      <c r="M1306">
        <v>11.337247698120949</v>
      </c>
      <c r="N1306">
        <v>11.429031101091537</v>
      </c>
      <c r="O1306">
        <v>11.547829721694114</v>
      </c>
      <c r="P1306">
        <v>11.718824156746935</v>
      </c>
      <c r="Q1306">
        <v>12.146299208359739</v>
      </c>
      <c r="R1306">
        <v>11.65151700650719</v>
      </c>
      <c r="S1306">
        <v>12.045884396417263</v>
      </c>
      <c r="T1306">
        <v>11.96307456432498</v>
      </c>
    </row>
    <row r="1307" spans="1:20" x14ac:dyDescent="0.25">
      <c r="A1307" s="6" t="s">
        <v>1325</v>
      </c>
      <c r="B1307">
        <v>12.042423613181297</v>
      </c>
      <c r="C1307">
        <v>0</v>
      </c>
      <c r="D1307">
        <v>12.904126963133129</v>
      </c>
      <c r="E1307">
        <v>12.792027448841388</v>
      </c>
      <c r="F1307">
        <v>12.060963420602492</v>
      </c>
      <c r="G1307">
        <v>12.543370420117382</v>
      </c>
      <c r="H1307">
        <v>12.109392920455681</v>
      </c>
      <c r="I1307">
        <v>12.594660386987997</v>
      </c>
      <c r="J1307">
        <v>11.879266803194893</v>
      </c>
      <c r="K1307">
        <v>12.855180500811333</v>
      </c>
      <c r="L1307">
        <v>12.876329523800006</v>
      </c>
      <c r="M1307">
        <v>12.390991030258345</v>
      </c>
      <c r="N1307">
        <v>12.696856500696148</v>
      </c>
      <c r="O1307">
        <v>12.14006702913246</v>
      </c>
      <c r="P1307">
        <v>12.568607812934349</v>
      </c>
      <c r="Q1307">
        <v>13.169445690822741</v>
      </c>
      <c r="R1307">
        <v>12.418875505904353</v>
      </c>
      <c r="S1307">
        <v>13.423773929125478</v>
      </c>
      <c r="T1307">
        <v>13.438113368398</v>
      </c>
    </row>
    <row r="1308" spans="1:20" x14ac:dyDescent="0.25">
      <c r="A1308" s="5" t="s">
        <v>1326</v>
      </c>
      <c r="B1308">
        <v>11.56659787510891</v>
      </c>
      <c r="C1308">
        <v>12.248152822293743</v>
      </c>
      <c r="D1308">
        <v>11.895642297121764</v>
      </c>
      <c r="E1308">
        <v>11.951491843135058</v>
      </c>
      <c r="F1308">
        <v>11.408555569068977</v>
      </c>
      <c r="G1308">
        <v>11.940199787423358</v>
      </c>
      <c r="H1308">
        <v>11.011951393040556</v>
      </c>
      <c r="I1308">
        <v>12.030701761343424</v>
      </c>
      <c r="J1308">
        <v>11.493321468140204</v>
      </c>
      <c r="K1308">
        <v>11.663078032107954</v>
      </c>
      <c r="L1308">
        <v>11.853641990639105</v>
      </c>
      <c r="M1308">
        <v>11.767058815461297</v>
      </c>
      <c r="N1308">
        <v>11.580806145317892</v>
      </c>
      <c r="O1308">
        <v>11.321706513946063</v>
      </c>
      <c r="P1308">
        <v>11.657134503263872</v>
      </c>
      <c r="Q1308">
        <v>11.974211103364995</v>
      </c>
      <c r="R1308">
        <v>11.35819404287823</v>
      </c>
      <c r="S1308">
        <v>11.927612223255004</v>
      </c>
      <c r="T1308">
        <v>11.776477133420787</v>
      </c>
    </row>
    <row r="1309" spans="1:20" x14ac:dyDescent="0.25">
      <c r="A1309" s="6" t="s">
        <v>1327</v>
      </c>
      <c r="B1309">
        <v>11.920296579864518</v>
      </c>
      <c r="C1309">
        <v>12.419325877736396</v>
      </c>
      <c r="D1309">
        <v>11.986569608115564</v>
      </c>
      <c r="E1309">
        <v>12.316895529123327</v>
      </c>
      <c r="F1309">
        <v>11.51590707034109</v>
      </c>
      <c r="G1309">
        <v>12.23262086970918</v>
      </c>
      <c r="H1309">
        <v>11.414261376566751</v>
      </c>
      <c r="I1309">
        <v>11.998881364106362</v>
      </c>
      <c r="J1309">
        <v>11.888404543865073</v>
      </c>
      <c r="K1309">
        <v>11.979351504350836</v>
      </c>
      <c r="L1309">
        <v>12.004632177891242</v>
      </c>
      <c r="M1309">
        <v>11.767144297326681</v>
      </c>
      <c r="N1309">
        <v>11.965495774503964</v>
      </c>
      <c r="O1309">
        <v>11.590694794403918</v>
      </c>
      <c r="P1309">
        <v>12.204968921250178</v>
      </c>
      <c r="Q1309">
        <v>12.484402669549794</v>
      </c>
      <c r="R1309">
        <v>12.133271749147402</v>
      </c>
      <c r="S1309">
        <v>12.265408490425131</v>
      </c>
      <c r="T1309">
        <v>12.320263377724061</v>
      </c>
    </row>
    <row r="1310" spans="1:20" x14ac:dyDescent="0.25">
      <c r="A1310" s="5" t="s">
        <v>1328</v>
      </c>
      <c r="B1310">
        <v>12.019140250804901</v>
      </c>
      <c r="C1310">
        <v>12.939309974836908</v>
      </c>
      <c r="D1310">
        <v>12.248117730897189</v>
      </c>
      <c r="E1310">
        <v>12.410172280485275</v>
      </c>
      <c r="F1310">
        <v>12.064123017990571</v>
      </c>
      <c r="G1310">
        <v>12.645537620413775</v>
      </c>
      <c r="H1310">
        <v>11.758986048049177</v>
      </c>
      <c r="I1310">
        <v>12.224872262803046</v>
      </c>
      <c r="J1310">
        <v>11.837802423261278</v>
      </c>
      <c r="K1310">
        <v>12.321569889327771</v>
      </c>
      <c r="L1310">
        <v>12.130675138902863</v>
      </c>
      <c r="M1310">
        <v>12.127979871015231</v>
      </c>
      <c r="N1310">
        <v>11.738304420640173</v>
      </c>
      <c r="O1310">
        <v>12.009049576214654</v>
      </c>
      <c r="P1310">
        <v>12.468109588811636</v>
      </c>
      <c r="Q1310">
        <v>12.684191662992388</v>
      </c>
      <c r="R1310">
        <v>12.158402982136355</v>
      </c>
      <c r="S1310">
        <v>12.539053648243263</v>
      </c>
      <c r="T1310">
        <v>12.590739291128138</v>
      </c>
    </row>
    <row r="1311" spans="1:20" x14ac:dyDescent="0.25">
      <c r="A1311" s="6" t="s">
        <v>1329</v>
      </c>
      <c r="B1311">
        <v>11.790815471715629</v>
      </c>
      <c r="C1311">
        <v>12.474163064088433</v>
      </c>
      <c r="D1311">
        <v>12.044037206133286</v>
      </c>
      <c r="E1311">
        <v>11.876291557498748</v>
      </c>
      <c r="F1311">
        <v>11.631307538944016</v>
      </c>
      <c r="G1311">
        <v>12.721686358102906</v>
      </c>
      <c r="H1311">
        <v>11.402321536097523</v>
      </c>
      <c r="I1311">
        <v>12.031879336080367</v>
      </c>
      <c r="J1311">
        <v>11.795520770500785</v>
      </c>
      <c r="K1311">
        <v>11.806346265369676</v>
      </c>
      <c r="L1311">
        <v>11.926393177992233</v>
      </c>
      <c r="M1311">
        <v>11.75118694970595</v>
      </c>
      <c r="N1311">
        <v>11.892523418301447</v>
      </c>
      <c r="O1311">
        <v>11.567858685245916</v>
      </c>
      <c r="P1311">
        <v>11.929940820490813</v>
      </c>
      <c r="Q1311">
        <v>12.398277776681249</v>
      </c>
      <c r="R1311">
        <v>11.663021890652905</v>
      </c>
      <c r="S1311">
        <v>12.773181045482541</v>
      </c>
      <c r="T1311">
        <v>12.549991011177372</v>
      </c>
    </row>
    <row r="1312" spans="1:20" x14ac:dyDescent="0.25">
      <c r="A1312" s="5" t="s">
        <v>1330</v>
      </c>
      <c r="B1312">
        <v>11.936977531672229</v>
      </c>
      <c r="C1312">
        <v>12.535160727316159</v>
      </c>
      <c r="D1312">
        <v>12.040410675877421</v>
      </c>
      <c r="E1312">
        <v>12.177583033455099</v>
      </c>
      <c r="F1312">
        <v>11.43265555460947</v>
      </c>
      <c r="G1312">
        <v>12.255421070881809</v>
      </c>
      <c r="H1312">
        <v>11.154004197018455</v>
      </c>
      <c r="I1312">
        <v>11.633730616570091</v>
      </c>
      <c r="J1312">
        <v>11.553390781320749</v>
      </c>
      <c r="K1312">
        <v>11.740440245308138</v>
      </c>
      <c r="L1312">
        <v>11.982378009959424</v>
      </c>
      <c r="M1312">
        <v>11.872737999559391</v>
      </c>
      <c r="N1312">
        <v>12.149782667948449</v>
      </c>
      <c r="O1312">
        <v>11.547695828281524</v>
      </c>
      <c r="P1312">
        <v>11.747432115120358</v>
      </c>
      <c r="Q1312">
        <v>12.146194572831694</v>
      </c>
      <c r="R1312">
        <v>11.712080561177467</v>
      </c>
      <c r="S1312">
        <v>12.287207524629595</v>
      </c>
      <c r="T1312">
        <v>12.207682408023038</v>
      </c>
    </row>
    <row r="1313" spans="1:20" x14ac:dyDescent="0.25">
      <c r="A1313" s="6" t="s">
        <v>1331</v>
      </c>
      <c r="B1313">
        <v>12.487738171607706</v>
      </c>
      <c r="C1313">
        <v>13.600651691209556</v>
      </c>
      <c r="D1313">
        <v>13.463963019241179</v>
      </c>
      <c r="E1313">
        <v>13.844105728073835</v>
      </c>
      <c r="F1313">
        <v>12.734607504114114</v>
      </c>
      <c r="G1313">
        <v>13.449365643028219</v>
      </c>
      <c r="H1313">
        <v>12.737530779652975</v>
      </c>
      <c r="I1313">
        <v>13.231572825656778</v>
      </c>
      <c r="J1313">
        <v>12.344406134027631</v>
      </c>
      <c r="K1313">
        <v>14.856891883029679</v>
      </c>
      <c r="L1313">
        <v>0</v>
      </c>
      <c r="M1313">
        <v>13.965784284662087</v>
      </c>
      <c r="N1313">
        <v>13.537534673956392</v>
      </c>
      <c r="O1313">
        <v>13.109807340515308</v>
      </c>
      <c r="P1313">
        <v>12.800328936512944</v>
      </c>
      <c r="Q1313">
        <v>13.229257336465876</v>
      </c>
      <c r="R1313">
        <v>13.08500003660086</v>
      </c>
      <c r="S1313">
        <v>0</v>
      </c>
      <c r="T1313">
        <v>14.420606650046794</v>
      </c>
    </row>
    <row r="1314" spans="1:20" x14ac:dyDescent="0.25">
      <c r="A1314" s="5" t="s">
        <v>1332</v>
      </c>
      <c r="B1314">
        <v>12.645140182487774</v>
      </c>
      <c r="C1314">
        <v>0</v>
      </c>
      <c r="D1314">
        <v>12.795418206568442</v>
      </c>
      <c r="E1314">
        <v>13.001682909682319</v>
      </c>
      <c r="F1314">
        <v>12.515716966061239</v>
      </c>
      <c r="G1314">
        <v>13.7397690682591</v>
      </c>
      <c r="H1314">
        <v>12.883572213285525</v>
      </c>
      <c r="I1314">
        <v>13.570502080529854</v>
      </c>
      <c r="J1314">
        <v>12.61082216482208</v>
      </c>
      <c r="K1314">
        <v>13.19881095531457</v>
      </c>
      <c r="L1314">
        <v>13.743721659884601</v>
      </c>
      <c r="M1314">
        <v>13.450980299090315</v>
      </c>
      <c r="N1314">
        <v>13.404873723782199</v>
      </c>
      <c r="O1314">
        <v>12.669426731395536</v>
      </c>
      <c r="P1314">
        <v>13.177108595698696</v>
      </c>
      <c r="Q1314">
        <v>13.284844269242278</v>
      </c>
      <c r="R1314">
        <v>12.910788594311802</v>
      </c>
      <c r="S1314">
        <v>13.218065199962149</v>
      </c>
      <c r="T1314">
        <v>13.094306480621883</v>
      </c>
    </row>
    <row r="1315" spans="1:20" x14ac:dyDescent="0.25">
      <c r="A1315" s="6" t="s">
        <v>1333</v>
      </c>
      <c r="B1315">
        <v>12.779050480594544</v>
      </c>
      <c r="C1315">
        <v>14.411146320797728</v>
      </c>
      <c r="D1315">
        <v>13.558268372715785</v>
      </c>
      <c r="E1315">
        <v>13.172665815380862</v>
      </c>
      <c r="F1315">
        <v>13.800226030200914</v>
      </c>
      <c r="G1315">
        <v>13.852617227929352</v>
      </c>
      <c r="H1315">
        <v>12.724827679192575</v>
      </c>
      <c r="I1315">
        <v>13.706602204323898</v>
      </c>
      <c r="J1315">
        <v>13.357164260301595</v>
      </c>
      <c r="K1315">
        <v>13.355651208206025</v>
      </c>
      <c r="L1315">
        <v>13.691254239990464</v>
      </c>
      <c r="M1315">
        <v>13.14476313634527</v>
      </c>
      <c r="N1315">
        <v>13.685540588796069</v>
      </c>
      <c r="O1315">
        <v>12.991613304298617</v>
      </c>
      <c r="P1315">
        <v>13.989054063984934</v>
      </c>
      <c r="Q1315">
        <v>15.010322680738586</v>
      </c>
      <c r="R1315">
        <v>13.871953713026953</v>
      </c>
      <c r="S1315">
        <v>0</v>
      </c>
      <c r="T1315">
        <v>0</v>
      </c>
    </row>
    <row r="1316" spans="1:20" x14ac:dyDescent="0.25">
      <c r="A1316" s="5" t="s">
        <v>1334</v>
      </c>
      <c r="B1316">
        <v>12.75753174091836</v>
      </c>
      <c r="C1316">
        <v>13.176654350833248</v>
      </c>
      <c r="D1316">
        <v>12.790176653153445</v>
      </c>
      <c r="E1316">
        <v>13.162114173267902</v>
      </c>
      <c r="F1316">
        <v>12.460885294708179</v>
      </c>
      <c r="G1316">
        <v>13.386217924501876</v>
      </c>
      <c r="H1316">
        <v>12.465267740144833</v>
      </c>
      <c r="I1316">
        <v>0</v>
      </c>
      <c r="J1316">
        <v>12.778107738078042</v>
      </c>
      <c r="K1316">
        <v>0</v>
      </c>
      <c r="L1316">
        <v>0</v>
      </c>
      <c r="M1316">
        <v>12.547458306029435</v>
      </c>
      <c r="N1316">
        <v>12.54972283536347</v>
      </c>
      <c r="O1316">
        <v>12.399571170535433</v>
      </c>
      <c r="P1316">
        <v>13.098577316954353</v>
      </c>
      <c r="Q1316">
        <v>0</v>
      </c>
      <c r="R1316">
        <v>13.09563186649201</v>
      </c>
      <c r="S1316">
        <v>13.367800290872143</v>
      </c>
      <c r="T1316">
        <v>0</v>
      </c>
    </row>
    <row r="1317" spans="1:20" x14ac:dyDescent="0.25">
      <c r="A1317" s="6" t="s">
        <v>1335</v>
      </c>
      <c r="B1317">
        <v>13.101047024327032</v>
      </c>
      <c r="C1317">
        <v>0</v>
      </c>
      <c r="D1317">
        <v>13.67229608228658</v>
      </c>
      <c r="E1317">
        <v>13.627787821147072</v>
      </c>
      <c r="F1317">
        <v>13.013480541753955</v>
      </c>
      <c r="G1317">
        <v>13.503627236814692</v>
      </c>
      <c r="H1317">
        <v>12.405875508418156</v>
      </c>
      <c r="I1317">
        <v>13.147130022160164</v>
      </c>
      <c r="J1317">
        <v>13.140757441627564</v>
      </c>
      <c r="K1317">
        <v>13.438113368398</v>
      </c>
      <c r="L1317">
        <v>14.081069155566054</v>
      </c>
      <c r="M1317">
        <v>13.287193102798938</v>
      </c>
      <c r="N1317">
        <v>13.384674109436538</v>
      </c>
      <c r="O1317">
        <v>13.139389964246419</v>
      </c>
      <c r="P1317">
        <v>13.232447299882471</v>
      </c>
      <c r="Q1317">
        <v>0</v>
      </c>
      <c r="R1317">
        <v>13.047251498163309</v>
      </c>
      <c r="S1317">
        <v>14.420606650046794</v>
      </c>
      <c r="T1317">
        <v>14.024677973715656</v>
      </c>
    </row>
    <row r="1318" spans="1:20" x14ac:dyDescent="0.25">
      <c r="A1318" s="5" t="s">
        <v>1336</v>
      </c>
      <c r="B1318">
        <v>16.485312339434611</v>
      </c>
      <c r="C1318">
        <v>15.019876987451834</v>
      </c>
      <c r="D1318">
        <v>14.574016564706092</v>
      </c>
      <c r="E1318">
        <v>14.635111161952929</v>
      </c>
      <c r="F1318">
        <v>14.996108821518886</v>
      </c>
      <c r="G1318">
        <v>14.991401818841357</v>
      </c>
      <c r="H1318">
        <v>15.346606068603018</v>
      </c>
      <c r="I1318">
        <v>15.426948176920622</v>
      </c>
      <c r="J1318">
        <v>15.691254239990466</v>
      </c>
      <c r="K1318">
        <v>15.861179241432778</v>
      </c>
      <c r="L1318">
        <v>15.259143227352677</v>
      </c>
      <c r="M1318">
        <v>0</v>
      </c>
      <c r="N1318">
        <v>0</v>
      </c>
      <c r="O1318">
        <v>16.383131944628133</v>
      </c>
      <c r="P1318">
        <v>16.231128851183083</v>
      </c>
      <c r="Q1318">
        <v>15.015091924886457</v>
      </c>
      <c r="R1318">
        <v>16.198214228710349</v>
      </c>
      <c r="S1318">
        <v>0</v>
      </c>
      <c r="T1318">
        <v>0</v>
      </c>
    </row>
    <row r="1319" spans="1:20" x14ac:dyDescent="0.25">
      <c r="A1319" s="6" t="s">
        <v>1337</v>
      </c>
      <c r="B1319">
        <v>15.414292876114592</v>
      </c>
      <c r="C1319">
        <v>15.068621321303253</v>
      </c>
      <c r="D1319">
        <v>14.635111161952929</v>
      </c>
      <c r="E1319">
        <v>14.411146320797728</v>
      </c>
      <c r="F1319">
        <v>15.532397475504352</v>
      </c>
      <c r="G1319">
        <v>14.913646661326911</v>
      </c>
      <c r="H1319">
        <v>15.019876987451834</v>
      </c>
      <c r="I1319">
        <v>15.478709604610364</v>
      </c>
      <c r="J1319">
        <v>15.472136950686876</v>
      </c>
      <c r="K1319">
        <v>14.977372258937299</v>
      </c>
      <c r="L1319">
        <v>15.144972207433367</v>
      </c>
      <c r="M1319">
        <v>16.034328143749374</v>
      </c>
      <c r="N1319">
        <v>16.144972207433366</v>
      </c>
      <c r="O1319">
        <v>15.187407473753764</v>
      </c>
      <c r="P1319">
        <v>15.364753415313277</v>
      </c>
      <c r="Q1319">
        <v>15.166033822961197</v>
      </c>
      <c r="R1319">
        <v>15.4397154729945</v>
      </c>
      <c r="S1319">
        <v>14.848355201075194</v>
      </c>
      <c r="T1319">
        <v>15.150208855799516</v>
      </c>
    </row>
    <row r="1320" spans="1:20" x14ac:dyDescent="0.25">
      <c r="A1320" s="5" t="s">
        <v>1338</v>
      </c>
      <c r="B1320">
        <v>15.203648114760977</v>
      </c>
      <c r="C1320">
        <v>14.367800290872141</v>
      </c>
      <c r="D1320">
        <v>14.414292876114592</v>
      </c>
      <c r="E1320">
        <v>14.46233377565652</v>
      </c>
      <c r="F1320">
        <v>14.231128851183081</v>
      </c>
      <c r="G1320">
        <v>14.364753415313277</v>
      </c>
      <c r="H1320">
        <v>14.726019658151142</v>
      </c>
      <c r="I1320">
        <v>15.053824319375174</v>
      </c>
      <c r="J1320">
        <v>15.465594104820106</v>
      </c>
      <c r="K1320">
        <v>15.668534163490381</v>
      </c>
      <c r="L1320">
        <v>15.532397475504352</v>
      </c>
      <c r="M1320">
        <v>16.15546458125101</v>
      </c>
      <c r="N1320">
        <v>15.895944659593452</v>
      </c>
      <c r="O1320">
        <v>15.27621674071162</v>
      </c>
      <c r="P1320">
        <v>14.891552890476294</v>
      </c>
      <c r="Q1320">
        <v>14.874118297140276</v>
      </c>
      <c r="R1320">
        <v>14.485312339434612</v>
      </c>
      <c r="S1320">
        <v>14.986710123516636</v>
      </c>
      <c r="T1320">
        <v>15.539251146545414</v>
      </c>
    </row>
    <row r="1321" spans="1:20" x14ac:dyDescent="0.25">
      <c r="A1321" s="6" t="s">
        <v>1339</v>
      </c>
      <c r="B1321">
        <v>0</v>
      </c>
      <c r="C1321">
        <v>15.539251146545414</v>
      </c>
      <c r="D1321">
        <v>15.187407473753764</v>
      </c>
      <c r="E1321">
        <v>15.478709604610364</v>
      </c>
      <c r="F1321">
        <v>15.414292876114592</v>
      </c>
      <c r="G1321">
        <v>15.12937535238235</v>
      </c>
      <c r="H1321">
        <v>15.465594104820106</v>
      </c>
      <c r="I1321">
        <v>0</v>
      </c>
      <c r="J1321">
        <v>15.574016564706092</v>
      </c>
      <c r="K1321">
        <v>15.624140044131927</v>
      </c>
      <c r="L1321">
        <v>15.588160747026361</v>
      </c>
      <c r="M1321">
        <v>16.276216740711622</v>
      </c>
      <c r="N1321">
        <v>16.264811977439372</v>
      </c>
      <c r="O1321">
        <v>15.83564414932564</v>
      </c>
      <c r="P1321">
        <v>15.6989078125339</v>
      </c>
      <c r="Q1321">
        <v>15.518787043985698</v>
      </c>
      <c r="R1321">
        <v>15.588160747026361</v>
      </c>
      <c r="S1321">
        <v>15.505303814622076</v>
      </c>
      <c r="T1321">
        <v>0</v>
      </c>
    </row>
    <row r="1322" spans="1:20" x14ac:dyDescent="0.25">
      <c r="A1322" s="5" t="s">
        <v>1340</v>
      </c>
      <c r="B1322">
        <v>15.328684160605755</v>
      </c>
      <c r="C1322">
        <v>14.63144484475516</v>
      </c>
      <c r="D1322">
        <v>14.501952605122439</v>
      </c>
      <c r="E1322">
        <v>14.566996137028319</v>
      </c>
      <c r="F1322">
        <v>15.088589737535848</v>
      </c>
      <c r="G1322">
        <v>13.777763233245141</v>
      </c>
      <c r="H1322">
        <v>14.802285552379209</v>
      </c>
      <c r="I1322">
        <v>15.113945311812744</v>
      </c>
      <c r="J1322">
        <v>14.958875915319911</v>
      </c>
      <c r="K1322">
        <v>15.376979717646538</v>
      </c>
      <c r="L1322">
        <v>15.113945311812744</v>
      </c>
      <c r="M1322">
        <v>0</v>
      </c>
      <c r="N1322">
        <v>0</v>
      </c>
      <c r="O1322">
        <v>15.737796825927495</v>
      </c>
      <c r="P1322">
        <v>15.322759326648649</v>
      </c>
      <c r="Q1322">
        <v>15.581071322240042</v>
      </c>
      <c r="R1322">
        <v>15.895944659593452</v>
      </c>
      <c r="S1322">
        <v>15.019876987451834</v>
      </c>
      <c r="T1322">
        <v>15.242269408788282</v>
      </c>
    </row>
    <row r="1323" spans="1:20" x14ac:dyDescent="0.25">
      <c r="A1323" s="6" t="s">
        <v>1341</v>
      </c>
      <c r="B1323">
        <v>15.646166350461927</v>
      </c>
      <c r="C1323">
        <v>14.865479378866404</v>
      </c>
      <c r="D1323">
        <v>14.546137532130656</v>
      </c>
      <c r="E1323">
        <v>14.627787821147072</v>
      </c>
      <c r="F1323">
        <v>15.039177543410771</v>
      </c>
      <c r="G1323">
        <v>15.044043298582586</v>
      </c>
      <c r="H1323">
        <v>15.588160747026361</v>
      </c>
      <c r="I1323">
        <v>15.895944659593452</v>
      </c>
      <c r="J1323">
        <v>15.609640474436812</v>
      </c>
      <c r="K1323">
        <v>15.446141742153934</v>
      </c>
      <c r="L1323">
        <v>15.310982158872298</v>
      </c>
      <c r="M1323">
        <v>15.913646661326911</v>
      </c>
      <c r="N1323">
        <v>16.015091924886459</v>
      </c>
      <c r="O1323">
        <v>15.581071322240042</v>
      </c>
      <c r="P1323">
        <v>15.61687204366789</v>
      </c>
      <c r="Q1323">
        <v>15.352629856230788</v>
      </c>
      <c r="R1323">
        <v>15.452596764291233</v>
      </c>
      <c r="S1323">
        <v>15.281953110260764</v>
      </c>
      <c r="T1323">
        <v>15.119070343990609</v>
      </c>
    </row>
    <row r="1324" spans="1:20" x14ac:dyDescent="0.25">
      <c r="A1324" s="5" t="s">
        <v>1342</v>
      </c>
      <c r="B1324">
        <v>15.777763233245141</v>
      </c>
      <c r="C1324">
        <v>15.236688376524983</v>
      </c>
      <c r="D1324">
        <v>15.113945311812744</v>
      </c>
      <c r="E1324">
        <v>14.761643567881864</v>
      </c>
      <c r="F1324">
        <v>15.340607327981576</v>
      </c>
      <c r="G1324">
        <v>14.609640474436812</v>
      </c>
      <c r="H1324">
        <v>14.818868436574812</v>
      </c>
      <c r="I1324">
        <v>15.472136950686876</v>
      </c>
      <c r="J1324">
        <v>15.574016564706092</v>
      </c>
      <c r="K1324">
        <v>15.61687204366789</v>
      </c>
      <c r="L1324">
        <v>15.588160747026361</v>
      </c>
      <c r="M1324">
        <v>15.940613708927183</v>
      </c>
      <c r="N1324">
        <v>16.310982158872296</v>
      </c>
      <c r="O1324">
        <v>15.895944659593452</v>
      </c>
      <c r="P1324">
        <v>15.581071322240042</v>
      </c>
      <c r="Q1324">
        <v>15.401747622795478</v>
      </c>
      <c r="R1324">
        <v>15.293494732143458</v>
      </c>
      <c r="S1324">
        <v>15.827231909509438</v>
      </c>
      <c r="T1324">
        <v>15.852617227929352</v>
      </c>
    </row>
    <row r="1325" spans="1:20" x14ac:dyDescent="0.25">
      <c r="A1325" s="6" t="s">
        <v>1343</v>
      </c>
      <c r="B1325">
        <v>14.024677973715656</v>
      </c>
      <c r="C1325">
        <v>0</v>
      </c>
      <c r="D1325">
        <v>13.493608480989701</v>
      </c>
      <c r="E1325">
        <v>13.087622400603459</v>
      </c>
      <c r="F1325">
        <v>0</v>
      </c>
      <c r="G1325">
        <v>0</v>
      </c>
      <c r="H1325">
        <v>0</v>
      </c>
      <c r="I1325">
        <v>13.986710123516636</v>
      </c>
      <c r="J1325">
        <v>0</v>
      </c>
      <c r="K1325">
        <v>13.904768509980459</v>
      </c>
      <c r="L1325">
        <v>13.56524635507836</v>
      </c>
      <c r="M1325">
        <v>0</v>
      </c>
      <c r="N1325">
        <v>14.14758815564038</v>
      </c>
      <c r="O1325">
        <v>13.651725875803827</v>
      </c>
      <c r="P1325">
        <v>14.577539631269786</v>
      </c>
      <c r="Q1325">
        <v>13.493608480989701</v>
      </c>
      <c r="R1325">
        <v>13.37238270353644</v>
      </c>
      <c r="S1325">
        <v>12.967112175022976</v>
      </c>
      <c r="T1325">
        <v>13.56524635507836</v>
      </c>
    </row>
    <row r="1326" spans="1:20" x14ac:dyDescent="0.25">
      <c r="A1326" s="5" t="s">
        <v>1344</v>
      </c>
      <c r="B1326">
        <v>15.328684160605755</v>
      </c>
      <c r="C1326">
        <v>14.13715270297407</v>
      </c>
      <c r="D1326">
        <v>13.653583822024411</v>
      </c>
      <c r="E1326">
        <v>13.659172060286689</v>
      </c>
      <c r="F1326">
        <v>14.007943957955854</v>
      </c>
      <c r="G1326">
        <v>13.710464843956299</v>
      </c>
      <c r="H1326">
        <v>14.549593090766873</v>
      </c>
      <c r="I1326">
        <v>14.661039626943458</v>
      </c>
      <c r="J1326">
        <v>14.495273449484813</v>
      </c>
      <c r="K1326">
        <v>14.818868436574812</v>
      </c>
      <c r="L1326">
        <v>14.525576209648337</v>
      </c>
      <c r="M1326">
        <v>15.06367210533152</v>
      </c>
      <c r="N1326">
        <v>15.270503089517227</v>
      </c>
      <c r="O1326">
        <v>14.904768509980459</v>
      </c>
      <c r="P1326">
        <v>14.646166350461927</v>
      </c>
      <c r="Q1326">
        <v>14.264811977439372</v>
      </c>
      <c r="R1326">
        <v>14.613251727989191</v>
      </c>
      <c r="S1326">
        <v>14.261974818135842</v>
      </c>
      <c r="T1326">
        <v>14.977372258937299</v>
      </c>
    </row>
    <row r="1327" spans="1:20" x14ac:dyDescent="0.25">
      <c r="A1327" s="6" t="s">
        <v>1345</v>
      </c>
      <c r="B1327">
        <v>0</v>
      </c>
      <c r="C1327">
        <v>0</v>
      </c>
      <c r="D1327">
        <v>15.491945431767057</v>
      </c>
      <c r="E1327">
        <v>15.553056946070447</v>
      </c>
      <c r="F1327">
        <v>0</v>
      </c>
      <c r="G1327">
        <v>15.940613708927183</v>
      </c>
      <c r="H1327">
        <v>15.45908079786143</v>
      </c>
      <c r="I1327">
        <v>16.124213647266568</v>
      </c>
      <c r="J1327">
        <v>0</v>
      </c>
      <c r="K1327">
        <v>16.134555591488027</v>
      </c>
      <c r="L1327">
        <v>16.144972207433366</v>
      </c>
      <c r="M1327">
        <v>0</v>
      </c>
      <c r="N1327">
        <v>0</v>
      </c>
      <c r="O1327">
        <v>16.083571662769224</v>
      </c>
      <c r="P1327">
        <v>16.512029677810389</v>
      </c>
      <c r="Q1327">
        <v>16.083571662769224</v>
      </c>
      <c r="R1327">
        <v>16.310982158872296</v>
      </c>
      <c r="S1327">
        <v>15.75365077712833</v>
      </c>
      <c r="T1327">
        <v>0</v>
      </c>
    </row>
    <row r="1328" spans="1:20" x14ac:dyDescent="0.25">
      <c r="A1328" s="5" t="s">
        <v>1346</v>
      </c>
      <c r="B1328">
        <v>15.078570981710859</v>
      </c>
      <c r="C1328">
        <v>14.343603580441494</v>
      </c>
      <c r="D1328">
        <v>14.190101582923029</v>
      </c>
      <c r="E1328">
        <v>14.452596764291233</v>
      </c>
      <c r="F1328">
        <v>14.581071322240041</v>
      </c>
      <c r="G1328">
        <v>14.264811977439372</v>
      </c>
      <c r="H1328">
        <v>14.27335708657238</v>
      </c>
      <c r="I1328">
        <v>15.225590667641651</v>
      </c>
      <c r="J1328">
        <v>15.083571662769224</v>
      </c>
      <c r="K1328">
        <v>14.810553168362809</v>
      </c>
      <c r="L1328">
        <v>15.214577674919234</v>
      </c>
      <c r="M1328">
        <v>0</v>
      </c>
      <c r="N1328">
        <v>15.949715916034434</v>
      </c>
      <c r="O1328">
        <v>15.044043298582586</v>
      </c>
      <c r="P1328">
        <v>14.918106309517611</v>
      </c>
      <c r="Q1328">
        <v>14.642471866904184</v>
      </c>
      <c r="R1328">
        <v>14.741744010444156</v>
      </c>
      <c r="S1328">
        <v>14.62050146706858</v>
      </c>
      <c r="T1328">
        <v>14.515404404591045</v>
      </c>
    </row>
    <row r="1329" spans="1:20" x14ac:dyDescent="0.25">
      <c r="A1329" s="6" t="s">
        <v>1347</v>
      </c>
      <c r="B1329">
        <v>14.642471866904184</v>
      </c>
      <c r="C1329">
        <v>14.299300353824661</v>
      </c>
      <c r="D1329">
        <v>13.952000469228988</v>
      </c>
      <c r="E1329">
        <v>13.79201721692538</v>
      </c>
      <c r="F1329">
        <v>14.646166350461927</v>
      </c>
      <c r="G1329">
        <v>14.657306908067127</v>
      </c>
      <c r="H1329">
        <v>14.325718702129196</v>
      </c>
      <c r="I1329">
        <v>14.88280925740432</v>
      </c>
      <c r="J1329">
        <v>14.61687204366789</v>
      </c>
      <c r="K1329">
        <v>14.449365643028219</v>
      </c>
      <c r="L1329">
        <v>14.310982158872298</v>
      </c>
      <c r="M1329">
        <v>15.225590667641651</v>
      </c>
      <c r="N1329">
        <v>15.044043298582586</v>
      </c>
      <c r="O1329">
        <v>14.200928613407385</v>
      </c>
      <c r="P1329">
        <v>14.45908079786143</v>
      </c>
      <c r="Q1329">
        <v>14.664782028629272</v>
      </c>
      <c r="R1329">
        <v>14.331655727137047</v>
      </c>
      <c r="S1329">
        <v>14.305129432626858</v>
      </c>
      <c r="T1329">
        <v>14.528982811091586</v>
      </c>
    </row>
    <row r="1330" spans="1:20" x14ac:dyDescent="0.25">
      <c r="A1330" s="5" t="s">
        <v>1348</v>
      </c>
      <c r="B1330">
        <v>15.638786820096328</v>
      </c>
      <c r="C1330">
        <v>14.472136950686876</v>
      </c>
      <c r="D1330">
        <v>14.364753415313277</v>
      </c>
      <c r="E1330">
        <v>14.627787821147072</v>
      </c>
      <c r="F1330">
        <v>14.931568569324176</v>
      </c>
      <c r="G1330">
        <v>14.741744010444156</v>
      </c>
      <c r="H1330">
        <v>14.299300353824661</v>
      </c>
      <c r="I1330">
        <v>15.287712379549449</v>
      </c>
      <c r="J1330">
        <v>15.505303814622076</v>
      </c>
      <c r="K1330">
        <v>15.039177543410771</v>
      </c>
      <c r="L1330">
        <v>14.789972290940359</v>
      </c>
      <c r="M1330">
        <v>15.75365077712833</v>
      </c>
      <c r="N1330">
        <v>15.401747622795478</v>
      </c>
      <c r="O1330">
        <v>14.563498692792091</v>
      </c>
      <c r="P1330">
        <v>15.588160747026361</v>
      </c>
      <c r="Q1330">
        <v>15.039177543410771</v>
      </c>
      <c r="R1330">
        <v>15.414292876114592</v>
      </c>
      <c r="S1330">
        <v>14.972725894080934</v>
      </c>
      <c r="T1330">
        <v>14.313917449896843</v>
      </c>
    </row>
    <row r="1331" spans="1:20" x14ac:dyDescent="0.25">
      <c r="A1331" s="6" t="s">
        <v>1349</v>
      </c>
      <c r="B1331">
        <v>0</v>
      </c>
      <c r="C1331">
        <v>0</v>
      </c>
      <c r="D1331">
        <v>0</v>
      </c>
      <c r="E1331">
        <v>15.968094445349289</v>
      </c>
      <c r="F1331">
        <v>0</v>
      </c>
      <c r="G1331">
        <v>0</v>
      </c>
      <c r="H1331">
        <v>0</v>
      </c>
      <c r="I1331">
        <v>16.619774851570526</v>
      </c>
      <c r="J1331">
        <v>0</v>
      </c>
      <c r="K1331">
        <v>16.103749544706854</v>
      </c>
      <c r="L1331">
        <v>15.661039626943458</v>
      </c>
      <c r="M1331">
        <v>16.820537256935431</v>
      </c>
      <c r="N1331">
        <v>17.183107336320138</v>
      </c>
      <c r="O1331">
        <v>0</v>
      </c>
      <c r="P1331">
        <v>0</v>
      </c>
      <c r="Q1331">
        <v>16.176681067160704</v>
      </c>
      <c r="R1331">
        <v>15.95887591531991</v>
      </c>
      <c r="S1331">
        <v>15.512029677810389</v>
      </c>
      <c r="T1331">
        <v>15.322759326648649</v>
      </c>
    </row>
    <row r="1332" spans="1:20" x14ac:dyDescent="0.25">
      <c r="A1332" s="5" t="s">
        <v>1350</v>
      </c>
      <c r="B1332">
        <v>15.171347622857667</v>
      </c>
      <c r="C1332">
        <v>14.449365643028219</v>
      </c>
      <c r="D1332">
        <v>14.553056946070445</v>
      </c>
      <c r="E1332">
        <v>14.367800290872141</v>
      </c>
      <c r="F1332">
        <v>14.814704811633275</v>
      </c>
      <c r="G1332">
        <v>14.722115203695225</v>
      </c>
      <c r="H1332">
        <v>14.525576209648337</v>
      </c>
      <c r="I1332">
        <v>14.977372258937299</v>
      </c>
      <c r="J1332">
        <v>15.044043298582586</v>
      </c>
      <c r="K1332">
        <v>15.005569150767952</v>
      </c>
      <c r="L1332">
        <v>14.729934708154525</v>
      </c>
      <c r="M1332">
        <v>0</v>
      </c>
      <c r="N1332">
        <v>15.525576209648337</v>
      </c>
      <c r="O1332">
        <v>15.209102544853085</v>
      </c>
      <c r="P1332">
        <v>15.187407473753764</v>
      </c>
      <c r="Q1332">
        <v>14.936084050446668</v>
      </c>
      <c r="R1332">
        <v>15.019876987451834</v>
      </c>
      <c r="S1332">
        <v>14.83564414932564</v>
      </c>
      <c r="T1332">
        <v>14.722115203695225</v>
      </c>
    </row>
    <row r="1333" spans="1:20" x14ac:dyDescent="0.25">
      <c r="A1333" s="6" t="s">
        <v>1351</v>
      </c>
      <c r="B1333">
        <v>14.203648114760977</v>
      </c>
      <c r="C1333">
        <v>13.540969663771714</v>
      </c>
      <c r="D1333">
        <v>13.141630700343979</v>
      </c>
      <c r="E1333">
        <v>13.530689133041991</v>
      </c>
      <c r="F1333">
        <v>13.480357457491845</v>
      </c>
      <c r="G1333">
        <v>13.239699452182546</v>
      </c>
      <c r="H1333">
        <v>13.30659038975514</v>
      </c>
      <c r="I1333">
        <v>13.965784284662087</v>
      </c>
      <c r="J1333">
        <v>14.005569150767952</v>
      </c>
      <c r="K1333">
        <v>13.989054063984934</v>
      </c>
      <c r="L1333">
        <v>13.765656630388486</v>
      </c>
      <c r="M1333">
        <v>14.334633426936943</v>
      </c>
      <c r="N1333">
        <v>14.687442626040445</v>
      </c>
      <c r="O1333">
        <v>14.187407473753764</v>
      </c>
      <c r="P1333">
        <v>14.14236099397683</v>
      </c>
      <c r="Q1333">
        <v>13.7085322314223</v>
      </c>
      <c r="R1333">
        <v>14.155464581251008</v>
      </c>
      <c r="S1333">
        <v>13.574016564706092</v>
      </c>
      <c r="T1333">
        <v>13.625962779738746</v>
      </c>
    </row>
    <row r="1334" spans="1:20" x14ac:dyDescent="0.25">
      <c r="A1334" s="5" t="s">
        <v>1352</v>
      </c>
      <c r="B1334">
        <v>0</v>
      </c>
      <c r="C1334">
        <v>15.093625327433148</v>
      </c>
      <c r="D1334">
        <v>15.209102544853085</v>
      </c>
      <c r="E1334">
        <v>14.668534163490381</v>
      </c>
      <c r="F1334">
        <v>0</v>
      </c>
      <c r="G1334">
        <v>0</v>
      </c>
      <c r="H1334">
        <v>14.977372258937299</v>
      </c>
      <c r="I1334">
        <v>14.891552890476294</v>
      </c>
      <c r="J1334">
        <v>15.566996137028319</v>
      </c>
      <c r="K1334">
        <v>15.352629856230788</v>
      </c>
      <c r="L1334">
        <v>14.95428864582426</v>
      </c>
      <c r="M1334">
        <v>15.560009706712211</v>
      </c>
      <c r="N1334">
        <v>14.426948176920622</v>
      </c>
      <c r="O1334">
        <v>0</v>
      </c>
      <c r="P1334">
        <v>14.6989078125339</v>
      </c>
      <c r="Q1334">
        <v>14.386217924501876</v>
      </c>
      <c r="R1334">
        <v>14.475419534676179</v>
      </c>
      <c r="S1334">
        <v>14.290600658874276</v>
      </c>
      <c r="T1334">
        <v>14.62050146706858</v>
      </c>
    </row>
    <row r="1335" spans="1:20" x14ac:dyDescent="0.25">
      <c r="A1335" s="6" t="s">
        <v>1353</v>
      </c>
      <c r="B1335">
        <v>12.245376223510037</v>
      </c>
      <c r="C1335">
        <v>12.416554765539711</v>
      </c>
      <c r="D1335">
        <v>13.132131514285698</v>
      </c>
      <c r="E1335">
        <v>12.616862981541571</v>
      </c>
      <c r="F1335">
        <v>11.840630476155342</v>
      </c>
      <c r="G1335">
        <v>11.727276210034152</v>
      </c>
      <c r="H1335">
        <v>11.528859181175578</v>
      </c>
      <c r="I1335">
        <v>11.610962047208533</v>
      </c>
      <c r="J1335">
        <v>11.328238953059902</v>
      </c>
      <c r="K1335">
        <v>11.82535113191695</v>
      </c>
      <c r="L1335">
        <v>12.063233681595866</v>
      </c>
      <c r="M1335">
        <v>11.617202850241023</v>
      </c>
      <c r="N1335">
        <v>11.595450350928202</v>
      </c>
      <c r="O1335">
        <v>11.299056774167274</v>
      </c>
      <c r="P1335">
        <v>11.619997338693128</v>
      </c>
      <c r="Q1335">
        <v>11.543796778349542</v>
      </c>
      <c r="R1335">
        <v>11.208808844226146</v>
      </c>
      <c r="S1335">
        <v>11.709024801759272</v>
      </c>
      <c r="T1335">
        <v>11.975750139287614</v>
      </c>
    </row>
    <row r="1336" spans="1:20" x14ac:dyDescent="0.25">
      <c r="A1336" s="5" t="s">
        <v>1354</v>
      </c>
      <c r="B1336">
        <v>14.931568569324176</v>
      </c>
      <c r="C1336">
        <v>14.355651208206025</v>
      </c>
      <c r="D1336">
        <v>14.13715270297407</v>
      </c>
      <c r="E1336">
        <v>14.319806009259304</v>
      </c>
      <c r="F1336">
        <v>13.724066110065387</v>
      </c>
      <c r="G1336">
        <v>14.061203849740769</v>
      </c>
      <c r="H1336">
        <v>15.383131944628133</v>
      </c>
      <c r="I1336">
        <v>13.724066110065387</v>
      </c>
      <c r="J1336">
        <v>13.670413896708604</v>
      </c>
      <c r="K1336">
        <v>13.457457055381768</v>
      </c>
      <c r="L1336">
        <v>13.670413896708604</v>
      </c>
      <c r="M1336">
        <v>13.938347101955237</v>
      </c>
      <c r="N1336">
        <v>13.755644827260419</v>
      </c>
      <c r="O1336">
        <v>13.279770602119152</v>
      </c>
      <c r="P1336">
        <v>13.327200669430427</v>
      </c>
      <c r="Q1336">
        <v>13.173745233116447</v>
      </c>
      <c r="R1336">
        <v>13.45908079786143</v>
      </c>
      <c r="S1336">
        <v>12.75987134418359</v>
      </c>
      <c r="T1336">
        <v>13.351121549725512</v>
      </c>
    </row>
    <row r="1337" spans="1:20" x14ac:dyDescent="0.25">
      <c r="A1337" s="6" t="s">
        <v>1355</v>
      </c>
      <c r="B1337">
        <v>11.238973989038682</v>
      </c>
      <c r="C1337">
        <v>11.461727352446225</v>
      </c>
      <c r="D1337">
        <v>11.822819362347619</v>
      </c>
      <c r="E1337">
        <v>0</v>
      </c>
      <c r="F1337">
        <v>10.668743162773147</v>
      </c>
      <c r="G1337">
        <v>9.8801461634095702</v>
      </c>
      <c r="H1337">
        <v>0</v>
      </c>
      <c r="I1337">
        <v>10.340152815955351</v>
      </c>
      <c r="J1337">
        <v>9.9552550598656797</v>
      </c>
      <c r="K1337">
        <v>10.847996167895278</v>
      </c>
      <c r="L1337">
        <v>10.761312988145805</v>
      </c>
      <c r="M1337">
        <v>9.5748140060199258</v>
      </c>
      <c r="N1337">
        <v>9.2182525153057124</v>
      </c>
      <c r="O1337">
        <v>9.9006545685279281</v>
      </c>
      <c r="P1337">
        <v>9.5659492936574484</v>
      </c>
      <c r="Q1337">
        <v>9.5147699863453905</v>
      </c>
      <c r="R1337">
        <v>9.8341236879540439</v>
      </c>
      <c r="S1337">
        <v>10.25458896106225</v>
      </c>
      <c r="T1337">
        <v>9.9529024355233808</v>
      </c>
    </row>
    <row r="1338" spans="1:20" x14ac:dyDescent="0.25">
      <c r="A1338" s="5" t="s">
        <v>1356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16.176681067160704</v>
      </c>
      <c r="H1338">
        <v>15.588160747026361</v>
      </c>
      <c r="I1338">
        <v>16.408006613267162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15.67606783617579</v>
      </c>
      <c r="Q1338">
        <v>14.373913414598753</v>
      </c>
      <c r="R1338">
        <v>15.491945431767057</v>
      </c>
      <c r="S1338">
        <v>15.949715916034434</v>
      </c>
      <c r="T1338">
        <v>13.718221287590733</v>
      </c>
    </row>
    <row r="1339" spans="1:20" x14ac:dyDescent="0.25">
      <c r="A1339" s="6" t="s">
        <v>1357</v>
      </c>
      <c r="B1339">
        <v>12.915930508854052</v>
      </c>
      <c r="C1339">
        <v>12.771384514368785</v>
      </c>
      <c r="D1339">
        <v>13.478709604610362</v>
      </c>
      <c r="E1339">
        <v>12.56359475921958</v>
      </c>
      <c r="F1339">
        <v>13.293494732143458</v>
      </c>
      <c r="G1339">
        <v>13.970408311187535</v>
      </c>
      <c r="H1339">
        <v>12.382538650408652</v>
      </c>
      <c r="I1339">
        <v>13.411146320797728</v>
      </c>
      <c r="J1339">
        <v>13.859033969601219</v>
      </c>
      <c r="K1339">
        <v>12.801605584982514</v>
      </c>
      <c r="L1339">
        <v>13.030182725961279</v>
      </c>
      <c r="M1339">
        <v>13.403309826565764</v>
      </c>
      <c r="N1339">
        <v>13.409575612922502</v>
      </c>
      <c r="O1339">
        <v>13.869792371737484</v>
      </c>
      <c r="P1339">
        <v>13.370853614849695</v>
      </c>
      <c r="Q1339">
        <v>13.269847468037691</v>
      </c>
      <c r="R1339">
        <v>13.297846756683162</v>
      </c>
      <c r="S1339">
        <v>13.129504631923712</v>
      </c>
      <c r="T1339">
        <v>13.389310519557256</v>
      </c>
    </row>
    <row r="1340" spans="1:20" x14ac:dyDescent="0.25">
      <c r="A1340" s="5" t="s">
        <v>1358</v>
      </c>
      <c r="B1340">
        <v>13.716278263672942</v>
      </c>
      <c r="C1340">
        <v>14.048925519962333</v>
      </c>
      <c r="D1340">
        <v>14.376979717646538</v>
      </c>
      <c r="E1340">
        <v>14.313917449896843</v>
      </c>
      <c r="F1340">
        <v>13.940613708927183</v>
      </c>
      <c r="G1340">
        <v>13.769680886947281</v>
      </c>
      <c r="H1340">
        <v>14.134555591488031</v>
      </c>
      <c r="I1340">
        <v>13.755644827260419</v>
      </c>
      <c r="J1340">
        <v>13.30659038975514</v>
      </c>
      <c r="K1340">
        <v>14.044043298582588</v>
      </c>
      <c r="L1340">
        <v>14.131963146871506</v>
      </c>
      <c r="M1340">
        <v>13.871953713026953</v>
      </c>
      <c r="N1340">
        <v>14.501952605122439</v>
      </c>
      <c r="O1340">
        <v>13.940613708927183</v>
      </c>
      <c r="P1340">
        <v>14.168688276407176</v>
      </c>
      <c r="Q1340">
        <v>13.706602204323898</v>
      </c>
      <c r="R1340">
        <v>13.689347174225803</v>
      </c>
      <c r="S1340">
        <v>13.92257978609692</v>
      </c>
      <c r="T1340">
        <v>13.893747103889208</v>
      </c>
    </row>
    <row r="1341" spans="1:20" x14ac:dyDescent="0.25">
      <c r="A1341" s="6" t="s">
        <v>1359</v>
      </c>
      <c r="B1341">
        <v>14.319806009259304</v>
      </c>
      <c r="C1341">
        <v>14.111389606908986</v>
      </c>
      <c r="D1341">
        <v>14.563498692792091</v>
      </c>
      <c r="E1341">
        <v>13.771697232545785</v>
      </c>
      <c r="F1341">
        <v>13.426948176920622</v>
      </c>
      <c r="G1341">
        <v>13.588160747026361</v>
      </c>
      <c r="H1341">
        <v>14.211837512574323</v>
      </c>
      <c r="I1341">
        <v>13.390859306652745</v>
      </c>
      <c r="J1341">
        <v>13.293494732143458</v>
      </c>
      <c r="K1341">
        <v>13.904768509980459</v>
      </c>
      <c r="L1341">
        <v>13.806413438001886</v>
      </c>
      <c r="M1341">
        <v>14.005569150767952</v>
      </c>
      <c r="N1341">
        <v>12.983423307897777</v>
      </c>
      <c r="O1341">
        <v>13.775738397767649</v>
      </c>
      <c r="P1341">
        <v>13.136100309446537</v>
      </c>
      <c r="Q1341">
        <v>12.592226270684922</v>
      </c>
      <c r="R1341">
        <v>12.61307998880193</v>
      </c>
      <c r="S1341">
        <v>12.587627830056357</v>
      </c>
      <c r="T1341">
        <v>12.302372257599735</v>
      </c>
    </row>
    <row r="1342" spans="1:20" x14ac:dyDescent="0.25">
      <c r="A1342" s="5" t="s">
        <v>1360</v>
      </c>
      <c r="B1342">
        <v>13.677957417377007</v>
      </c>
      <c r="C1342">
        <v>12.40809286391843</v>
      </c>
      <c r="D1342">
        <v>13.196479698845998</v>
      </c>
      <c r="E1342">
        <v>13.444532489292275</v>
      </c>
      <c r="F1342">
        <v>12.586518218224143</v>
      </c>
      <c r="G1342">
        <v>11.683242471526436</v>
      </c>
      <c r="H1342">
        <v>12.142804566965234</v>
      </c>
      <c r="I1342">
        <v>11.116627276652515</v>
      </c>
      <c r="J1342">
        <v>11.849627163230743</v>
      </c>
      <c r="K1342">
        <v>12.517805261780101</v>
      </c>
      <c r="L1342">
        <v>12.190971507110055</v>
      </c>
      <c r="M1342">
        <v>12.254151943076657</v>
      </c>
      <c r="N1342">
        <v>11.032486615532401</v>
      </c>
      <c r="O1342">
        <v>11.95312694266452</v>
      </c>
      <c r="P1342">
        <v>12.370998808626926</v>
      </c>
      <c r="Q1342">
        <v>12.189825205207539</v>
      </c>
      <c r="R1342">
        <v>12.429635871222331</v>
      </c>
      <c r="S1342">
        <v>12.62209221548307</v>
      </c>
      <c r="T1342">
        <v>12.902115683537206</v>
      </c>
    </row>
    <row r="1343" spans="1:20" x14ac:dyDescent="0.25">
      <c r="A1343" s="6" t="s">
        <v>1361</v>
      </c>
      <c r="B1343">
        <v>12.394901721567674</v>
      </c>
      <c r="C1343">
        <v>12.167187910075539</v>
      </c>
      <c r="D1343">
        <v>11.534492955619712</v>
      </c>
      <c r="E1343">
        <v>11.960645910174758</v>
      </c>
      <c r="F1343">
        <v>11.965813138851448</v>
      </c>
      <c r="G1343">
        <v>0</v>
      </c>
      <c r="H1343">
        <v>12.171141348184758</v>
      </c>
      <c r="I1343">
        <v>11.459909610742482</v>
      </c>
      <c r="J1343">
        <v>12.875353564820207</v>
      </c>
      <c r="K1343">
        <v>12.587894263934592</v>
      </c>
      <c r="L1343">
        <v>12.339575062951235</v>
      </c>
      <c r="M1343">
        <v>11.763703884401394</v>
      </c>
      <c r="N1343">
        <v>10.991296087737254</v>
      </c>
      <c r="O1343">
        <v>11.782344775672035</v>
      </c>
      <c r="P1343">
        <v>12.440613429301996</v>
      </c>
      <c r="Q1343">
        <v>12.576050085933675</v>
      </c>
      <c r="R1343">
        <v>13.036775053195466</v>
      </c>
      <c r="S1343">
        <v>12.249508002962648</v>
      </c>
      <c r="T1343">
        <v>12.710648576873703</v>
      </c>
    </row>
    <row r="1344" spans="1:20" x14ac:dyDescent="0.25">
      <c r="A1344" s="5" t="s">
        <v>1362</v>
      </c>
      <c r="B1344">
        <v>12.956419911968371</v>
      </c>
      <c r="C1344">
        <v>12.397600376460172</v>
      </c>
      <c r="D1344">
        <v>12.211577467646199</v>
      </c>
      <c r="E1344">
        <v>12.202036191424442</v>
      </c>
      <c r="F1344">
        <v>12.619929226746176</v>
      </c>
      <c r="G1344">
        <v>12.911133041553091</v>
      </c>
      <c r="H1344">
        <v>12.806155098840859</v>
      </c>
      <c r="I1344">
        <v>12.655900313941968</v>
      </c>
      <c r="J1344">
        <v>12.718824156746935</v>
      </c>
      <c r="K1344">
        <v>12.960013519841187</v>
      </c>
      <c r="L1344">
        <v>12.631920939433261</v>
      </c>
      <c r="M1344">
        <v>13.237329097659712</v>
      </c>
      <c r="N1344">
        <v>13.043726525329532</v>
      </c>
      <c r="O1344">
        <v>12.685464559440257</v>
      </c>
      <c r="P1344">
        <v>13.287048892420984</v>
      </c>
      <c r="Q1344">
        <v>13.232586154073232</v>
      </c>
      <c r="R1344">
        <v>13.611444971283561</v>
      </c>
      <c r="S1344">
        <v>13.37238270353644</v>
      </c>
      <c r="T1344">
        <v>13.236521278668585</v>
      </c>
    </row>
    <row r="1345" spans="1:20" x14ac:dyDescent="0.25">
      <c r="A1345" s="6" t="s">
        <v>1363</v>
      </c>
      <c r="B1345">
        <v>17.777763233245139</v>
      </c>
      <c r="C1345">
        <v>16.024677973715658</v>
      </c>
      <c r="D1345">
        <v>16.933373066170923</v>
      </c>
      <c r="E1345">
        <v>16.093625327433145</v>
      </c>
      <c r="F1345">
        <v>17.774524859178594</v>
      </c>
      <c r="G1345">
        <v>16.899467726157152</v>
      </c>
      <c r="H1345">
        <v>16.358678900903591</v>
      </c>
      <c r="I1345">
        <v>17.287712379549451</v>
      </c>
      <c r="J1345">
        <v>0</v>
      </c>
      <c r="K1345">
        <v>16.91899989582112</v>
      </c>
      <c r="L1345">
        <v>16.837332499478411</v>
      </c>
      <c r="M1345">
        <v>16.209102544853081</v>
      </c>
      <c r="N1345">
        <v>16.96994524103723</v>
      </c>
      <c r="O1345">
        <v>0</v>
      </c>
      <c r="P1345">
        <v>0</v>
      </c>
      <c r="Q1345">
        <v>17.028530299211262</v>
      </c>
      <c r="R1345">
        <v>16.737796825927497</v>
      </c>
      <c r="S1345">
        <v>0</v>
      </c>
      <c r="T1345">
        <v>17.113945311812746</v>
      </c>
    </row>
    <row r="1346" spans="1:20" x14ac:dyDescent="0.25">
      <c r="A1346" s="5" t="s">
        <v>1364</v>
      </c>
      <c r="B1346">
        <v>14.343603580441494</v>
      </c>
      <c r="C1346">
        <v>14.398628280951302</v>
      </c>
      <c r="D1346">
        <v>14.166033822961197</v>
      </c>
      <c r="E1346">
        <v>14.206372752097511</v>
      </c>
      <c r="F1346">
        <v>14.046482344034004</v>
      </c>
      <c r="G1346">
        <v>13.787930259402136</v>
      </c>
      <c r="H1346">
        <v>13.871953713026953</v>
      </c>
      <c r="I1346">
        <v>14.452596764291233</v>
      </c>
      <c r="J1346">
        <v>14.005569150767952</v>
      </c>
      <c r="K1346">
        <v>13.789972290940359</v>
      </c>
      <c r="L1346">
        <v>13.668534163490381</v>
      </c>
      <c r="M1346">
        <v>14.206372752097511</v>
      </c>
      <c r="N1346">
        <v>14.498609162048069</v>
      </c>
      <c r="O1346">
        <v>14.308052827833627</v>
      </c>
      <c r="P1346">
        <v>14.121639703602744</v>
      </c>
      <c r="Q1346">
        <v>13.593500771781558</v>
      </c>
      <c r="R1346">
        <v>13.63144484475516</v>
      </c>
      <c r="S1346">
        <v>13.546137532130654</v>
      </c>
      <c r="T1346">
        <v>14.27621674071162</v>
      </c>
    </row>
    <row r="1347" spans="1:20" x14ac:dyDescent="0.25">
      <c r="A1347" s="6" t="s">
        <v>1365</v>
      </c>
      <c r="B1347">
        <v>15.485312339434612</v>
      </c>
      <c r="C1347">
        <v>14.777763233245141</v>
      </c>
      <c r="D1347">
        <v>16.209102544853081</v>
      </c>
      <c r="E1347">
        <v>15.913646661326911</v>
      </c>
      <c r="F1347">
        <v>14.242269408788282</v>
      </c>
      <c r="G1347">
        <v>14.211837512574323</v>
      </c>
      <c r="H1347">
        <v>14.383131944628133</v>
      </c>
      <c r="I1347">
        <v>13.940613708927183</v>
      </c>
      <c r="J1347">
        <v>14.827231909509438</v>
      </c>
      <c r="K1347">
        <v>14.233905935853656</v>
      </c>
      <c r="L1347">
        <v>14.039177543410771</v>
      </c>
      <c r="M1347">
        <v>14.798169443906975</v>
      </c>
      <c r="N1347">
        <v>15.119070343990609</v>
      </c>
      <c r="O1347">
        <v>14.337617285375762</v>
      </c>
      <c r="P1347">
        <v>13.704674755752785</v>
      </c>
      <c r="Q1347">
        <v>13.460706369910472</v>
      </c>
      <c r="R1347">
        <v>13.420606650046794</v>
      </c>
      <c r="S1347">
        <v>12.995437134625588</v>
      </c>
      <c r="T1347">
        <v>13.757641637324365</v>
      </c>
    </row>
    <row r="1348" spans="1:20" x14ac:dyDescent="0.25">
      <c r="A1348" s="5" t="s">
        <v>1366</v>
      </c>
      <c r="B1348">
        <v>15.124213647266568</v>
      </c>
      <c r="C1348">
        <v>14.40800661326716</v>
      </c>
      <c r="D1348">
        <v>14.528982811091586</v>
      </c>
      <c r="E1348">
        <v>14.442925029470389</v>
      </c>
      <c r="F1348">
        <v>15.093625327433148</v>
      </c>
      <c r="G1348">
        <v>14.963477817278919</v>
      </c>
      <c r="H1348">
        <v>15.176681067160706</v>
      </c>
      <c r="I1348">
        <v>15.270503089517227</v>
      </c>
      <c r="J1348">
        <v>15.426948176920622</v>
      </c>
      <c r="K1348">
        <v>14.940613708927183</v>
      </c>
      <c r="L1348">
        <v>14.765656630388486</v>
      </c>
      <c r="M1348">
        <v>15.525576209648337</v>
      </c>
      <c r="N1348">
        <v>16.231128851183083</v>
      </c>
      <c r="O1348">
        <v>15.940613708927183</v>
      </c>
      <c r="P1348">
        <v>16.176681067160704</v>
      </c>
      <c r="Q1348">
        <v>16.253496664211536</v>
      </c>
      <c r="R1348">
        <v>16.370853614849693</v>
      </c>
      <c r="S1348">
        <v>15.638786820096328</v>
      </c>
      <c r="T1348">
        <v>16.187407473753765</v>
      </c>
    </row>
    <row r="1349" spans="1:20" x14ac:dyDescent="0.25">
      <c r="A1349" s="6" t="s">
        <v>1367</v>
      </c>
      <c r="B1349">
        <v>17.373300935268439</v>
      </c>
      <c r="C1349">
        <v>17.166033822961197</v>
      </c>
      <c r="D1349">
        <v>0</v>
      </c>
      <c r="E1349">
        <v>17.303961731194526</v>
      </c>
      <c r="F1349">
        <v>17.968094445349287</v>
      </c>
      <c r="G1349">
        <v>0</v>
      </c>
      <c r="H1349">
        <v>17.790789913541381</v>
      </c>
      <c r="I1349">
        <v>0</v>
      </c>
      <c r="J1349">
        <v>0</v>
      </c>
      <c r="K1349">
        <v>17.748876271807987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18.332250775625948</v>
      </c>
      <c r="R1349">
        <v>18.395515669083967</v>
      </c>
      <c r="S1349">
        <v>18.091608981834643</v>
      </c>
      <c r="T1349">
        <v>18.509335568641127</v>
      </c>
    </row>
    <row r="1350" spans="1:20" x14ac:dyDescent="0.25">
      <c r="A1350" s="5" t="s">
        <v>1368</v>
      </c>
      <c r="B1350">
        <v>0</v>
      </c>
      <c r="C1350">
        <v>16.525576209648339</v>
      </c>
      <c r="D1350">
        <v>16.850910905978949</v>
      </c>
      <c r="E1350">
        <v>16.908313217023871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17.149160004396801</v>
      </c>
      <c r="T1350">
        <v>0</v>
      </c>
    </row>
    <row r="1351" spans="1:20" x14ac:dyDescent="0.25">
      <c r="A1351" s="6" t="s">
        <v>1369</v>
      </c>
      <c r="B1351">
        <v>16.276216740711622</v>
      </c>
      <c r="C1351">
        <v>15.376979717646538</v>
      </c>
      <c r="D1351">
        <v>15.408006613267162</v>
      </c>
      <c r="E1351">
        <v>15.574016564706092</v>
      </c>
      <c r="F1351">
        <v>16.682123228238336</v>
      </c>
      <c r="G1351">
        <v>16.539251146545414</v>
      </c>
      <c r="H1351">
        <v>16.631444844755162</v>
      </c>
      <c r="I1351">
        <v>17.018918704426969</v>
      </c>
      <c r="J1351">
        <v>0</v>
      </c>
      <c r="K1351">
        <v>16.459080797861432</v>
      </c>
      <c r="L1351">
        <v>16.299300353824663</v>
      </c>
      <c r="M1351">
        <v>16.59528518145974</v>
      </c>
      <c r="N1351">
        <v>17.726801818669564</v>
      </c>
      <c r="O1351">
        <v>17.089595450396995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25">
      <c r="A1352" s="5" t="s">
        <v>1370</v>
      </c>
      <c r="B1352">
        <v>13.831431898038725</v>
      </c>
      <c r="C1352">
        <v>14.225590667641651</v>
      </c>
      <c r="D1352">
        <v>14.27621674071162</v>
      </c>
      <c r="E1352">
        <v>14.945157634072132</v>
      </c>
      <c r="F1352">
        <v>14.171347622857667</v>
      </c>
      <c r="G1352">
        <v>13.45908079786143</v>
      </c>
      <c r="H1352">
        <v>12.584549648936818</v>
      </c>
      <c r="I1352">
        <v>13.867634263570075</v>
      </c>
      <c r="J1352">
        <v>13.679849476718214</v>
      </c>
      <c r="K1352">
        <v>14.160739523291683</v>
      </c>
      <c r="L1352">
        <v>13.965784284662087</v>
      </c>
      <c r="M1352">
        <v>13.345104043437788</v>
      </c>
      <c r="N1352">
        <v>13.01091797476019</v>
      </c>
      <c r="O1352">
        <v>13.911421996212397</v>
      </c>
      <c r="P1352">
        <v>13.915874762219028</v>
      </c>
      <c r="Q1352">
        <v>13.258832091386727</v>
      </c>
      <c r="R1352">
        <v>13.547864276850122</v>
      </c>
      <c r="S1352">
        <v>13.816785122074323</v>
      </c>
      <c r="T1352">
        <v>13.850484640636539</v>
      </c>
    </row>
    <row r="1353" spans="1:20" x14ac:dyDescent="0.25">
      <c r="A1353" s="6" t="s">
        <v>1371</v>
      </c>
      <c r="B1353">
        <v>12.659181392108856</v>
      </c>
      <c r="C1353">
        <v>12.095341439708768</v>
      </c>
      <c r="D1353">
        <v>13.001931410479445</v>
      </c>
      <c r="E1353">
        <v>12.694645502718492</v>
      </c>
      <c r="F1353">
        <v>12.345329247544841</v>
      </c>
      <c r="G1353">
        <v>0</v>
      </c>
      <c r="H1353">
        <v>12.651846569626558</v>
      </c>
      <c r="I1353">
        <v>12.342314429212085</v>
      </c>
      <c r="J1353">
        <v>12.527193342396453</v>
      </c>
      <c r="K1353">
        <v>12.294842456217046</v>
      </c>
      <c r="L1353">
        <v>12.508343384157392</v>
      </c>
      <c r="M1353">
        <v>12.644280981727206</v>
      </c>
      <c r="N1353">
        <v>12.463979320972159</v>
      </c>
      <c r="O1353">
        <v>13.136723857381748</v>
      </c>
      <c r="P1353">
        <v>12.372290912498528</v>
      </c>
      <c r="Q1353">
        <v>11.851443914830059</v>
      </c>
      <c r="R1353">
        <v>12.359072968069238</v>
      </c>
      <c r="S1353">
        <v>11.94044926013896</v>
      </c>
      <c r="T1353">
        <v>10.989039402524465</v>
      </c>
    </row>
    <row r="1354" spans="1:20" x14ac:dyDescent="0.25">
      <c r="A1354" s="5" t="s">
        <v>1372</v>
      </c>
      <c r="B1354">
        <v>10.353437448174173</v>
      </c>
      <c r="C1354">
        <v>11.60855885871136</v>
      </c>
      <c r="D1354">
        <v>11.852393158083302</v>
      </c>
      <c r="E1354">
        <v>12.892320485621239</v>
      </c>
      <c r="F1354">
        <v>0</v>
      </c>
      <c r="G1354">
        <v>12.268522881832119</v>
      </c>
      <c r="H1354">
        <v>0</v>
      </c>
      <c r="I1354">
        <v>13.383131944628133</v>
      </c>
      <c r="J1354">
        <v>11.430702794395101</v>
      </c>
      <c r="K1354">
        <v>12.320337160412466</v>
      </c>
      <c r="L1354">
        <v>11.147401612307892</v>
      </c>
      <c r="M1354">
        <v>12.276939700590852</v>
      </c>
      <c r="N1354">
        <v>10.583349431043528</v>
      </c>
      <c r="O1354">
        <v>13.12964685280083</v>
      </c>
      <c r="P1354">
        <v>10.855920959259381</v>
      </c>
      <c r="Q1354">
        <v>10.552760027677431</v>
      </c>
      <c r="R1354">
        <v>10.792234660755293</v>
      </c>
      <c r="S1354">
        <v>12.996993096778498</v>
      </c>
      <c r="T1354">
        <v>11.759556176507209</v>
      </c>
    </row>
    <row r="1355" spans="1:20" x14ac:dyDescent="0.25">
      <c r="A1355" s="6" t="s">
        <v>1373</v>
      </c>
      <c r="B1355">
        <v>13.236256746637551</v>
      </c>
      <c r="C1355">
        <v>12.873490233327644</v>
      </c>
      <c r="D1355">
        <v>12.830401769440234</v>
      </c>
      <c r="E1355">
        <v>12.964572929525701</v>
      </c>
      <c r="F1355">
        <v>13.312449057870957</v>
      </c>
      <c r="G1355">
        <v>13.810553168362809</v>
      </c>
      <c r="H1355">
        <v>13.309516749867798</v>
      </c>
      <c r="I1355">
        <v>13.73189622448781</v>
      </c>
      <c r="J1355">
        <v>14.058739809789287</v>
      </c>
      <c r="K1355">
        <v>13.506982343073073</v>
      </c>
      <c r="L1355">
        <v>13.79201721692538</v>
      </c>
      <c r="M1355">
        <v>14.256317183273916</v>
      </c>
      <c r="N1355">
        <v>14.083571662769224</v>
      </c>
      <c r="O1355">
        <v>13.794065045574239</v>
      </c>
      <c r="P1355">
        <v>15.602444973032609</v>
      </c>
      <c r="Q1355">
        <v>15.236688376524983</v>
      </c>
      <c r="R1355">
        <v>15.581071322240042</v>
      </c>
      <c r="S1355">
        <v>0</v>
      </c>
      <c r="T1355">
        <v>15.525576209648337</v>
      </c>
    </row>
    <row r="1356" spans="1:20" x14ac:dyDescent="0.25">
      <c r="A1356" s="5" t="s">
        <v>1374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16.553056946070445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15.376979717646538</v>
      </c>
      <c r="Q1356">
        <v>14.861179241432778</v>
      </c>
      <c r="R1356">
        <v>14.179355201459032</v>
      </c>
      <c r="S1356">
        <v>15.940613708927183</v>
      </c>
      <c r="T1356">
        <v>14.198214228710349</v>
      </c>
    </row>
    <row r="1357" spans="1:20" x14ac:dyDescent="0.25">
      <c r="A1357" s="6" t="s">
        <v>1375</v>
      </c>
      <c r="B1357">
        <v>10.947494803424711</v>
      </c>
      <c r="C1357">
        <v>11.297617948575633</v>
      </c>
      <c r="D1357">
        <v>11.682146932018778</v>
      </c>
      <c r="E1357">
        <v>11.001475858376958</v>
      </c>
      <c r="F1357">
        <v>10.551449549004991</v>
      </c>
      <c r="G1357">
        <v>11.066348760415945</v>
      </c>
      <c r="H1357">
        <v>11.159732498488447</v>
      </c>
      <c r="I1357">
        <v>10.723068379586094</v>
      </c>
      <c r="J1357">
        <v>10.527957855651174</v>
      </c>
      <c r="K1357">
        <v>10.833520690519016</v>
      </c>
      <c r="L1357">
        <v>11.122630128325232</v>
      </c>
      <c r="M1357">
        <v>10.860511183586054</v>
      </c>
      <c r="N1357">
        <v>11.361208106073374</v>
      </c>
      <c r="O1357">
        <v>10.632772808416737</v>
      </c>
      <c r="P1357">
        <v>10.986057428256725</v>
      </c>
      <c r="Q1357">
        <v>10.802903982784143</v>
      </c>
      <c r="R1357">
        <v>11.306751185396905</v>
      </c>
      <c r="S1357">
        <v>11.096560361615138</v>
      </c>
      <c r="T1357">
        <v>10.480608920541389</v>
      </c>
    </row>
    <row r="1358" spans="1:20" x14ac:dyDescent="0.25">
      <c r="A1358" s="5" t="s">
        <v>1376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17.485312339434611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17.067630118900205</v>
      </c>
      <c r="Q1358">
        <v>17.118043880026367</v>
      </c>
      <c r="R1358">
        <v>17.267085728959493</v>
      </c>
      <c r="S1358">
        <v>15.895944659593452</v>
      </c>
      <c r="T1358">
        <v>18.087584725275846</v>
      </c>
    </row>
    <row r="1359" spans="1:20" x14ac:dyDescent="0.25">
      <c r="A1359" s="6" t="s">
        <v>1377</v>
      </c>
      <c r="B1359">
        <v>11.624773183706115</v>
      </c>
      <c r="C1359">
        <v>11.602718644502565</v>
      </c>
      <c r="D1359">
        <v>11.41640885732855</v>
      </c>
      <c r="E1359">
        <v>11.45035440539467</v>
      </c>
      <c r="F1359">
        <v>11.403642012906328</v>
      </c>
      <c r="G1359">
        <v>11.896703593612818</v>
      </c>
      <c r="H1359">
        <v>11.879636422561088</v>
      </c>
      <c r="I1359">
        <v>10.99335630217734</v>
      </c>
      <c r="J1359">
        <v>11.323317444199281</v>
      </c>
      <c r="K1359">
        <v>11.534009442159311</v>
      </c>
      <c r="L1359">
        <v>11.55762461146349</v>
      </c>
      <c r="M1359">
        <v>11.394074471447869</v>
      </c>
      <c r="N1359">
        <v>11.472165640930349</v>
      </c>
      <c r="O1359">
        <v>11.597447272290372</v>
      </c>
      <c r="P1359">
        <v>11.412455240777978</v>
      </c>
      <c r="Q1359">
        <v>10.890670660653649</v>
      </c>
      <c r="R1359">
        <v>11.751291390294373</v>
      </c>
      <c r="S1359">
        <v>11.277917346161933</v>
      </c>
      <c r="T1359">
        <v>10.171810184574548</v>
      </c>
    </row>
    <row r="1360" spans="1:20" x14ac:dyDescent="0.25">
      <c r="A1360" s="5" t="s">
        <v>1378</v>
      </c>
      <c r="B1360">
        <v>10.107174610487832</v>
      </c>
      <c r="C1360">
        <v>10.408077181598292</v>
      </c>
      <c r="D1360">
        <v>10.779813742225899</v>
      </c>
      <c r="E1360">
        <v>10.637742900122943</v>
      </c>
      <c r="F1360">
        <v>10.039818276272616</v>
      </c>
      <c r="G1360">
        <v>9.7459621487316799</v>
      </c>
      <c r="H1360">
        <v>9.3831194212880344</v>
      </c>
      <c r="I1360">
        <v>9.6112373392545898</v>
      </c>
      <c r="J1360">
        <v>9.7582074865511235</v>
      </c>
      <c r="K1360">
        <v>10.142070788405121</v>
      </c>
      <c r="L1360">
        <v>9.5566584214127506</v>
      </c>
      <c r="M1360">
        <v>9.4992218948597085</v>
      </c>
      <c r="N1360">
        <v>8.6379313936588016</v>
      </c>
      <c r="O1360">
        <v>9.8341855818647392</v>
      </c>
      <c r="P1360">
        <v>9.7673152762537416</v>
      </c>
      <c r="Q1360">
        <v>10.784997348027556</v>
      </c>
      <c r="R1360">
        <v>10.335181248317186</v>
      </c>
      <c r="S1360">
        <v>11.035693419298106</v>
      </c>
      <c r="T1360">
        <v>10.945641268275907</v>
      </c>
    </row>
    <row r="1361" spans="1:20" x14ac:dyDescent="0.25">
      <c r="A1361" s="6" t="s">
        <v>1379</v>
      </c>
      <c r="B1361">
        <v>0</v>
      </c>
      <c r="C1361">
        <v>0</v>
      </c>
      <c r="D1361">
        <v>0</v>
      </c>
      <c r="E1361">
        <v>14.848355201075194</v>
      </c>
      <c r="F1361">
        <v>14.14236099397683</v>
      </c>
      <c r="G1361">
        <v>14.293494732143458</v>
      </c>
      <c r="H1361">
        <v>0</v>
      </c>
      <c r="I1361">
        <v>13.861179241432778</v>
      </c>
      <c r="J1361">
        <v>13.154819724871453</v>
      </c>
      <c r="K1361">
        <v>0</v>
      </c>
      <c r="L1361">
        <v>0</v>
      </c>
      <c r="M1361">
        <v>13.940613708927183</v>
      </c>
      <c r="N1361">
        <v>13.333143808796457</v>
      </c>
      <c r="O1361">
        <v>15.340607327981576</v>
      </c>
      <c r="P1361">
        <v>13.733860411368322</v>
      </c>
      <c r="Q1361">
        <v>13.367800290872143</v>
      </c>
      <c r="R1361">
        <v>12.44086206956873</v>
      </c>
      <c r="S1361">
        <v>12.996014530806725</v>
      </c>
      <c r="T1361">
        <v>13.655444164049936</v>
      </c>
    </row>
    <row r="1362" spans="1:20" x14ac:dyDescent="0.25">
      <c r="A1362" s="5" t="s">
        <v>1380</v>
      </c>
      <c r="B1362">
        <v>10.167445052345155</v>
      </c>
      <c r="C1362">
        <v>10.285141264702203</v>
      </c>
      <c r="D1362">
        <v>10.403262935831343</v>
      </c>
      <c r="E1362">
        <v>10.353799879349962</v>
      </c>
      <c r="F1362">
        <v>10.058676724034781</v>
      </c>
      <c r="G1362">
        <v>10.808013587658365</v>
      </c>
      <c r="H1362">
        <v>10.483541079657469</v>
      </c>
      <c r="I1362">
        <v>10.474310827373431</v>
      </c>
      <c r="J1362">
        <v>10.420778692196658</v>
      </c>
      <c r="K1362">
        <v>11.117498867949013</v>
      </c>
      <c r="L1362">
        <v>10.781603030133388</v>
      </c>
      <c r="M1362">
        <v>10.378751559927561</v>
      </c>
      <c r="N1362">
        <v>10.975395725147452</v>
      </c>
      <c r="O1362">
        <v>10.604939096283692</v>
      </c>
      <c r="P1362">
        <v>10.467621258232118</v>
      </c>
      <c r="Q1362">
        <v>10.553245531815961</v>
      </c>
      <c r="R1362">
        <v>10.678413649637205</v>
      </c>
      <c r="S1362">
        <v>10.891385718555989</v>
      </c>
      <c r="T1362">
        <v>10.563714851250262</v>
      </c>
    </row>
    <row r="1363" spans="1:20" x14ac:dyDescent="0.25">
      <c r="A1363" s="6" t="s">
        <v>1381</v>
      </c>
      <c r="B1363">
        <v>10.255923742560276</v>
      </c>
      <c r="C1363">
        <v>10.272578812575658</v>
      </c>
      <c r="D1363">
        <v>10.555065458337301</v>
      </c>
      <c r="E1363">
        <v>10.401435384932364</v>
      </c>
      <c r="F1363">
        <v>10.128459415501128</v>
      </c>
      <c r="G1363">
        <v>10.356396188053735</v>
      </c>
      <c r="H1363">
        <v>10.521727921889784</v>
      </c>
      <c r="I1363">
        <v>10.45823622370219</v>
      </c>
      <c r="J1363">
        <v>10.382357628678808</v>
      </c>
      <c r="K1363">
        <v>10.768963244085857</v>
      </c>
      <c r="L1363">
        <v>10.593400464272369</v>
      </c>
      <c r="M1363">
        <v>10.411826182057782</v>
      </c>
      <c r="N1363">
        <v>10.50624354994458</v>
      </c>
      <c r="O1363">
        <v>10.532047100419767</v>
      </c>
      <c r="P1363">
        <v>10.323929403928876</v>
      </c>
      <c r="Q1363">
        <v>10.315210872327484</v>
      </c>
      <c r="R1363">
        <v>10.48258504871038</v>
      </c>
      <c r="S1363">
        <v>10.327797591211258</v>
      </c>
      <c r="T1363">
        <v>10.330401351026207</v>
      </c>
    </row>
    <row r="1364" spans="1:20" x14ac:dyDescent="0.25">
      <c r="A1364" s="5" t="s">
        <v>1382</v>
      </c>
      <c r="B1364">
        <v>15.316858725208965</v>
      </c>
      <c r="C1364">
        <v>0</v>
      </c>
      <c r="D1364">
        <v>15.029494990013431</v>
      </c>
      <c r="E1364">
        <v>15.253496664211537</v>
      </c>
      <c r="F1364">
        <v>14.67229608228658</v>
      </c>
      <c r="G1364">
        <v>0</v>
      </c>
      <c r="H1364">
        <v>0</v>
      </c>
      <c r="I1364">
        <v>15.714337853103507</v>
      </c>
      <c r="J1364">
        <v>15.638786820096328</v>
      </c>
      <c r="K1364">
        <v>15.310982158872298</v>
      </c>
      <c r="L1364">
        <v>15.171347622857667</v>
      </c>
      <c r="M1364">
        <v>0</v>
      </c>
      <c r="N1364">
        <v>15.922579786096922</v>
      </c>
      <c r="O1364">
        <v>15.560009706712211</v>
      </c>
      <c r="P1364">
        <v>0</v>
      </c>
      <c r="Q1364">
        <v>0</v>
      </c>
      <c r="R1364">
        <v>0</v>
      </c>
      <c r="S1364">
        <v>0</v>
      </c>
      <c r="T1364">
        <v>15.777763233245141</v>
      </c>
    </row>
    <row r="1365" spans="1:20" x14ac:dyDescent="0.25">
      <c r="A1365" s="6" t="s">
        <v>1383</v>
      </c>
      <c r="B1365">
        <v>10.607795455898632</v>
      </c>
      <c r="C1365">
        <v>10.576058895289812</v>
      </c>
      <c r="D1365">
        <v>10.494809146327922</v>
      </c>
      <c r="E1365">
        <v>10.373697103136005</v>
      </c>
      <c r="F1365">
        <v>10.562030109759149</v>
      </c>
      <c r="G1365">
        <v>10.938811466293195</v>
      </c>
      <c r="H1365">
        <v>11.304279106485</v>
      </c>
      <c r="I1365">
        <v>11.074038486855653</v>
      </c>
      <c r="J1365">
        <v>10.875602913764016</v>
      </c>
      <c r="K1365">
        <v>10.701139768177198</v>
      </c>
      <c r="L1365">
        <v>10.782240603452584</v>
      </c>
      <c r="M1365">
        <v>10.710522862349741</v>
      </c>
      <c r="N1365">
        <v>10.92312313925394</v>
      </c>
      <c r="O1365">
        <v>10.929119195282464</v>
      </c>
      <c r="P1365">
        <v>11.200629780979357</v>
      </c>
      <c r="Q1365">
        <v>11.513188849959219</v>
      </c>
      <c r="R1365">
        <v>11.477351541487549</v>
      </c>
      <c r="S1365">
        <v>11.854581996326131</v>
      </c>
      <c r="T1365">
        <v>11.604518991446589</v>
      </c>
    </row>
    <row r="1366" spans="1:20" x14ac:dyDescent="0.25">
      <c r="A1366" s="5" t="s">
        <v>1384</v>
      </c>
      <c r="B1366">
        <v>11.907165772648433</v>
      </c>
      <c r="C1366">
        <v>11.754154014746105</v>
      </c>
      <c r="D1366">
        <v>12.065773447920826</v>
      </c>
      <c r="E1366">
        <v>11.614395670887829</v>
      </c>
      <c r="F1366">
        <v>11.945362447590279</v>
      </c>
      <c r="G1366">
        <v>12.666394250862837</v>
      </c>
      <c r="H1366">
        <v>12.58941387731725</v>
      </c>
      <c r="I1366">
        <v>12.300813650088928</v>
      </c>
      <c r="J1366">
        <v>12.307679765285958</v>
      </c>
      <c r="K1366">
        <v>12.26384671712845</v>
      </c>
      <c r="L1366">
        <v>12.160818794427774</v>
      </c>
      <c r="M1366">
        <v>11.904276263220858</v>
      </c>
      <c r="N1366">
        <v>12.589396094807192</v>
      </c>
      <c r="O1366">
        <v>12.031504823473234</v>
      </c>
      <c r="P1366">
        <v>11.950412321410756</v>
      </c>
      <c r="Q1366">
        <v>12.347598262549393</v>
      </c>
      <c r="R1366">
        <v>11.99174843623971</v>
      </c>
      <c r="S1366">
        <v>12.235929629365902</v>
      </c>
      <c r="T1366">
        <v>12.392363220417042</v>
      </c>
    </row>
    <row r="1367" spans="1:20" x14ac:dyDescent="0.25">
      <c r="A1367" s="6" t="s">
        <v>1385</v>
      </c>
      <c r="B1367">
        <v>9.2208112018633219</v>
      </c>
      <c r="C1367">
        <v>9.3374651458231579</v>
      </c>
      <c r="D1367">
        <v>8.987022672986086</v>
      </c>
      <c r="E1367">
        <v>8.991818944886111</v>
      </c>
      <c r="F1367">
        <v>9.0199653612210042</v>
      </c>
      <c r="G1367">
        <v>9.6402182639229874</v>
      </c>
      <c r="H1367">
        <v>9.806463819528604</v>
      </c>
      <c r="I1367">
        <v>9.4700870756635247</v>
      </c>
      <c r="J1367">
        <v>9.3219641050049926</v>
      </c>
      <c r="K1367">
        <v>9.3002141439860289</v>
      </c>
      <c r="L1367">
        <v>9.3226142883955081</v>
      </c>
      <c r="M1367">
        <v>9.33714225245226</v>
      </c>
      <c r="N1367">
        <v>9.7916220646918681</v>
      </c>
      <c r="O1367">
        <v>9.564858409712981</v>
      </c>
      <c r="P1367">
        <v>9.6902062337090946</v>
      </c>
      <c r="Q1367">
        <v>10.165644361133413</v>
      </c>
      <c r="R1367">
        <v>10.098316344969705</v>
      </c>
      <c r="S1367">
        <v>9.8297806315997516</v>
      </c>
      <c r="T1367">
        <v>10.563756339911428</v>
      </c>
    </row>
    <row r="1368" spans="1:20" x14ac:dyDescent="0.25">
      <c r="A1368" s="5" t="s">
        <v>1386</v>
      </c>
      <c r="B1368">
        <v>12.654960244302091</v>
      </c>
      <c r="C1368">
        <v>12.570177422922965</v>
      </c>
      <c r="D1368">
        <v>12.414663047328116</v>
      </c>
      <c r="E1368">
        <v>12.22082411430871</v>
      </c>
      <c r="F1368">
        <v>12.32371306221728</v>
      </c>
      <c r="G1368">
        <v>12.814444983619808</v>
      </c>
      <c r="H1368">
        <v>12.731856968013995</v>
      </c>
      <c r="I1368">
        <v>12.727662685301183</v>
      </c>
      <c r="J1368">
        <v>12.520049107357309</v>
      </c>
      <c r="K1368">
        <v>12.745979492047331</v>
      </c>
      <c r="L1368">
        <v>12.755086215350559</v>
      </c>
      <c r="M1368">
        <v>12.753531221719712</v>
      </c>
      <c r="N1368">
        <v>12.992976954743542</v>
      </c>
      <c r="O1368">
        <v>12.505941425401739</v>
      </c>
      <c r="P1368">
        <v>14.027084471422752</v>
      </c>
      <c r="Q1368">
        <v>14.563498692792091</v>
      </c>
      <c r="R1368">
        <v>13.141435148733498</v>
      </c>
      <c r="S1368">
        <v>13.38005255169616</v>
      </c>
      <c r="T1368">
        <v>13.986710123516636</v>
      </c>
    </row>
    <row r="1369" spans="1:20" x14ac:dyDescent="0.25">
      <c r="A1369" s="6" t="s">
        <v>1387</v>
      </c>
      <c r="B1369">
        <v>12.216643084261356</v>
      </c>
      <c r="C1369">
        <v>12.115109657855223</v>
      </c>
      <c r="D1369">
        <v>12.109399295247355</v>
      </c>
      <c r="E1369">
        <v>12.080131833362501</v>
      </c>
      <c r="F1369">
        <v>11.777849351741311</v>
      </c>
      <c r="G1369">
        <v>12.291547828697766</v>
      </c>
      <c r="H1369">
        <v>12.537320258404108</v>
      </c>
      <c r="I1369">
        <v>11.999347910735164</v>
      </c>
      <c r="J1369">
        <v>12.130823945387398</v>
      </c>
      <c r="K1369">
        <v>11.948421039342337</v>
      </c>
      <c r="L1369">
        <v>11.899137072951023</v>
      </c>
      <c r="M1369">
        <v>12.092868867549932</v>
      </c>
      <c r="N1369">
        <v>12.542242685723622</v>
      </c>
      <c r="O1369">
        <v>12.436369098521146</v>
      </c>
      <c r="P1369">
        <v>12.022167465452991</v>
      </c>
      <c r="Q1369">
        <v>12.309084738376887</v>
      </c>
      <c r="R1369">
        <v>12.273307093055994</v>
      </c>
      <c r="S1369">
        <v>12.033251365662338</v>
      </c>
      <c r="T1369">
        <v>12.211091719797983</v>
      </c>
    </row>
    <row r="1370" spans="1:20" x14ac:dyDescent="0.25">
      <c r="A1370" s="5" t="s">
        <v>1388</v>
      </c>
      <c r="B1370">
        <v>14.668534163490381</v>
      </c>
      <c r="C1370">
        <v>14.512029677810389</v>
      </c>
      <c r="D1370">
        <v>14.769680886947281</v>
      </c>
      <c r="E1370">
        <v>0</v>
      </c>
      <c r="F1370">
        <v>14.116505552131308</v>
      </c>
      <c r="G1370">
        <v>14.909200756295721</v>
      </c>
      <c r="H1370">
        <v>0</v>
      </c>
      <c r="I1370">
        <v>0</v>
      </c>
      <c r="J1370">
        <v>15.160739523291683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15.420606650046794</v>
      </c>
      <c r="R1370">
        <v>0</v>
      </c>
      <c r="S1370">
        <v>0</v>
      </c>
      <c r="T1370">
        <v>0</v>
      </c>
    </row>
    <row r="1371" spans="1:20" x14ac:dyDescent="0.25">
      <c r="A1371" s="6" t="s">
        <v>1389</v>
      </c>
      <c r="B1371">
        <v>13.687442626040445</v>
      </c>
      <c r="C1371">
        <v>13.938347101955237</v>
      </c>
      <c r="D1371">
        <v>13.982033636307161</v>
      </c>
      <c r="E1371">
        <v>13.681744020707992</v>
      </c>
      <c r="F1371">
        <v>13.136035372032739</v>
      </c>
      <c r="G1371">
        <v>13.677957417377007</v>
      </c>
      <c r="H1371">
        <v>13.67606783617579</v>
      </c>
      <c r="I1371">
        <v>13.488625073475445</v>
      </c>
      <c r="J1371">
        <v>13.893747103889208</v>
      </c>
      <c r="K1371">
        <v>14.017482472311452</v>
      </c>
      <c r="L1371">
        <v>13.812627496600667</v>
      </c>
      <c r="M1371">
        <v>13.636947820432548</v>
      </c>
      <c r="N1371">
        <v>14.436513040956156</v>
      </c>
      <c r="O1371">
        <v>14.108838421379655</v>
      </c>
      <c r="P1371">
        <v>13.26505339346091</v>
      </c>
      <c r="Q1371">
        <v>13.022959785675763</v>
      </c>
      <c r="R1371">
        <v>13.047153805064966</v>
      </c>
      <c r="S1371">
        <v>13.008502605369225</v>
      </c>
      <c r="T1371">
        <v>13.208050963061721</v>
      </c>
    </row>
    <row r="1372" spans="1:20" x14ac:dyDescent="0.25">
      <c r="A1372" s="5" t="s">
        <v>1390</v>
      </c>
      <c r="B1372">
        <v>13.313917449896843</v>
      </c>
      <c r="C1372">
        <v>12.951989037459375</v>
      </c>
      <c r="D1372">
        <v>13.00773006515727</v>
      </c>
      <c r="E1372">
        <v>11.799012289728887</v>
      </c>
      <c r="F1372">
        <v>11.980581167605015</v>
      </c>
      <c r="G1372">
        <v>13.544412851661193</v>
      </c>
      <c r="H1372">
        <v>13.59171856643955</v>
      </c>
      <c r="I1372">
        <v>13.009192298372797</v>
      </c>
      <c r="J1372">
        <v>13.132934767768633</v>
      </c>
      <c r="K1372">
        <v>12.887294679562096</v>
      </c>
      <c r="L1372">
        <v>13.425360180017432</v>
      </c>
      <c r="M1372">
        <v>13.257475191865469</v>
      </c>
      <c r="N1372">
        <v>0</v>
      </c>
      <c r="O1372">
        <v>13.112743566602989</v>
      </c>
      <c r="P1372">
        <v>0</v>
      </c>
      <c r="Q1372">
        <v>0</v>
      </c>
      <c r="R1372">
        <v>0</v>
      </c>
      <c r="S1372">
        <v>14.958875915319911</v>
      </c>
      <c r="T1372">
        <v>0</v>
      </c>
    </row>
    <row r="1373" spans="1:20" x14ac:dyDescent="0.25">
      <c r="A1373" s="6" t="s">
        <v>1391</v>
      </c>
      <c r="B1373">
        <v>10.184960198955281</v>
      </c>
      <c r="C1373">
        <v>10.199338382278736</v>
      </c>
      <c r="D1373">
        <v>10.046120800163941</v>
      </c>
      <c r="E1373">
        <v>10.168274856060943</v>
      </c>
      <c r="F1373">
        <v>9.8631059993756853</v>
      </c>
      <c r="G1373">
        <v>10.871123915396092</v>
      </c>
      <c r="H1373">
        <v>10.983026122261572</v>
      </c>
      <c r="I1373">
        <v>10.48841365952096</v>
      </c>
      <c r="J1373">
        <v>10.385389848261003</v>
      </c>
      <c r="K1373">
        <v>10.191027159646657</v>
      </c>
      <c r="L1373">
        <v>10.084105571239224</v>
      </c>
      <c r="M1373">
        <v>10.571599437425302</v>
      </c>
      <c r="N1373">
        <v>10.794303294362727</v>
      </c>
      <c r="O1373">
        <v>10.581181827011333</v>
      </c>
      <c r="P1373">
        <v>11.186559870295914</v>
      </c>
      <c r="Q1373">
        <v>11.493271558690134</v>
      </c>
      <c r="R1373">
        <v>11.433405479054256</v>
      </c>
      <c r="S1373">
        <v>11.235807849329074</v>
      </c>
      <c r="T1373">
        <v>11.092676663864337</v>
      </c>
    </row>
    <row r="1374" spans="1:20" x14ac:dyDescent="0.25">
      <c r="A1374" s="5" t="s">
        <v>1392</v>
      </c>
      <c r="B1374">
        <v>12.709275980786151</v>
      </c>
      <c r="C1374">
        <v>12.594116143781958</v>
      </c>
      <c r="D1374">
        <v>12.984638907903685</v>
      </c>
      <c r="E1374">
        <v>12.404928490902439</v>
      </c>
      <c r="F1374">
        <v>13.419025614227316</v>
      </c>
      <c r="G1374">
        <v>13.345104043437788</v>
      </c>
      <c r="H1374">
        <v>12.971705698901669</v>
      </c>
      <c r="I1374">
        <v>12.965172711609078</v>
      </c>
      <c r="J1374">
        <v>13.7085322314223</v>
      </c>
      <c r="K1374">
        <v>13.153254844058223</v>
      </c>
      <c r="L1374">
        <v>13.177883814242362</v>
      </c>
      <c r="M1374">
        <v>13.411146320797728</v>
      </c>
      <c r="N1374">
        <v>13.333143808796457</v>
      </c>
      <c r="O1374">
        <v>13.773716400182437</v>
      </c>
      <c r="P1374">
        <v>13.498609162048069</v>
      </c>
      <c r="Q1374">
        <v>13.92257978609692</v>
      </c>
      <c r="R1374">
        <v>13.434914486730678</v>
      </c>
      <c r="S1374">
        <v>12.974002153398537</v>
      </c>
      <c r="T1374">
        <v>13.846228899966805</v>
      </c>
    </row>
    <row r="1375" spans="1:20" x14ac:dyDescent="0.25">
      <c r="A1375" s="6" t="s">
        <v>1393</v>
      </c>
      <c r="B1375">
        <v>11.860642624338665</v>
      </c>
      <c r="C1375">
        <v>11.744171953911229</v>
      </c>
      <c r="D1375">
        <v>11.251567786068065</v>
      </c>
      <c r="E1375">
        <v>11.141819758766447</v>
      </c>
      <c r="F1375">
        <v>11.854913280628518</v>
      </c>
      <c r="G1375">
        <v>12.282772402784447</v>
      </c>
      <c r="H1375">
        <v>12.413639401380753</v>
      </c>
      <c r="I1375">
        <v>11.996032209845845</v>
      </c>
      <c r="J1375">
        <v>12.231232895442481</v>
      </c>
      <c r="K1375">
        <v>11.734371538290743</v>
      </c>
      <c r="L1375">
        <v>11.893121412972704</v>
      </c>
      <c r="M1375">
        <v>12.009626498410231</v>
      </c>
      <c r="N1375">
        <v>12.644585800848626</v>
      </c>
      <c r="O1375">
        <v>11.988801907620893</v>
      </c>
      <c r="P1375">
        <v>12.86855106511468</v>
      </c>
      <c r="Q1375">
        <v>12.995095519177248</v>
      </c>
      <c r="R1375">
        <v>12.837659845938667</v>
      </c>
      <c r="S1375">
        <v>12.608189492454859</v>
      </c>
      <c r="T1375">
        <v>12.805989786051768</v>
      </c>
    </row>
    <row r="1376" spans="1:20" x14ac:dyDescent="0.25">
      <c r="A1376" s="5" t="s">
        <v>1394</v>
      </c>
      <c r="B1376">
        <v>9.2299146893133734</v>
      </c>
      <c r="C1376">
        <v>8.8579759168499663</v>
      </c>
      <c r="D1376">
        <v>8.7113631819108601</v>
      </c>
      <c r="E1376">
        <v>8.4953093715392054</v>
      </c>
      <c r="F1376">
        <v>8.9230159928592112</v>
      </c>
      <c r="G1376">
        <v>9.7557770304772333</v>
      </c>
      <c r="H1376">
        <v>9.9392278223706114</v>
      </c>
      <c r="I1376">
        <v>9.6487488651073274</v>
      </c>
      <c r="J1376">
        <v>9.6442428838650063</v>
      </c>
      <c r="K1376">
        <v>9.1338721922695942</v>
      </c>
      <c r="L1376">
        <v>9.3813152700358469</v>
      </c>
      <c r="M1376">
        <v>9.8619160735152462</v>
      </c>
      <c r="N1376">
        <v>10.095073162567562</v>
      </c>
      <c r="O1376">
        <v>9.8110701748914337</v>
      </c>
      <c r="P1376">
        <v>10.400637533917664</v>
      </c>
      <c r="Q1376">
        <v>11.612501649274751</v>
      </c>
      <c r="R1376">
        <v>11.278064229290202</v>
      </c>
      <c r="S1376">
        <v>11.475957770174396</v>
      </c>
      <c r="T1376">
        <v>11.257298606108083</v>
      </c>
    </row>
    <row r="1377" spans="1:20" x14ac:dyDescent="0.25">
      <c r="A1377" s="6" t="s">
        <v>1395</v>
      </c>
      <c r="B1377">
        <v>11.831547570645558</v>
      </c>
      <c r="C1377">
        <v>12.594419467127933</v>
      </c>
      <c r="D1377">
        <v>11.172665815380862</v>
      </c>
      <c r="E1377">
        <v>10.955485663162177</v>
      </c>
      <c r="F1377">
        <v>12.439835702590878</v>
      </c>
      <c r="G1377">
        <v>13.657306908067127</v>
      </c>
      <c r="H1377">
        <v>12.569475710187771</v>
      </c>
      <c r="I1377">
        <v>0</v>
      </c>
      <c r="J1377">
        <v>12.581124363473926</v>
      </c>
      <c r="K1377">
        <v>11.664838238621975</v>
      </c>
      <c r="L1377">
        <v>12.119667311960928</v>
      </c>
      <c r="M1377">
        <v>12.531116029047736</v>
      </c>
      <c r="N1377">
        <v>13.282254900746514</v>
      </c>
      <c r="O1377">
        <v>12.441142843962512</v>
      </c>
      <c r="P1377">
        <v>0</v>
      </c>
      <c r="Q1377">
        <v>0</v>
      </c>
      <c r="R1377">
        <v>0</v>
      </c>
      <c r="S1377">
        <v>13.757641637324365</v>
      </c>
      <c r="T1377">
        <v>13.831431898038725</v>
      </c>
    </row>
    <row r="1378" spans="1:20" x14ac:dyDescent="0.25">
      <c r="A1378" s="5" t="s">
        <v>1396</v>
      </c>
      <c r="B1378">
        <v>13.991401818841355</v>
      </c>
      <c r="C1378">
        <v>13.900349838713455</v>
      </c>
      <c r="D1378">
        <v>14.029494990013431</v>
      </c>
      <c r="E1378">
        <v>14.171347622857667</v>
      </c>
      <c r="F1378">
        <v>13.829330375393436</v>
      </c>
      <c r="G1378">
        <v>14.053824319375174</v>
      </c>
      <c r="H1378">
        <v>14.423773929125478</v>
      </c>
      <c r="I1378">
        <v>14.512029677810389</v>
      </c>
      <c r="J1378">
        <v>14.225590667641651</v>
      </c>
      <c r="K1378">
        <v>14.179355201459032</v>
      </c>
      <c r="L1378">
        <v>14.168688276407176</v>
      </c>
      <c r="M1378">
        <v>13.726019658151142</v>
      </c>
      <c r="N1378">
        <v>14.383131944628133</v>
      </c>
      <c r="O1378">
        <v>14.247872115017659</v>
      </c>
      <c r="P1378">
        <v>14.574016564706092</v>
      </c>
      <c r="Q1378">
        <v>14.991401818841357</v>
      </c>
      <c r="R1378">
        <v>14.737796825927495</v>
      </c>
      <c r="S1378">
        <v>14.468861818654016</v>
      </c>
      <c r="T1378">
        <v>15.358678900903593</v>
      </c>
    </row>
    <row r="1379" spans="1:20" x14ac:dyDescent="0.25">
      <c r="A1379" s="6" t="s">
        <v>1397</v>
      </c>
      <c r="B1379">
        <v>13.450980299090315</v>
      </c>
      <c r="C1379">
        <v>13.259751550554897</v>
      </c>
      <c r="D1379">
        <v>13.05857979276335</v>
      </c>
      <c r="E1379">
        <v>13.027891546608721</v>
      </c>
      <c r="F1379">
        <v>13.188861667821747</v>
      </c>
      <c r="G1379">
        <v>13.640628166920497</v>
      </c>
      <c r="H1379">
        <v>13.767667355509634</v>
      </c>
      <c r="I1379">
        <v>14.247872115017659</v>
      </c>
      <c r="J1379">
        <v>13.450980299090315</v>
      </c>
      <c r="K1379">
        <v>13.064796560965924</v>
      </c>
      <c r="L1379">
        <v>13.033541653656654</v>
      </c>
      <c r="M1379">
        <v>13.319806009259304</v>
      </c>
      <c r="N1379">
        <v>13.513716054438275</v>
      </c>
      <c r="O1379">
        <v>13.808481818343115</v>
      </c>
      <c r="P1379">
        <v>13.818868436574812</v>
      </c>
      <c r="Q1379">
        <v>14.46233377565652</v>
      </c>
      <c r="R1379">
        <v>13.968094445349287</v>
      </c>
      <c r="S1379">
        <v>14.624140044131927</v>
      </c>
      <c r="T1379">
        <v>14.668534163490381</v>
      </c>
    </row>
    <row r="1380" spans="1:20" x14ac:dyDescent="0.25">
      <c r="A1380" s="5" t="s">
        <v>1398</v>
      </c>
      <c r="B1380">
        <v>13.340607327981576</v>
      </c>
      <c r="C1380">
        <v>13.986710123516636</v>
      </c>
      <c r="D1380">
        <v>13.818868436574812</v>
      </c>
      <c r="E1380">
        <v>14.0860785183798</v>
      </c>
      <c r="F1380">
        <v>14.139754498162349</v>
      </c>
      <c r="G1380">
        <v>14.256317183273916</v>
      </c>
      <c r="H1380">
        <v>15.12937535238235</v>
      </c>
      <c r="I1380">
        <v>14.13715270297407</v>
      </c>
      <c r="J1380">
        <v>13.666656876249709</v>
      </c>
      <c r="K1380">
        <v>13.510345270099036</v>
      </c>
      <c r="L1380">
        <v>14.024677973715656</v>
      </c>
      <c r="M1380">
        <v>13.679849476718214</v>
      </c>
      <c r="N1380">
        <v>14.420606650046794</v>
      </c>
      <c r="O1380">
        <v>13.491945431767057</v>
      </c>
      <c r="P1380">
        <v>13.954288645824258</v>
      </c>
      <c r="Q1380">
        <v>13.662909614296503</v>
      </c>
      <c r="R1380">
        <v>14.236688376524981</v>
      </c>
      <c r="S1380">
        <v>14.532397475504352</v>
      </c>
      <c r="T1380">
        <v>13.891552890476294</v>
      </c>
    </row>
    <row r="1381" spans="1:20" x14ac:dyDescent="0.25">
      <c r="A1381" s="6" t="s">
        <v>1399</v>
      </c>
      <c r="B1381">
        <v>10.792224427369593</v>
      </c>
      <c r="C1381">
        <v>10.887865907014298</v>
      </c>
      <c r="D1381">
        <v>10.912667386015499</v>
      </c>
      <c r="E1381">
        <v>10.902902732395351</v>
      </c>
      <c r="F1381">
        <v>10.771238266228091</v>
      </c>
      <c r="G1381">
        <v>10.993671030398458</v>
      </c>
      <c r="H1381">
        <v>11.124261952596715</v>
      </c>
      <c r="I1381">
        <v>11.022926763644039</v>
      </c>
      <c r="J1381">
        <v>10.869911161399175</v>
      </c>
      <c r="K1381">
        <v>10.969650111377668</v>
      </c>
      <c r="L1381">
        <v>10.969262483754967</v>
      </c>
      <c r="M1381">
        <v>10.855717763150981</v>
      </c>
      <c r="N1381">
        <v>11.280201098867094</v>
      </c>
      <c r="O1381">
        <v>10.87667397803906</v>
      </c>
      <c r="P1381">
        <v>11.182802110870332</v>
      </c>
      <c r="Q1381">
        <v>11.340005083623989</v>
      </c>
      <c r="R1381">
        <v>11.617855622670151</v>
      </c>
      <c r="S1381">
        <v>11.346425742993022</v>
      </c>
      <c r="T1381">
        <v>11.432926758879674</v>
      </c>
    </row>
    <row r="1382" spans="1:20" x14ac:dyDescent="0.25">
      <c r="A1382" s="5" t="s">
        <v>1400</v>
      </c>
      <c r="B1382">
        <v>12.027572276328947</v>
      </c>
      <c r="C1382">
        <v>12.106508032516519</v>
      </c>
      <c r="D1382">
        <v>12.081331714949208</v>
      </c>
      <c r="E1382">
        <v>12.178452126879506</v>
      </c>
      <c r="F1382">
        <v>12.142537102221013</v>
      </c>
      <c r="G1382">
        <v>12.228377870245291</v>
      </c>
      <c r="H1382">
        <v>12.397359080805407</v>
      </c>
      <c r="I1382">
        <v>12.271622610343167</v>
      </c>
      <c r="J1382">
        <v>12.210394170987604</v>
      </c>
      <c r="K1382">
        <v>12.297556212922059</v>
      </c>
      <c r="L1382">
        <v>12.495565016627006</v>
      </c>
      <c r="M1382">
        <v>12.314262739008552</v>
      </c>
      <c r="N1382">
        <v>13.010667921352237</v>
      </c>
      <c r="O1382">
        <v>12.211078039128115</v>
      </c>
      <c r="P1382">
        <v>12.11392612716582</v>
      </c>
      <c r="Q1382">
        <v>12.164218336877671</v>
      </c>
      <c r="R1382">
        <v>12.356173031905314</v>
      </c>
      <c r="S1382">
        <v>12.000370116061964</v>
      </c>
      <c r="T1382">
        <v>11.896357074206072</v>
      </c>
    </row>
    <row r="1383" spans="1:20" x14ac:dyDescent="0.25">
      <c r="A1383" s="6" t="s">
        <v>1401</v>
      </c>
      <c r="B1383">
        <v>10.129451302709153</v>
      </c>
      <c r="C1383">
        <v>10.05745094621118</v>
      </c>
      <c r="D1383">
        <v>10.112349062736429</v>
      </c>
      <c r="E1383">
        <v>9.9127702899469696</v>
      </c>
      <c r="F1383">
        <v>9.9995901020127302</v>
      </c>
      <c r="G1383">
        <v>10.425143950678525</v>
      </c>
      <c r="H1383">
        <v>10.452461315818297</v>
      </c>
      <c r="I1383">
        <v>10.268218612451779</v>
      </c>
      <c r="J1383">
        <v>10.29403982909321</v>
      </c>
      <c r="K1383">
        <v>10.291428494446926</v>
      </c>
      <c r="L1383">
        <v>10.332204278623559</v>
      </c>
      <c r="M1383">
        <v>10.145179675101739</v>
      </c>
      <c r="N1383">
        <v>10.536047286436188</v>
      </c>
      <c r="O1383">
        <v>10.163567902050398</v>
      </c>
      <c r="P1383">
        <v>10.693443319519707</v>
      </c>
      <c r="Q1383">
        <v>10.749127037335166</v>
      </c>
      <c r="R1383">
        <v>10.917274654684949</v>
      </c>
      <c r="S1383">
        <v>10.872078088650193</v>
      </c>
      <c r="T1383">
        <v>10.457195397924119</v>
      </c>
    </row>
    <row r="1384" spans="1:20" x14ac:dyDescent="0.25">
      <c r="A1384" s="5" t="s">
        <v>1402</v>
      </c>
      <c r="B1384">
        <v>12.768945622260803</v>
      </c>
      <c r="C1384">
        <v>13.354139741288424</v>
      </c>
      <c r="D1384">
        <v>12.50475871309316</v>
      </c>
      <c r="E1384">
        <v>12.384890144119456</v>
      </c>
      <c r="F1384">
        <v>13.12646962120694</v>
      </c>
      <c r="G1384">
        <v>13.549593090766873</v>
      </c>
      <c r="H1384">
        <v>13.318331614607843</v>
      </c>
      <c r="I1384">
        <v>0</v>
      </c>
      <c r="J1384">
        <v>12.660058853015373</v>
      </c>
      <c r="K1384">
        <v>13.056169376913235</v>
      </c>
      <c r="L1384">
        <v>13.422189420409488</v>
      </c>
      <c r="M1384">
        <v>12.934795697707756</v>
      </c>
      <c r="N1384">
        <v>12.979246652670783</v>
      </c>
      <c r="O1384">
        <v>12.619729450250652</v>
      </c>
      <c r="P1384">
        <v>13.348109659193405</v>
      </c>
      <c r="Q1384">
        <v>13.869792371737484</v>
      </c>
      <c r="R1384">
        <v>14.078570981710859</v>
      </c>
      <c r="S1384">
        <v>0</v>
      </c>
      <c r="T1384">
        <v>14.358678900903593</v>
      </c>
    </row>
    <row r="1385" spans="1:20" x14ac:dyDescent="0.25">
      <c r="A1385" s="6" t="s">
        <v>1403</v>
      </c>
      <c r="B1385">
        <v>9.9919629107398897</v>
      </c>
      <c r="C1385">
        <v>9.9706963579117911</v>
      </c>
      <c r="D1385">
        <v>10.011174026728982</v>
      </c>
      <c r="E1385">
        <v>10.240301375144558</v>
      </c>
      <c r="F1385">
        <v>9.5077183640429137</v>
      </c>
      <c r="G1385">
        <v>10.135985047547383</v>
      </c>
      <c r="H1385">
        <v>10.426144035031918</v>
      </c>
      <c r="I1385">
        <v>9.9883372930103373</v>
      </c>
      <c r="J1385">
        <v>9.9231441492841039</v>
      </c>
      <c r="K1385">
        <v>10.13476967632992</v>
      </c>
      <c r="L1385">
        <v>10.130017016037042</v>
      </c>
      <c r="M1385">
        <v>9.8369366150994519</v>
      </c>
      <c r="N1385">
        <v>10.103365427493195</v>
      </c>
      <c r="O1385">
        <v>10.268147447587859</v>
      </c>
      <c r="P1385">
        <v>9.7230342396531402</v>
      </c>
      <c r="Q1385">
        <v>9.8167083573350808</v>
      </c>
      <c r="R1385">
        <v>9.6458265248292214</v>
      </c>
      <c r="S1385">
        <v>9.8101244137802244</v>
      </c>
      <c r="T1385">
        <v>9.6838047920760282</v>
      </c>
    </row>
    <row r="1386" spans="1:20" x14ac:dyDescent="0.25">
      <c r="A1386" s="5" t="s">
        <v>1404</v>
      </c>
      <c r="B1386">
        <v>13.92257978609692</v>
      </c>
      <c r="C1386">
        <v>14.404873723782199</v>
      </c>
      <c r="D1386">
        <v>13.302211949244565</v>
      </c>
      <c r="E1386">
        <v>13.441319358697088</v>
      </c>
      <c r="F1386">
        <v>13.441319358697088</v>
      </c>
      <c r="G1386">
        <v>0</v>
      </c>
      <c r="H1386">
        <v>13.837754895921446</v>
      </c>
      <c r="I1386">
        <v>14.101211821904954</v>
      </c>
      <c r="J1386">
        <v>13.486967755612673</v>
      </c>
      <c r="K1386">
        <v>13.28588131932481</v>
      </c>
      <c r="L1386">
        <v>13.933824543264544</v>
      </c>
      <c r="M1386">
        <v>13.505303814622076</v>
      </c>
      <c r="N1386">
        <v>14.116505552131308</v>
      </c>
      <c r="O1386">
        <v>13.473777309068133</v>
      </c>
      <c r="P1386">
        <v>13.376979717646538</v>
      </c>
      <c r="Q1386">
        <v>14.4397154729945</v>
      </c>
      <c r="R1386">
        <v>13.366276048743151</v>
      </c>
      <c r="S1386">
        <v>13.383131944628133</v>
      </c>
      <c r="T1386">
        <v>13.450980299090315</v>
      </c>
    </row>
    <row r="1387" spans="1:20" x14ac:dyDescent="0.25">
      <c r="A1387" s="6" t="s">
        <v>1405</v>
      </c>
      <c r="B1387">
        <v>0</v>
      </c>
      <c r="C1387">
        <v>16.383131944628133</v>
      </c>
      <c r="D1387">
        <v>16.334633426936943</v>
      </c>
      <c r="E1387">
        <v>16.358678900903591</v>
      </c>
      <c r="F1387">
        <v>0</v>
      </c>
      <c r="G1387">
        <v>16.59528518145974</v>
      </c>
      <c r="H1387">
        <v>0</v>
      </c>
      <c r="I1387">
        <v>0</v>
      </c>
      <c r="J1387">
        <v>0</v>
      </c>
      <c r="K1387">
        <v>16.933373066170923</v>
      </c>
      <c r="L1387">
        <v>16.938800138555251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18.009370720927805</v>
      </c>
      <c r="T1387">
        <v>0</v>
      </c>
    </row>
    <row r="1388" spans="1:20" x14ac:dyDescent="0.25">
      <c r="A1388" s="5" t="s">
        <v>1406</v>
      </c>
      <c r="B1388">
        <v>0</v>
      </c>
      <c r="C1388">
        <v>16.955204933591414</v>
      </c>
      <c r="D1388">
        <v>18.174545322816716</v>
      </c>
      <c r="E1388">
        <v>17.320396189280171</v>
      </c>
      <c r="F1388">
        <v>0</v>
      </c>
      <c r="G1388">
        <v>17.61542282703082</v>
      </c>
      <c r="H1388">
        <v>0</v>
      </c>
      <c r="I1388">
        <v>0</v>
      </c>
      <c r="J1388">
        <v>0</v>
      </c>
      <c r="K1388">
        <v>0</v>
      </c>
      <c r="L1388">
        <v>18.592431184404589</v>
      </c>
      <c r="M1388">
        <v>0</v>
      </c>
      <c r="N1388">
        <v>0</v>
      </c>
      <c r="O1388">
        <v>18.861179241432776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25">
      <c r="A1389" s="6" t="s">
        <v>1407</v>
      </c>
      <c r="B1389">
        <v>0</v>
      </c>
      <c r="C1389">
        <v>16.946068139019292</v>
      </c>
      <c r="D1389">
        <v>16.113945311812746</v>
      </c>
      <c r="E1389">
        <v>15.83564414932564</v>
      </c>
      <c r="F1389">
        <v>0</v>
      </c>
      <c r="G1389">
        <v>0</v>
      </c>
      <c r="H1389">
        <v>0</v>
      </c>
      <c r="I1389">
        <v>16.370853614849693</v>
      </c>
      <c r="J1389">
        <v>0</v>
      </c>
      <c r="K1389">
        <v>0</v>
      </c>
      <c r="L1389">
        <v>16.581071322240042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25">
      <c r="A1390" s="5" t="s">
        <v>1408</v>
      </c>
      <c r="B1390">
        <v>15.827231909509438</v>
      </c>
      <c r="C1390">
        <v>15.802285552379209</v>
      </c>
      <c r="D1390">
        <v>15.844105728073835</v>
      </c>
      <c r="E1390">
        <v>15.745702024012841</v>
      </c>
      <c r="F1390">
        <v>16.034328143749374</v>
      </c>
      <c r="G1390">
        <v>0</v>
      </c>
      <c r="H1390">
        <v>0</v>
      </c>
      <c r="I1390">
        <v>16.103749544706854</v>
      </c>
      <c r="J1390">
        <v>0</v>
      </c>
      <c r="K1390">
        <v>15.887174449965721</v>
      </c>
      <c r="L1390">
        <v>15.844105728073835</v>
      </c>
      <c r="M1390">
        <v>15.293494732143458</v>
      </c>
      <c r="N1390">
        <v>15.414292876114592</v>
      </c>
      <c r="O1390">
        <v>15.478709604610364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25">
      <c r="A1391" s="6" t="s">
        <v>1409</v>
      </c>
      <c r="B1391">
        <v>7.8523324784884991</v>
      </c>
      <c r="C1391">
        <v>8.7220128539614432</v>
      </c>
      <c r="D1391">
        <v>7.9161636228077086</v>
      </c>
      <c r="E1391">
        <v>7.8974876946857471</v>
      </c>
      <c r="F1391">
        <v>8.1302603409859397</v>
      </c>
      <c r="G1391">
        <v>8.844185290655961</v>
      </c>
      <c r="H1391">
        <v>8.5973198692697625</v>
      </c>
      <c r="I1391">
        <v>8.667895024934765</v>
      </c>
      <c r="J1391">
        <v>8.1221412623153668</v>
      </c>
      <c r="K1391">
        <v>8.2621648221048023</v>
      </c>
      <c r="L1391">
        <v>8.5445507502505631</v>
      </c>
      <c r="M1391">
        <v>8.1937483188360094</v>
      </c>
      <c r="N1391">
        <v>8.7305149166085148</v>
      </c>
      <c r="O1391">
        <v>8.2014538425268224</v>
      </c>
      <c r="P1391">
        <v>8.3299500424816983</v>
      </c>
      <c r="Q1391">
        <v>8.1864220136476291</v>
      </c>
      <c r="R1391">
        <v>8.213050676812415</v>
      </c>
      <c r="S1391">
        <v>8.6863421106532464</v>
      </c>
      <c r="T1391">
        <v>8.091588124236976</v>
      </c>
    </row>
    <row r="1392" spans="1:20" x14ac:dyDescent="0.25">
      <c r="A1392" s="5" t="s">
        <v>1410</v>
      </c>
      <c r="B1392">
        <v>12.38145286057763</v>
      </c>
      <c r="C1392">
        <v>12.13471128640419</v>
      </c>
      <c r="D1392">
        <v>12.100109304197174</v>
      </c>
      <c r="E1392">
        <v>11.956253651673579</v>
      </c>
      <c r="F1392">
        <v>12.46431354705706</v>
      </c>
      <c r="G1392">
        <v>12.111274706569843</v>
      </c>
      <c r="H1392">
        <v>12.492943031235798</v>
      </c>
      <c r="I1392">
        <v>12.241451833709993</v>
      </c>
      <c r="J1392">
        <v>11.779674245660104</v>
      </c>
      <c r="K1392">
        <v>12.695726649803648</v>
      </c>
      <c r="L1392">
        <v>12.356596679791661</v>
      </c>
      <c r="M1392">
        <v>12.012878227352132</v>
      </c>
      <c r="N1392">
        <v>12.088394961720038</v>
      </c>
      <c r="O1392">
        <v>11.597585863790238</v>
      </c>
      <c r="P1392">
        <v>12.570739038955219</v>
      </c>
      <c r="Q1392">
        <v>13.313917449896843</v>
      </c>
      <c r="R1392">
        <v>13.042484470726025</v>
      </c>
      <c r="S1392">
        <v>12.829529888502572</v>
      </c>
      <c r="T1392">
        <v>13.202206140587069</v>
      </c>
    </row>
    <row r="1393" spans="1:20" x14ac:dyDescent="0.25">
      <c r="A1393" s="6" t="s">
        <v>1411</v>
      </c>
      <c r="B1393">
        <v>10.65583281328461</v>
      </c>
      <c r="C1393">
        <v>10.66697584279081</v>
      </c>
      <c r="D1393">
        <v>10.214608531369382</v>
      </c>
      <c r="E1393">
        <v>10.069766698137398</v>
      </c>
      <c r="F1393">
        <v>10.355290201552314</v>
      </c>
      <c r="G1393">
        <v>10.863932541157187</v>
      </c>
      <c r="H1393">
        <v>10.368328435268003</v>
      </c>
      <c r="I1393">
        <v>10.935976643763963</v>
      </c>
      <c r="J1393">
        <v>10.535254925120864</v>
      </c>
      <c r="K1393">
        <v>10.303256095005011</v>
      </c>
      <c r="L1393">
        <v>10.484760266787077</v>
      </c>
      <c r="M1393">
        <v>10.630678387793669</v>
      </c>
      <c r="N1393">
        <v>10.90257957617334</v>
      </c>
      <c r="O1393">
        <v>10.909730766626287</v>
      </c>
      <c r="P1393">
        <v>10.734238824473534</v>
      </c>
      <c r="Q1393">
        <v>10.194924799670726</v>
      </c>
      <c r="R1393">
        <v>9.9838352114322202</v>
      </c>
      <c r="S1393">
        <v>10.6713923267501</v>
      </c>
      <c r="T1393">
        <v>9.9620798756917868</v>
      </c>
    </row>
    <row r="1394" spans="1:20" x14ac:dyDescent="0.25">
      <c r="A1394" s="5" t="s">
        <v>1412</v>
      </c>
      <c r="B1394">
        <v>13.269078205410398</v>
      </c>
      <c r="C1394">
        <v>13.252257380589217</v>
      </c>
      <c r="D1394">
        <v>13.157572244213002</v>
      </c>
      <c r="E1394">
        <v>12.690586480181787</v>
      </c>
      <c r="F1394">
        <v>13.604240486694223</v>
      </c>
      <c r="G1394">
        <v>0</v>
      </c>
      <c r="H1394">
        <v>0</v>
      </c>
      <c r="I1394">
        <v>13.546137532130654</v>
      </c>
      <c r="J1394">
        <v>13.546137532130654</v>
      </c>
      <c r="K1394">
        <v>13.593500771781558</v>
      </c>
      <c r="L1394">
        <v>13.403309826565764</v>
      </c>
      <c r="M1394">
        <v>13.450980299090315</v>
      </c>
      <c r="N1394">
        <v>13.749670926215785</v>
      </c>
      <c r="O1394">
        <v>13.515404404591045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25">
      <c r="A1395" s="6" t="s">
        <v>1413</v>
      </c>
      <c r="B1395">
        <v>10.827693310186438</v>
      </c>
      <c r="C1395">
        <v>10.64758662426113</v>
      </c>
      <c r="D1395">
        <v>10.647038242126266</v>
      </c>
      <c r="E1395">
        <v>10.700234569951229</v>
      </c>
      <c r="F1395">
        <v>10.671361740764942</v>
      </c>
      <c r="G1395">
        <v>10.328018255257422</v>
      </c>
      <c r="H1395">
        <v>10.233407402687295</v>
      </c>
      <c r="I1395">
        <v>10.140290074399029</v>
      </c>
      <c r="J1395">
        <v>10.54996073076639</v>
      </c>
      <c r="K1395">
        <v>10.658686888693081</v>
      </c>
      <c r="L1395">
        <v>10.70204793803347</v>
      </c>
      <c r="M1395">
        <v>11.028313332649715</v>
      </c>
      <c r="N1395">
        <v>11.472690363153497</v>
      </c>
      <c r="O1395">
        <v>10.686800408085221</v>
      </c>
      <c r="P1395">
        <v>11.055628816221921</v>
      </c>
      <c r="Q1395">
        <v>11.188302706867558</v>
      </c>
      <c r="R1395">
        <v>11.056728578908206</v>
      </c>
      <c r="S1395">
        <v>11.773064909838213</v>
      </c>
      <c r="T1395">
        <v>11.123701710179718</v>
      </c>
    </row>
    <row r="1396" spans="1:20" x14ac:dyDescent="0.25">
      <c r="A1396" s="5" t="s">
        <v>1414</v>
      </c>
      <c r="B1396">
        <v>0</v>
      </c>
      <c r="C1396">
        <v>12.509840331037397</v>
      </c>
      <c r="D1396">
        <v>12.795890061042279</v>
      </c>
      <c r="E1396">
        <v>13.030870789910752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13.103114695393687</v>
      </c>
      <c r="L1396">
        <v>12.88161114133759</v>
      </c>
      <c r="M1396">
        <v>14.041608369665534</v>
      </c>
      <c r="N1396">
        <v>14.005569150767952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13.769680886947281</v>
      </c>
    </row>
    <row r="1397" spans="1:20" x14ac:dyDescent="0.25">
      <c r="A1397" s="6" t="s">
        <v>1415</v>
      </c>
      <c r="B1397">
        <v>8.9726244219131512</v>
      </c>
      <c r="C1397">
        <v>9.2819028179835534</v>
      </c>
      <c r="D1397">
        <v>9.4394720387455369</v>
      </c>
      <c r="E1397">
        <v>9.4130786726334286</v>
      </c>
      <c r="F1397">
        <v>8.8988891327694244</v>
      </c>
      <c r="G1397">
        <v>9.1835283850778726</v>
      </c>
      <c r="H1397">
        <v>8.885565976913087</v>
      </c>
      <c r="I1397">
        <v>9.0982151321779092</v>
      </c>
      <c r="J1397">
        <v>8.8763898651560673</v>
      </c>
      <c r="K1397">
        <v>9.0028192629075061</v>
      </c>
      <c r="L1397">
        <v>9.2943631815708478</v>
      </c>
      <c r="M1397">
        <v>8.8512906546151857</v>
      </c>
      <c r="N1397">
        <v>9.4146640319526718</v>
      </c>
      <c r="O1397">
        <v>9.2350321778290567</v>
      </c>
      <c r="P1397">
        <v>8.5437558597200276</v>
      </c>
      <c r="Q1397">
        <v>8.5578197756213878</v>
      </c>
      <c r="R1397">
        <v>8.4393408216830217</v>
      </c>
      <c r="S1397">
        <v>8.9939225681971759</v>
      </c>
      <c r="T1397">
        <v>8.6286960689306849</v>
      </c>
    </row>
    <row r="1398" spans="1:20" x14ac:dyDescent="0.25">
      <c r="A1398" s="5" t="s">
        <v>1416</v>
      </c>
      <c r="B1398">
        <v>0</v>
      </c>
      <c r="C1398">
        <v>15.024677973715658</v>
      </c>
      <c r="D1398">
        <v>15.395515669083965</v>
      </c>
      <c r="E1398">
        <v>15.376979717646538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16.694310798423803</v>
      </c>
      <c r="L1398">
        <v>16.05382431937517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25">
      <c r="A1399" s="6" t="s">
        <v>1417</v>
      </c>
      <c r="B1399">
        <v>0</v>
      </c>
      <c r="C1399">
        <v>16.144972207433366</v>
      </c>
      <c r="D1399">
        <v>16.276216740711622</v>
      </c>
      <c r="E1399">
        <v>16.420606650046796</v>
      </c>
      <c r="F1399">
        <v>0</v>
      </c>
      <c r="G1399">
        <v>17.03239293884366</v>
      </c>
      <c r="H1399">
        <v>0</v>
      </c>
      <c r="I1399">
        <v>0</v>
      </c>
      <c r="J1399">
        <v>0</v>
      </c>
      <c r="K1399">
        <v>16.982967721830818</v>
      </c>
      <c r="L1399">
        <v>16.946068139019292</v>
      </c>
      <c r="M1399">
        <v>0</v>
      </c>
      <c r="N1399">
        <v>0</v>
      </c>
      <c r="O1399">
        <v>17.609640474436812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25">
      <c r="A1400" s="5" t="s">
        <v>1418</v>
      </c>
      <c r="B1400">
        <v>14.452596764291233</v>
      </c>
      <c r="C1400">
        <v>12.067438152164071</v>
      </c>
      <c r="D1400">
        <v>12.048033281194311</v>
      </c>
      <c r="E1400">
        <v>12.164370643887695</v>
      </c>
      <c r="F1400">
        <v>12.954494759838594</v>
      </c>
      <c r="G1400">
        <v>12.412891811470992</v>
      </c>
      <c r="H1400">
        <v>13.789972290940359</v>
      </c>
      <c r="I1400">
        <v>13.127089019629372</v>
      </c>
      <c r="J1400">
        <v>13.636947820432548</v>
      </c>
      <c r="K1400">
        <v>12.4257173269535</v>
      </c>
      <c r="L1400">
        <v>12.346959271558903</v>
      </c>
      <c r="M1400">
        <v>14.528982811091586</v>
      </c>
      <c r="N1400">
        <v>15.088589737535848</v>
      </c>
      <c r="O1400">
        <v>13.257588218094321</v>
      </c>
      <c r="P1400">
        <v>14.088589737535848</v>
      </c>
      <c r="Q1400">
        <v>13.733860411368322</v>
      </c>
      <c r="R1400">
        <v>14.116505552131308</v>
      </c>
      <c r="S1400">
        <v>14.287712379549449</v>
      </c>
      <c r="T1400">
        <v>13.602444973032609</v>
      </c>
    </row>
    <row r="1401" spans="1:20" x14ac:dyDescent="0.25">
      <c r="A1401" s="6" t="s">
        <v>1419</v>
      </c>
      <c r="B1401">
        <v>9.8608813942981186</v>
      </c>
      <c r="C1401">
        <v>9.7784928702682503</v>
      </c>
      <c r="D1401">
        <v>10.455563645456056</v>
      </c>
      <c r="E1401">
        <v>10.547272634048205</v>
      </c>
      <c r="F1401">
        <v>9.6623623921521702</v>
      </c>
      <c r="G1401">
        <v>9.9303349164014723</v>
      </c>
      <c r="H1401">
        <v>9.74735523322102</v>
      </c>
      <c r="I1401">
        <v>9.9746682869502923</v>
      </c>
      <c r="J1401">
        <v>9.9433411871121358</v>
      </c>
      <c r="K1401">
        <v>10.50605051863274</v>
      </c>
      <c r="L1401">
        <v>10.685490694079393</v>
      </c>
      <c r="M1401">
        <v>9.9058227041120119</v>
      </c>
      <c r="N1401">
        <v>11.08030675395173</v>
      </c>
      <c r="O1401">
        <v>10.392113105463324</v>
      </c>
      <c r="P1401">
        <v>10.574812905797248</v>
      </c>
      <c r="Q1401">
        <v>11.797224397778869</v>
      </c>
      <c r="R1401">
        <v>11.171823497898677</v>
      </c>
      <c r="S1401">
        <v>11.448135680933969</v>
      </c>
      <c r="T1401">
        <v>11.393542640943199</v>
      </c>
    </row>
    <row r="1402" spans="1:20" x14ac:dyDescent="0.25">
      <c r="A1402" s="5" t="s">
        <v>1420</v>
      </c>
      <c r="B1402">
        <v>12.426050743881468</v>
      </c>
      <c r="C1402">
        <v>12.493874746858753</v>
      </c>
      <c r="D1402">
        <v>11.978483794897482</v>
      </c>
      <c r="E1402">
        <v>11.77019478745235</v>
      </c>
      <c r="F1402">
        <v>11.577830668791975</v>
      </c>
      <c r="G1402">
        <v>12.410486415190364</v>
      </c>
      <c r="H1402">
        <v>12.22653066022785</v>
      </c>
      <c r="I1402">
        <v>12.230130407883744</v>
      </c>
      <c r="J1402">
        <v>12.017255199950371</v>
      </c>
      <c r="K1402">
        <v>12.287084943664077</v>
      </c>
      <c r="L1402">
        <v>12.669257570857955</v>
      </c>
      <c r="M1402">
        <v>12.452742335036158</v>
      </c>
      <c r="N1402">
        <v>12.837321941151696</v>
      </c>
      <c r="O1402">
        <v>11.901927959868507</v>
      </c>
      <c r="P1402">
        <v>12.313557555599695</v>
      </c>
      <c r="Q1402">
        <v>12.544981768317003</v>
      </c>
      <c r="R1402">
        <v>12.279031882111703</v>
      </c>
      <c r="S1402">
        <v>12.152400793481075</v>
      </c>
      <c r="T1402">
        <v>12.384666394510424</v>
      </c>
    </row>
    <row r="1403" spans="1:20" x14ac:dyDescent="0.25">
      <c r="A1403" s="6" t="s">
        <v>1421</v>
      </c>
      <c r="B1403">
        <v>17.057755370965086</v>
      </c>
      <c r="C1403">
        <v>16.198214228710349</v>
      </c>
      <c r="D1403">
        <v>16.395515669083963</v>
      </c>
      <c r="E1403">
        <v>15.922579786096922</v>
      </c>
      <c r="F1403">
        <v>0</v>
      </c>
      <c r="G1403">
        <v>16.176681067160704</v>
      </c>
      <c r="H1403">
        <v>16.525576209648339</v>
      </c>
      <c r="I1403">
        <v>16.649128764317787</v>
      </c>
      <c r="J1403">
        <v>0</v>
      </c>
      <c r="K1403">
        <v>16.310982158872296</v>
      </c>
      <c r="L1403">
        <v>16.695841509486119</v>
      </c>
      <c r="M1403">
        <v>0</v>
      </c>
      <c r="N1403">
        <v>0</v>
      </c>
      <c r="O1403">
        <v>16.772908393977676</v>
      </c>
      <c r="P1403">
        <v>17.1098583542895</v>
      </c>
      <c r="Q1403">
        <v>16.59528518145974</v>
      </c>
      <c r="R1403">
        <v>16.771293737915581</v>
      </c>
      <c r="S1403">
        <v>16.420606650046796</v>
      </c>
      <c r="T1403">
        <v>16.539251146545414</v>
      </c>
    </row>
    <row r="1404" spans="1:20" x14ac:dyDescent="0.25">
      <c r="A1404" s="5" t="s">
        <v>1422</v>
      </c>
      <c r="B1404">
        <v>16.433317701796351</v>
      </c>
      <c r="C1404">
        <v>0</v>
      </c>
      <c r="D1404">
        <v>15.328684160605755</v>
      </c>
      <c r="E1404">
        <v>15.182034301654912</v>
      </c>
      <c r="F1404">
        <v>15.518787043985698</v>
      </c>
      <c r="G1404">
        <v>15.45908079786143</v>
      </c>
      <c r="H1404">
        <v>16.083571662769224</v>
      </c>
      <c r="I1404">
        <v>15.802285552379209</v>
      </c>
      <c r="J1404">
        <v>0</v>
      </c>
      <c r="K1404">
        <v>15.869792371737484</v>
      </c>
      <c r="L1404">
        <v>16.005569150767954</v>
      </c>
      <c r="M1404">
        <v>0</v>
      </c>
      <c r="N1404">
        <v>0</v>
      </c>
      <c r="O1404">
        <v>15.426948176920622</v>
      </c>
      <c r="P1404">
        <v>0</v>
      </c>
      <c r="Q1404">
        <v>0</v>
      </c>
      <c r="R1404">
        <v>0</v>
      </c>
      <c r="S1404">
        <v>0</v>
      </c>
      <c r="T1404">
        <v>16.525576209648339</v>
      </c>
    </row>
    <row r="1405" spans="1:20" x14ac:dyDescent="0.25">
      <c r="A1405" s="6" t="s">
        <v>1423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14.361712960993227</v>
      </c>
      <c r="H1405">
        <v>0</v>
      </c>
      <c r="I1405">
        <v>14.121639703602744</v>
      </c>
      <c r="J1405">
        <v>0</v>
      </c>
      <c r="K1405">
        <v>14.63144484475516</v>
      </c>
      <c r="L1405">
        <v>13.7397690682591</v>
      </c>
      <c r="M1405">
        <v>0</v>
      </c>
      <c r="N1405">
        <v>14.233905935853656</v>
      </c>
      <c r="O1405">
        <v>14.781821449819493</v>
      </c>
      <c r="P1405">
        <v>13.904768509980459</v>
      </c>
      <c r="Q1405">
        <v>0</v>
      </c>
      <c r="R1405">
        <v>13.556529137977249</v>
      </c>
      <c r="S1405">
        <v>13.635111161952929</v>
      </c>
      <c r="T1405">
        <v>14.239476193896602</v>
      </c>
    </row>
    <row r="1406" spans="1:20" x14ac:dyDescent="0.25">
      <c r="A1406" s="5" t="s">
        <v>1424</v>
      </c>
      <c r="B1406">
        <v>13.687442626040445</v>
      </c>
      <c r="C1406">
        <v>12.27490774548577</v>
      </c>
      <c r="D1406">
        <v>12.435801465589536</v>
      </c>
      <c r="E1406">
        <v>13.577539631269786</v>
      </c>
      <c r="F1406">
        <v>13.59171856643955</v>
      </c>
      <c r="G1406">
        <v>12.516181709643769</v>
      </c>
      <c r="H1406">
        <v>12.77952715480105</v>
      </c>
      <c r="I1406">
        <v>12.9754189627517</v>
      </c>
      <c r="J1406">
        <v>13.331655727137047</v>
      </c>
      <c r="K1406">
        <v>12.570765370071765</v>
      </c>
      <c r="L1406">
        <v>12.436696988303051</v>
      </c>
      <c r="M1406">
        <v>13.115852259152874</v>
      </c>
      <c r="N1406">
        <v>12.432208976331008</v>
      </c>
      <c r="O1406">
        <v>13.515404404591045</v>
      </c>
      <c r="P1406">
        <v>12.842144572068438</v>
      </c>
      <c r="Q1406">
        <v>12.225044923615309</v>
      </c>
      <c r="R1406">
        <v>13.472136950686879</v>
      </c>
      <c r="S1406">
        <v>12.32348381239035</v>
      </c>
      <c r="T1406">
        <v>12.914203364031444</v>
      </c>
    </row>
    <row r="1407" spans="1:20" x14ac:dyDescent="0.25">
      <c r="A1407" s="6" t="s">
        <v>1425</v>
      </c>
      <c r="B1407">
        <v>0</v>
      </c>
      <c r="C1407">
        <v>0</v>
      </c>
      <c r="D1407">
        <v>0</v>
      </c>
      <c r="E1407">
        <v>0</v>
      </c>
      <c r="F1407">
        <v>15.12937535238235</v>
      </c>
      <c r="G1407">
        <v>13.874118297140276</v>
      </c>
      <c r="H1407">
        <v>14.635111161952929</v>
      </c>
      <c r="I1407">
        <v>14.909200756295721</v>
      </c>
      <c r="J1407">
        <v>14.465594104820106</v>
      </c>
      <c r="K1407">
        <v>14.945157634072132</v>
      </c>
      <c r="L1407">
        <v>0</v>
      </c>
      <c r="M1407">
        <v>14.512029677810389</v>
      </c>
      <c r="N1407">
        <v>0</v>
      </c>
      <c r="O1407">
        <v>0</v>
      </c>
      <c r="P1407">
        <v>13.528982811091586</v>
      </c>
      <c r="Q1407">
        <v>12.513403926120455</v>
      </c>
      <c r="R1407">
        <v>11.879511393647674</v>
      </c>
      <c r="S1407">
        <v>11.044122502764866</v>
      </c>
      <c r="T1407">
        <v>12.213063091877913</v>
      </c>
    </row>
    <row r="1408" spans="1:20" x14ac:dyDescent="0.25">
      <c r="A1408" s="5" t="s">
        <v>1426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13.257079669782303</v>
      </c>
      <c r="H1408">
        <v>14.455835138357777</v>
      </c>
      <c r="I1408">
        <v>14.455835138357777</v>
      </c>
      <c r="J1408">
        <v>14.789972290940359</v>
      </c>
      <c r="K1408">
        <v>15.134555591488031</v>
      </c>
      <c r="L1408">
        <v>0</v>
      </c>
      <c r="M1408">
        <v>14.710464843956299</v>
      </c>
      <c r="N1408">
        <v>0</v>
      </c>
      <c r="O1408">
        <v>0</v>
      </c>
      <c r="P1408">
        <v>14.505303814622076</v>
      </c>
      <c r="Q1408">
        <v>13.561753145040264</v>
      </c>
      <c r="R1408">
        <v>12.977732977789257</v>
      </c>
      <c r="S1408">
        <v>12.613920801865588</v>
      </c>
      <c r="T1408">
        <v>12.603845281914079</v>
      </c>
    </row>
    <row r="1409" spans="1:20" x14ac:dyDescent="0.25">
      <c r="A1409" s="6" t="s">
        <v>1427</v>
      </c>
      <c r="B1409">
        <v>12.811994510321354</v>
      </c>
      <c r="C1409">
        <v>13.436513040956156</v>
      </c>
      <c r="D1409">
        <v>13.942883882552009</v>
      </c>
      <c r="E1409">
        <v>14.798169443906975</v>
      </c>
      <c r="F1409">
        <v>12.588756070378844</v>
      </c>
      <c r="G1409">
        <v>12.298042906804969</v>
      </c>
      <c r="H1409">
        <v>12.682341317710158</v>
      </c>
      <c r="I1409">
        <v>12.898927698443597</v>
      </c>
      <c r="J1409">
        <v>12.465708349900979</v>
      </c>
      <c r="K1409">
        <v>13.441319358697088</v>
      </c>
      <c r="L1409">
        <v>13.020716007563232</v>
      </c>
      <c r="M1409">
        <v>12.201410950845407</v>
      </c>
      <c r="N1409">
        <v>12.368929267728564</v>
      </c>
      <c r="O1409">
        <v>12.560776560022195</v>
      </c>
      <c r="P1409">
        <v>12.002706771373587</v>
      </c>
      <c r="Q1409">
        <v>11.39785728393135</v>
      </c>
      <c r="R1409">
        <v>11.387952827170693</v>
      </c>
      <c r="S1409">
        <v>11.254842774203262</v>
      </c>
      <c r="T1409">
        <v>11.117652732853335</v>
      </c>
    </row>
    <row r="1410" spans="1:20" x14ac:dyDescent="0.25">
      <c r="A1410" s="5" t="s">
        <v>1428</v>
      </c>
      <c r="B1410">
        <v>11.118207423806437</v>
      </c>
      <c r="C1410">
        <v>10.304457888825526</v>
      </c>
      <c r="D1410">
        <v>10.075331365934751</v>
      </c>
      <c r="E1410">
        <v>10.155196404430834</v>
      </c>
      <c r="F1410">
        <v>10.457720789209855</v>
      </c>
      <c r="G1410">
        <v>10.428535935405662</v>
      </c>
      <c r="H1410">
        <v>10.537909977869401</v>
      </c>
      <c r="I1410">
        <v>11.049469689774698</v>
      </c>
      <c r="J1410">
        <v>10.663913394303508</v>
      </c>
      <c r="K1410">
        <v>9.9525950461084403</v>
      </c>
      <c r="L1410">
        <v>10.079650911069065</v>
      </c>
      <c r="M1410">
        <v>10.773721451644505</v>
      </c>
      <c r="N1410">
        <v>11.193537127169954</v>
      </c>
      <c r="O1410">
        <v>11.362339530407608</v>
      </c>
      <c r="P1410">
        <v>11.192459686229576</v>
      </c>
      <c r="Q1410">
        <v>11.113644781650031</v>
      </c>
      <c r="R1410">
        <v>0</v>
      </c>
      <c r="S1410">
        <v>10.541113682532812</v>
      </c>
      <c r="T1410">
        <v>11.105506358560794</v>
      </c>
    </row>
    <row r="1411" spans="1:20" x14ac:dyDescent="0.25">
      <c r="A1411" s="6" t="s">
        <v>1429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16.892430175417214</v>
      </c>
      <c r="R1411">
        <v>16.103749544706854</v>
      </c>
      <c r="S1411">
        <v>15.4397154729945</v>
      </c>
      <c r="T1411">
        <v>16.198214228710349</v>
      </c>
    </row>
    <row r="1412" spans="1:20" x14ac:dyDescent="0.25">
      <c r="A1412" s="5" t="s">
        <v>1430</v>
      </c>
      <c r="B1412">
        <v>0</v>
      </c>
      <c r="C1412">
        <v>15.352629856230788</v>
      </c>
      <c r="D1412">
        <v>14.40800661326716</v>
      </c>
      <c r="E1412">
        <v>14.88280925740432</v>
      </c>
      <c r="F1412">
        <v>16.844105728073835</v>
      </c>
      <c r="G1412">
        <v>15.139754498162349</v>
      </c>
      <c r="H1412">
        <v>0</v>
      </c>
      <c r="I1412">
        <v>0</v>
      </c>
      <c r="J1412">
        <v>0</v>
      </c>
      <c r="K1412">
        <v>16.05382431937517</v>
      </c>
      <c r="L1412">
        <v>15.609640474436812</v>
      </c>
      <c r="M1412">
        <v>0</v>
      </c>
      <c r="N1412">
        <v>0</v>
      </c>
      <c r="O1412">
        <v>0</v>
      </c>
      <c r="P1412">
        <v>15.595285181459742</v>
      </c>
      <c r="Q1412">
        <v>15.139754498162349</v>
      </c>
      <c r="R1412">
        <v>14.401747622795481</v>
      </c>
      <c r="S1412">
        <v>13.829330375393436</v>
      </c>
      <c r="T1412">
        <v>15.305129432626858</v>
      </c>
    </row>
    <row r="1413" spans="1:20" x14ac:dyDescent="0.25">
      <c r="A1413" s="6" t="s">
        <v>1431</v>
      </c>
      <c r="B1413">
        <v>12.990661863784483</v>
      </c>
      <c r="C1413">
        <v>13.190829855794334</v>
      </c>
      <c r="D1413">
        <v>13.831431898038725</v>
      </c>
      <c r="E1413">
        <v>13.45908079786143</v>
      </c>
      <c r="F1413">
        <v>12.752405893937025</v>
      </c>
      <c r="G1413">
        <v>13.644317926069556</v>
      </c>
      <c r="H1413">
        <v>12.190452186933307</v>
      </c>
      <c r="I1413">
        <v>12.980435418160948</v>
      </c>
      <c r="J1413">
        <v>13.668534163490381</v>
      </c>
      <c r="K1413">
        <v>13.321281912243151</v>
      </c>
      <c r="L1413">
        <v>13.261082267299656</v>
      </c>
      <c r="M1413">
        <v>12.752664741176478</v>
      </c>
      <c r="N1413">
        <v>12.875711339791881</v>
      </c>
      <c r="O1413">
        <v>13.566996137028319</v>
      </c>
      <c r="P1413">
        <v>12.684932466107941</v>
      </c>
      <c r="Q1413">
        <v>12.611291501250875</v>
      </c>
      <c r="R1413">
        <v>12.74052910096756</v>
      </c>
      <c r="S1413">
        <v>12.084680409118434</v>
      </c>
      <c r="T1413">
        <v>12.532329102951987</v>
      </c>
    </row>
    <row r="1414" spans="1:20" x14ac:dyDescent="0.25">
      <c r="A1414" s="5" t="s">
        <v>1432</v>
      </c>
      <c r="B1414">
        <v>0</v>
      </c>
      <c r="C1414">
        <v>15.61687204366789</v>
      </c>
      <c r="D1414">
        <v>0</v>
      </c>
      <c r="E1414">
        <v>15.06367210533152</v>
      </c>
      <c r="F1414">
        <v>0</v>
      </c>
      <c r="G1414">
        <v>0</v>
      </c>
      <c r="H1414">
        <v>0</v>
      </c>
      <c r="I1414">
        <v>15.270503089517227</v>
      </c>
      <c r="J1414">
        <v>14.031909542946732</v>
      </c>
      <c r="K1414">
        <v>0</v>
      </c>
      <c r="L1414">
        <v>15.150208855799516</v>
      </c>
      <c r="M1414">
        <v>14.913646661326911</v>
      </c>
      <c r="N1414">
        <v>13.816785122074323</v>
      </c>
      <c r="O1414">
        <v>0</v>
      </c>
      <c r="P1414">
        <v>14.878457232864612</v>
      </c>
      <c r="Q1414">
        <v>13.534107843269455</v>
      </c>
      <c r="R1414">
        <v>14.449365643028219</v>
      </c>
      <c r="S1414">
        <v>13.940613708927183</v>
      </c>
      <c r="T1414">
        <v>12.784292401941453</v>
      </c>
    </row>
    <row r="1415" spans="1:20" x14ac:dyDescent="0.25">
      <c r="A1415" s="6" t="s">
        <v>1433</v>
      </c>
      <c r="B1415">
        <v>13.143117759442369</v>
      </c>
      <c r="C1415">
        <v>13.251441161673295</v>
      </c>
      <c r="D1415">
        <v>13.657306908067127</v>
      </c>
      <c r="E1415">
        <v>12.869479245869034</v>
      </c>
      <c r="F1415">
        <v>12.523332251127965</v>
      </c>
      <c r="G1415">
        <v>0</v>
      </c>
      <c r="H1415">
        <v>0</v>
      </c>
      <c r="I1415">
        <v>0</v>
      </c>
      <c r="J1415">
        <v>13.360195133350974</v>
      </c>
      <c r="K1415">
        <v>0</v>
      </c>
      <c r="L1415">
        <v>13.256726616671674</v>
      </c>
      <c r="M1415">
        <v>13.775738397767649</v>
      </c>
      <c r="N1415">
        <v>0</v>
      </c>
      <c r="O1415">
        <v>0</v>
      </c>
      <c r="P1415">
        <v>14.005569150767952</v>
      </c>
      <c r="Q1415">
        <v>0</v>
      </c>
      <c r="R1415">
        <v>0</v>
      </c>
      <c r="S1415">
        <v>0</v>
      </c>
      <c r="T1415">
        <v>0</v>
      </c>
    </row>
    <row r="1416" spans="1:20" x14ac:dyDescent="0.25">
      <c r="A1416" s="5" t="s">
        <v>1434</v>
      </c>
      <c r="B1416">
        <v>0</v>
      </c>
      <c r="C1416">
        <v>0</v>
      </c>
      <c r="D1416">
        <v>14.532397475504352</v>
      </c>
      <c r="E1416">
        <v>14.174011880384722</v>
      </c>
      <c r="F1416">
        <v>13.852617227929352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14.627787821147072</v>
      </c>
      <c r="M1416">
        <v>14.827231909509438</v>
      </c>
      <c r="N1416">
        <v>0</v>
      </c>
      <c r="O1416">
        <v>14.67606783617579</v>
      </c>
      <c r="P1416">
        <v>15.073587574196603</v>
      </c>
      <c r="Q1416">
        <v>15.187407473753764</v>
      </c>
      <c r="R1416">
        <v>15.166033822961197</v>
      </c>
      <c r="S1416">
        <v>14.657306908067127</v>
      </c>
      <c r="T1416">
        <v>0</v>
      </c>
    </row>
    <row r="1417" spans="1:20" x14ac:dyDescent="0.25">
      <c r="A1417" s="6" t="s">
        <v>1435</v>
      </c>
      <c r="B1417">
        <v>14.789972290940359</v>
      </c>
      <c r="C1417">
        <v>14.59171856643955</v>
      </c>
      <c r="D1417">
        <v>14.124213647266572</v>
      </c>
      <c r="E1417">
        <v>14.259143227352677</v>
      </c>
      <c r="F1417">
        <v>14.67229608228658</v>
      </c>
      <c r="G1417">
        <v>15.029494990013431</v>
      </c>
      <c r="H1417">
        <v>0</v>
      </c>
      <c r="I1417">
        <v>15.103749544706854</v>
      </c>
      <c r="J1417">
        <v>13.991401818841355</v>
      </c>
      <c r="K1417">
        <v>14.253496664211537</v>
      </c>
      <c r="L1417">
        <v>13.871953713026953</v>
      </c>
      <c r="M1417">
        <v>14.270503089517227</v>
      </c>
      <c r="N1417">
        <v>15.203648114760977</v>
      </c>
      <c r="O1417">
        <v>13.977372258937299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25">
      <c r="A1418" s="5" t="s">
        <v>1436</v>
      </c>
      <c r="B1418">
        <v>12.791290936307618</v>
      </c>
      <c r="C1418">
        <v>12.442113942370893</v>
      </c>
      <c r="D1418">
        <v>11.821309739700467</v>
      </c>
      <c r="E1418">
        <v>12.234934813561033</v>
      </c>
      <c r="F1418">
        <v>12.759161063521567</v>
      </c>
      <c r="G1418">
        <v>13.030049979457049</v>
      </c>
      <c r="H1418">
        <v>14.485312339434612</v>
      </c>
      <c r="I1418">
        <v>14.048925519962333</v>
      </c>
      <c r="J1418">
        <v>13.084210497305408</v>
      </c>
      <c r="K1418">
        <v>13.540969663771714</v>
      </c>
      <c r="L1418">
        <v>12.948061874216307</v>
      </c>
      <c r="M1418">
        <v>13.757641637324365</v>
      </c>
      <c r="N1418">
        <v>15.209102544853085</v>
      </c>
      <c r="O1418">
        <v>13.633276838704052</v>
      </c>
      <c r="P1418">
        <v>14.389310519557256</v>
      </c>
      <c r="Q1418">
        <v>14.528982811091586</v>
      </c>
      <c r="R1418">
        <v>14.606038237756618</v>
      </c>
      <c r="S1418">
        <v>15.539251146545414</v>
      </c>
      <c r="T1418">
        <v>14.661039626943458</v>
      </c>
    </row>
    <row r="1419" spans="1:20" x14ac:dyDescent="0.25">
      <c r="A1419" s="6" t="s">
        <v>1437</v>
      </c>
      <c r="B1419">
        <v>14.718221287590733</v>
      </c>
      <c r="C1419">
        <v>0</v>
      </c>
      <c r="D1419">
        <v>14.253496664211537</v>
      </c>
      <c r="E1419">
        <v>14.299300353824661</v>
      </c>
      <c r="F1419">
        <v>0</v>
      </c>
      <c r="G1419">
        <v>0</v>
      </c>
      <c r="H1419">
        <v>0</v>
      </c>
      <c r="I1419">
        <v>0</v>
      </c>
      <c r="J1419">
        <v>14.977372258937299</v>
      </c>
      <c r="K1419">
        <v>15.861179241432778</v>
      </c>
      <c r="L1419">
        <v>0</v>
      </c>
      <c r="M1419">
        <v>0</v>
      </c>
      <c r="N1419">
        <v>0</v>
      </c>
      <c r="O1419">
        <v>15.171347622857667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25">
      <c r="A1420" s="5" t="s">
        <v>1438</v>
      </c>
      <c r="B1420">
        <v>8.0367072378900364</v>
      </c>
      <c r="C1420">
        <v>8.4469757393344533</v>
      </c>
      <c r="D1420">
        <v>8.3712089833987378</v>
      </c>
      <c r="E1420">
        <v>8.1916310433610526</v>
      </c>
      <c r="F1420">
        <v>8.1501281163193191</v>
      </c>
      <c r="G1420">
        <v>8.6550765563456071</v>
      </c>
      <c r="H1420">
        <v>8.4430088744985614</v>
      </c>
      <c r="I1420">
        <v>8.3729354855472007</v>
      </c>
      <c r="J1420">
        <v>8.2937953249231438</v>
      </c>
      <c r="K1420">
        <v>8.1531763981366847</v>
      </c>
      <c r="L1420">
        <v>8.2373826490626811</v>
      </c>
      <c r="M1420">
        <v>8.2009388019676592</v>
      </c>
      <c r="N1420">
        <v>8.6612089947060298</v>
      </c>
      <c r="O1420">
        <v>8.2302694724941681</v>
      </c>
      <c r="P1420">
        <v>8.0711054147153405</v>
      </c>
      <c r="Q1420">
        <v>7.9344755538653073</v>
      </c>
      <c r="R1420">
        <v>7.7667932882935897</v>
      </c>
      <c r="S1420">
        <v>8.4464643115277287</v>
      </c>
      <c r="T1420">
        <v>8.1077077763349692</v>
      </c>
    </row>
    <row r="1421" spans="1:20" x14ac:dyDescent="0.25">
      <c r="A1421" s="6" t="s">
        <v>1439</v>
      </c>
      <c r="B1421">
        <v>9.3961366823915569</v>
      </c>
      <c r="C1421">
        <v>9.6304542474947841</v>
      </c>
      <c r="D1421">
        <v>9.2147242489355623</v>
      </c>
      <c r="E1421">
        <v>9.2382985551070327</v>
      </c>
      <c r="F1421">
        <v>9.9427702889894221</v>
      </c>
      <c r="G1421">
        <v>10.069079982834188</v>
      </c>
      <c r="H1421">
        <v>10.534420204300218</v>
      </c>
      <c r="I1421">
        <v>9.7647953895964861</v>
      </c>
      <c r="J1421">
        <v>10.231649147530931</v>
      </c>
      <c r="K1421">
        <v>9.782192331072066</v>
      </c>
      <c r="L1421">
        <v>9.5829986334241273</v>
      </c>
      <c r="M1421">
        <v>9.6425064587920577</v>
      </c>
      <c r="N1421">
        <v>10.015671268922189</v>
      </c>
      <c r="O1421">
        <v>9.7923894495664072</v>
      </c>
      <c r="P1421">
        <v>10.081378605582024</v>
      </c>
      <c r="Q1421">
        <v>10.310406808365675</v>
      </c>
      <c r="R1421">
        <v>10.199538549731743</v>
      </c>
      <c r="S1421">
        <v>10.477781456510355</v>
      </c>
      <c r="T1421">
        <v>10.352011259825387</v>
      </c>
    </row>
    <row r="1422" spans="1:20" x14ac:dyDescent="0.25">
      <c r="A1422" s="5" t="s">
        <v>1440</v>
      </c>
      <c r="B1422">
        <v>10.719719201307795</v>
      </c>
      <c r="C1422">
        <v>10.80161846017598</v>
      </c>
      <c r="D1422">
        <v>10.355991506601493</v>
      </c>
      <c r="E1422">
        <v>10.265065820378778</v>
      </c>
      <c r="F1422">
        <v>10.586902047367003</v>
      </c>
      <c r="G1422">
        <v>10.683731227138525</v>
      </c>
      <c r="H1422">
        <v>10.944111263279357</v>
      </c>
      <c r="I1422">
        <v>10.986192040775851</v>
      </c>
      <c r="J1422">
        <v>10.815578176679873</v>
      </c>
      <c r="K1422">
        <v>10.744050707077516</v>
      </c>
      <c r="L1422">
        <v>10.687604414898797</v>
      </c>
      <c r="M1422">
        <v>10.517612792317477</v>
      </c>
      <c r="N1422">
        <v>11.152923018201491</v>
      </c>
      <c r="O1422">
        <v>10.650289930052821</v>
      </c>
      <c r="P1422">
        <v>10.827085131143587</v>
      </c>
      <c r="Q1422">
        <v>10.759148561712269</v>
      </c>
      <c r="R1422">
        <v>10.646869373155129</v>
      </c>
      <c r="S1422">
        <v>10.731091680201395</v>
      </c>
      <c r="T1422">
        <v>11.059583269700703</v>
      </c>
    </row>
    <row r="1423" spans="1:20" x14ac:dyDescent="0.25">
      <c r="A1423" s="6" t="s">
        <v>1441</v>
      </c>
      <c r="B1423">
        <v>16.166033822961197</v>
      </c>
      <c r="C1423">
        <v>15.668534163490381</v>
      </c>
      <c r="D1423">
        <v>15.904768509980459</v>
      </c>
      <c r="E1423">
        <v>15.7066022043239</v>
      </c>
      <c r="F1423">
        <v>0</v>
      </c>
      <c r="G1423">
        <v>0</v>
      </c>
      <c r="H1423">
        <v>0</v>
      </c>
      <c r="I1423">
        <v>15.904768509980459</v>
      </c>
      <c r="J1423">
        <v>0</v>
      </c>
      <c r="K1423">
        <v>0</v>
      </c>
      <c r="L1423">
        <v>15.624140044131927</v>
      </c>
      <c r="M1423">
        <v>0</v>
      </c>
      <c r="N1423">
        <v>15.270503089517227</v>
      </c>
      <c r="O1423">
        <v>0</v>
      </c>
      <c r="P1423">
        <v>0</v>
      </c>
      <c r="Q1423">
        <v>16.512029677810389</v>
      </c>
      <c r="R1423">
        <v>0</v>
      </c>
      <c r="S1423">
        <v>0</v>
      </c>
      <c r="T1423">
        <v>15.722115203695225</v>
      </c>
    </row>
    <row r="1424" spans="1:20" x14ac:dyDescent="0.25">
      <c r="A1424" s="5" t="s">
        <v>1442</v>
      </c>
      <c r="B1424">
        <v>13.226890231075512</v>
      </c>
      <c r="C1424">
        <v>12.337094664453225</v>
      </c>
      <c r="D1424">
        <v>12.030267207369425</v>
      </c>
      <c r="E1424">
        <v>12.38465096478196</v>
      </c>
      <c r="F1424">
        <v>12.477837005117079</v>
      </c>
      <c r="G1424">
        <v>11.927752732452074</v>
      </c>
      <c r="H1424">
        <v>12.683811911462605</v>
      </c>
      <c r="I1424">
        <v>12.10653348091293</v>
      </c>
      <c r="J1424">
        <v>12.583477819947138</v>
      </c>
      <c r="K1424">
        <v>12.336169343289615</v>
      </c>
      <c r="L1424">
        <v>11.891870844630478</v>
      </c>
      <c r="M1424">
        <v>12.758191244958844</v>
      </c>
      <c r="N1424">
        <v>12.354373914985064</v>
      </c>
      <c r="O1424">
        <v>12.372222073052505</v>
      </c>
      <c r="P1424">
        <v>12.211604838589317</v>
      </c>
      <c r="Q1424">
        <v>12.501659744324639</v>
      </c>
      <c r="R1424">
        <v>12.646083120456565</v>
      </c>
      <c r="S1424">
        <v>12.144312429883987</v>
      </c>
      <c r="T1424">
        <v>12.652422325269869</v>
      </c>
    </row>
    <row r="1425" spans="1:20" x14ac:dyDescent="0.25">
      <c r="A1425" s="6" t="s">
        <v>1443</v>
      </c>
      <c r="B1425">
        <v>15.878457232864612</v>
      </c>
      <c r="C1425">
        <v>16.083571662769224</v>
      </c>
      <c r="D1425">
        <v>16.113945311812746</v>
      </c>
      <c r="E1425">
        <v>16.276216740711622</v>
      </c>
      <c r="F1425">
        <v>15.247872115017659</v>
      </c>
      <c r="G1425">
        <v>15.968094445349289</v>
      </c>
      <c r="H1425">
        <v>15.904768509980459</v>
      </c>
      <c r="I1425">
        <v>15.95887591531991</v>
      </c>
      <c r="J1425">
        <v>16.093625327433145</v>
      </c>
      <c r="K1425">
        <v>16.024677973715658</v>
      </c>
      <c r="L1425">
        <v>15.203648114760977</v>
      </c>
      <c r="M1425">
        <v>16.024677973715658</v>
      </c>
      <c r="N1425">
        <v>16.433317701796351</v>
      </c>
      <c r="O1425">
        <v>15.769680886947281</v>
      </c>
      <c r="P1425">
        <v>16.242269408788282</v>
      </c>
      <c r="Q1425">
        <v>14.646166350461927</v>
      </c>
      <c r="R1425">
        <v>14.549593090766873</v>
      </c>
      <c r="S1425">
        <v>14.661039626943458</v>
      </c>
      <c r="T1425">
        <v>14.936084050446668</v>
      </c>
    </row>
    <row r="1426" spans="1:20" x14ac:dyDescent="0.25">
      <c r="A1426" s="5" t="s">
        <v>1444</v>
      </c>
      <c r="B1426">
        <v>15.794065045574239</v>
      </c>
      <c r="C1426">
        <v>14.383131944628133</v>
      </c>
      <c r="D1426">
        <v>14.06367210533152</v>
      </c>
      <c r="E1426">
        <v>14.113945311812744</v>
      </c>
      <c r="F1426">
        <v>15.827231909509438</v>
      </c>
      <c r="G1426">
        <v>15.150208855799516</v>
      </c>
      <c r="H1426">
        <v>15.986710123516636</v>
      </c>
      <c r="I1426">
        <v>14.986710123516636</v>
      </c>
      <c r="J1426">
        <v>15.887174449965721</v>
      </c>
      <c r="K1426">
        <v>14.48200719471094</v>
      </c>
      <c r="L1426">
        <v>14.668534163490381</v>
      </c>
      <c r="M1426">
        <v>17.103749544706854</v>
      </c>
      <c r="N1426">
        <v>17.874985040957807</v>
      </c>
      <c r="O1426">
        <v>15.103749544706854</v>
      </c>
      <c r="P1426">
        <v>0</v>
      </c>
      <c r="Q1426">
        <v>0</v>
      </c>
      <c r="R1426">
        <v>0</v>
      </c>
      <c r="S1426">
        <v>17.433317701796351</v>
      </c>
      <c r="T1426">
        <v>18.209102544853081</v>
      </c>
    </row>
    <row r="1427" spans="1:20" x14ac:dyDescent="0.25">
      <c r="A1427" s="6" t="s">
        <v>1445</v>
      </c>
      <c r="B1427">
        <v>14.267654727208196</v>
      </c>
      <c r="C1427">
        <v>0</v>
      </c>
      <c r="D1427">
        <v>0</v>
      </c>
      <c r="E1427">
        <v>0</v>
      </c>
      <c r="F1427">
        <v>13.677957417377007</v>
      </c>
      <c r="G1427">
        <v>0</v>
      </c>
      <c r="H1427">
        <v>0</v>
      </c>
      <c r="I1427">
        <v>14.264811977439372</v>
      </c>
      <c r="J1427">
        <v>0</v>
      </c>
      <c r="K1427">
        <v>14.563498692792091</v>
      </c>
      <c r="L1427">
        <v>14.171347622857667</v>
      </c>
      <c r="M1427">
        <v>0</v>
      </c>
      <c r="N1427">
        <v>0</v>
      </c>
      <c r="O1427">
        <v>14.638786820096328</v>
      </c>
      <c r="P1427">
        <v>13.604240486694223</v>
      </c>
      <c r="Q1427">
        <v>13.767667355509634</v>
      </c>
      <c r="R1427">
        <v>0</v>
      </c>
      <c r="S1427">
        <v>13.968094445349287</v>
      </c>
      <c r="T1427">
        <v>13.59886063568357</v>
      </c>
    </row>
    <row r="1428" spans="1:20" x14ac:dyDescent="0.25">
      <c r="A1428" s="5" t="s">
        <v>1446</v>
      </c>
      <c r="B1428">
        <v>13.729934708154524</v>
      </c>
      <c r="C1428">
        <v>12.426725752100811</v>
      </c>
      <c r="D1428">
        <v>12.025862672181594</v>
      </c>
      <c r="E1428">
        <v>12.681393342460764</v>
      </c>
      <c r="F1428">
        <v>15.293494732143458</v>
      </c>
      <c r="G1428">
        <v>14.13715270297407</v>
      </c>
      <c r="H1428">
        <v>15.088589737535848</v>
      </c>
      <c r="I1428">
        <v>15.305129432626858</v>
      </c>
      <c r="J1428">
        <v>14.436513040956156</v>
      </c>
      <c r="K1428">
        <v>13.430129424165303</v>
      </c>
      <c r="L1428">
        <v>13.302211949244565</v>
      </c>
      <c r="M1428">
        <v>14.134555591488031</v>
      </c>
      <c r="N1428">
        <v>14.168688276407176</v>
      </c>
      <c r="O1428">
        <v>14.92257978609692</v>
      </c>
      <c r="P1428">
        <v>15.931568569324174</v>
      </c>
      <c r="Q1428">
        <v>16.024677973715658</v>
      </c>
      <c r="R1428">
        <v>16.113945311812746</v>
      </c>
      <c r="S1428">
        <v>0</v>
      </c>
      <c r="T1428">
        <v>15.869792371737484</v>
      </c>
    </row>
    <row r="1429" spans="1:20" x14ac:dyDescent="0.25">
      <c r="A1429" s="6" t="s">
        <v>1447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13.584611679945288</v>
      </c>
      <c r="H1429">
        <v>14.051372840381076</v>
      </c>
      <c r="I1429">
        <v>14.150208855799516</v>
      </c>
      <c r="J1429">
        <v>0</v>
      </c>
      <c r="K1429">
        <v>0</v>
      </c>
      <c r="L1429">
        <v>13.895944659593452</v>
      </c>
      <c r="M1429">
        <v>0</v>
      </c>
      <c r="N1429">
        <v>0</v>
      </c>
      <c r="O1429">
        <v>0</v>
      </c>
      <c r="P1429">
        <v>13.848355201075194</v>
      </c>
      <c r="Q1429">
        <v>12.432846987625444</v>
      </c>
      <c r="R1429">
        <v>12.630191270115729</v>
      </c>
      <c r="S1429">
        <v>12.712651816272313</v>
      </c>
      <c r="T1429">
        <v>12.17718877140608</v>
      </c>
    </row>
    <row r="1430" spans="1:20" x14ac:dyDescent="0.25">
      <c r="A1430" s="5" t="s">
        <v>1448</v>
      </c>
      <c r="B1430">
        <v>12.546430932964226</v>
      </c>
      <c r="C1430">
        <v>11.813343832380889</v>
      </c>
      <c r="D1430">
        <v>12.344436144689409</v>
      </c>
      <c r="E1430">
        <v>12.899710253348267</v>
      </c>
      <c r="F1430">
        <v>12.756233598888061</v>
      </c>
      <c r="G1430">
        <v>11.110958777813845</v>
      </c>
      <c r="H1430">
        <v>11.080362982931213</v>
      </c>
      <c r="I1430">
        <v>12.241305138495626</v>
      </c>
      <c r="J1430">
        <v>13.618685614039819</v>
      </c>
      <c r="K1430">
        <v>11.964221250249444</v>
      </c>
      <c r="L1430">
        <v>11.400385980479292</v>
      </c>
      <c r="M1430">
        <v>13.280976316878762</v>
      </c>
      <c r="N1430">
        <v>12.398168748273559</v>
      </c>
      <c r="O1430">
        <v>13.452596764291233</v>
      </c>
      <c r="P1430">
        <v>12.674831500561</v>
      </c>
      <c r="Q1430">
        <v>11.393387398933742</v>
      </c>
      <c r="R1430">
        <v>10.77807733728346</v>
      </c>
      <c r="S1430">
        <v>10.484917389553852</v>
      </c>
      <c r="T1430">
        <v>10.810967795479009</v>
      </c>
    </row>
    <row r="1431" spans="1:20" x14ac:dyDescent="0.25">
      <c r="A1431" s="6" t="s">
        <v>1449</v>
      </c>
      <c r="B1431">
        <v>14.14236099397683</v>
      </c>
      <c r="C1431">
        <v>13.501952605122439</v>
      </c>
      <c r="D1431">
        <v>13.920341313900922</v>
      </c>
      <c r="E1431">
        <v>14.058739809789287</v>
      </c>
      <c r="F1431">
        <v>14.103749544706854</v>
      </c>
      <c r="G1431">
        <v>12.521541290439604</v>
      </c>
      <c r="H1431">
        <v>12.177529567879548</v>
      </c>
      <c r="I1431">
        <v>13.420606650046794</v>
      </c>
      <c r="J1431">
        <v>14.844105728073835</v>
      </c>
      <c r="K1431">
        <v>13.364753415313277</v>
      </c>
      <c r="L1431">
        <v>12.76544566673393</v>
      </c>
      <c r="M1431">
        <v>0</v>
      </c>
      <c r="N1431">
        <v>12.594535460556996</v>
      </c>
      <c r="O1431">
        <v>14.389310519557256</v>
      </c>
      <c r="P1431">
        <v>13.589938559994264</v>
      </c>
      <c r="Q1431">
        <v>12.890752833192154</v>
      </c>
      <c r="R1431">
        <v>11.228447100112135</v>
      </c>
      <c r="S1431">
        <v>11.300635318753718</v>
      </c>
      <c r="T1431">
        <v>11.32090172286158</v>
      </c>
    </row>
    <row r="1432" spans="1:20" x14ac:dyDescent="0.25">
      <c r="A1432" s="5" t="s">
        <v>1450</v>
      </c>
      <c r="B1432">
        <v>13.982033636307161</v>
      </c>
      <c r="C1432">
        <v>0</v>
      </c>
      <c r="D1432">
        <v>0</v>
      </c>
      <c r="E1432">
        <v>0</v>
      </c>
      <c r="F1432">
        <v>0</v>
      </c>
      <c r="G1432">
        <v>13.183053665627961</v>
      </c>
      <c r="H1432">
        <v>12.897187760088002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14.005569150767952</v>
      </c>
      <c r="O1432">
        <v>0</v>
      </c>
      <c r="P1432">
        <v>13.577539631269786</v>
      </c>
      <c r="Q1432">
        <v>12.435266016718348</v>
      </c>
      <c r="R1432">
        <v>12.845018309093227</v>
      </c>
      <c r="S1432">
        <v>11.824440438689219</v>
      </c>
      <c r="T1432">
        <v>11.718624793098323</v>
      </c>
    </row>
    <row r="1433" spans="1:20" x14ac:dyDescent="0.25">
      <c r="A1433" s="6" t="s">
        <v>1451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12.861533518085704</v>
      </c>
      <c r="R1433">
        <v>12.595454815230344</v>
      </c>
      <c r="S1433">
        <v>12.373170816902002</v>
      </c>
      <c r="T1433">
        <v>12.642370402150988</v>
      </c>
    </row>
    <row r="1434" spans="1:20" x14ac:dyDescent="0.25">
      <c r="A1434" s="5" t="s">
        <v>1452</v>
      </c>
      <c r="B1434">
        <v>12.965715036962056</v>
      </c>
      <c r="C1434">
        <v>12.77423174044185</v>
      </c>
      <c r="D1434">
        <v>12.922501380888297</v>
      </c>
      <c r="E1434">
        <v>12.737796825927495</v>
      </c>
      <c r="F1434">
        <v>12.80272873391956</v>
      </c>
      <c r="G1434">
        <v>11.775536070435308</v>
      </c>
      <c r="H1434">
        <v>11.912973338151511</v>
      </c>
      <c r="I1434">
        <v>12.512383653426681</v>
      </c>
      <c r="J1434">
        <v>13.216114442208458</v>
      </c>
      <c r="K1434">
        <v>12.27534394527593</v>
      </c>
      <c r="L1434">
        <v>11.90417119858542</v>
      </c>
      <c r="M1434">
        <v>13.400187108807861</v>
      </c>
      <c r="N1434">
        <v>13.096174995182741</v>
      </c>
      <c r="O1434">
        <v>13.773716400182437</v>
      </c>
      <c r="P1434">
        <v>0</v>
      </c>
      <c r="Q1434">
        <v>12.266779985103531</v>
      </c>
      <c r="R1434">
        <v>12.028693045548248</v>
      </c>
      <c r="S1434">
        <v>11.579242592828544</v>
      </c>
      <c r="T1434">
        <v>12.188275774459399</v>
      </c>
    </row>
    <row r="1435" spans="1:20" x14ac:dyDescent="0.25">
      <c r="A1435" s="6" t="s">
        <v>1453</v>
      </c>
      <c r="B1435">
        <v>13.415868731040131</v>
      </c>
      <c r="C1435">
        <v>12.974698771007866</v>
      </c>
      <c r="D1435">
        <v>0</v>
      </c>
      <c r="E1435">
        <v>0</v>
      </c>
      <c r="F1435">
        <v>12.881121289584522</v>
      </c>
      <c r="G1435">
        <v>11.932600239642797</v>
      </c>
      <c r="H1435">
        <v>11.583190067608625</v>
      </c>
      <c r="I1435">
        <v>12.455478561181236</v>
      </c>
      <c r="J1435">
        <v>0</v>
      </c>
      <c r="K1435">
        <v>12.46525958197382</v>
      </c>
      <c r="L1435">
        <v>0</v>
      </c>
      <c r="M1435">
        <v>0</v>
      </c>
      <c r="N1435">
        <v>0</v>
      </c>
      <c r="O1435">
        <v>0</v>
      </c>
      <c r="P1435">
        <v>12.973398690101615</v>
      </c>
      <c r="Q1435">
        <v>11.93840372375084</v>
      </c>
      <c r="R1435">
        <v>11.825330189983353</v>
      </c>
      <c r="S1435">
        <v>11.482436435574451</v>
      </c>
      <c r="T1435">
        <v>0</v>
      </c>
    </row>
    <row r="1436" spans="1:20" x14ac:dyDescent="0.25">
      <c r="A1436" s="5" t="s">
        <v>1454</v>
      </c>
      <c r="B1436">
        <v>13.818868436574812</v>
      </c>
      <c r="C1436">
        <v>13.227194553344242</v>
      </c>
      <c r="D1436">
        <v>14.058739809789287</v>
      </c>
      <c r="E1436">
        <v>0</v>
      </c>
      <c r="F1436">
        <v>0</v>
      </c>
      <c r="G1436">
        <v>12.974896207166125</v>
      </c>
      <c r="H1436">
        <v>13.183496508561927</v>
      </c>
      <c r="I1436">
        <v>13.016980128670383</v>
      </c>
      <c r="J1436">
        <v>0</v>
      </c>
      <c r="K1436">
        <v>13.615060750221065</v>
      </c>
      <c r="L1436">
        <v>12.665859768288026</v>
      </c>
      <c r="M1436">
        <v>0</v>
      </c>
      <c r="N1436">
        <v>0</v>
      </c>
      <c r="O1436">
        <v>0</v>
      </c>
      <c r="P1436">
        <v>0</v>
      </c>
      <c r="Q1436">
        <v>11.983154611531305</v>
      </c>
      <c r="R1436">
        <v>12.333136364568805</v>
      </c>
      <c r="S1436">
        <v>12.155997792449439</v>
      </c>
      <c r="T1436">
        <v>12.469164456497037</v>
      </c>
    </row>
    <row r="1437" spans="1:20" x14ac:dyDescent="0.25">
      <c r="A1437" s="6" t="s">
        <v>1455</v>
      </c>
      <c r="B1437">
        <v>12.980575337344533</v>
      </c>
      <c r="C1437">
        <v>0</v>
      </c>
      <c r="D1437">
        <v>0</v>
      </c>
      <c r="E1437">
        <v>0</v>
      </c>
      <c r="F1437">
        <v>12.846122667129904</v>
      </c>
      <c r="G1437">
        <v>11.574518076359999</v>
      </c>
      <c r="H1437">
        <v>11.843639049283988</v>
      </c>
      <c r="I1437">
        <v>0</v>
      </c>
      <c r="J1437">
        <v>0</v>
      </c>
      <c r="K1437">
        <v>0</v>
      </c>
      <c r="L1437">
        <v>12.530928179242489</v>
      </c>
      <c r="M1437">
        <v>0</v>
      </c>
      <c r="N1437">
        <v>0</v>
      </c>
      <c r="O1437">
        <v>0</v>
      </c>
      <c r="P1437">
        <v>13.097717078921988</v>
      </c>
      <c r="Q1437">
        <v>12.181913635183012</v>
      </c>
      <c r="R1437">
        <v>12.291265781829029</v>
      </c>
      <c r="S1437">
        <v>12.01527705077959</v>
      </c>
      <c r="T1437">
        <v>12.629240378167086</v>
      </c>
    </row>
    <row r="1438" spans="1:20" x14ac:dyDescent="0.25">
      <c r="A1438" s="5" t="s">
        <v>1456</v>
      </c>
      <c r="B1438">
        <v>13.211714327554937</v>
      </c>
      <c r="C1438">
        <v>0</v>
      </c>
      <c r="D1438">
        <v>0</v>
      </c>
      <c r="E1438">
        <v>0</v>
      </c>
      <c r="F1438">
        <v>0</v>
      </c>
      <c r="G1438">
        <v>12.073139910714309</v>
      </c>
      <c r="H1438">
        <v>11.906994011695526</v>
      </c>
      <c r="I1438">
        <v>12.627249193812293</v>
      </c>
      <c r="J1438">
        <v>0</v>
      </c>
      <c r="K1438">
        <v>0</v>
      </c>
      <c r="L1438">
        <v>12.248005444163686</v>
      </c>
      <c r="M1438">
        <v>0</v>
      </c>
      <c r="N1438">
        <v>12.118031053847242</v>
      </c>
      <c r="O1438">
        <v>0</v>
      </c>
      <c r="P1438">
        <v>0</v>
      </c>
      <c r="Q1438">
        <v>12.417675201249796</v>
      </c>
      <c r="R1438">
        <v>12.070674035492662</v>
      </c>
      <c r="S1438">
        <v>11.245593390829491</v>
      </c>
      <c r="T1438">
        <v>11.308265004470655</v>
      </c>
    </row>
    <row r="1439" spans="1:20" x14ac:dyDescent="0.25">
      <c r="A1439" s="6" t="s">
        <v>1457</v>
      </c>
      <c r="B1439">
        <v>13.577539631269786</v>
      </c>
      <c r="C1439">
        <v>13.477063631766804</v>
      </c>
      <c r="D1439">
        <v>14.0760771262223</v>
      </c>
      <c r="E1439">
        <v>14.225590667641651</v>
      </c>
      <c r="F1439">
        <v>13.92257978609692</v>
      </c>
      <c r="G1439">
        <v>12.1712145390477</v>
      </c>
      <c r="H1439">
        <v>12.016298656240421</v>
      </c>
      <c r="I1439">
        <v>12.520803484314504</v>
      </c>
      <c r="J1439">
        <v>13.835644149325638</v>
      </c>
      <c r="K1439">
        <v>13.475419534676179</v>
      </c>
      <c r="L1439">
        <v>12.836034404709871</v>
      </c>
      <c r="M1439">
        <v>13.947434974783196</v>
      </c>
      <c r="N1439">
        <v>13.45908079786143</v>
      </c>
      <c r="O1439">
        <v>13.989054063984934</v>
      </c>
      <c r="P1439">
        <v>13.666656876249709</v>
      </c>
      <c r="Q1439">
        <v>12.689318587421033</v>
      </c>
      <c r="R1439">
        <v>12.554835400471953</v>
      </c>
      <c r="S1439">
        <v>11.702273868002267</v>
      </c>
      <c r="T1439">
        <v>12.287193102798938</v>
      </c>
    </row>
    <row r="1440" spans="1:20" x14ac:dyDescent="0.25">
      <c r="A1440" s="5" t="s">
        <v>1458</v>
      </c>
      <c r="B1440">
        <v>13.657306908067127</v>
      </c>
      <c r="C1440">
        <v>13.438113368398</v>
      </c>
      <c r="D1440">
        <v>13.537534673956392</v>
      </c>
      <c r="E1440">
        <v>13.735827276077723</v>
      </c>
      <c r="F1440">
        <v>13.668534163490381</v>
      </c>
      <c r="G1440">
        <v>12.507662703114164</v>
      </c>
      <c r="H1440">
        <v>12.493741607781425</v>
      </c>
      <c r="I1440">
        <v>12.992941671680605</v>
      </c>
      <c r="J1440">
        <v>14.058739809789287</v>
      </c>
      <c r="K1440">
        <v>13.073028016544821</v>
      </c>
      <c r="L1440">
        <v>12.493092730671203</v>
      </c>
      <c r="M1440">
        <v>14.139754498162349</v>
      </c>
      <c r="N1440">
        <v>13.060636747780171</v>
      </c>
      <c r="O1440">
        <v>14.017482472311452</v>
      </c>
      <c r="P1440">
        <v>12.914504072837417</v>
      </c>
      <c r="Q1440">
        <v>12.183771676426199</v>
      </c>
      <c r="R1440">
        <v>12.492751771226002</v>
      </c>
      <c r="S1440">
        <v>11.690357605093846</v>
      </c>
      <c r="T1440">
        <v>11.545162834311308</v>
      </c>
    </row>
    <row r="1441" spans="1:20" x14ac:dyDescent="0.25">
      <c r="A1441" s="6" t="s">
        <v>1459</v>
      </c>
      <c r="B1441">
        <v>14.024677973715656</v>
      </c>
      <c r="C1441">
        <v>13.046311476567643</v>
      </c>
      <c r="D1441">
        <v>13.931568569324176</v>
      </c>
      <c r="E1441">
        <v>0</v>
      </c>
      <c r="F1441">
        <v>13.945157634072132</v>
      </c>
      <c r="G1441">
        <v>0</v>
      </c>
      <c r="H1441">
        <v>0</v>
      </c>
      <c r="I1441">
        <v>13.597071800933756</v>
      </c>
      <c r="J1441">
        <v>0</v>
      </c>
      <c r="K1441">
        <v>14.000831231761289</v>
      </c>
      <c r="L1441">
        <v>13.246441356870131</v>
      </c>
      <c r="M1441">
        <v>0</v>
      </c>
      <c r="N1441">
        <v>13.59886063568357</v>
      </c>
      <c r="O1441">
        <v>0</v>
      </c>
      <c r="P1441">
        <v>0</v>
      </c>
      <c r="Q1441">
        <v>13.401747622795481</v>
      </c>
      <c r="R1441">
        <v>11.508553535772892</v>
      </c>
      <c r="S1441">
        <v>13.203661725155749</v>
      </c>
      <c r="T1441">
        <v>12.771354254916403</v>
      </c>
    </row>
    <row r="1442" spans="1:20" x14ac:dyDescent="0.25">
      <c r="A1442" s="5" t="s">
        <v>1460</v>
      </c>
      <c r="B1442">
        <v>12.369371945672668</v>
      </c>
      <c r="C1442">
        <v>12.201866262279431</v>
      </c>
      <c r="D1442">
        <v>12.96367372367618</v>
      </c>
      <c r="E1442">
        <v>12.593634525976769</v>
      </c>
      <c r="F1442">
        <v>12.272892927694642</v>
      </c>
      <c r="G1442">
        <v>11.19635443272084</v>
      </c>
      <c r="H1442">
        <v>11.037087272033308</v>
      </c>
      <c r="I1442">
        <v>12.326778153622524</v>
      </c>
      <c r="J1442">
        <v>12.662488655763861</v>
      </c>
      <c r="K1442">
        <v>12.394808486570252</v>
      </c>
      <c r="L1442">
        <v>11.824131770876383</v>
      </c>
      <c r="M1442">
        <v>13.147561972664889</v>
      </c>
      <c r="N1442">
        <v>12.832662709500042</v>
      </c>
      <c r="O1442">
        <v>13.422189420409488</v>
      </c>
      <c r="P1442">
        <v>12.366771250816257</v>
      </c>
      <c r="Q1442">
        <v>11.368700349666092</v>
      </c>
      <c r="R1442">
        <v>11.378818790721448</v>
      </c>
      <c r="S1442">
        <v>11.216924648042822</v>
      </c>
      <c r="T1442">
        <v>11.142188167897789</v>
      </c>
    </row>
    <row r="1443" spans="1:20" x14ac:dyDescent="0.25">
      <c r="A1443" s="6" t="s">
        <v>1461</v>
      </c>
      <c r="B1443">
        <v>12.588756070378844</v>
      </c>
      <c r="C1443">
        <v>12.392270149322185</v>
      </c>
      <c r="D1443">
        <v>12.904215435394084</v>
      </c>
      <c r="E1443">
        <v>12.632653699710531</v>
      </c>
      <c r="F1443">
        <v>12.01431584907971</v>
      </c>
      <c r="G1443">
        <v>11.074778911207586</v>
      </c>
      <c r="H1443">
        <v>10.887384858335167</v>
      </c>
      <c r="I1443">
        <v>11.447801151363404</v>
      </c>
      <c r="J1443">
        <v>12.649564381638214</v>
      </c>
      <c r="K1443">
        <v>11.697484045803312</v>
      </c>
      <c r="L1443">
        <v>11.410019164613404</v>
      </c>
      <c r="M1443">
        <v>12.765325129923296</v>
      </c>
      <c r="N1443">
        <v>12.620056371648387</v>
      </c>
      <c r="O1443">
        <v>12.969436035485753</v>
      </c>
      <c r="P1443">
        <v>12.228876399451705</v>
      </c>
      <c r="Q1443">
        <v>11.485192395578464</v>
      </c>
      <c r="R1443">
        <v>11.223381333303466</v>
      </c>
      <c r="S1443">
        <v>11.014539674260131</v>
      </c>
      <c r="T1443">
        <v>11.049384076423541</v>
      </c>
    </row>
    <row r="1444" spans="1:20" x14ac:dyDescent="0.25">
      <c r="A1444" s="5" t="s">
        <v>1462</v>
      </c>
      <c r="B1444">
        <v>14.449365643028219</v>
      </c>
      <c r="C1444">
        <v>13.816785122074323</v>
      </c>
      <c r="D1444">
        <v>0</v>
      </c>
      <c r="E1444">
        <v>0</v>
      </c>
      <c r="F1444">
        <v>14.423773929125478</v>
      </c>
      <c r="G1444">
        <v>12.777155484149208</v>
      </c>
      <c r="H1444">
        <v>12.774989928328299</v>
      </c>
      <c r="I1444">
        <v>13.75365077712833</v>
      </c>
      <c r="J1444">
        <v>0</v>
      </c>
      <c r="K1444">
        <v>14.256317183273916</v>
      </c>
      <c r="L1444">
        <v>13.510345270099036</v>
      </c>
      <c r="M1444">
        <v>0</v>
      </c>
      <c r="N1444">
        <v>14.144972207433367</v>
      </c>
      <c r="O1444">
        <v>0</v>
      </c>
      <c r="P1444">
        <v>14.081069155566054</v>
      </c>
      <c r="Q1444">
        <v>13.041669192829644</v>
      </c>
      <c r="R1444">
        <v>12.862070466715894</v>
      </c>
      <c r="S1444">
        <v>12.550172706990994</v>
      </c>
      <c r="T1444">
        <v>12.121658991098528</v>
      </c>
    </row>
    <row r="1445" spans="1:20" x14ac:dyDescent="0.25">
      <c r="A1445" s="6" t="s">
        <v>1463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12.806485781257543</v>
      </c>
      <c r="H1445">
        <v>12.515463532648633</v>
      </c>
      <c r="I1445">
        <v>13.850484640636539</v>
      </c>
      <c r="J1445">
        <v>0</v>
      </c>
      <c r="K1445">
        <v>0</v>
      </c>
      <c r="L1445">
        <v>0</v>
      </c>
      <c r="M1445">
        <v>0</v>
      </c>
      <c r="N1445">
        <v>14.525576209648337</v>
      </c>
      <c r="O1445">
        <v>0</v>
      </c>
      <c r="P1445">
        <v>0</v>
      </c>
      <c r="Q1445">
        <v>13.154503981980916</v>
      </c>
      <c r="R1445">
        <v>12.890763789884257</v>
      </c>
      <c r="S1445">
        <v>12.18487287301649</v>
      </c>
      <c r="T1445">
        <v>12.284700293448687</v>
      </c>
    </row>
    <row r="1446" spans="1:20" x14ac:dyDescent="0.25">
      <c r="A1446" s="5" t="s">
        <v>1464</v>
      </c>
      <c r="B1446">
        <v>13.646166350461927</v>
      </c>
      <c r="C1446">
        <v>13.528982811091586</v>
      </c>
      <c r="D1446">
        <v>14.179355201459032</v>
      </c>
      <c r="E1446">
        <v>0</v>
      </c>
      <c r="F1446">
        <v>13.473777309068133</v>
      </c>
      <c r="G1446">
        <v>12.115096857735972</v>
      </c>
      <c r="H1446">
        <v>11.735182832549594</v>
      </c>
      <c r="I1446">
        <v>13.034909211773968</v>
      </c>
      <c r="J1446">
        <v>15.242269408788282</v>
      </c>
      <c r="K1446">
        <v>13.289155796419118</v>
      </c>
      <c r="L1446">
        <v>12.716550129536914</v>
      </c>
      <c r="M1446">
        <v>14.220073662674087</v>
      </c>
      <c r="N1446">
        <v>13.213330255724113</v>
      </c>
      <c r="O1446">
        <v>14.184718386226123</v>
      </c>
      <c r="P1446">
        <v>13.375445751482999</v>
      </c>
      <c r="Q1446">
        <v>12.35898959873033</v>
      </c>
      <c r="R1446">
        <v>12.852457174488269</v>
      </c>
      <c r="S1446">
        <v>11.819066508016276</v>
      </c>
      <c r="T1446">
        <v>12.059761875566862</v>
      </c>
    </row>
    <row r="1447" spans="1:20" x14ac:dyDescent="0.25">
      <c r="A1447" s="6" t="s">
        <v>1465</v>
      </c>
      <c r="B1447">
        <v>0</v>
      </c>
      <c r="C1447">
        <v>10.965772743147927</v>
      </c>
      <c r="D1447">
        <v>11.895004794874385</v>
      </c>
      <c r="E1447">
        <v>12.250323128598616</v>
      </c>
      <c r="F1447">
        <v>0</v>
      </c>
      <c r="G1447">
        <v>10.091412224040662</v>
      </c>
      <c r="H1447">
        <v>9.8536993882002566</v>
      </c>
      <c r="I1447">
        <v>11.002724532611607</v>
      </c>
      <c r="J1447">
        <v>0</v>
      </c>
      <c r="K1447">
        <v>11.796238922260793</v>
      </c>
      <c r="L1447">
        <v>11.526635652401721</v>
      </c>
      <c r="M1447">
        <v>12.058136761296586</v>
      </c>
      <c r="N1447">
        <v>10.823608755868992</v>
      </c>
      <c r="O1447">
        <v>0</v>
      </c>
      <c r="P1447">
        <v>11.366599815477779</v>
      </c>
      <c r="Q1447">
        <v>10.459030028236704</v>
      </c>
      <c r="R1447">
        <v>0</v>
      </c>
      <c r="S1447">
        <v>9.387181716416034</v>
      </c>
      <c r="T1447">
        <v>0</v>
      </c>
    </row>
    <row r="1448" spans="1:20" x14ac:dyDescent="0.25">
      <c r="A1448" s="5" t="s">
        <v>1466</v>
      </c>
      <c r="B1448">
        <v>0</v>
      </c>
      <c r="C1448">
        <v>0</v>
      </c>
      <c r="D1448">
        <v>0</v>
      </c>
      <c r="E1448">
        <v>0</v>
      </c>
      <c r="F1448">
        <v>15.624140044131927</v>
      </c>
      <c r="G1448">
        <v>13.816785122074323</v>
      </c>
      <c r="H1448">
        <v>15.203648114760977</v>
      </c>
      <c r="I1448">
        <v>15.010322680738586</v>
      </c>
      <c r="J1448">
        <v>15.609640474436812</v>
      </c>
      <c r="K1448">
        <v>14.627787821147072</v>
      </c>
      <c r="L1448">
        <v>15.352629856230788</v>
      </c>
      <c r="M1448">
        <v>15.401747622795478</v>
      </c>
      <c r="N1448">
        <v>16.073587574196605</v>
      </c>
      <c r="O1448">
        <v>0</v>
      </c>
      <c r="P1448">
        <v>14.279082074406009</v>
      </c>
      <c r="Q1448">
        <v>13.334633426936943</v>
      </c>
      <c r="R1448">
        <v>14.119070343990613</v>
      </c>
      <c r="S1448">
        <v>12.691588235834274</v>
      </c>
      <c r="T1448">
        <v>12.957842507231792</v>
      </c>
    </row>
    <row r="1449" spans="1:20" x14ac:dyDescent="0.25">
      <c r="A1449" s="6" t="s">
        <v>1467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14.475419534676179</v>
      </c>
      <c r="H1449">
        <v>0</v>
      </c>
      <c r="I1449">
        <v>0</v>
      </c>
      <c r="J1449">
        <v>0</v>
      </c>
      <c r="K1449">
        <v>16.334633426936943</v>
      </c>
      <c r="L1449">
        <v>0</v>
      </c>
      <c r="M1449">
        <v>0</v>
      </c>
      <c r="N1449">
        <v>0</v>
      </c>
      <c r="O1449">
        <v>0</v>
      </c>
      <c r="P1449">
        <v>15.305129432626858</v>
      </c>
      <c r="Q1449">
        <v>13.874118297140276</v>
      </c>
      <c r="R1449">
        <v>14.7066022043239</v>
      </c>
      <c r="S1449">
        <v>13.242535045701121</v>
      </c>
      <c r="T1449">
        <v>13.655444164049936</v>
      </c>
    </row>
    <row r="1450" spans="1:20" x14ac:dyDescent="0.25">
      <c r="A1450" s="5" t="s">
        <v>1468</v>
      </c>
      <c r="B1450">
        <v>14.522177633186471</v>
      </c>
      <c r="C1450">
        <v>13.913646661326911</v>
      </c>
      <c r="D1450">
        <v>14.927067177089235</v>
      </c>
      <c r="E1450">
        <v>14.423773929125478</v>
      </c>
      <c r="F1450">
        <v>0</v>
      </c>
      <c r="G1450">
        <v>14.430129424165303</v>
      </c>
      <c r="H1450">
        <v>14.361712960993227</v>
      </c>
      <c r="I1450">
        <v>13.058235200977013</v>
      </c>
      <c r="J1450">
        <v>13.237273371480985</v>
      </c>
      <c r="K1450">
        <v>15.034328143749375</v>
      </c>
      <c r="L1450">
        <v>14.420606650046794</v>
      </c>
      <c r="M1450">
        <v>14.373913414598753</v>
      </c>
      <c r="N1450">
        <v>14.046482344034004</v>
      </c>
      <c r="O1450">
        <v>13.724066110065387</v>
      </c>
      <c r="P1450">
        <v>13.714337853103505</v>
      </c>
      <c r="Q1450">
        <v>13.991401818841355</v>
      </c>
      <c r="R1450">
        <v>13.989054063984934</v>
      </c>
      <c r="S1450">
        <v>14.392409758216143</v>
      </c>
      <c r="T1450">
        <v>14.126792191368347</v>
      </c>
    </row>
    <row r="1451" spans="1:20" x14ac:dyDescent="0.25">
      <c r="A1451" s="6" t="s">
        <v>1469</v>
      </c>
      <c r="B1451">
        <v>13.349614818475358</v>
      </c>
      <c r="C1451">
        <v>13.062918839707446</v>
      </c>
      <c r="D1451">
        <v>14.512029677810389</v>
      </c>
      <c r="E1451">
        <v>0</v>
      </c>
      <c r="F1451">
        <v>14.190101582923029</v>
      </c>
      <c r="G1451">
        <v>13.193206040867958</v>
      </c>
      <c r="H1451">
        <v>13.290600658874276</v>
      </c>
      <c r="I1451">
        <v>13.640628166920497</v>
      </c>
      <c r="J1451">
        <v>0</v>
      </c>
      <c r="K1451">
        <v>13.480357457491845</v>
      </c>
      <c r="L1451">
        <v>13.422189420409488</v>
      </c>
      <c r="M1451">
        <v>0</v>
      </c>
      <c r="N1451">
        <v>0</v>
      </c>
      <c r="O1451">
        <v>14.053824319375174</v>
      </c>
      <c r="P1451">
        <v>13.575777022570529</v>
      </c>
      <c r="Q1451">
        <v>13.044116409981079</v>
      </c>
      <c r="R1451">
        <v>12.361523145185982</v>
      </c>
      <c r="S1451">
        <v>12.736329255943442</v>
      </c>
      <c r="T1451">
        <v>12.744949165379822</v>
      </c>
    </row>
    <row r="1452" spans="1:20" x14ac:dyDescent="0.25">
      <c r="A1452" s="5" t="s">
        <v>1470</v>
      </c>
      <c r="B1452">
        <v>11.929890158826085</v>
      </c>
      <c r="C1452">
        <v>11.70468438659295</v>
      </c>
      <c r="D1452">
        <v>12.581027122701402</v>
      </c>
      <c r="E1452">
        <v>12.926539184411268</v>
      </c>
      <c r="F1452">
        <v>12.526418594737772</v>
      </c>
      <c r="G1452">
        <v>11.785468352318384</v>
      </c>
      <c r="H1452">
        <v>11.862596870333281</v>
      </c>
      <c r="I1452">
        <v>0</v>
      </c>
      <c r="J1452">
        <v>0</v>
      </c>
      <c r="K1452">
        <v>13.004312086133215</v>
      </c>
      <c r="L1452">
        <v>12.800102552314796</v>
      </c>
      <c r="M1452">
        <v>0</v>
      </c>
      <c r="N1452">
        <v>13.733860411368322</v>
      </c>
      <c r="O1452">
        <v>13.741744010444156</v>
      </c>
      <c r="P1452">
        <v>12.264570601808863</v>
      </c>
      <c r="Q1452">
        <v>11.699593831300776</v>
      </c>
      <c r="R1452">
        <v>11.682934118714224</v>
      </c>
      <c r="S1452">
        <v>12.287806157774932</v>
      </c>
      <c r="T1452">
        <v>12.257574089331452</v>
      </c>
    </row>
    <row r="1453" spans="1:20" x14ac:dyDescent="0.25">
      <c r="A1453" s="6" t="s">
        <v>1471</v>
      </c>
      <c r="B1453">
        <v>12.850005242623379</v>
      </c>
      <c r="C1453">
        <v>11.663602124399937</v>
      </c>
      <c r="D1453">
        <v>12.436585017559622</v>
      </c>
      <c r="E1453">
        <v>0</v>
      </c>
      <c r="F1453">
        <v>0</v>
      </c>
      <c r="G1453">
        <v>11.151540684411803</v>
      </c>
      <c r="H1453">
        <v>11.914687870190281</v>
      </c>
      <c r="I1453">
        <v>0</v>
      </c>
      <c r="J1453">
        <v>12.827871618158056</v>
      </c>
      <c r="K1453">
        <v>11.606933454079474</v>
      </c>
      <c r="L1453">
        <v>11.810247457194519</v>
      </c>
      <c r="M1453">
        <v>0</v>
      </c>
      <c r="N1453">
        <v>0</v>
      </c>
      <c r="O1453">
        <v>0</v>
      </c>
      <c r="P1453">
        <v>12.320086314665893</v>
      </c>
      <c r="Q1453">
        <v>11.98110598755583</v>
      </c>
      <c r="R1453">
        <v>11.474651561516934</v>
      </c>
      <c r="S1453">
        <v>0</v>
      </c>
      <c r="T1453">
        <v>11.664262189992172</v>
      </c>
    </row>
    <row r="1454" spans="1:20" x14ac:dyDescent="0.25">
      <c r="A1454" s="5" t="s">
        <v>1472</v>
      </c>
      <c r="B1454">
        <v>0</v>
      </c>
      <c r="C1454">
        <v>13.666656876249709</v>
      </c>
      <c r="D1454">
        <v>0</v>
      </c>
      <c r="E1454">
        <v>0</v>
      </c>
      <c r="F1454">
        <v>14.319806009259304</v>
      </c>
      <c r="G1454">
        <v>0</v>
      </c>
      <c r="H1454">
        <v>13.093020127798646</v>
      </c>
      <c r="I1454">
        <v>13.7085322314223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13.62050146706858</v>
      </c>
      <c r="Q1454">
        <v>12.886464206809286</v>
      </c>
      <c r="R1454">
        <v>12.481206836557705</v>
      </c>
      <c r="S1454">
        <v>13.174411943716089</v>
      </c>
      <c r="T1454">
        <v>12.439531140404718</v>
      </c>
    </row>
    <row r="1455" spans="1:20" x14ac:dyDescent="0.25">
      <c r="A1455" s="6" t="s">
        <v>1473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12.314262739008552</v>
      </c>
      <c r="R1455">
        <v>12.770749199111156</v>
      </c>
      <c r="S1455">
        <v>12.633432665516294</v>
      </c>
      <c r="T1455">
        <v>11.683460730270594</v>
      </c>
    </row>
    <row r="1456" spans="1:20" x14ac:dyDescent="0.25">
      <c r="A1456" s="5" t="s">
        <v>1474</v>
      </c>
      <c r="B1456">
        <v>13.293494732143458</v>
      </c>
      <c r="C1456">
        <v>12.915127965061432</v>
      </c>
      <c r="D1456">
        <v>13.718221287590733</v>
      </c>
      <c r="E1456">
        <v>13.662909614296503</v>
      </c>
      <c r="F1456">
        <v>12.984872794606622</v>
      </c>
      <c r="G1456">
        <v>12.700356990608608</v>
      </c>
      <c r="H1456">
        <v>12.049573655674616</v>
      </c>
      <c r="I1456">
        <v>12.524819333583483</v>
      </c>
      <c r="J1456">
        <v>13.49694034168745</v>
      </c>
      <c r="K1456">
        <v>12.40763030712038</v>
      </c>
      <c r="L1456">
        <v>13.078396271437283</v>
      </c>
      <c r="M1456">
        <v>13.913646661326911</v>
      </c>
      <c r="N1456">
        <v>14.346606068603018</v>
      </c>
      <c r="O1456">
        <v>13.666656876249709</v>
      </c>
      <c r="P1456">
        <v>12.148996190223546</v>
      </c>
      <c r="Q1456">
        <v>11.063900632490668</v>
      </c>
      <c r="R1456">
        <v>11.355492429753639</v>
      </c>
      <c r="S1456">
        <v>11.822526716895666</v>
      </c>
      <c r="T1456">
        <v>10.783297919549021</v>
      </c>
    </row>
    <row r="1457" spans="1:20" x14ac:dyDescent="0.25">
      <c r="A1457" s="6" t="s">
        <v>1475</v>
      </c>
      <c r="B1457">
        <v>14.661039626943458</v>
      </c>
      <c r="C1457">
        <v>14.176681067160706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14.222829527964596</v>
      </c>
      <c r="J1457">
        <v>0</v>
      </c>
      <c r="K1457">
        <v>0</v>
      </c>
      <c r="L1457">
        <v>0</v>
      </c>
      <c r="M1457">
        <v>0</v>
      </c>
      <c r="N1457">
        <v>14.67606783617579</v>
      </c>
      <c r="O1457">
        <v>0</v>
      </c>
      <c r="P1457">
        <v>0</v>
      </c>
      <c r="Q1457">
        <v>12.989276936530629</v>
      </c>
      <c r="R1457">
        <v>12.790697907862901</v>
      </c>
      <c r="S1457">
        <v>13.664782028629272</v>
      </c>
      <c r="T1457">
        <v>13.157071395382804</v>
      </c>
    </row>
    <row r="1458" spans="1:20" x14ac:dyDescent="0.25">
      <c r="A1458" s="5" t="s">
        <v>1476</v>
      </c>
      <c r="B1458">
        <v>13.187905504822959</v>
      </c>
      <c r="C1458">
        <v>13.330169178792346</v>
      </c>
      <c r="D1458">
        <v>14.131963146871506</v>
      </c>
      <c r="E1458">
        <v>14.198214228710349</v>
      </c>
      <c r="F1458">
        <v>13.651725875803827</v>
      </c>
      <c r="G1458">
        <v>12.608081403144958</v>
      </c>
      <c r="H1458">
        <v>12.363787376634043</v>
      </c>
      <c r="I1458">
        <v>13.137412671447768</v>
      </c>
      <c r="J1458">
        <v>13.968094445349287</v>
      </c>
      <c r="K1458">
        <v>13.168037483462653</v>
      </c>
      <c r="L1458">
        <v>13.636947820432548</v>
      </c>
      <c r="M1458">
        <v>14.346606068603018</v>
      </c>
      <c r="N1458">
        <v>14.695075950942874</v>
      </c>
      <c r="O1458">
        <v>14.168688276407176</v>
      </c>
      <c r="P1458">
        <v>13.066973822140058</v>
      </c>
      <c r="Q1458">
        <v>11.945032484567891</v>
      </c>
      <c r="R1458">
        <v>12.197360254179969</v>
      </c>
      <c r="S1458">
        <v>12.151895171068762</v>
      </c>
      <c r="T1458">
        <v>11.947885174988816</v>
      </c>
    </row>
    <row r="1459" spans="1:20" x14ac:dyDescent="0.25">
      <c r="A1459" s="6" t="s">
        <v>1477</v>
      </c>
      <c r="B1459">
        <v>8.5879136933297335</v>
      </c>
      <c r="C1459">
        <v>9.0584613300529462</v>
      </c>
      <c r="D1459">
        <v>9.5638644343954535</v>
      </c>
      <c r="E1459">
        <v>8.4122699348288901</v>
      </c>
      <c r="F1459">
        <v>8.6969253496612815</v>
      </c>
      <c r="G1459">
        <v>8.3791093598240547</v>
      </c>
      <c r="H1459">
        <v>7.9766903395051747</v>
      </c>
      <c r="I1459">
        <v>7.7172175711442552</v>
      </c>
      <c r="J1459">
        <v>7.829500681734773</v>
      </c>
      <c r="K1459">
        <v>9.6318854558058327</v>
      </c>
      <c r="L1459">
        <v>9.5529734993265443</v>
      </c>
      <c r="M1459">
        <v>8.6239783875517482</v>
      </c>
      <c r="N1459">
        <v>8.4138593255682039</v>
      </c>
      <c r="O1459">
        <v>8.24289556875366</v>
      </c>
      <c r="P1459">
        <v>9.1308797517763995</v>
      </c>
      <c r="Q1459">
        <v>9.6359798395717497</v>
      </c>
      <c r="R1459">
        <v>9.5513250613006573</v>
      </c>
      <c r="S1459">
        <v>9.3896704642378541</v>
      </c>
      <c r="T1459">
        <v>9.3133702991816172</v>
      </c>
    </row>
    <row r="1460" spans="1:20" x14ac:dyDescent="0.25">
      <c r="A1460" s="5" t="s">
        <v>1478</v>
      </c>
      <c r="B1460">
        <v>14.044043298582588</v>
      </c>
      <c r="C1460">
        <v>14.166033822961197</v>
      </c>
      <c r="D1460">
        <v>0</v>
      </c>
      <c r="E1460">
        <v>0</v>
      </c>
      <c r="F1460">
        <v>14.749670926215785</v>
      </c>
      <c r="G1460">
        <v>13.904768509980459</v>
      </c>
      <c r="H1460">
        <v>13.771697232545785</v>
      </c>
      <c r="I1460">
        <v>14.245068042140955</v>
      </c>
      <c r="J1460">
        <v>14.818868436574812</v>
      </c>
      <c r="K1460">
        <v>14.38005255169616</v>
      </c>
      <c r="L1460">
        <v>14.560009706712211</v>
      </c>
      <c r="M1460">
        <v>0</v>
      </c>
      <c r="N1460">
        <v>15.27621674071162</v>
      </c>
      <c r="O1460">
        <v>14.900349838713455</v>
      </c>
      <c r="P1460">
        <v>14.325718702129196</v>
      </c>
      <c r="Q1460">
        <v>13.121794010789467</v>
      </c>
      <c r="R1460">
        <v>13.171374241092908</v>
      </c>
      <c r="S1460">
        <v>14.150208855799516</v>
      </c>
      <c r="T1460">
        <v>13.523875920658497</v>
      </c>
    </row>
    <row r="1461" spans="1:20" x14ac:dyDescent="0.25">
      <c r="A1461" s="6" t="s">
        <v>1479</v>
      </c>
      <c r="B1461">
        <v>13.348109659193405</v>
      </c>
      <c r="C1461">
        <v>12.705975501039971</v>
      </c>
      <c r="D1461">
        <v>13.239336675010472</v>
      </c>
      <c r="E1461">
        <v>13.428537923683015</v>
      </c>
      <c r="F1461">
        <v>13.299300353824661</v>
      </c>
      <c r="G1461">
        <v>12.920173568416063</v>
      </c>
      <c r="H1461">
        <v>12.722553927672452</v>
      </c>
      <c r="I1461">
        <v>13.236618750066105</v>
      </c>
      <c r="J1461">
        <v>0</v>
      </c>
      <c r="K1461">
        <v>12.803584562558312</v>
      </c>
      <c r="L1461">
        <v>12.665072470501141</v>
      </c>
      <c r="M1461">
        <v>13.913646661326911</v>
      </c>
      <c r="N1461">
        <v>13.59528518145974</v>
      </c>
      <c r="O1461">
        <v>0</v>
      </c>
      <c r="P1461">
        <v>12.991742560674719</v>
      </c>
      <c r="Q1461">
        <v>11.924569343422652</v>
      </c>
      <c r="R1461">
        <v>12.117050189018517</v>
      </c>
      <c r="S1461">
        <v>11.693498268272783</v>
      </c>
      <c r="T1461">
        <v>11.424749266928021</v>
      </c>
    </row>
    <row r="1462" spans="1:20" x14ac:dyDescent="0.25">
      <c r="A1462" s="5" t="s">
        <v>1480</v>
      </c>
      <c r="B1462">
        <v>12.292307459835575</v>
      </c>
      <c r="C1462">
        <v>12.254828672301683</v>
      </c>
      <c r="D1462">
        <v>13.367800290872143</v>
      </c>
      <c r="E1462">
        <v>13.127385908974093</v>
      </c>
      <c r="F1462">
        <v>12.694358608569152</v>
      </c>
      <c r="G1462">
        <v>12.526188804565329</v>
      </c>
      <c r="H1462">
        <v>11.657204394619887</v>
      </c>
      <c r="I1462">
        <v>12.148386964745825</v>
      </c>
      <c r="J1462">
        <v>13.40800661326716</v>
      </c>
      <c r="K1462">
        <v>12.334767568042441</v>
      </c>
      <c r="L1462">
        <v>12.253545975919925</v>
      </c>
      <c r="M1462">
        <v>13.339111532056094</v>
      </c>
      <c r="N1462">
        <v>13.972725894080934</v>
      </c>
      <c r="O1462">
        <v>13.041194840140035</v>
      </c>
      <c r="P1462">
        <v>12.111504516399849</v>
      </c>
      <c r="Q1462">
        <v>11.042664015441391</v>
      </c>
      <c r="R1462">
        <v>11.278874146268334</v>
      </c>
      <c r="S1462">
        <v>11.774479371332903</v>
      </c>
      <c r="T1462">
        <v>11.294135830947884</v>
      </c>
    </row>
    <row r="1463" spans="1:20" x14ac:dyDescent="0.25">
      <c r="A1463" s="6" t="s">
        <v>1481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14.878457232864612</v>
      </c>
      <c r="L1463">
        <v>14.003198246305205</v>
      </c>
      <c r="M1463">
        <v>14.452596764291233</v>
      </c>
      <c r="N1463">
        <v>0</v>
      </c>
      <c r="O1463">
        <v>14.498609162048069</v>
      </c>
      <c r="P1463">
        <v>13.123312244525037</v>
      </c>
      <c r="Q1463">
        <v>12.18251036229146</v>
      </c>
      <c r="R1463">
        <v>12.269954342517581</v>
      </c>
      <c r="S1463">
        <v>12.090035670329629</v>
      </c>
      <c r="T1463">
        <v>12.094981644131932</v>
      </c>
    </row>
    <row r="1464" spans="1:20" x14ac:dyDescent="0.25">
      <c r="A1464" s="5" t="s">
        <v>1482</v>
      </c>
      <c r="B1464">
        <v>16.253496664211536</v>
      </c>
      <c r="C1464">
        <v>16.034328143749374</v>
      </c>
      <c r="D1464">
        <v>16.968094445349287</v>
      </c>
      <c r="E1464">
        <v>16.785891114128539</v>
      </c>
      <c r="F1464">
        <v>15.986710123516636</v>
      </c>
      <c r="G1464">
        <v>16.631444844755162</v>
      </c>
      <c r="H1464">
        <v>15.818868436574812</v>
      </c>
      <c r="I1464">
        <v>16.06367210533152</v>
      </c>
      <c r="J1464">
        <v>17.161796830074728</v>
      </c>
      <c r="K1464">
        <v>16.753650777128332</v>
      </c>
      <c r="L1464">
        <v>16.539251146545414</v>
      </c>
      <c r="M1464">
        <v>17.036265947990866</v>
      </c>
      <c r="N1464">
        <v>16.901232490953216</v>
      </c>
      <c r="O1464">
        <v>16.944247703394922</v>
      </c>
      <c r="P1464">
        <v>16.539251146545414</v>
      </c>
      <c r="Q1464">
        <v>15.426948176920622</v>
      </c>
      <c r="R1464">
        <v>15.214577674919234</v>
      </c>
      <c r="S1464">
        <v>15.83564414932564</v>
      </c>
      <c r="T1464">
        <v>15.166033822961197</v>
      </c>
    </row>
    <row r="1465" spans="1:20" x14ac:dyDescent="0.25">
      <c r="A1465" s="6" t="s">
        <v>1483</v>
      </c>
      <c r="B1465">
        <v>13.869792371737484</v>
      </c>
      <c r="C1465">
        <v>13.814704811633275</v>
      </c>
      <c r="D1465">
        <v>14.702749878828294</v>
      </c>
      <c r="E1465">
        <v>0</v>
      </c>
      <c r="F1465">
        <v>14.878457232864612</v>
      </c>
      <c r="G1465">
        <v>0</v>
      </c>
      <c r="H1465">
        <v>13.727975855116467</v>
      </c>
      <c r="I1465">
        <v>13.833536486363649</v>
      </c>
      <c r="J1465">
        <v>0</v>
      </c>
      <c r="K1465">
        <v>0</v>
      </c>
      <c r="L1465">
        <v>14.468861818654016</v>
      </c>
      <c r="M1465">
        <v>15.039177543410771</v>
      </c>
      <c r="N1465">
        <v>13.833536486363649</v>
      </c>
      <c r="O1465">
        <v>0</v>
      </c>
      <c r="P1465">
        <v>13.777763233245141</v>
      </c>
      <c r="Q1465">
        <v>12.826361941570829</v>
      </c>
      <c r="R1465">
        <v>13.581071322240041</v>
      </c>
      <c r="S1465">
        <v>13.227803390530765</v>
      </c>
      <c r="T1465">
        <v>13.346606068603018</v>
      </c>
    </row>
    <row r="1466" spans="1:20" x14ac:dyDescent="0.25">
      <c r="A1466" s="5" t="s">
        <v>1484</v>
      </c>
      <c r="B1466">
        <v>13.275401161589439</v>
      </c>
      <c r="C1466">
        <v>0</v>
      </c>
      <c r="D1466">
        <v>13.412718740616482</v>
      </c>
      <c r="E1466">
        <v>14.068621321303253</v>
      </c>
      <c r="F1466">
        <v>13.318331614607843</v>
      </c>
      <c r="G1466">
        <v>12.29525572059004</v>
      </c>
      <c r="H1466">
        <v>12.176934896949877</v>
      </c>
      <c r="I1466">
        <v>12.760842293192622</v>
      </c>
      <c r="J1466">
        <v>14.103749544706854</v>
      </c>
      <c r="K1466">
        <v>13.426948176920622</v>
      </c>
      <c r="L1466">
        <v>13.275100801255654</v>
      </c>
      <c r="M1466">
        <v>14.423773929125478</v>
      </c>
      <c r="N1466">
        <v>13.259808151802154</v>
      </c>
      <c r="O1466">
        <v>14.570502080529854</v>
      </c>
      <c r="P1466">
        <v>13.13206675526258</v>
      </c>
      <c r="Q1466">
        <v>12.200650153951445</v>
      </c>
      <c r="R1466">
        <v>11.670968886152219</v>
      </c>
      <c r="S1466">
        <v>11.571059433523732</v>
      </c>
      <c r="T1466">
        <v>11.773170946359727</v>
      </c>
    </row>
    <row r="1467" spans="1:20" x14ac:dyDescent="0.25">
      <c r="A1467" s="6" t="s">
        <v>1485</v>
      </c>
      <c r="B1467">
        <v>12.569098680573966</v>
      </c>
      <c r="C1467">
        <v>12.145168239098986</v>
      </c>
      <c r="D1467">
        <v>12.658957445034904</v>
      </c>
      <c r="E1467">
        <v>12.872137576434502</v>
      </c>
      <c r="F1467">
        <v>12.193037148553124</v>
      </c>
      <c r="G1467">
        <v>11.524436794526199</v>
      </c>
      <c r="H1467">
        <v>11.444520426675139</v>
      </c>
      <c r="I1467">
        <v>11.95007549322877</v>
      </c>
      <c r="J1467">
        <v>12.661581673787461</v>
      </c>
      <c r="K1467">
        <v>12.254292902156863</v>
      </c>
      <c r="L1467">
        <v>12.105643054023707</v>
      </c>
      <c r="M1467">
        <v>13.074147348960281</v>
      </c>
      <c r="N1467">
        <v>13.729934708154524</v>
      </c>
      <c r="O1467">
        <v>12.975697843201209</v>
      </c>
      <c r="P1467">
        <v>12.35088790330521</v>
      </c>
      <c r="Q1467">
        <v>11.33654984708166</v>
      </c>
      <c r="R1467">
        <v>11.21627232798828</v>
      </c>
      <c r="S1467">
        <v>11.259893057836955</v>
      </c>
      <c r="T1467">
        <v>11.358038771242475</v>
      </c>
    </row>
    <row r="1468" spans="1:20" x14ac:dyDescent="0.25">
      <c r="A1468" s="5" t="s">
        <v>1486</v>
      </c>
      <c r="B1468">
        <v>14.67606783617579</v>
      </c>
      <c r="C1468">
        <v>13.924821736883588</v>
      </c>
      <c r="D1468">
        <v>15.000831231761289</v>
      </c>
      <c r="E1468">
        <v>14.810553168362809</v>
      </c>
      <c r="F1468">
        <v>14.6989078125339</v>
      </c>
      <c r="G1468">
        <v>14.281953110260764</v>
      </c>
      <c r="H1468">
        <v>14.88280925740432</v>
      </c>
      <c r="I1468">
        <v>14.856891883029679</v>
      </c>
      <c r="J1468">
        <v>0</v>
      </c>
      <c r="K1468">
        <v>13.979701064997272</v>
      </c>
      <c r="L1468">
        <v>13.958875915319911</v>
      </c>
      <c r="M1468">
        <v>0</v>
      </c>
      <c r="N1468">
        <v>13.527278504879339</v>
      </c>
      <c r="O1468">
        <v>14.991401818841357</v>
      </c>
      <c r="P1468">
        <v>13.947434974783196</v>
      </c>
      <c r="Q1468">
        <v>13.450980299090315</v>
      </c>
      <c r="R1468">
        <v>12.894395034808579</v>
      </c>
      <c r="S1468">
        <v>13.517094732893247</v>
      </c>
      <c r="T1468">
        <v>13.638786820096328</v>
      </c>
    </row>
    <row r="1469" spans="1:20" x14ac:dyDescent="0.25">
      <c r="A1469" s="6" t="s">
        <v>1487</v>
      </c>
      <c r="B1469">
        <v>12.136860294425107</v>
      </c>
      <c r="C1469">
        <v>12.981951932590933</v>
      </c>
      <c r="D1469">
        <v>13.190762407674859</v>
      </c>
      <c r="E1469">
        <v>12.547846999168662</v>
      </c>
      <c r="F1469">
        <v>12.259171515768074</v>
      </c>
      <c r="G1469">
        <v>12.715181611004068</v>
      </c>
      <c r="H1469">
        <v>12.537354562751098</v>
      </c>
      <c r="I1469">
        <v>12.765033874201283</v>
      </c>
      <c r="J1469">
        <v>12.631920939433261</v>
      </c>
      <c r="K1469">
        <v>12.404365271212136</v>
      </c>
      <c r="L1469">
        <v>12.905587449678782</v>
      </c>
      <c r="M1469">
        <v>12.505261876422313</v>
      </c>
      <c r="N1469">
        <v>13.395515669083965</v>
      </c>
      <c r="O1469">
        <v>13.088325854041369</v>
      </c>
      <c r="P1469">
        <v>11.830464817404447</v>
      </c>
      <c r="Q1469">
        <v>11.511439911382565</v>
      </c>
      <c r="R1469">
        <v>11.742238168709269</v>
      </c>
      <c r="S1469">
        <v>11.14535776169863</v>
      </c>
      <c r="T1469">
        <v>11.442463216060458</v>
      </c>
    </row>
    <row r="1470" spans="1:20" x14ac:dyDescent="0.25">
      <c r="A1470" s="5" t="s">
        <v>1488</v>
      </c>
      <c r="B1470">
        <v>0</v>
      </c>
      <c r="C1470">
        <v>0</v>
      </c>
      <c r="D1470">
        <v>14.749670926215785</v>
      </c>
      <c r="E1470">
        <v>14.570502080529854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15.010322680738586</v>
      </c>
      <c r="L1470">
        <v>15.668534163490381</v>
      </c>
      <c r="M1470">
        <v>15.346606068603018</v>
      </c>
      <c r="N1470">
        <v>0</v>
      </c>
      <c r="O1470">
        <v>16.113945311812746</v>
      </c>
      <c r="P1470">
        <v>14.986710123516636</v>
      </c>
      <c r="Q1470">
        <v>0</v>
      </c>
      <c r="R1470">
        <v>14.549593090766873</v>
      </c>
      <c r="S1470">
        <v>13.783854846972021</v>
      </c>
      <c r="T1470">
        <v>14.302211949244565</v>
      </c>
    </row>
    <row r="1471" spans="1:20" x14ac:dyDescent="0.25">
      <c r="A1471" s="6" t="s">
        <v>1489</v>
      </c>
      <c r="B1471">
        <v>15.015091924886457</v>
      </c>
      <c r="C1471">
        <v>14.818868436574812</v>
      </c>
      <c r="D1471">
        <v>15.512029677810389</v>
      </c>
      <c r="E1471">
        <v>15.691254239990466</v>
      </c>
      <c r="F1471">
        <v>0</v>
      </c>
      <c r="G1471">
        <v>14.865479378866404</v>
      </c>
      <c r="H1471">
        <v>14.4397154729945</v>
      </c>
      <c r="I1471">
        <v>14.498609162048069</v>
      </c>
      <c r="J1471">
        <v>15.15546458125101</v>
      </c>
      <c r="K1471">
        <v>15.005569150767952</v>
      </c>
      <c r="L1471">
        <v>14.664782028629272</v>
      </c>
      <c r="M1471">
        <v>16.957039256840293</v>
      </c>
      <c r="N1471">
        <v>15.383131944628133</v>
      </c>
      <c r="O1471">
        <v>15.264811977439372</v>
      </c>
      <c r="P1471">
        <v>0</v>
      </c>
      <c r="Q1471">
        <v>14.865479378866404</v>
      </c>
      <c r="R1471">
        <v>15.024677973715658</v>
      </c>
      <c r="S1471">
        <v>15.4397154729945</v>
      </c>
      <c r="T1471">
        <v>14.638786820096328</v>
      </c>
    </row>
    <row r="1472" spans="1:20" x14ac:dyDescent="0.25">
      <c r="A1472" s="5" t="s">
        <v>1490</v>
      </c>
      <c r="B1472">
        <v>12.453130595514413</v>
      </c>
      <c r="C1472">
        <v>11.294335100470956</v>
      </c>
      <c r="D1472">
        <v>11.61799165411033</v>
      </c>
      <c r="E1472">
        <v>11.629094142709947</v>
      </c>
      <c r="F1472">
        <v>11.805731522734925</v>
      </c>
      <c r="G1472">
        <v>11.428931656592919</v>
      </c>
      <c r="H1472">
        <v>11.259348330932376</v>
      </c>
      <c r="I1472">
        <v>12.050307745791571</v>
      </c>
      <c r="J1472">
        <v>12.074085141037502</v>
      </c>
      <c r="K1472">
        <v>11.750267204397819</v>
      </c>
      <c r="L1472">
        <v>11.807654110322195</v>
      </c>
      <c r="M1472">
        <v>12.667858058639661</v>
      </c>
      <c r="N1472">
        <v>12.413899181190363</v>
      </c>
      <c r="O1472">
        <v>12.352290349754618</v>
      </c>
      <c r="P1472">
        <v>12.613721855596383</v>
      </c>
      <c r="Q1472">
        <v>12.796341544558048</v>
      </c>
      <c r="R1472">
        <v>12.546344632407235</v>
      </c>
      <c r="S1472">
        <v>12.946865302499036</v>
      </c>
      <c r="T1472">
        <v>13.354139741288424</v>
      </c>
    </row>
    <row r="1473" spans="1:20" x14ac:dyDescent="0.25">
      <c r="A1473" s="6" t="s">
        <v>1491</v>
      </c>
      <c r="B1473">
        <v>13.281680116113213</v>
      </c>
      <c r="C1473">
        <v>12.074265551403967</v>
      </c>
      <c r="D1473">
        <v>12.315159407240852</v>
      </c>
      <c r="E1473">
        <v>13.404873723782199</v>
      </c>
      <c r="F1473">
        <v>12.478347329427265</v>
      </c>
      <c r="G1473">
        <v>12.029796588225231</v>
      </c>
      <c r="H1473">
        <v>12.098558335581771</v>
      </c>
      <c r="I1473">
        <v>12.83609769931536</v>
      </c>
      <c r="J1473">
        <v>12.677692726973387</v>
      </c>
      <c r="K1473">
        <v>12.357891089339626</v>
      </c>
      <c r="L1473">
        <v>12.368440953098569</v>
      </c>
      <c r="M1473">
        <v>13.147561972664889</v>
      </c>
      <c r="N1473">
        <v>12.978117067957916</v>
      </c>
      <c r="O1473">
        <v>12.816566548474801</v>
      </c>
      <c r="P1473">
        <v>12.900228516250261</v>
      </c>
      <c r="Q1473">
        <v>0</v>
      </c>
      <c r="R1473">
        <v>12.885961784389751</v>
      </c>
      <c r="S1473">
        <v>12.257383364574194</v>
      </c>
      <c r="T1473">
        <v>12.918899339727014</v>
      </c>
    </row>
    <row r="1474" spans="1:20" x14ac:dyDescent="0.25">
      <c r="A1474" s="5" t="s">
        <v>1492</v>
      </c>
      <c r="B1474">
        <v>13.293494732143458</v>
      </c>
      <c r="C1474">
        <v>11.726694246450135</v>
      </c>
      <c r="D1474">
        <v>11.934022108929287</v>
      </c>
      <c r="E1474">
        <v>11.844519501423546</v>
      </c>
      <c r="F1474">
        <v>13.018751070320427</v>
      </c>
      <c r="G1474">
        <v>12.113504129464314</v>
      </c>
      <c r="H1474">
        <v>12.736693546768878</v>
      </c>
      <c r="I1474">
        <v>12.650909136868975</v>
      </c>
      <c r="J1474">
        <v>13.218945277792374</v>
      </c>
      <c r="K1474">
        <v>12.467488477245324</v>
      </c>
      <c r="L1474">
        <v>12.151074732613075</v>
      </c>
      <c r="M1474">
        <v>13.607838231802827</v>
      </c>
      <c r="N1474">
        <v>13.270545857790699</v>
      </c>
      <c r="O1474">
        <v>13.339111532056094</v>
      </c>
      <c r="P1474">
        <v>13.24972579317286</v>
      </c>
      <c r="Q1474">
        <v>13.346606068603018</v>
      </c>
      <c r="R1474">
        <v>13.225120900919533</v>
      </c>
      <c r="S1474">
        <v>12.397763857739413</v>
      </c>
      <c r="T1474">
        <v>14.293494732143458</v>
      </c>
    </row>
    <row r="1475" spans="1:20" x14ac:dyDescent="0.25">
      <c r="A1475" s="6" t="s">
        <v>1493</v>
      </c>
      <c r="B1475">
        <v>14.364753415313277</v>
      </c>
      <c r="C1475">
        <v>13.134737237190539</v>
      </c>
      <c r="D1475">
        <v>13.333143808796457</v>
      </c>
      <c r="E1475">
        <v>12.426050743881468</v>
      </c>
      <c r="F1475">
        <v>14.228357101933028</v>
      </c>
      <c r="G1475">
        <v>13.446141742153932</v>
      </c>
      <c r="H1475">
        <v>14.642471866904184</v>
      </c>
      <c r="I1475">
        <v>14.322759326648649</v>
      </c>
      <c r="J1475">
        <v>13.670413896708604</v>
      </c>
      <c r="K1475">
        <v>14.019876987451836</v>
      </c>
      <c r="L1475">
        <v>13.893747103889208</v>
      </c>
      <c r="M1475">
        <v>14.334633426936943</v>
      </c>
      <c r="N1475">
        <v>14.931568569324176</v>
      </c>
      <c r="O1475">
        <v>14.423773929125478</v>
      </c>
      <c r="P1475">
        <v>15.287712379549449</v>
      </c>
      <c r="Q1475">
        <v>14.887174449965721</v>
      </c>
      <c r="R1475">
        <v>15.376979717646538</v>
      </c>
      <c r="S1475">
        <v>15.048925519962333</v>
      </c>
      <c r="T1475">
        <v>15.498609162048069</v>
      </c>
    </row>
    <row r="1476" spans="1:20" x14ac:dyDescent="0.25">
      <c r="A1476" s="5" t="s">
        <v>1494</v>
      </c>
      <c r="B1476">
        <v>16.024677973715658</v>
      </c>
      <c r="C1476">
        <v>15.518787043985698</v>
      </c>
      <c r="D1476">
        <v>16.446141742153934</v>
      </c>
      <c r="E1476">
        <v>15.646166350461927</v>
      </c>
      <c r="F1476">
        <v>0</v>
      </c>
      <c r="G1476">
        <v>15.119070343990609</v>
      </c>
      <c r="H1476">
        <v>14.613251727989191</v>
      </c>
      <c r="I1476">
        <v>15.4397154729945</v>
      </c>
      <c r="J1476">
        <v>15.844105728073835</v>
      </c>
      <c r="K1476">
        <v>15.794065045574239</v>
      </c>
      <c r="L1476">
        <v>15.949715916034434</v>
      </c>
      <c r="M1476">
        <v>0</v>
      </c>
      <c r="N1476">
        <v>15.63144484475516</v>
      </c>
      <c r="O1476">
        <v>16.093625327433145</v>
      </c>
      <c r="P1476">
        <v>14.958875915319911</v>
      </c>
      <c r="Q1476">
        <v>14.710464843956299</v>
      </c>
      <c r="R1476">
        <v>14.657306908067127</v>
      </c>
      <c r="S1476">
        <v>12.934479436110403</v>
      </c>
      <c r="T1476">
        <v>14.505303814622076</v>
      </c>
    </row>
    <row r="1477" spans="1:20" x14ac:dyDescent="0.25">
      <c r="A1477" s="6" t="s">
        <v>1495</v>
      </c>
      <c r="B1477">
        <v>0</v>
      </c>
      <c r="C1477">
        <v>15.913646661326911</v>
      </c>
      <c r="D1477">
        <v>0</v>
      </c>
      <c r="E1477">
        <v>15.624140044131927</v>
      </c>
      <c r="F1477">
        <v>0</v>
      </c>
      <c r="G1477">
        <v>16.299300353824663</v>
      </c>
      <c r="H1477">
        <v>15.166033822961197</v>
      </c>
      <c r="I1477">
        <v>16.176681067160704</v>
      </c>
      <c r="J1477">
        <v>16.472136950686878</v>
      </c>
      <c r="K1477">
        <v>0</v>
      </c>
      <c r="L1477">
        <v>16.176681067160704</v>
      </c>
      <c r="M1477">
        <v>0</v>
      </c>
      <c r="N1477">
        <v>16.015091924886459</v>
      </c>
      <c r="O1477">
        <v>0</v>
      </c>
      <c r="P1477">
        <v>15.518787043985698</v>
      </c>
      <c r="Q1477">
        <v>14.844105728073835</v>
      </c>
      <c r="R1477">
        <v>15.253496664211537</v>
      </c>
      <c r="S1477">
        <v>13.798169443906975</v>
      </c>
      <c r="T1477">
        <v>14.726019658151142</v>
      </c>
    </row>
    <row r="1478" spans="1:20" x14ac:dyDescent="0.25">
      <c r="A1478" s="5" t="s">
        <v>1496</v>
      </c>
      <c r="B1478">
        <v>7.0910191823186484</v>
      </c>
      <c r="C1478">
        <v>7.2118796459758308</v>
      </c>
      <c r="D1478">
        <v>7.6011600283295575</v>
      </c>
      <c r="E1478">
        <v>7.1753913167674321</v>
      </c>
      <c r="F1478">
        <v>0</v>
      </c>
      <c r="G1478">
        <v>7.0716731542580069</v>
      </c>
      <c r="H1478">
        <v>6.7610380323147403</v>
      </c>
      <c r="I1478">
        <v>6.2897570446215649</v>
      </c>
      <c r="J1478">
        <v>6.4711213763110855</v>
      </c>
      <c r="K1478">
        <v>7.5374413992750959</v>
      </c>
      <c r="L1478">
        <v>7.3882503174472314</v>
      </c>
      <c r="M1478">
        <v>6.8739790234085234</v>
      </c>
      <c r="N1478">
        <v>6.0605585575929055</v>
      </c>
      <c r="O1478">
        <v>6.4825761469717404</v>
      </c>
      <c r="P1478">
        <v>7.6777683478477536</v>
      </c>
      <c r="Q1478">
        <v>0</v>
      </c>
      <c r="R1478">
        <v>7.8485194552975752</v>
      </c>
      <c r="S1478">
        <v>6.9468460799829472</v>
      </c>
      <c r="T1478">
        <v>7.2401087760927387</v>
      </c>
    </row>
    <row r="1479" spans="1:20" x14ac:dyDescent="0.25">
      <c r="A1479" s="6" t="s">
        <v>1497</v>
      </c>
      <c r="B1479">
        <v>11.225873983277845</v>
      </c>
      <c r="C1479">
        <v>11.980738593544876</v>
      </c>
      <c r="D1479">
        <v>0</v>
      </c>
      <c r="E1479">
        <v>0</v>
      </c>
      <c r="F1479">
        <v>11.104603857828453</v>
      </c>
      <c r="G1479">
        <v>0</v>
      </c>
      <c r="H1479">
        <v>11.953355775701466</v>
      </c>
      <c r="I1479">
        <v>13.057890691477743</v>
      </c>
      <c r="J1479">
        <v>10.865786253357312</v>
      </c>
      <c r="K1479">
        <v>10.362466776225578</v>
      </c>
      <c r="L1479">
        <v>11.694234305486647</v>
      </c>
      <c r="M1479">
        <v>11.029103006573747</v>
      </c>
      <c r="N1479">
        <v>11.335919459123454</v>
      </c>
      <c r="O1479">
        <v>12.193368196093585</v>
      </c>
      <c r="P1479">
        <v>9.6267084864579662</v>
      </c>
      <c r="Q1479">
        <v>9.5786908955290784</v>
      </c>
      <c r="R1479">
        <v>10.092977584250736</v>
      </c>
      <c r="S1479">
        <v>9.0074293320517853</v>
      </c>
      <c r="T1479">
        <v>9.5793849649755671</v>
      </c>
    </row>
    <row r="1480" spans="1:20" x14ac:dyDescent="0.25">
      <c r="A1480" s="5" t="s">
        <v>1498</v>
      </c>
      <c r="B1480">
        <v>9.8378697563396855</v>
      </c>
      <c r="C1480">
        <v>9.4308680788180332</v>
      </c>
      <c r="D1480">
        <v>10.327775341247898</v>
      </c>
      <c r="E1480">
        <v>9.8358458559888113</v>
      </c>
      <c r="F1480">
        <v>9.1770459615274014</v>
      </c>
      <c r="G1480">
        <v>9.8970735811934194</v>
      </c>
      <c r="H1480">
        <v>9.4146561549750256</v>
      </c>
      <c r="I1480">
        <v>9.5275638358316446</v>
      </c>
      <c r="J1480">
        <v>9.7799190076546427</v>
      </c>
      <c r="K1480">
        <v>9.7526547846546077</v>
      </c>
      <c r="L1480">
        <v>10.640757149254227</v>
      </c>
      <c r="M1480">
        <v>10.19967936212211</v>
      </c>
      <c r="N1480">
        <v>8.9771599424279795</v>
      </c>
      <c r="O1480">
        <v>9.5079935496193535</v>
      </c>
      <c r="P1480">
        <v>10.070995230058751</v>
      </c>
      <c r="Q1480">
        <v>9.1543954613199929</v>
      </c>
      <c r="R1480">
        <v>8.7247678619416806</v>
      </c>
      <c r="S1480">
        <v>9.386932498072742</v>
      </c>
      <c r="T1480">
        <v>9.9220534328486849</v>
      </c>
    </row>
    <row r="1481" spans="1:20" x14ac:dyDescent="0.25">
      <c r="A1481" s="6" t="s">
        <v>1499</v>
      </c>
      <c r="B1481">
        <v>12.882482399786891</v>
      </c>
      <c r="C1481">
        <v>12.144854601218265</v>
      </c>
      <c r="D1481">
        <v>11.887939718447743</v>
      </c>
      <c r="E1481">
        <v>12.112091974554353</v>
      </c>
      <c r="F1481">
        <v>12.0916341687696</v>
      </c>
      <c r="G1481">
        <v>13.07850858275577</v>
      </c>
      <c r="H1481">
        <v>12.079507290045001</v>
      </c>
      <c r="I1481">
        <v>12.339821841752277</v>
      </c>
      <c r="J1481">
        <v>12.47556742671369</v>
      </c>
      <c r="K1481">
        <v>12.359823508994518</v>
      </c>
      <c r="L1481">
        <v>12.848270088834179</v>
      </c>
      <c r="M1481">
        <v>12.413560689460645</v>
      </c>
      <c r="N1481">
        <v>12.465202476068422</v>
      </c>
      <c r="O1481">
        <v>12.16588796962232</v>
      </c>
      <c r="P1481">
        <v>12.598126945146408</v>
      </c>
      <c r="Q1481">
        <v>11.94741218357237</v>
      </c>
      <c r="R1481">
        <v>12.183979765025947</v>
      </c>
      <c r="S1481">
        <v>11.852627898790125</v>
      </c>
      <c r="T1481">
        <v>11.955348156138799</v>
      </c>
    </row>
    <row r="1482" spans="1:20" x14ac:dyDescent="0.25">
      <c r="A1482" s="5" t="s">
        <v>1500</v>
      </c>
      <c r="B1482">
        <v>10.135355328233173</v>
      </c>
      <c r="C1482">
        <v>10.244707413457441</v>
      </c>
      <c r="D1482">
        <v>9.4063306501515918</v>
      </c>
      <c r="E1482">
        <v>9.6247287637740655</v>
      </c>
      <c r="F1482">
        <v>10.830057681191549</v>
      </c>
      <c r="G1482">
        <v>11.131626470978805</v>
      </c>
      <c r="H1482">
        <v>11.501709944810896</v>
      </c>
      <c r="I1482">
        <v>12.347169731450936</v>
      </c>
      <c r="J1482">
        <v>12.219653855450829</v>
      </c>
      <c r="K1482">
        <v>10.056298404290464</v>
      </c>
      <c r="L1482">
        <v>10.574324489799455</v>
      </c>
      <c r="M1482">
        <v>8.0409470832785335</v>
      </c>
      <c r="N1482">
        <v>8.529000930159043</v>
      </c>
      <c r="O1482">
        <v>8.8787274919052273</v>
      </c>
      <c r="P1482">
        <v>11.323302656844056</v>
      </c>
      <c r="Q1482">
        <v>10.286628961807835</v>
      </c>
      <c r="R1482">
        <v>11.354638350334211</v>
      </c>
      <c r="S1482">
        <v>8.9840258661766423</v>
      </c>
      <c r="T1482">
        <v>10.070182296387941</v>
      </c>
    </row>
    <row r="1483" spans="1:20" x14ac:dyDescent="0.25">
      <c r="A1483" s="6" t="s">
        <v>1501</v>
      </c>
      <c r="B1483">
        <v>12.159372781359409</v>
      </c>
      <c r="C1483">
        <v>0</v>
      </c>
      <c r="D1483">
        <v>11.280147279747966</v>
      </c>
      <c r="E1483">
        <v>11.829204381328392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11.599156006714201</v>
      </c>
      <c r="L1483">
        <v>12.074110023884732</v>
      </c>
      <c r="M1483">
        <v>10.169267928485135</v>
      </c>
      <c r="N1483">
        <v>10.353854629474366</v>
      </c>
      <c r="O1483">
        <v>11.015587637890023</v>
      </c>
      <c r="P1483">
        <v>0</v>
      </c>
      <c r="Q1483">
        <v>0</v>
      </c>
      <c r="R1483">
        <v>0</v>
      </c>
      <c r="S1483">
        <v>11.14900601854942</v>
      </c>
      <c r="T1483">
        <v>11.392425271149447</v>
      </c>
    </row>
    <row r="1484" spans="1:20" x14ac:dyDescent="0.25">
      <c r="A1484" s="5" t="s">
        <v>1502</v>
      </c>
      <c r="B1484">
        <v>11.020098681047969</v>
      </c>
      <c r="C1484">
        <v>11.962855702771542</v>
      </c>
      <c r="D1484">
        <v>10.835549238300251</v>
      </c>
      <c r="E1484">
        <v>11.592747521417552</v>
      </c>
      <c r="F1484">
        <v>11.356290279137342</v>
      </c>
      <c r="G1484">
        <v>11.662568160744552</v>
      </c>
      <c r="H1484">
        <v>12.04717212201701</v>
      </c>
      <c r="I1484">
        <v>0</v>
      </c>
      <c r="J1484">
        <v>12.682872456059647</v>
      </c>
      <c r="K1484">
        <v>11.162987227150561</v>
      </c>
      <c r="L1484">
        <v>11.796849632455427</v>
      </c>
      <c r="M1484">
        <v>9.5135578728646415</v>
      </c>
      <c r="N1484">
        <v>9.8038295467332865</v>
      </c>
      <c r="O1484">
        <v>10.418214030304879</v>
      </c>
      <c r="P1484">
        <v>11.979147633080677</v>
      </c>
      <c r="Q1484">
        <v>12.15545141803514</v>
      </c>
      <c r="R1484">
        <v>12.554054345630453</v>
      </c>
      <c r="S1484">
        <v>10.496675593914006</v>
      </c>
      <c r="T1484">
        <v>10.761528357253265</v>
      </c>
    </row>
    <row r="1485" spans="1:20" x14ac:dyDescent="0.25">
      <c r="A1485" s="6" t="s">
        <v>1503</v>
      </c>
      <c r="B1485">
        <v>6.8353353818272602</v>
      </c>
      <c r="C1485">
        <v>5.94557849335754</v>
      </c>
      <c r="D1485">
        <v>6.823278373490103</v>
      </c>
      <c r="E1485">
        <v>7.1679569848416227</v>
      </c>
      <c r="F1485">
        <v>5.6126340002295816</v>
      </c>
      <c r="G1485">
        <v>5.2593567301918203</v>
      </c>
      <c r="H1485">
        <v>5.8932756665458852</v>
      </c>
      <c r="I1485">
        <v>5.0350793016720958</v>
      </c>
      <c r="J1485">
        <v>5.100835409853218</v>
      </c>
      <c r="K1485">
        <v>6.1700846531381295</v>
      </c>
      <c r="L1485">
        <v>5.3394508715965561</v>
      </c>
      <c r="M1485">
        <v>5.3178634640078561</v>
      </c>
      <c r="N1485">
        <v>4.5547858261787857</v>
      </c>
      <c r="O1485">
        <v>6.0541327728828893</v>
      </c>
      <c r="P1485">
        <v>4.5358418263139768</v>
      </c>
      <c r="Q1485">
        <v>4.4582029571454775</v>
      </c>
      <c r="R1485">
        <v>5.3045308675768448</v>
      </c>
      <c r="S1485">
        <v>4.39227133085119</v>
      </c>
      <c r="T1485">
        <v>5.1855041633271179</v>
      </c>
    </row>
    <row r="1486" spans="1:20" x14ac:dyDescent="0.25">
      <c r="A1486" s="5" t="s">
        <v>1504</v>
      </c>
      <c r="B1486">
        <v>0</v>
      </c>
      <c r="C1486">
        <v>16.220073662674086</v>
      </c>
      <c r="D1486">
        <v>16.688204143630514</v>
      </c>
      <c r="E1486">
        <v>16.446141742153934</v>
      </c>
      <c r="F1486">
        <v>0</v>
      </c>
      <c r="G1486">
        <v>15.785891114128539</v>
      </c>
      <c r="H1486">
        <v>0</v>
      </c>
      <c r="I1486">
        <v>0</v>
      </c>
      <c r="J1486">
        <v>0</v>
      </c>
      <c r="K1486">
        <v>16.06367210533152</v>
      </c>
      <c r="L1486">
        <v>15.588160747026361</v>
      </c>
      <c r="M1486">
        <v>0</v>
      </c>
      <c r="N1486">
        <v>0</v>
      </c>
      <c r="O1486">
        <v>0</v>
      </c>
      <c r="P1486">
        <v>0</v>
      </c>
      <c r="Q1486">
        <v>16.005569150767954</v>
      </c>
      <c r="R1486">
        <v>0</v>
      </c>
      <c r="S1486">
        <v>14.588160747026361</v>
      </c>
      <c r="T1486">
        <v>15.922579786096922</v>
      </c>
    </row>
    <row r="1487" spans="1:20" x14ac:dyDescent="0.25">
      <c r="A1487" s="6" t="s">
        <v>1505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15.12937535238235</v>
      </c>
      <c r="Q1487">
        <v>13.726019658151142</v>
      </c>
      <c r="R1487">
        <v>14.13715270297407</v>
      </c>
      <c r="S1487">
        <v>14.909200756295721</v>
      </c>
      <c r="T1487">
        <v>13.609640474436812</v>
      </c>
    </row>
    <row r="1488" spans="1:20" x14ac:dyDescent="0.25">
      <c r="A1488" s="5" t="s">
        <v>1506</v>
      </c>
      <c r="B1488">
        <v>0</v>
      </c>
      <c r="C1488">
        <v>0</v>
      </c>
      <c r="D1488">
        <v>0</v>
      </c>
      <c r="E1488">
        <v>13.674180726631523</v>
      </c>
      <c r="F1488">
        <v>0</v>
      </c>
      <c r="G1488">
        <v>13.674180726631523</v>
      </c>
      <c r="H1488">
        <v>13.825136491507246</v>
      </c>
      <c r="I1488">
        <v>0</v>
      </c>
      <c r="J1488">
        <v>0</v>
      </c>
      <c r="K1488">
        <v>13.779790914592123</v>
      </c>
      <c r="L1488">
        <v>13.59886063568357</v>
      </c>
      <c r="M1488">
        <v>0</v>
      </c>
      <c r="N1488">
        <v>14.560009706712211</v>
      </c>
      <c r="O1488">
        <v>0</v>
      </c>
      <c r="P1488">
        <v>14.031909542946732</v>
      </c>
      <c r="Q1488">
        <v>13.718221287590733</v>
      </c>
      <c r="R1488">
        <v>13.975047205991057</v>
      </c>
      <c r="S1488">
        <v>13.627787821147072</v>
      </c>
      <c r="T1488">
        <v>13.414292876114592</v>
      </c>
    </row>
    <row r="1489" spans="1:20" x14ac:dyDescent="0.25">
      <c r="A1489" s="6" t="s">
        <v>1507</v>
      </c>
      <c r="B1489">
        <v>13.073028016544821</v>
      </c>
      <c r="C1489">
        <v>12.488127678179744</v>
      </c>
      <c r="D1489">
        <v>12.551072871311582</v>
      </c>
      <c r="E1489">
        <v>13.085275850556943</v>
      </c>
      <c r="F1489">
        <v>12.51962547306614</v>
      </c>
      <c r="G1489">
        <v>12.839953353213776</v>
      </c>
      <c r="H1489">
        <v>13.137503671481914</v>
      </c>
      <c r="I1489">
        <v>12.495148510174293</v>
      </c>
      <c r="J1489">
        <v>12.523875920658497</v>
      </c>
      <c r="K1489">
        <v>12.882438824365813</v>
      </c>
      <c r="L1489">
        <v>12.75187838757787</v>
      </c>
      <c r="M1489">
        <v>13.313917449896843</v>
      </c>
      <c r="N1489">
        <v>12.5804879973364</v>
      </c>
      <c r="O1489">
        <v>12.872894908041886</v>
      </c>
      <c r="P1489">
        <v>13.050344460104382</v>
      </c>
      <c r="Q1489">
        <v>13.325718702129196</v>
      </c>
      <c r="R1489">
        <v>13.414292876114592</v>
      </c>
      <c r="S1489">
        <v>13.417446309153467</v>
      </c>
      <c r="T1489">
        <v>13.259751550554897</v>
      </c>
    </row>
    <row r="1490" spans="1:20" x14ac:dyDescent="0.25">
      <c r="A1490" s="5" t="s">
        <v>1508</v>
      </c>
      <c r="B1490">
        <v>15.024677973715658</v>
      </c>
      <c r="C1490">
        <v>14.683641055880589</v>
      </c>
      <c r="D1490">
        <v>15.000831231761289</v>
      </c>
      <c r="E1490">
        <v>14.904768509980459</v>
      </c>
      <c r="F1490">
        <v>14.566996137028319</v>
      </c>
      <c r="G1490">
        <v>0</v>
      </c>
      <c r="H1490">
        <v>14.176681067160706</v>
      </c>
      <c r="I1490">
        <v>14.14236099397683</v>
      </c>
      <c r="J1490">
        <v>14.073587574196603</v>
      </c>
      <c r="K1490">
        <v>14.609640474436812</v>
      </c>
      <c r="L1490">
        <v>14.056279971101485</v>
      </c>
      <c r="M1490">
        <v>14.852617227929352</v>
      </c>
      <c r="N1490">
        <v>13.386217924501876</v>
      </c>
      <c r="O1490">
        <v>14.364753415313277</v>
      </c>
      <c r="P1490">
        <v>13.653583822024411</v>
      </c>
      <c r="Q1490">
        <v>13.789972290940359</v>
      </c>
      <c r="R1490">
        <v>13.687442626040445</v>
      </c>
      <c r="S1490">
        <v>13.40800661326716</v>
      </c>
      <c r="T1490">
        <v>13.30659038975514</v>
      </c>
    </row>
    <row r="1491" spans="1:20" x14ac:dyDescent="0.25">
      <c r="A1491" s="6" t="s">
        <v>1509</v>
      </c>
      <c r="B1491">
        <v>17.198214228710349</v>
      </c>
      <c r="C1491">
        <v>15.810553168362809</v>
      </c>
      <c r="D1491">
        <v>16.220073662674086</v>
      </c>
      <c r="E1491">
        <v>16.103749544706854</v>
      </c>
      <c r="F1491">
        <v>16.446141742153934</v>
      </c>
      <c r="G1491">
        <v>16.944247703394922</v>
      </c>
      <c r="H1491">
        <v>17.817201544372175</v>
      </c>
      <c r="I1491">
        <v>16.8475043045357</v>
      </c>
      <c r="J1491">
        <v>17.118043880026367</v>
      </c>
      <c r="K1491">
        <v>16.747288274904793</v>
      </c>
      <c r="L1491">
        <v>16.358678900903591</v>
      </c>
      <c r="M1491">
        <v>18.318036916406246</v>
      </c>
      <c r="N1491">
        <v>0</v>
      </c>
      <c r="O1491">
        <v>18.390549416190616</v>
      </c>
      <c r="P1491">
        <v>0</v>
      </c>
      <c r="Q1491">
        <v>17.794065045574239</v>
      </c>
      <c r="R1491">
        <v>0</v>
      </c>
      <c r="S1491">
        <v>0</v>
      </c>
      <c r="T1491">
        <v>0</v>
      </c>
    </row>
    <row r="1492" spans="1:20" x14ac:dyDescent="0.25">
      <c r="A1492" s="5" t="s">
        <v>1510</v>
      </c>
      <c r="B1492">
        <v>14.228357101933028</v>
      </c>
      <c r="C1492">
        <v>15.383131944628133</v>
      </c>
      <c r="D1492">
        <v>13.093511833161728</v>
      </c>
      <c r="E1492">
        <v>12.93135443517142</v>
      </c>
      <c r="F1492">
        <v>14.468861818654016</v>
      </c>
      <c r="G1492">
        <v>14.083571662769224</v>
      </c>
      <c r="H1492">
        <v>14.649870319225345</v>
      </c>
      <c r="I1492">
        <v>16.906539774832652</v>
      </c>
      <c r="J1492">
        <v>16.619774851570526</v>
      </c>
      <c r="K1492">
        <v>14.206372752097511</v>
      </c>
      <c r="L1492">
        <v>14.95428864582426</v>
      </c>
      <c r="M1492">
        <v>11.199648823328165</v>
      </c>
      <c r="N1492">
        <v>12.661759285151312</v>
      </c>
      <c r="O1492">
        <v>12.102626051722643</v>
      </c>
      <c r="P1492">
        <v>16.940613708927184</v>
      </c>
      <c r="Q1492">
        <v>14.83564414932564</v>
      </c>
      <c r="R1492">
        <v>15.15546458125101</v>
      </c>
      <c r="S1492">
        <v>13.145756493965806</v>
      </c>
      <c r="T1492">
        <v>12.42920614005947</v>
      </c>
    </row>
    <row r="1493" spans="1:20" x14ac:dyDescent="0.25">
      <c r="A1493" s="6" t="s">
        <v>1511</v>
      </c>
      <c r="B1493">
        <v>16.310982158872296</v>
      </c>
      <c r="C1493">
        <v>13.606038237756618</v>
      </c>
      <c r="D1493">
        <v>14.039177543410771</v>
      </c>
      <c r="E1493">
        <v>14.192800732523983</v>
      </c>
      <c r="F1493">
        <v>15.63144484475516</v>
      </c>
      <c r="G1493">
        <v>14.051372840381076</v>
      </c>
      <c r="H1493">
        <v>14.358678900903593</v>
      </c>
      <c r="I1493">
        <v>15.352629856230788</v>
      </c>
      <c r="J1493">
        <v>15.646166350461927</v>
      </c>
      <c r="K1493">
        <v>14.635111161952929</v>
      </c>
      <c r="L1493">
        <v>14.308052827833627</v>
      </c>
      <c r="M1493">
        <v>0</v>
      </c>
      <c r="N1493">
        <v>0</v>
      </c>
      <c r="O1493">
        <v>16.024677973715658</v>
      </c>
      <c r="P1493">
        <v>0</v>
      </c>
      <c r="Q1493">
        <v>0</v>
      </c>
      <c r="R1493">
        <v>0</v>
      </c>
      <c r="S1493">
        <v>17.566996137028319</v>
      </c>
      <c r="T1493">
        <v>16.446141742153934</v>
      </c>
    </row>
    <row r="1494" spans="1:20" x14ac:dyDescent="0.25">
      <c r="A1494" s="5" t="s">
        <v>1512</v>
      </c>
      <c r="B1494">
        <v>0</v>
      </c>
      <c r="C1494">
        <v>14.163384244547249</v>
      </c>
      <c r="D1494">
        <v>14.184718386226123</v>
      </c>
      <c r="E1494">
        <v>13.927067177089235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14.352629856230788</v>
      </c>
      <c r="L1494">
        <v>0</v>
      </c>
      <c r="M1494">
        <v>0</v>
      </c>
      <c r="N1494">
        <v>0</v>
      </c>
      <c r="O1494">
        <v>14.936084050446668</v>
      </c>
      <c r="P1494">
        <v>0</v>
      </c>
      <c r="Q1494">
        <v>0</v>
      </c>
      <c r="R1494">
        <v>0</v>
      </c>
      <c r="S1494">
        <v>0</v>
      </c>
      <c r="T1494">
        <v>15.029494990013431</v>
      </c>
    </row>
    <row r="1495" spans="1:20" x14ac:dyDescent="0.25">
      <c r="A1495" s="6" t="s">
        <v>1513</v>
      </c>
      <c r="B1495">
        <v>12.619420759160686</v>
      </c>
      <c r="C1495">
        <v>14.355651208206025</v>
      </c>
      <c r="D1495">
        <v>13.963477817278919</v>
      </c>
      <c r="E1495">
        <v>14.726019658151142</v>
      </c>
      <c r="F1495">
        <v>12.323897967648584</v>
      </c>
      <c r="G1495">
        <v>12.192294257166528</v>
      </c>
      <c r="H1495">
        <v>12.202600499762369</v>
      </c>
      <c r="I1495">
        <v>12.585045971700113</v>
      </c>
      <c r="J1495">
        <v>12.891377497485879</v>
      </c>
      <c r="K1495">
        <v>12.687214249124017</v>
      </c>
      <c r="L1495">
        <v>12.995307546829647</v>
      </c>
      <c r="M1495">
        <v>12.439739518112223</v>
      </c>
      <c r="N1495">
        <v>13.949715916034434</v>
      </c>
      <c r="O1495">
        <v>13.16077915831527</v>
      </c>
      <c r="P1495">
        <v>12.052077214041871</v>
      </c>
      <c r="Q1495">
        <v>10.628159956624936</v>
      </c>
      <c r="R1495">
        <v>11.308265004470655</v>
      </c>
      <c r="S1495">
        <v>12.4325598476262</v>
      </c>
      <c r="T1495">
        <v>10.590648074320489</v>
      </c>
    </row>
    <row r="1496" spans="1:20" x14ac:dyDescent="0.25">
      <c r="A1496" s="5" t="s">
        <v>1514</v>
      </c>
      <c r="B1496">
        <v>14.818868436574812</v>
      </c>
      <c r="C1496">
        <v>14.75365077712833</v>
      </c>
      <c r="D1496">
        <v>14.991401818841357</v>
      </c>
      <c r="E1496">
        <v>14.794065045574239</v>
      </c>
      <c r="F1496">
        <v>13.891552890476294</v>
      </c>
      <c r="G1496">
        <v>13.812627496600667</v>
      </c>
      <c r="H1496">
        <v>13.622319608507558</v>
      </c>
      <c r="I1496">
        <v>14.46233377565652</v>
      </c>
      <c r="J1496">
        <v>14.364753415313277</v>
      </c>
      <c r="K1496">
        <v>13.88063160409895</v>
      </c>
      <c r="L1496">
        <v>14.058739809789287</v>
      </c>
      <c r="M1496">
        <v>14.6989078125339</v>
      </c>
      <c r="N1496">
        <v>14.777763233245141</v>
      </c>
      <c r="O1496">
        <v>0</v>
      </c>
      <c r="P1496">
        <v>13.540969663771714</v>
      </c>
      <c r="Q1496">
        <v>12.701663457731408</v>
      </c>
      <c r="R1496">
        <v>12.692371043305327</v>
      </c>
      <c r="S1496">
        <v>12.692676644406037</v>
      </c>
      <c r="T1496">
        <v>12.282628633597009</v>
      </c>
    </row>
    <row r="1497" spans="1:20" x14ac:dyDescent="0.25">
      <c r="A1497" s="6" t="s">
        <v>1515</v>
      </c>
      <c r="B1497">
        <v>0</v>
      </c>
      <c r="C1497">
        <v>15.691254239990466</v>
      </c>
      <c r="D1497">
        <v>16.566996137028319</v>
      </c>
      <c r="E1497">
        <v>16.209102544853081</v>
      </c>
      <c r="F1497">
        <v>15.646166350461927</v>
      </c>
      <c r="G1497">
        <v>7.6326213473612201</v>
      </c>
      <c r="H1497">
        <v>15.566996137028319</v>
      </c>
      <c r="I1497">
        <v>15.322759326648649</v>
      </c>
      <c r="J1497">
        <v>7.9554684740674944</v>
      </c>
      <c r="K1497">
        <v>16.264811977439372</v>
      </c>
      <c r="L1497">
        <v>16.383131944628133</v>
      </c>
      <c r="M1497">
        <v>0</v>
      </c>
      <c r="N1497">
        <v>15.661039626943458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16.82723190950944</v>
      </c>
    </row>
    <row r="1498" spans="1:20" x14ac:dyDescent="0.25">
      <c r="A1498" s="5" t="s">
        <v>1516</v>
      </c>
      <c r="B1498">
        <v>0</v>
      </c>
      <c r="C1498">
        <v>0</v>
      </c>
      <c r="D1498">
        <v>0</v>
      </c>
      <c r="E1498">
        <v>0</v>
      </c>
      <c r="F1498">
        <v>15.794065045574239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16.632910253759658</v>
      </c>
      <c r="O1498">
        <v>16.769680886947281</v>
      </c>
      <c r="P1498">
        <v>16.774524859178594</v>
      </c>
      <c r="Q1498">
        <v>16.276216740711622</v>
      </c>
      <c r="R1498">
        <v>15.491945431767057</v>
      </c>
      <c r="S1498">
        <v>14.485312339434612</v>
      </c>
      <c r="T1498">
        <v>15.887174449965721</v>
      </c>
    </row>
    <row r="1499" spans="1:20" x14ac:dyDescent="0.25">
      <c r="A1499" s="6" t="s">
        <v>1517</v>
      </c>
      <c r="B1499">
        <v>16.073587574196605</v>
      </c>
      <c r="C1499">
        <v>14.392409758216143</v>
      </c>
      <c r="D1499">
        <v>14.848355201075194</v>
      </c>
      <c r="E1499">
        <v>14.88280925740432</v>
      </c>
      <c r="F1499">
        <v>15.624140044131927</v>
      </c>
      <c r="G1499">
        <v>15.287712379549449</v>
      </c>
      <c r="H1499">
        <v>16.187407473753765</v>
      </c>
      <c r="I1499">
        <v>15.777763233245141</v>
      </c>
      <c r="J1499">
        <v>15.661039626943458</v>
      </c>
      <c r="K1499">
        <v>15.048925519962333</v>
      </c>
      <c r="L1499">
        <v>15.113945311812744</v>
      </c>
      <c r="M1499">
        <v>16.420606650046796</v>
      </c>
      <c r="N1499">
        <v>17.237802857106391</v>
      </c>
      <c r="O1499">
        <v>16.264811977439372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25">
      <c r="A1500" s="5" t="s">
        <v>1518</v>
      </c>
      <c r="B1500">
        <v>11.539182448417218</v>
      </c>
      <c r="C1500">
        <v>12.214522820637335</v>
      </c>
      <c r="D1500">
        <v>11.451125706813873</v>
      </c>
      <c r="E1500">
        <v>11.572038614001261</v>
      </c>
      <c r="F1500">
        <v>12.099577355673771</v>
      </c>
      <c r="G1500">
        <v>12.201397361667798</v>
      </c>
      <c r="H1500">
        <v>12.348704009488916</v>
      </c>
      <c r="I1500">
        <v>12.330421783971559</v>
      </c>
      <c r="J1500">
        <v>12.072164237045493</v>
      </c>
      <c r="K1500">
        <v>11.858080348299836</v>
      </c>
      <c r="L1500">
        <v>11.82795029044614</v>
      </c>
      <c r="M1500">
        <v>11.873847546451501</v>
      </c>
      <c r="N1500">
        <v>13.06290649436667</v>
      </c>
      <c r="O1500">
        <v>12.782156762983089</v>
      </c>
      <c r="P1500">
        <v>12.842684948964253</v>
      </c>
      <c r="Q1500">
        <v>13.88280925740432</v>
      </c>
      <c r="R1500">
        <v>13.322759326648649</v>
      </c>
      <c r="S1500">
        <v>0</v>
      </c>
      <c r="T1500">
        <v>13.101985354350843</v>
      </c>
    </row>
    <row r="1501" spans="1:20" x14ac:dyDescent="0.25">
      <c r="A1501" s="6" t="s">
        <v>1519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14.139754498162349</v>
      </c>
      <c r="R1501">
        <v>14.606038237756618</v>
      </c>
      <c r="S1501">
        <v>13.874118297140276</v>
      </c>
      <c r="T1501">
        <v>14.131963146871506</v>
      </c>
    </row>
    <row r="1502" spans="1:20" x14ac:dyDescent="0.25">
      <c r="A1502" s="5" t="s">
        <v>1520</v>
      </c>
      <c r="B1502">
        <v>10.344076057943727</v>
      </c>
      <c r="C1502">
        <v>9.6446042768048379</v>
      </c>
      <c r="D1502">
        <v>9.6272286569195007</v>
      </c>
      <c r="E1502">
        <v>9.6416591962166027</v>
      </c>
      <c r="F1502">
        <v>9.4592280398773063</v>
      </c>
      <c r="G1502">
        <v>9.680074323682442</v>
      </c>
      <c r="H1502">
        <v>9.8805241675750608</v>
      </c>
      <c r="I1502">
        <v>9.539837360488546</v>
      </c>
      <c r="J1502">
        <v>9.5203520821626011</v>
      </c>
      <c r="K1502">
        <v>9.5651414356178641</v>
      </c>
      <c r="L1502">
        <v>9.5185119083165883</v>
      </c>
      <c r="M1502">
        <v>10.137285930964817</v>
      </c>
      <c r="N1502">
        <v>9.8349127048912326</v>
      </c>
      <c r="O1502">
        <v>9.6869870975348853</v>
      </c>
      <c r="P1502">
        <v>9.7952169460446967</v>
      </c>
      <c r="Q1502">
        <v>10.606026994852787</v>
      </c>
      <c r="R1502">
        <v>10.28514846535125</v>
      </c>
      <c r="S1502">
        <v>9.701104942356686</v>
      </c>
      <c r="T1502">
        <v>10.502517576028893</v>
      </c>
    </row>
    <row r="1503" spans="1:20" x14ac:dyDescent="0.25">
      <c r="A1503" s="6" t="s">
        <v>1521</v>
      </c>
      <c r="B1503">
        <v>11.450285775510254</v>
      </c>
      <c r="C1503">
        <v>11.748970614119516</v>
      </c>
      <c r="D1503">
        <v>11.856913288159404</v>
      </c>
      <c r="E1503">
        <v>12.125289629085669</v>
      </c>
      <c r="F1503">
        <v>11.783839585821701</v>
      </c>
      <c r="G1503">
        <v>11.737333739964489</v>
      </c>
      <c r="H1503">
        <v>11.701841267135174</v>
      </c>
      <c r="I1503">
        <v>11.93074038453803</v>
      </c>
      <c r="J1503">
        <v>12.183134172414986</v>
      </c>
      <c r="K1503">
        <v>11.903988736086067</v>
      </c>
      <c r="L1503">
        <v>11.936672102425634</v>
      </c>
      <c r="M1503">
        <v>12.051489191446979</v>
      </c>
      <c r="N1503">
        <v>12.430694829359002</v>
      </c>
      <c r="O1503">
        <v>12.477483176498813</v>
      </c>
      <c r="P1503">
        <v>11.969962603485747</v>
      </c>
      <c r="Q1503">
        <v>12.273742809083171</v>
      </c>
      <c r="R1503">
        <v>12.222112496407712</v>
      </c>
      <c r="S1503">
        <v>11.383316917388292</v>
      </c>
      <c r="T1503">
        <v>11.878506120196548</v>
      </c>
    </row>
    <row r="1504" spans="1:20" x14ac:dyDescent="0.25">
      <c r="A1504" s="5" t="s">
        <v>1522</v>
      </c>
      <c r="B1504">
        <v>14.710464843956299</v>
      </c>
      <c r="C1504">
        <v>0</v>
      </c>
      <c r="D1504">
        <v>0</v>
      </c>
      <c r="E1504">
        <v>0</v>
      </c>
      <c r="F1504">
        <v>14.726019658151142</v>
      </c>
      <c r="G1504">
        <v>14.078570981710859</v>
      </c>
      <c r="H1504">
        <v>14.553056946070445</v>
      </c>
      <c r="I1504">
        <v>14.878457232864612</v>
      </c>
      <c r="J1504">
        <v>14.574016564706092</v>
      </c>
      <c r="K1504">
        <v>14.59886063568357</v>
      </c>
      <c r="L1504">
        <v>16.695841509486119</v>
      </c>
      <c r="M1504">
        <v>15.376979717646538</v>
      </c>
      <c r="N1504">
        <v>16.395515669083963</v>
      </c>
      <c r="O1504">
        <v>16.044043298582586</v>
      </c>
      <c r="P1504">
        <v>13.348109659193405</v>
      </c>
      <c r="Q1504">
        <v>11.972528754691476</v>
      </c>
      <c r="R1504">
        <v>11.793291648681748</v>
      </c>
      <c r="S1504">
        <v>12.727349583451788</v>
      </c>
      <c r="T1504">
        <v>11.155596220015726</v>
      </c>
    </row>
    <row r="1505" spans="1:20" x14ac:dyDescent="0.25">
      <c r="A1505" s="6" t="s">
        <v>1523</v>
      </c>
      <c r="B1505">
        <v>0</v>
      </c>
      <c r="C1505">
        <v>0</v>
      </c>
      <c r="D1505">
        <v>0</v>
      </c>
      <c r="E1505">
        <v>0</v>
      </c>
      <c r="F1505">
        <v>14.376979717646538</v>
      </c>
      <c r="G1505">
        <v>14.798169443906975</v>
      </c>
      <c r="H1505">
        <v>14.977372258937299</v>
      </c>
      <c r="I1505">
        <v>0</v>
      </c>
      <c r="J1505">
        <v>15.518787043985698</v>
      </c>
      <c r="K1505">
        <v>15.166033822961197</v>
      </c>
      <c r="L1505">
        <v>0</v>
      </c>
      <c r="M1505">
        <v>15.861179241432778</v>
      </c>
      <c r="N1505">
        <v>15.518787043985698</v>
      </c>
      <c r="O1505">
        <v>0</v>
      </c>
      <c r="P1505">
        <v>13.945157634072132</v>
      </c>
      <c r="Q1505">
        <v>11.956167662487104</v>
      </c>
      <c r="R1505">
        <v>12.48957059724213</v>
      </c>
      <c r="S1505">
        <v>13.213426172763551</v>
      </c>
      <c r="T1505">
        <v>11.288924752651816</v>
      </c>
    </row>
    <row r="1506" spans="1:20" x14ac:dyDescent="0.25">
      <c r="A1506" s="5" t="s">
        <v>1524</v>
      </c>
      <c r="B1506">
        <v>0</v>
      </c>
      <c r="C1506">
        <v>14.657306908067127</v>
      </c>
      <c r="D1506">
        <v>15.192800732523983</v>
      </c>
      <c r="E1506">
        <v>15.000831231761289</v>
      </c>
      <c r="F1506">
        <v>0</v>
      </c>
      <c r="G1506">
        <v>14.602444973032609</v>
      </c>
      <c r="H1506">
        <v>0</v>
      </c>
      <c r="I1506">
        <v>15.539251146545414</v>
      </c>
      <c r="J1506">
        <v>0</v>
      </c>
      <c r="K1506">
        <v>0</v>
      </c>
      <c r="L1506">
        <v>14.977372258937299</v>
      </c>
      <c r="M1506">
        <v>0</v>
      </c>
      <c r="N1506">
        <v>0</v>
      </c>
      <c r="O1506">
        <v>0</v>
      </c>
      <c r="P1506">
        <v>14.940613708927183</v>
      </c>
      <c r="Q1506">
        <v>14.968094445349289</v>
      </c>
      <c r="R1506">
        <v>15.039177543410771</v>
      </c>
      <c r="S1506">
        <v>14.848355201075194</v>
      </c>
      <c r="T1506">
        <v>15.044043298582586</v>
      </c>
    </row>
    <row r="1507" spans="1:20" x14ac:dyDescent="0.25">
      <c r="A1507" s="6" t="s">
        <v>1525</v>
      </c>
      <c r="B1507">
        <v>13.316858725208968</v>
      </c>
      <c r="C1507">
        <v>13.185981633107982</v>
      </c>
      <c r="D1507">
        <v>13.102860833869034</v>
      </c>
      <c r="E1507">
        <v>12.738388215581558</v>
      </c>
      <c r="F1507">
        <v>13.336124584734696</v>
      </c>
      <c r="G1507">
        <v>13.446141742153932</v>
      </c>
      <c r="H1507">
        <v>13.989054063984934</v>
      </c>
      <c r="I1507">
        <v>0</v>
      </c>
      <c r="J1507">
        <v>13.747685110291943</v>
      </c>
      <c r="K1507">
        <v>14.071102310807008</v>
      </c>
      <c r="L1507">
        <v>13.328684160605755</v>
      </c>
      <c r="M1507">
        <v>13.575777022570529</v>
      </c>
      <c r="N1507">
        <v>13.265607382908755</v>
      </c>
      <c r="O1507">
        <v>13.904768509980459</v>
      </c>
      <c r="P1507">
        <v>13.804348018836102</v>
      </c>
      <c r="Q1507">
        <v>13.044469833980969</v>
      </c>
      <c r="R1507">
        <v>13.193949402031548</v>
      </c>
      <c r="S1507">
        <v>12.827787705779162</v>
      </c>
      <c r="T1507">
        <v>12.915807869100268</v>
      </c>
    </row>
    <row r="1508" spans="1:20" x14ac:dyDescent="0.25">
      <c r="A1508" s="5" t="s">
        <v>1526</v>
      </c>
      <c r="B1508">
        <v>0</v>
      </c>
      <c r="C1508">
        <v>15.068621321303253</v>
      </c>
      <c r="D1508">
        <v>15.653583822024411</v>
      </c>
      <c r="E1508">
        <v>15.310982158872298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15.553056946070447</v>
      </c>
      <c r="L1508">
        <v>15.316858725208965</v>
      </c>
      <c r="M1508">
        <v>0</v>
      </c>
      <c r="N1508">
        <v>0</v>
      </c>
      <c r="O1508">
        <v>0</v>
      </c>
      <c r="P1508">
        <v>0</v>
      </c>
      <c r="Q1508">
        <v>15.498609162048069</v>
      </c>
      <c r="R1508">
        <v>16.553056946070445</v>
      </c>
      <c r="S1508">
        <v>15.595285181459742</v>
      </c>
      <c r="T1508">
        <v>15.053824319375174</v>
      </c>
    </row>
    <row r="1509" spans="1:20" x14ac:dyDescent="0.25">
      <c r="A1509" s="6" t="s">
        <v>1527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15.364753415313277</v>
      </c>
      <c r="R1509">
        <v>15.446141742153934</v>
      </c>
      <c r="S1509">
        <v>15.45908079786143</v>
      </c>
      <c r="T1509">
        <v>16.566996137028319</v>
      </c>
    </row>
    <row r="1510" spans="1:20" x14ac:dyDescent="0.25">
      <c r="A1510" s="5" t="s">
        <v>1528</v>
      </c>
      <c r="B1510">
        <v>11.637784274643153</v>
      </c>
      <c r="C1510">
        <v>12.351883047416976</v>
      </c>
      <c r="D1510">
        <v>12.221223596376609</v>
      </c>
      <c r="E1510">
        <v>11.786003192249215</v>
      </c>
      <c r="F1510">
        <v>11.723836741740255</v>
      </c>
      <c r="G1510">
        <v>11.610777044364683</v>
      </c>
      <c r="H1510">
        <v>11.571801442045896</v>
      </c>
      <c r="I1510">
        <v>11.388509674617124</v>
      </c>
      <c r="J1510">
        <v>11.176093422211743</v>
      </c>
      <c r="K1510">
        <v>11.613432528170001</v>
      </c>
      <c r="L1510">
        <v>12.103546362530491</v>
      </c>
      <c r="M1510">
        <v>11.491575663896459</v>
      </c>
      <c r="N1510">
        <v>10.783994748372937</v>
      </c>
      <c r="O1510">
        <v>11.386499849096541</v>
      </c>
      <c r="P1510">
        <v>10.701022084301213</v>
      </c>
      <c r="Q1510">
        <v>10.372176181913277</v>
      </c>
      <c r="R1510">
        <v>10.426900511572329</v>
      </c>
      <c r="S1510">
        <v>10.552162041813739</v>
      </c>
      <c r="T1510">
        <v>10.622149060379188</v>
      </c>
    </row>
    <row r="1511" spans="1:20" x14ac:dyDescent="0.25">
      <c r="A1511" s="8">
        <v>40422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17.099691328132501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15.581071322240042</v>
      </c>
      <c r="R1511">
        <v>15.078570981710859</v>
      </c>
      <c r="S1511">
        <v>15.088589737535848</v>
      </c>
      <c r="T1511">
        <v>15.609640474436812</v>
      </c>
    </row>
    <row r="1512" spans="1:20" x14ac:dyDescent="0.25">
      <c r="A1512" s="9">
        <v>40787</v>
      </c>
      <c r="B1512">
        <v>9.8224078466351799</v>
      </c>
      <c r="C1512">
        <v>9.9502681607407144</v>
      </c>
      <c r="D1512">
        <v>9.6908630860329072</v>
      </c>
      <c r="E1512">
        <v>9.8440221920846636</v>
      </c>
      <c r="F1512">
        <v>10.011400343044615</v>
      </c>
      <c r="G1512">
        <v>10.598487033206261</v>
      </c>
      <c r="H1512">
        <v>10.330163607117827</v>
      </c>
      <c r="I1512">
        <v>10.219779440707402</v>
      </c>
      <c r="J1512">
        <v>10.058696726536322</v>
      </c>
      <c r="K1512">
        <v>9.8775897582780416</v>
      </c>
      <c r="L1512">
        <v>10.267181731675764</v>
      </c>
      <c r="M1512">
        <v>10.292980610167266</v>
      </c>
      <c r="N1512">
        <v>10.401936949907942</v>
      </c>
      <c r="O1512">
        <v>10.269551823223198</v>
      </c>
      <c r="P1512">
        <v>10.210542884724941</v>
      </c>
      <c r="Q1512">
        <v>10.678744685628484</v>
      </c>
      <c r="R1512">
        <v>10.336512538350892</v>
      </c>
      <c r="S1512">
        <v>10.665215370623926</v>
      </c>
      <c r="T1512">
        <v>10.893244883109247</v>
      </c>
    </row>
    <row r="1513" spans="1:20" x14ac:dyDescent="0.25">
      <c r="A1513" s="8">
        <v>37500</v>
      </c>
      <c r="B1513">
        <v>10.769094155810787</v>
      </c>
      <c r="C1513">
        <v>11.469037668051968</v>
      </c>
      <c r="D1513">
        <v>11.236751043211132</v>
      </c>
      <c r="E1513">
        <v>10.954025320762398</v>
      </c>
      <c r="F1513">
        <v>10.980100250308372</v>
      </c>
      <c r="G1513">
        <v>11.138573352063347</v>
      </c>
      <c r="H1513">
        <v>10.944321613845558</v>
      </c>
      <c r="I1513">
        <v>10.857314693155962</v>
      </c>
      <c r="J1513">
        <v>10.682182488419691</v>
      </c>
      <c r="K1513">
        <v>11.19102547317461</v>
      </c>
      <c r="L1513">
        <v>11.261843734414082</v>
      </c>
      <c r="M1513">
        <v>10.715385350658135</v>
      </c>
      <c r="N1513">
        <v>10.987773214577039</v>
      </c>
      <c r="O1513">
        <v>11.034839592327121</v>
      </c>
      <c r="P1513">
        <v>10.316531211727229</v>
      </c>
      <c r="Q1513">
        <v>10.233047940373982</v>
      </c>
      <c r="R1513">
        <v>10.142299035077256</v>
      </c>
      <c r="S1513">
        <v>10.216776991890223</v>
      </c>
      <c r="T1513">
        <v>10.641192549785162</v>
      </c>
    </row>
    <row r="1514" spans="1:20" x14ac:dyDescent="0.25">
      <c r="A1514" s="9">
        <v>37865</v>
      </c>
      <c r="B1514">
        <v>12.233829494499966</v>
      </c>
      <c r="C1514">
        <v>12.105147197328366</v>
      </c>
      <c r="D1514">
        <v>12.013408966481938</v>
      </c>
      <c r="E1514">
        <v>12.189784764128857</v>
      </c>
      <c r="F1514">
        <v>12.207661935503483</v>
      </c>
      <c r="G1514">
        <v>12.704251062421665</v>
      </c>
      <c r="H1514">
        <v>12.159418978539632</v>
      </c>
      <c r="I1514">
        <v>12.110400487071333</v>
      </c>
      <c r="J1514">
        <v>11.901696099643708</v>
      </c>
      <c r="K1514">
        <v>11.990585540809152</v>
      </c>
      <c r="L1514">
        <v>12.177262269718883</v>
      </c>
      <c r="M1514">
        <v>12.650018675957533</v>
      </c>
      <c r="N1514">
        <v>12.786471976932434</v>
      </c>
      <c r="O1514">
        <v>12.31903176419252</v>
      </c>
      <c r="P1514">
        <v>12.673869590665573</v>
      </c>
      <c r="Q1514">
        <v>13.066070354754277</v>
      </c>
      <c r="R1514">
        <v>12.943122458150208</v>
      </c>
      <c r="S1514">
        <v>13.212727494595645</v>
      </c>
      <c r="T1514">
        <v>13.071400316462537</v>
      </c>
    </row>
    <row r="1515" spans="1:20" x14ac:dyDescent="0.25">
      <c r="A1515" s="8">
        <v>38231</v>
      </c>
      <c r="B1515">
        <v>14.613251727989191</v>
      </c>
      <c r="C1515">
        <v>14.958875915319911</v>
      </c>
      <c r="D1515">
        <v>14.931568569324176</v>
      </c>
      <c r="E1515">
        <v>15.653583822024411</v>
      </c>
      <c r="F1515">
        <v>0</v>
      </c>
      <c r="G1515">
        <v>0</v>
      </c>
      <c r="H1515">
        <v>15.150208855799516</v>
      </c>
      <c r="I1515">
        <v>0</v>
      </c>
      <c r="J1515">
        <v>15.053824319375174</v>
      </c>
      <c r="K1515">
        <v>15.401747622795478</v>
      </c>
      <c r="L1515">
        <v>14.62050146706858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15.43331770179635</v>
      </c>
      <c r="S1515">
        <v>0</v>
      </c>
      <c r="T1515">
        <v>0</v>
      </c>
    </row>
    <row r="1516" spans="1:20" x14ac:dyDescent="0.25">
      <c r="A1516" s="9">
        <v>38596</v>
      </c>
      <c r="B1516">
        <v>10.133357627179727</v>
      </c>
      <c r="C1516">
        <v>10.059547859095186</v>
      </c>
      <c r="D1516">
        <v>9.7215950012240206</v>
      </c>
      <c r="E1516">
        <v>10.240153051967924</v>
      </c>
      <c r="F1516">
        <v>10.655048640599947</v>
      </c>
      <c r="G1516">
        <v>10.936315850010518</v>
      </c>
      <c r="H1516">
        <v>10.295661850027294</v>
      </c>
      <c r="I1516">
        <v>10.516006356978098</v>
      </c>
      <c r="J1516">
        <v>10.409132197558151</v>
      </c>
      <c r="K1516">
        <v>9.9300829641035904</v>
      </c>
      <c r="L1516">
        <v>10.464778331521078</v>
      </c>
      <c r="M1516">
        <v>10.883880234791334</v>
      </c>
      <c r="N1516">
        <v>11.440565310328584</v>
      </c>
      <c r="O1516">
        <v>10.724720254065518</v>
      </c>
      <c r="P1516">
        <v>11.781003815705922</v>
      </c>
      <c r="Q1516">
        <v>12.264606095692464</v>
      </c>
      <c r="R1516">
        <v>12.342254496716194</v>
      </c>
      <c r="S1516">
        <v>13.079170149037621</v>
      </c>
      <c r="T1516">
        <v>12.260154882904997</v>
      </c>
    </row>
    <row r="1517" spans="1:20" x14ac:dyDescent="0.25">
      <c r="A1517" s="8">
        <v>38961</v>
      </c>
      <c r="B1517">
        <v>12.861168507134607</v>
      </c>
      <c r="C1517">
        <v>13.18584719255278</v>
      </c>
      <c r="D1517">
        <v>12.916867374544786</v>
      </c>
      <c r="E1517">
        <v>13.11420113148553</v>
      </c>
      <c r="F1517">
        <v>13.611444971283561</v>
      </c>
      <c r="G1517">
        <v>13.833536486363649</v>
      </c>
      <c r="H1517">
        <v>13.664782028629272</v>
      </c>
      <c r="I1517">
        <v>13.607838231802827</v>
      </c>
      <c r="J1517">
        <v>13.293494732143458</v>
      </c>
      <c r="K1517">
        <v>12.981520146940632</v>
      </c>
      <c r="L1517">
        <v>13.324238255574564</v>
      </c>
      <c r="M1517">
        <v>14.13715270297407</v>
      </c>
      <c r="N1517">
        <v>14.155464581251008</v>
      </c>
      <c r="O1517">
        <v>13.829330375393436</v>
      </c>
      <c r="P1517">
        <v>14.091105335454632</v>
      </c>
      <c r="Q1517">
        <v>14.900349838713455</v>
      </c>
      <c r="R1517">
        <v>15.06367210533152</v>
      </c>
      <c r="S1517">
        <v>15.150208855799516</v>
      </c>
      <c r="T1517">
        <v>0</v>
      </c>
    </row>
    <row r="1518" spans="1:20" x14ac:dyDescent="0.25">
      <c r="A1518" s="9">
        <v>39326</v>
      </c>
      <c r="B1518">
        <v>9.2558373058382397</v>
      </c>
      <c r="C1518">
        <v>9.3136328321852986</v>
      </c>
      <c r="D1518">
        <v>8.9795743394761924</v>
      </c>
      <c r="E1518">
        <v>9.1931638159356108</v>
      </c>
      <c r="F1518">
        <v>9.5049044027571572</v>
      </c>
      <c r="G1518">
        <v>9.9674587823060268</v>
      </c>
      <c r="H1518">
        <v>9.7111479167456682</v>
      </c>
      <c r="I1518">
        <v>9.5594424540275327</v>
      </c>
      <c r="J1518">
        <v>9.4555717489820363</v>
      </c>
      <c r="K1518">
        <v>9.2350799930450336</v>
      </c>
      <c r="L1518">
        <v>9.6020637140908036</v>
      </c>
      <c r="M1518">
        <v>9.597222648217592</v>
      </c>
      <c r="N1518">
        <v>9.6506041385010288</v>
      </c>
      <c r="O1518">
        <v>9.6978302705234949</v>
      </c>
      <c r="P1518">
        <v>9.7915274488266437</v>
      </c>
      <c r="Q1518">
        <v>10.00370469982799</v>
      </c>
      <c r="R1518">
        <v>9.7346173368610227</v>
      </c>
      <c r="S1518">
        <v>9.8643264910833572</v>
      </c>
      <c r="T1518">
        <v>10.009636908919312</v>
      </c>
    </row>
    <row r="1519" spans="1:20" x14ac:dyDescent="0.25">
      <c r="A1519" s="8">
        <v>39692</v>
      </c>
      <c r="B1519">
        <v>11.171733635344902</v>
      </c>
      <c r="C1519">
        <v>11.509571102448893</v>
      </c>
      <c r="D1519">
        <v>11.353516722214152</v>
      </c>
      <c r="E1519">
        <v>11.1714341339179</v>
      </c>
      <c r="F1519">
        <v>11.461373384245579</v>
      </c>
      <c r="G1519">
        <v>11.750779206460921</v>
      </c>
      <c r="H1519">
        <v>11.790902372895008</v>
      </c>
      <c r="I1519">
        <v>11.52188912302835</v>
      </c>
      <c r="J1519">
        <v>11.382920025825717</v>
      </c>
      <c r="K1519">
        <v>11.512990670902381</v>
      </c>
      <c r="L1519">
        <v>11.969528604946222</v>
      </c>
      <c r="M1519">
        <v>11.63904906847527</v>
      </c>
      <c r="N1519">
        <v>11.731768644853279</v>
      </c>
      <c r="O1519">
        <v>11.62967003056573</v>
      </c>
      <c r="P1519">
        <v>11.870224381035785</v>
      </c>
      <c r="Q1519">
        <v>11.791250029967186</v>
      </c>
      <c r="R1519">
        <v>11.478281470984777</v>
      </c>
      <c r="S1519">
        <v>11.981356802280304</v>
      </c>
      <c r="T1519">
        <v>12.387469626852921</v>
      </c>
    </row>
    <row r="1520" spans="1:20" x14ac:dyDescent="0.25">
      <c r="A1520" s="9">
        <v>40057</v>
      </c>
      <c r="B1520">
        <v>12.822511041135849</v>
      </c>
      <c r="C1520">
        <v>12.80843007267711</v>
      </c>
      <c r="D1520">
        <v>12.980831891097409</v>
      </c>
      <c r="E1520">
        <v>12.631692028150942</v>
      </c>
      <c r="F1520">
        <v>12.693612950673302</v>
      </c>
      <c r="G1520">
        <v>13.330169178792346</v>
      </c>
      <c r="H1520">
        <v>12.877848995719685</v>
      </c>
      <c r="I1520">
        <v>12.914348141928809</v>
      </c>
      <c r="J1520">
        <v>12.733506660317826</v>
      </c>
      <c r="K1520">
        <v>12.365164367995014</v>
      </c>
      <c r="L1520">
        <v>13.076039751187237</v>
      </c>
      <c r="M1520">
        <v>13.07561623511279</v>
      </c>
      <c r="N1520">
        <v>13.234962631252833</v>
      </c>
      <c r="O1520">
        <v>13.00658983882945</v>
      </c>
      <c r="P1520">
        <v>12.96966747027472</v>
      </c>
      <c r="Q1520">
        <v>12.958198375339437</v>
      </c>
      <c r="R1520">
        <v>12.172219625497348</v>
      </c>
      <c r="S1520">
        <v>12.842070418485072</v>
      </c>
      <c r="T1520">
        <v>12.990016181420319</v>
      </c>
    </row>
    <row r="1521" spans="1:20" x14ac:dyDescent="0.25">
      <c r="A1521" s="6" t="s">
        <v>1529</v>
      </c>
      <c r="B1521">
        <v>11.371870278284531</v>
      </c>
      <c r="C1521">
        <v>11.737200753386368</v>
      </c>
      <c r="D1521">
        <v>13.611444971283561</v>
      </c>
      <c r="E1521">
        <v>13.718221287590733</v>
      </c>
      <c r="F1521">
        <v>9.8323351795644829</v>
      </c>
      <c r="G1521">
        <v>11.733030216146451</v>
      </c>
      <c r="H1521">
        <v>11.404111112109515</v>
      </c>
      <c r="I1521">
        <v>9.5662380021734812</v>
      </c>
      <c r="J1521">
        <v>10.693151887208785</v>
      </c>
      <c r="K1521">
        <v>11.418097563021719</v>
      </c>
      <c r="L1521">
        <v>11.338364215260887</v>
      </c>
      <c r="M1521">
        <v>10.735965057080827</v>
      </c>
      <c r="N1521">
        <v>10.327178428671116</v>
      </c>
      <c r="O1521">
        <v>10.651312807985299</v>
      </c>
      <c r="P1521">
        <v>9.5212391259315083</v>
      </c>
      <c r="Q1521">
        <v>10.9242833508688</v>
      </c>
      <c r="R1521">
        <v>10.84181355875462</v>
      </c>
      <c r="S1521">
        <v>10.911435889721526</v>
      </c>
      <c r="T1521">
        <v>12.733143173214637</v>
      </c>
    </row>
    <row r="1522" spans="1:20" x14ac:dyDescent="0.25">
      <c r="A1522" s="5" t="s">
        <v>1530</v>
      </c>
      <c r="B1522">
        <v>0</v>
      </c>
      <c r="C1522">
        <v>14.818868436574812</v>
      </c>
      <c r="D1522">
        <v>0</v>
      </c>
      <c r="E1522">
        <v>0</v>
      </c>
      <c r="F1522">
        <v>14.334633426936943</v>
      </c>
      <c r="G1522">
        <v>14.43331770179635</v>
      </c>
      <c r="H1522">
        <v>14.909200756295721</v>
      </c>
      <c r="I1522">
        <v>12.75968123480569</v>
      </c>
      <c r="J1522">
        <v>0</v>
      </c>
      <c r="K1522">
        <v>14.472136950686876</v>
      </c>
      <c r="L1522">
        <v>14.505303814622076</v>
      </c>
      <c r="M1522">
        <v>14.695075950942874</v>
      </c>
      <c r="N1522">
        <v>14.609640474436812</v>
      </c>
      <c r="O1522">
        <v>13.891552890476294</v>
      </c>
      <c r="P1522">
        <v>14.446141742153932</v>
      </c>
      <c r="Q1522">
        <v>0</v>
      </c>
      <c r="R1522">
        <v>14.352629856230788</v>
      </c>
      <c r="S1522">
        <v>13.604240486694223</v>
      </c>
      <c r="T1522">
        <v>16.005569150767954</v>
      </c>
    </row>
    <row r="1523" spans="1:20" x14ac:dyDescent="0.25">
      <c r="A1523" s="6" t="s">
        <v>1531</v>
      </c>
      <c r="B1523">
        <v>14.67229608228658</v>
      </c>
      <c r="C1523">
        <v>15.485312339434612</v>
      </c>
      <c r="D1523">
        <v>15.63144484475516</v>
      </c>
      <c r="E1523">
        <v>16.134555591488027</v>
      </c>
      <c r="F1523">
        <v>0</v>
      </c>
      <c r="G1523">
        <v>14.856891883029679</v>
      </c>
      <c r="H1523">
        <v>13.635111161952929</v>
      </c>
      <c r="I1523">
        <v>14.058739809789287</v>
      </c>
      <c r="J1523">
        <v>13.409575612922502</v>
      </c>
      <c r="K1523">
        <v>15.414292876114592</v>
      </c>
      <c r="L1523">
        <v>14.848355201075194</v>
      </c>
      <c r="M1523">
        <v>14.355651208206025</v>
      </c>
      <c r="N1523">
        <v>13.816785122074323</v>
      </c>
      <c r="O1523">
        <v>13.618685614039819</v>
      </c>
      <c r="P1523">
        <v>13.933824543264544</v>
      </c>
      <c r="Q1523">
        <v>14.233905935853656</v>
      </c>
      <c r="R1523">
        <v>14.005569150767952</v>
      </c>
      <c r="S1523">
        <v>13.292046969813342</v>
      </c>
      <c r="T1523">
        <v>14.163384244547249</v>
      </c>
    </row>
    <row r="1524" spans="1:20" x14ac:dyDescent="0.25">
      <c r="A1524" s="5" t="s">
        <v>1532</v>
      </c>
      <c r="B1524">
        <v>13.050846316041744</v>
      </c>
      <c r="C1524">
        <v>13.696990609539608</v>
      </c>
      <c r="D1524">
        <v>14.613251727989191</v>
      </c>
      <c r="E1524">
        <v>13.425360180017432</v>
      </c>
      <c r="F1524">
        <v>14.683641055880589</v>
      </c>
      <c r="G1524">
        <v>13.328684160605755</v>
      </c>
      <c r="H1524">
        <v>12.710551872421446</v>
      </c>
      <c r="I1524">
        <v>12.468567421134194</v>
      </c>
      <c r="J1524">
        <v>12.336855815072445</v>
      </c>
      <c r="K1524">
        <v>14.176681067160706</v>
      </c>
      <c r="L1524">
        <v>13.635111161952929</v>
      </c>
      <c r="M1524">
        <v>12.73204344577891</v>
      </c>
      <c r="N1524">
        <v>13.272414643251041</v>
      </c>
      <c r="O1524">
        <v>12.558877600564626</v>
      </c>
      <c r="P1524">
        <v>13.706602204323898</v>
      </c>
      <c r="Q1524">
        <v>13.67606783617579</v>
      </c>
      <c r="R1524">
        <v>14.031909542946732</v>
      </c>
      <c r="S1524">
        <v>12.794772221407911</v>
      </c>
      <c r="T1524">
        <v>13.3693261451031</v>
      </c>
    </row>
    <row r="1525" spans="1:20" x14ac:dyDescent="0.25">
      <c r="A1525" s="6" t="s">
        <v>1533</v>
      </c>
      <c r="B1525">
        <v>15.408006613267162</v>
      </c>
      <c r="C1525">
        <v>15.546137532130656</v>
      </c>
      <c r="D1525">
        <v>15.668534163490381</v>
      </c>
      <c r="E1525">
        <v>15.761643567881864</v>
      </c>
      <c r="F1525">
        <v>0</v>
      </c>
      <c r="G1525">
        <v>0</v>
      </c>
      <c r="H1525">
        <v>0</v>
      </c>
      <c r="I1525">
        <v>16.05382431937517</v>
      </c>
      <c r="J1525">
        <v>0</v>
      </c>
      <c r="K1525">
        <v>15.852617227929352</v>
      </c>
      <c r="L1525">
        <v>15.171347622857667</v>
      </c>
      <c r="M1525">
        <v>16.715889972716244</v>
      </c>
      <c r="N1525">
        <v>15.358678900903593</v>
      </c>
      <c r="O1525">
        <v>14.757641637324365</v>
      </c>
      <c r="P1525">
        <v>0</v>
      </c>
      <c r="Q1525">
        <v>0</v>
      </c>
      <c r="R1525">
        <v>0</v>
      </c>
      <c r="S1525">
        <v>16.383131944628133</v>
      </c>
      <c r="T1525">
        <v>0</v>
      </c>
    </row>
    <row r="1526" spans="1:20" x14ac:dyDescent="0.25">
      <c r="A1526" s="5" t="s">
        <v>1534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14.718221287590733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16.264811977439372</v>
      </c>
      <c r="Q1526">
        <v>15.053824319375174</v>
      </c>
      <c r="R1526">
        <v>15.609640474436812</v>
      </c>
      <c r="S1526">
        <v>14.190101582923029</v>
      </c>
      <c r="T1526">
        <v>14.570502080529854</v>
      </c>
    </row>
    <row r="1527" spans="1:20" x14ac:dyDescent="0.25">
      <c r="A1527" s="6" t="s">
        <v>1535</v>
      </c>
      <c r="B1527">
        <v>13.308052827833626</v>
      </c>
      <c r="C1527">
        <v>13.325718702129196</v>
      </c>
      <c r="D1527">
        <v>0</v>
      </c>
      <c r="E1527">
        <v>0</v>
      </c>
      <c r="F1527">
        <v>12.761262906914407</v>
      </c>
      <c r="G1527">
        <v>12.988010540184705</v>
      </c>
      <c r="H1527">
        <v>11.964025269493412</v>
      </c>
      <c r="I1527">
        <v>12.062560867708175</v>
      </c>
      <c r="J1527">
        <v>12.653184161621986</v>
      </c>
      <c r="K1527">
        <v>0</v>
      </c>
      <c r="L1527">
        <v>0</v>
      </c>
      <c r="M1527">
        <v>0</v>
      </c>
      <c r="N1527">
        <v>12.059226124289001</v>
      </c>
      <c r="O1527">
        <v>0</v>
      </c>
      <c r="P1527">
        <v>12.628719481995097</v>
      </c>
      <c r="Q1527">
        <v>12.64538048070524</v>
      </c>
      <c r="R1527">
        <v>10.384182365396933</v>
      </c>
      <c r="S1527">
        <v>12.653072648243482</v>
      </c>
      <c r="T1527">
        <v>12.263421072216905</v>
      </c>
    </row>
    <row r="1528" spans="1:20" x14ac:dyDescent="0.25">
      <c r="A1528" s="5" t="s">
        <v>1536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11.453866959618498</v>
      </c>
      <c r="N1528">
        <v>11.716797766245049</v>
      </c>
      <c r="O1528">
        <v>0</v>
      </c>
      <c r="P1528">
        <v>11.658159915981848</v>
      </c>
      <c r="Q1528">
        <v>0</v>
      </c>
      <c r="R1528">
        <v>11.536154395675185</v>
      </c>
      <c r="S1528">
        <v>11.560053267002704</v>
      </c>
      <c r="T1528">
        <v>11.633817721578602</v>
      </c>
    </row>
    <row r="1529" spans="1:20" x14ac:dyDescent="0.25">
      <c r="A1529" s="6" t="s">
        <v>1537</v>
      </c>
      <c r="B1529">
        <v>0</v>
      </c>
      <c r="C1529">
        <v>0</v>
      </c>
      <c r="D1529">
        <v>15.75365077712833</v>
      </c>
      <c r="E1529">
        <v>15.624140044131927</v>
      </c>
      <c r="F1529">
        <v>13.547864276850122</v>
      </c>
      <c r="G1529">
        <v>13.478709604610362</v>
      </c>
      <c r="H1529">
        <v>14.101211821904954</v>
      </c>
      <c r="I1529">
        <v>14.000831231761289</v>
      </c>
      <c r="J1529">
        <v>0</v>
      </c>
      <c r="K1529">
        <v>14.12937535238235</v>
      </c>
      <c r="L1529">
        <v>15.595285181459742</v>
      </c>
      <c r="M1529">
        <v>14.319806009259304</v>
      </c>
      <c r="N1529">
        <v>14.606038237756618</v>
      </c>
      <c r="O1529">
        <v>0</v>
      </c>
      <c r="P1529">
        <v>12.431579216939477</v>
      </c>
      <c r="Q1529">
        <v>11.360081360625795</v>
      </c>
      <c r="R1529">
        <v>11.778781786896493</v>
      </c>
      <c r="S1529">
        <v>12.576666870806701</v>
      </c>
      <c r="T1529">
        <v>10.645669353651506</v>
      </c>
    </row>
    <row r="1530" spans="1:20" x14ac:dyDescent="0.25">
      <c r="A1530" s="5" t="s">
        <v>1538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14.852617227929352</v>
      </c>
      <c r="Q1530">
        <v>13.900349838713455</v>
      </c>
      <c r="R1530">
        <v>13.661039626943458</v>
      </c>
      <c r="S1530">
        <v>14.539251146545414</v>
      </c>
      <c r="T1530">
        <v>12.721462239539209</v>
      </c>
    </row>
    <row r="1531" spans="1:20" x14ac:dyDescent="0.25">
      <c r="A1531" s="6" t="s">
        <v>1539</v>
      </c>
      <c r="B1531">
        <v>0</v>
      </c>
      <c r="C1531">
        <v>0</v>
      </c>
      <c r="D1531">
        <v>0</v>
      </c>
      <c r="E1531">
        <v>0</v>
      </c>
      <c r="F1531">
        <v>12.992365503766713</v>
      </c>
      <c r="G1531">
        <v>14.574016564706092</v>
      </c>
      <c r="H1531">
        <v>14.7066022043239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13.702749878828293</v>
      </c>
      <c r="Q1531">
        <v>12.368509612357101</v>
      </c>
      <c r="R1531">
        <v>12.758451132379266</v>
      </c>
      <c r="S1531">
        <v>0</v>
      </c>
      <c r="T1531">
        <v>12.149599118126797</v>
      </c>
    </row>
    <row r="1532" spans="1:20" x14ac:dyDescent="0.25">
      <c r="A1532" s="5" t="s">
        <v>1540</v>
      </c>
      <c r="B1532">
        <v>15.225590667641651</v>
      </c>
      <c r="C1532">
        <v>0</v>
      </c>
      <c r="D1532">
        <v>0</v>
      </c>
      <c r="E1532">
        <v>15.986710123516636</v>
      </c>
      <c r="F1532">
        <v>16.668534163490381</v>
      </c>
      <c r="G1532">
        <v>0</v>
      </c>
      <c r="H1532">
        <v>14.007943957955854</v>
      </c>
      <c r="I1532">
        <v>15.895944659593452</v>
      </c>
      <c r="J1532">
        <v>14.710464843956299</v>
      </c>
      <c r="K1532">
        <v>16.134555591488027</v>
      </c>
      <c r="L1532">
        <v>16.124213647266568</v>
      </c>
      <c r="M1532">
        <v>0</v>
      </c>
      <c r="N1532">
        <v>14.996108821518886</v>
      </c>
      <c r="O1532">
        <v>15.574016564706092</v>
      </c>
      <c r="P1532">
        <v>14.798169443906975</v>
      </c>
      <c r="Q1532">
        <v>14.949715916034434</v>
      </c>
      <c r="R1532">
        <v>14.515404404591045</v>
      </c>
      <c r="S1532">
        <v>14.683641055880589</v>
      </c>
      <c r="T1532">
        <v>0</v>
      </c>
    </row>
    <row r="1533" spans="1:20" x14ac:dyDescent="0.25">
      <c r="A1533" s="6" t="s">
        <v>1541</v>
      </c>
      <c r="B1533">
        <v>14.986710123516636</v>
      </c>
      <c r="C1533">
        <v>14.468861818654016</v>
      </c>
      <c r="D1533">
        <v>14.305129432626858</v>
      </c>
      <c r="E1533">
        <v>14.485312339434612</v>
      </c>
      <c r="F1533">
        <v>15.310982158872298</v>
      </c>
      <c r="G1533">
        <v>15.661039626943458</v>
      </c>
      <c r="H1533">
        <v>15.949715916034434</v>
      </c>
      <c r="I1533">
        <v>15.113945311812744</v>
      </c>
      <c r="J1533">
        <v>15.638786820096328</v>
      </c>
      <c r="K1533">
        <v>15.06367210533152</v>
      </c>
      <c r="L1533">
        <v>15.328684160605755</v>
      </c>
      <c r="M1533">
        <v>16.15546458125101</v>
      </c>
      <c r="N1533">
        <v>15.505303814622076</v>
      </c>
      <c r="O1533">
        <v>15.209102544853085</v>
      </c>
      <c r="P1533">
        <v>16.395515669083963</v>
      </c>
      <c r="Q1533">
        <v>17.469516250527739</v>
      </c>
      <c r="R1533">
        <v>0</v>
      </c>
      <c r="S1533">
        <v>0</v>
      </c>
      <c r="T1533">
        <v>0</v>
      </c>
    </row>
    <row r="1534" spans="1:20" x14ac:dyDescent="0.25">
      <c r="A1534" s="5" t="s">
        <v>1542</v>
      </c>
      <c r="B1534">
        <v>0</v>
      </c>
      <c r="C1534">
        <v>13.449365643028219</v>
      </c>
      <c r="D1534">
        <v>13.330169178792346</v>
      </c>
      <c r="E1534">
        <v>13.373913414598753</v>
      </c>
      <c r="F1534">
        <v>14.083571662769224</v>
      </c>
      <c r="G1534">
        <v>13.878457232864612</v>
      </c>
      <c r="H1534">
        <v>14.92257978609692</v>
      </c>
      <c r="I1534">
        <v>14.264811977439372</v>
      </c>
      <c r="J1534">
        <v>14.7066022043239</v>
      </c>
      <c r="K1534">
        <v>14.044043298582588</v>
      </c>
      <c r="L1534">
        <v>13.613251727989191</v>
      </c>
      <c r="M1534">
        <v>14.478709604610362</v>
      </c>
      <c r="N1534">
        <v>14.657306908067127</v>
      </c>
      <c r="O1534">
        <v>14.019876987451836</v>
      </c>
      <c r="P1534">
        <v>14.661039626943458</v>
      </c>
      <c r="Q1534">
        <v>14.485312339434612</v>
      </c>
      <c r="R1534">
        <v>14.810553168362809</v>
      </c>
      <c r="S1534">
        <v>14.091105335454632</v>
      </c>
      <c r="T1534">
        <v>14.646166350461927</v>
      </c>
    </row>
    <row r="1535" spans="1:20" x14ac:dyDescent="0.25">
      <c r="A1535" s="6" t="s">
        <v>1543</v>
      </c>
      <c r="B1535">
        <v>0</v>
      </c>
      <c r="C1535">
        <v>12.491239215944754</v>
      </c>
      <c r="D1535">
        <v>12.63461566478658</v>
      </c>
      <c r="E1535">
        <v>13.530689133041991</v>
      </c>
      <c r="F1535">
        <v>0</v>
      </c>
      <c r="G1535">
        <v>13.56524635507836</v>
      </c>
      <c r="H1535">
        <v>0</v>
      </c>
      <c r="I1535">
        <v>0</v>
      </c>
      <c r="J1535">
        <v>0</v>
      </c>
      <c r="K1535">
        <v>13.898145567786724</v>
      </c>
      <c r="L1535">
        <v>13.48200719471094</v>
      </c>
      <c r="M1535">
        <v>14.574016564706092</v>
      </c>
      <c r="N1535">
        <v>14.039177543410771</v>
      </c>
      <c r="O1535">
        <v>13.986710123516636</v>
      </c>
      <c r="P1535">
        <v>14.996108821518886</v>
      </c>
      <c r="Q1535">
        <v>0</v>
      </c>
      <c r="R1535">
        <v>15.209102544853085</v>
      </c>
      <c r="S1535">
        <v>0</v>
      </c>
      <c r="T1535">
        <v>0</v>
      </c>
    </row>
    <row r="1536" spans="1:20" x14ac:dyDescent="0.25">
      <c r="A1536" s="5" t="s">
        <v>1544</v>
      </c>
      <c r="B1536">
        <v>11.011960330720921</v>
      </c>
      <c r="C1536">
        <v>11.350838917725216</v>
      </c>
      <c r="D1536">
        <v>11.57907485452912</v>
      </c>
      <c r="E1536">
        <v>11.307014344201201</v>
      </c>
      <c r="F1536">
        <v>11.043269763299261</v>
      </c>
      <c r="G1536">
        <v>10.999415838332419</v>
      </c>
      <c r="H1536">
        <v>10.991043539238676</v>
      </c>
      <c r="I1536">
        <v>10.740519227846256</v>
      </c>
      <c r="J1536">
        <v>10.76540799789877</v>
      </c>
      <c r="K1536">
        <v>11.487419186048088</v>
      </c>
      <c r="L1536">
        <v>11.071347540142343</v>
      </c>
      <c r="M1536">
        <v>10.749236295355137</v>
      </c>
      <c r="N1536">
        <v>9.8895795792041969</v>
      </c>
      <c r="O1536">
        <v>10.783018265406286</v>
      </c>
      <c r="P1536">
        <v>10.839802630807371</v>
      </c>
      <c r="Q1536">
        <v>10.552276853205873</v>
      </c>
      <c r="R1536">
        <v>10.856814292096578</v>
      </c>
      <c r="S1536">
        <v>10.535713156710807</v>
      </c>
      <c r="T1536">
        <v>10.867019793419296</v>
      </c>
    </row>
    <row r="1537" spans="1:20" x14ac:dyDescent="0.25">
      <c r="A1537" s="6" t="s">
        <v>1545</v>
      </c>
      <c r="B1537">
        <v>12.155773951403292</v>
      </c>
      <c r="C1537">
        <v>11.987448053990398</v>
      </c>
      <c r="D1537">
        <v>12.322678029526109</v>
      </c>
      <c r="E1537">
        <v>12.415261823095703</v>
      </c>
      <c r="F1537">
        <v>12.417320039402313</v>
      </c>
      <c r="G1537">
        <v>0</v>
      </c>
      <c r="H1537">
        <v>0</v>
      </c>
      <c r="I1537">
        <v>11.997565216821913</v>
      </c>
      <c r="J1537">
        <v>12.242758777885902</v>
      </c>
      <c r="K1537">
        <v>12.420290304241146</v>
      </c>
      <c r="L1537">
        <v>0</v>
      </c>
      <c r="M1537">
        <v>12.345119055951285</v>
      </c>
      <c r="N1537">
        <v>10.991219731203049</v>
      </c>
      <c r="O1537">
        <v>12.162504336599966</v>
      </c>
      <c r="P1537">
        <v>12.644973845626611</v>
      </c>
      <c r="Q1537">
        <v>0</v>
      </c>
      <c r="R1537">
        <v>0</v>
      </c>
      <c r="S1537">
        <v>0</v>
      </c>
      <c r="T1537">
        <v>13.609640474436812</v>
      </c>
    </row>
    <row r="1538" spans="1:20" x14ac:dyDescent="0.25">
      <c r="A1538" s="5" t="s">
        <v>1546</v>
      </c>
      <c r="B1538">
        <v>0</v>
      </c>
      <c r="C1538">
        <v>0</v>
      </c>
      <c r="D1538">
        <v>11.307259271213766</v>
      </c>
      <c r="E1538">
        <v>10.885767961643445</v>
      </c>
      <c r="F1538">
        <v>11.138690447333275</v>
      </c>
      <c r="G1538">
        <v>11.311598074795793</v>
      </c>
      <c r="H1538">
        <v>11.236622231309244</v>
      </c>
      <c r="I1538">
        <v>10.451743853191532</v>
      </c>
      <c r="J1538">
        <v>11.509840331037397</v>
      </c>
      <c r="K1538">
        <v>0</v>
      </c>
      <c r="L1538">
        <v>11.29087896106147</v>
      </c>
      <c r="M1538">
        <v>0</v>
      </c>
      <c r="N1538">
        <v>9.9961456555021861</v>
      </c>
      <c r="O1538">
        <v>11.019173186279296</v>
      </c>
      <c r="P1538">
        <v>11.444516405825173</v>
      </c>
      <c r="Q1538">
        <v>11.301137614415417</v>
      </c>
      <c r="R1538">
        <v>0</v>
      </c>
      <c r="S1538">
        <v>0</v>
      </c>
      <c r="T1538">
        <v>11.350273819777964</v>
      </c>
    </row>
    <row r="1539" spans="1:20" x14ac:dyDescent="0.25">
      <c r="A1539" s="6" t="s">
        <v>1547</v>
      </c>
      <c r="B1539">
        <v>14.15809964141898</v>
      </c>
      <c r="C1539">
        <v>13.648017146149867</v>
      </c>
      <c r="D1539">
        <v>12.911510916982921</v>
      </c>
      <c r="E1539">
        <v>13.322759326648649</v>
      </c>
      <c r="F1539">
        <v>14.034328143749375</v>
      </c>
      <c r="G1539">
        <v>0</v>
      </c>
      <c r="H1539">
        <v>0</v>
      </c>
      <c r="I1539">
        <v>0</v>
      </c>
      <c r="J1539">
        <v>14.588160747026361</v>
      </c>
      <c r="K1539">
        <v>13.724066110065387</v>
      </c>
      <c r="L1539">
        <v>14.217323051658052</v>
      </c>
      <c r="M1539">
        <v>0</v>
      </c>
      <c r="N1539">
        <v>0</v>
      </c>
      <c r="O1539">
        <v>14.308052827833627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25">
      <c r="A1540" s="5" t="s">
        <v>1548</v>
      </c>
      <c r="B1540">
        <v>9.9655722240771478</v>
      </c>
      <c r="C1540">
        <v>9.5549905769861141</v>
      </c>
      <c r="D1540">
        <v>9.3870348848949767</v>
      </c>
      <c r="E1540">
        <v>9.1591451168664992</v>
      </c>
      <c r="F1540">
        <v>9.6609158258481109</v>
      </c>
      <c r="G1540">
        <v>10.44747072842596</v>
      </c>
      <c r="H1540">
        <v>10.431146914735519</v>
      </c>
      <c r="I1540">
        <v>9.8920860516437923</v>
      </c>
      <c r="J1540">
        <v>9.9455772485567504</v>
      </c>
      <c r="K1540">
        <v>9.3101622622814535</v>
      </c>
      <c r="L1540">
        <v>9.5575996062649775</v>
      </c>
      <c r="M1540">
        <v>10.600248509807813</v>
      </c>
      <c r="N1540">
        <v>10.905759043244228</v>
      </c>
      <c r="O1540">
        <v>10.150526939541775</v>
      </c>
      <c r="P1540">
        <v>11.203722973521241</v>
      </c>
      <c r="Q1540">
        <v>12.242877649722862</v>
      </c>
      <c r="R1540">
        <v>11.99628563321601</v>
      </c>
      <c r="S1540">
        <v>12.248644191488919</v>
      </c>
      <c r="T1540">
        <v>11.858916072149341</v>
      </c>
    </row>
    <row r="1541" spans="1:20" x14ac:dyDescent="0.25">
      <c r="A1541" s="6" t="s">
        <v>1549</v>
      </c>
      <c r="B1541">
        <v>13.856891883029679</v>
      </c>
      <c r="C1541">
        <v>13.10696617234723</v>
      </c>
      <c r="D1541">
        <v>12.720965405143053</v>
      </c>
      <c r="E1541">
        <v>12.473744483615842</v>
      </c>
      <c r="F1541">
        <v>13.361712960993227</v>
      </c>
      <c r="G1541">
        <v>13.996108821518886</v>
      </c>
      <c r="H1541">
        <v>14.031909542946732</v>
      </c>
      <c r="I1541">
        <v>13.515404404591045</v>
      </c>
      <c r="J1541">
        <v>13.712400048862014</v>
      </c>
      <c r="K1541">
        <v>13.012776872420392</v>
      </c>
      <c r="L1541">
        <v>13.657306908067127</v>
      </c>
      <c r="M1541">
        <v>14.414292876114592</v>
      </c>
      <c r="N1541">
        <v>14.539251146545414</v>
      </c>
      <c r="O1541">
        <v>13.800226030200914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25">
      <c r="A1542" s="5" t="s">
        <v>1550</v>
      </c>
      <c r="B1542">
        <v>0</v>
      </c>
      <c r="C1542">
        <v>0</v>
      </c>
      <c r="D1542">
        <v>14.986710123516636</v>
      </c>
      <c r="E1542">
        <v>14.818868436574812</v>
      </c>
      <c r="F1542">
        <v>0</v>
      </c>
      <c r="G1542">
        <v>15.761643567881864</v>
      </c>
      <c r="H1542">
        <v>0</v>
      </c>
      <c r="I1542">
        <v>0</v>
      </c>
      <c r="J1542">
        <v>0</v>
      </c>
      <c r="K1542">
        <v>0</v>
      </c>
      <c r="L1542">
        <v>15.346606068603018</v>
      </c>
      <c r="M1542">
        <v>0</v>
      </c>
      <c r="N1542">
        <v>0</v>
      </c>
      <c r="O1542">
        <v>0</v>
      </c>
      <c r="P1542">
        <v>0</v>
      </c>
      <c r="Q1542">
        <v>15.931568569324174</v>
      </c>
      <c r="R1542">
        <v>16.420606650046796</v>
      </c>
      <c r="S1542">
        <v>15.869792371737484</v>
      </c>
      <c r="T1542">
        <v>15.098678555159433</v>
      </c>
    </row>
    <row r="1543" spans="1:20" x14ac:dyDescent="0.25">
      <c r="A1543" s="6" t="s">
        <v>1551</v>
      </c>
      <c r="B1543">
        <v>13.607838231802827</v>
      </c>
      <c r="C1543">
        <v>11.318501093336055</v>
      </c>
      <c r="D1543">
        <v>11.98184689175433</v>
      </c>
      <c r="E1543">
        <v>12.132306378169337</v>
      </c>
      <c r="F1543">
        <v>12.949122524301849</v>
      </c>
      <c r="G1543">
        <v>12.402075545297379</v>
      </c>
      <c r="H1543">
        <v>12.528624739740936</v>
      </c>
      <c r="I1543">
        <v>13.430129424165303</v>
      </c>
      <c r="J1543">
        <v>13.331655727137047</v>
      </c>
      <c r="K1543">
        <v>11.968684128722973</v>
      </c>
      <c r="L1543">
        <v>12.111996177010683</v>
      </c>
      <c r="M1543">
        <v>13.702749878828293</v>
      </c>
      <c r="N1543">
        <v>13.553056946070445</v>
      </c>
      <c r="O1543">
        <v>13.683641055880589</v>
      </c>
      <c r="P1543">
        <v>14.59886063568357</v>
      </c>
      <c r="Q1543">
        <v>14.250681648604484</v>
      </c>
      <c r="R1543">
        <v>14.602444973032609</v>
      </c>
      <c r="S1543">
        <v>14.986710123516636</v>
      </c>
      <c r="T1543">
        <v>13.457457055381768</v>
      </c>
    </row>
    <row r="1544" spans="1:20" x14ac:dyDescent="0.25">
      <c r="A1544" s="5" t="s">
        <v>1552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16.695841509486119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16.370853614849693</v>
      </c>
      <c r="Q1544">
        <v>16.498609162048069</v>
      </c>
      <c r="R1544">
        <v>16.093625327433145</v>
      </c>
      <c r="S1544">
        <v>17.095644495069799</v>
      </c>
      <c r="T1544">
        <v>16.91899989582112</v>
      </c>
    </row>
    <row r="1545" spans="1:20" x14ac:dyDescent="0.25">
      <c r="A1545" s="6" t="s">
        <v>1553</v>
      </c>
      <c r="B1545">
        <v>10.55594479102448</v>
      </c>
      <c r="C1545">
        <v>11.424368568842995</v>
      </c>
      <c r="D1545">
        <v>10.706112870385542</v>
      </c>
      <c r="E1545">
        <v>10.887240028503467</v>
      </c>
      <c r="F1545">
        <v>10.484419203883736</v>
      </c>
      <c r="G1545">
        <v>10.345271066449371</v>
      </c>
      <c r="H1545">
        <v>9.524203070581633</v>
      </c>
      <c r="I1545">
        <v>10.865097222963538</v>
      </c>
      <c r="J1545">
        <v>10.855848767890572</v>
      </c>
      <c r="K1545">
        <v>10.939106018703113</v>
      </c>
      <c r="L1545">
        <v>10.708141192393027</v>
      </c>
      <c r="M1545">
        <v>10.507769826057395</v>
      </c>
      <c r="N1545">
        <v>11.368208298797162</v>
      </c>
      <c r="O1545">
        <v>10.932047668704355</v>
      </c>
      <c r="P1545">
        <v>11.240327551405811</v>
      </c>
      <c r="Q1545">
        <v>10.431294321208844</v>
      </c>
      <c r="R1545">
        <v>11.122163772243219</v>
      </c>
      <c r="S1545">
        <v>11.78319367848596</v>
      </c>
      <c r="T1545">
        <v>10.418364069815379</v>
      </c>
    </row>
    <row r="1546" spans="1:20" x14ac:dyDescent="0.25">
      <c r="A1546" s="5" t="s">
        <v>1554</v>
      </c>
      <c r="B1546">
        <v>12.962141753820266</v>
      </c>
      <c r="C1546">
        <v>11.721398907993763</v>
      </c>
      <c r="D1546">
        <v>12.661441469733479</v>
      </c>
      <c r="E1546">
        <v>12.700981257444283</v>
      </c>
      <c r="F1546">
        <v>12.048931633089865</v>
      </c>
      <c r="G1546">
        <v>10.917375097598024</v>
      </c>
      <c r="H1546">
        <v>11.246707763127679</v>
      </c>
      <c r="I1546">
        <v>11.606560004867152</v>
      </c>
      <c r="J1546">
        <v>12.03941436885192</v>
      </c>
      <c r="K1546">
        <v>11.817935781413412</v>
      </c>
      <c r="L1546">
        <v>11.025387473210348</v>
      </c>
      <c r="M1546">
        <v>11.535803107101508</v>
      </c>
      <c r="N1546">
        <v>11.889438633888425</v>
      </c>
      <c r="O1546">
        <v>11.925096615545117</v>
      </c>
      <c r="P1546">
        <v>11.808342109304153</v>
      </c>
      <c r="Q1546">
        <v>13.164072666955802</v>
      </c>
      <c r="R1546">
        <v>11.916917580951425</v>
      </c>
      <c r="S1546">
        <v>13.655444164049936</v>
      </c>
      <c r="T1546">
        <v>13.18755551908691</v>
      </c>
    </row>
    <row r="1547" spans="1:20" x14ac:dyDescent="0.25">
      <c r="A1547" s="6" t="s">
        <v>1555</v>
      </c>
      <c r="B1547">
        <v>10.224207711532554</v>
      </c>
      <c r="C1547">
        <v>9.6089643695860936</v>
      </c>
      <c r="D1547">
        <v>9.7732378543656679</v>
      </c>
      <c r="E1547">
        <v>9.7591598133357618</v>
      </c>
      <c r="F1547">
        <v>9.7362923397093795</v>
      </c>
      <c r="G1547">
        <v>9.6276599930724558</v>
      </c>
      <c r="H1547">
        <v>10.274611061978113</v>
      </c>
      <c r="I1547">
        <v>9.4394299678531723</v>
      </c>
      <c r="J1547">
        <v>9.9048003182164024</v>
      </c>
      <c r="K1547">
        <v>9.8325324778496181</v>
      </c>
      <c r="L1547">
        <v>9.7623989262760329</v>
      </c>
      <c r="M1547">
        <v>10.12612293870424</v>
      </c>
      <c r="N1547">
        <v>9.3427995994973081</v>
      </c>
      <c r="O1547">
        <v>9.8996551299519382</v>
      </c>
      <c r="P1547">
        <v>10.034119379580686</v>
      </c>
      <c r="Q1547">
        <v>9.8934273638814147</v>
      </c>
      <c r="R1547">
        <v>9.7590222995107485</v>
      </c>
      <c r="S1547">
        <v>9.4044161084061138</v>
      </c>
      <c r="T1547">
        <v>9.9646536548990081</v>
      </c>
    </row>
    <row r="1548" spans="1:20" x14ac:dyDescent="0.25">
      <c r="A1548" s="5" t="s">
        <v>1556</v>
      </c>
      <c r="B1548">
        <v>16.736220971001956</v>
      </c>
      <c r="C1548">
        <v>15.67606783617579</v>
      </c>
      <c r="D1548">
        <v>16.166033822961197</v>
      </c>
      <c r="E1548">
        <v>16.662535422868938</v>
      </c>
      <c r="F1548">
        <v>17.43843364701867</v>
      </c>
      <c r="G1548">
        <v>16.408006613267162</v>
      </c>
      <c r="H1548">
        <v>17.180962064488583</v>
      </c>
      <c r="I1548">
        <v>16.671542913362721</v>
      </c>
      <c r="J1548">
        <v>16.768069837041296</v>
      </c>
      <c r="K1548">
        <v>16.712787401540105</v>
      </c>
      <c r="L1548">
        <v>16.459080797861432</v>
      </c>
      <c r="M1548">
        <v>16.815536575877065</v>
      </c>
      <c r="N1548">
        <v>16.748876271807983</v>
      </c>
      <c r="O1548">
        <v>17.271644010921797</v>
      </c>
      <c r="P1548">
        <v>17.089595450396995</v>
      </c>
      <c r="Q1548">
        <v>17.18956235845744</v>
      </c>
      <c r="R1548">
        <v>0</v>
      </c>
      <c r="S1548">
        <v>17.151258470280798</v>
      </c>
      <c r="T1548">
        <v>17.443567798490104</v>
      </c>
    </row>
    <row r="1549" spans="1:20" x14ac:dyDescent="0.25">
      <c r="A1549" s="6" t="s">
        <v>1557</v>
      </c>
      <c r="B1549">
        <v>13.947434974783196</v>
      </c>
      <c r="C1549">
        <v>14.187407473753764</v>
      </c>
      <c r="D1549">
        <v>14.4397154729945</v>
      </c>
      <c r="E1549">
        <v>15.358678900903593</v>
      </c>
      <c r="F1549">
        <v>14.729934708154525</v>
      </c>
      <c r="G1549">
        <v>13.387763393359778</v>
      </c>
      <c r="H1549">
        <v>14.222829527964596</v>
      </c>
      <c r="I1549">
        <v>14.861179241432778</v>
      </c>
      <c r="J1549">
        <v>14.000831231761289</v>
      </c>
      <c r="K1549">
        <v>14.729934708154525</v>
      </c>
      <c r="L1549">
        <v>14.376979717646538</v>
      </c>
      <c r="M1549">
        <v>14.166033822961197</v>
      </c>
      <c r="N1549">
        <v>14.714337853103507</v>
      </c>
      <c r="O1549">
        <v>15.465594104820106</v>
      </c>
      <c r="P1549">
        <v>14.48200719471094</v>
      </c>
      <c r="Q1549">
        <v>14.59171856643955</v>
      </c>
      <c r="R1549">
        <v>15.242269408788282</v>
      </c>
      <c r="S1549">
        <v>16.408006613267162</v>
      </c>
      <c r="T1549">
        <v>14.096149728848694</v>
      </c>
    </row>
    <row r="1550" spans="1:20" x14ac:dyDescent="0.25">
      <c r="A1550" s="5" t="s">
        <v>1558</v>
      </c>
      <c r="B1550">
        <v>12.581504549394454</v>
      </c>
      <c r="C1550">
        <v>0</v>
      </c>
      <c r="D1550">
        <v>0</v>
      </c>
      <c r="E1550">
        <v>0</v>
      </c>
      <c r="F1550">
        <v>11.579595789851098</v>
      </c>
      <c r="G1550">
        <v>11.886562527316729</v>
      </c>
      <c r="H1550">
        <v>12.633139358433862</v>
      </c>
      <c r="I1550">
        <v>12.125360530317435</v>
      </c>
      <c r="J1550">
        <v>10.998993557744599</v>
      </c>
      <c r="K1550">
        <v>12.883877508648865</v>
      </c>
      <c r="L1550">
        <v>12.20132262347887</v>
      </c>
      <c r="M1550">
        <v>11.264907828965242</v>
      </c>
      <c r="N1550">
        <v>0</v>
      </c>
      <c r="O1550">
        <v>0</v>
      </c>
      <c r="P1550">
        <v>10.481072799350786</v>
      </c>
      <c r="Q1550">
        <v>10.050944259509793</v>
      </c>
      <c r="R1550">
        <v>9.020469494786779</v>
      </c>
      <c r="S1550">
        <v>10.073655979462472</v>
      </c>
      <c r="T1550">
        <v>9.3589839146326543</v>
      </c>
    </row>
    <row r="1551" spans="1:20" x14ac:dyDescent="0.25">
      <c r="A1551" s="6" t="s">
        <v>1559</v>
      </c>
      <c r="B1551">
        <v>14.236688376524981</v>
      </c>
      <c r="C1551">
        <v>14.337617285375762</v>
      </c>
      <c r="D1551">
        <v>14.121639703602744</v>
      </c>
      <c r="E1551">
        <v>13.539251146545414</v>
      </c>
      <c r="F1551">
        <v>14.373913414598753</v>
      </c>
      <c r="G1551">
        <v>14.936084050446668</v>
      </c>
      <c r="H1551">
        <v>13.979701064997272</v>
      </c>
      <c r="I1551">
        <v>13.965784284662087</v>
      </c>
      <c r="J1551">
        <v>15.024677973715658</v>
      </c>
      <c r="K1551">
        <v>14.508662826711991</v>
      </c>
      <c r="L1551">
        <v>14.505303814622076</v>
      </c>
      <c r="M1551">
        <v>14.010322680738586</v>
      </c>
      <c r="N1551">
        <v>14.972725894080934</v>
      </c>
      <c r="O1551">
        <v>14.982033636307161</v>
      </c>
      <c r="P1551">
        <v>14.574016564706092</v>
      </c>
      <c r="Q1551">
        <v>13.642471866904184</v>
      </c>
      <c r="R1551">
        <v>13.539251146545414</v>
      </c>
      <c r="S1551">
        <v>13.292046969813342</v>
      </c>
      <c r="T1551">
        <v>13.020080704622366</v>
      </c>
    </row>
    <row r="1552" spans="1:20" x14ac:dyDescent="0.25">
      <c r="A1552" s="5" t="s">
        <v>1560</v>
      </c>
      <c r="B1552">
        <v>13.049757143188492</v>
      </c>
      <c r="C1552">
        <v>0</v>
      </c>
      <c r="D1552">
        <v>13.735827276077723</v>
      </c>
      <c r="E1552">
        <v>13.640628166920497</v>
      </c>
      <c r="F1552">
        <v>13.14960567307547</v>
      </c>
      <c r="G1552">
        <v>13.011632651974718</v>
      </c>
      <c r="H1552">
        <v>13.08562696278071</v>
      </c>
      <c r="I1552">
        <v>12.717035731755239</v>
      </c>
      <c r="J1552">
        <v>12.834547780317708</v>
      </c>
      <c r="K1552">
        <v>13.275501295598575</v>
      </c>
      <c r="L1552">
        <v>12.57140624207727</v>
      </c>
      <c r="M1552">
        <v>12.305246254768782</v>
      </c>
      <c r="N1552">
        <v>12.59273415366131</v>
      </c>
      <c r="O1552">
        <v>13.328684160605755</v>
      </c>
      <c r="P1552">
        <v>12.031045876092342</v>
      </c>
      <c r="Q1552">
        <v>11.412341203531053</v>
      </c>
      <c r="R1552">
        <v>11.498337847348397</v>
      </c>
      <c r="S1552">
        <v>12.388954533588691</v>
      </c>
      <c r="T1552">
        <v>12.661675150726976</v>
      </c>
    </row>
    <row r="1553" spans="1:20" x14ac:dyDescent="0.25">
      <c r="A1553" s="6" t="s">
        <v>1561</v>
      </c>
      <c r="B1553">
        <v>12.155346116631627</v>
      </c>
      <c r="C1553">
        <v>11.988479446262952</v>
      </c>
      <c r="D1553">
        <v>11.657181097125004</v>
      </c>
      <c r="E1553">
        <v>11.929828241429512</v>
      </c>
      <c r="F1553">
        <v>11.95041803104078</v>
      </c>
      <c r="G1553">
        <v>12.433182056537895</v>
      </c>
      <c r="H1553">
        <v>10.926025419617631</v>
      </c>
      <c r="I1553">
        <v>12.734725501500259</v>
      </c>
      <c r="J1553">
        <v>12.178050941779926</v>
      </c>
      <c r="K1553">
        <v>11.937865906394793</v>
      </c>
      <c r="L1553">
        <v>12.010727453946973</v>
      </c>
      <c r="M1553">
        <v>13.229201921194033</v>
      </c>
      <c r="N1553">
        <v>13.859033969601219</v>
      </c>
      <c r="O1553">
        <v>13.070059775503863</v>
      </c>
      <c r="P1553">
        <v>14.098678555159433</v>
      </c>
      <c r="Q1553">
        <v>14.061203849740769</v>
      </c>
      <c r="R1553">
        <v>0</v>
      </c>
      <c r="S1553">
        <v>0</v>
      </c>
      <c r="T1553">
        <v>13.330169178792346</v>
      </c>
    </row>
    <row r="1554" spans="1:20" x14ac:dyDescent="0.25">
      <c r="A1554" s="5" t="s">
        <v>1562</v>
      </c>
      <c r="B1554">
        <v>7.0985970894830244</v>
      </c>
      <c r="C1554">
        <v>7.3070794560003165</v>
      </c>
      <c r="D1554">
        <v>7.555159065492183</v>
      </c>
      <c r="E1554">
        <v>7.1565851288158324</v>
      </c>
      <c r="F1554">
        <v>7.6410785036114213</v>
      </c>
      <c r="G1554">
        <v>7.1941300206002827</v>
      </c>
      <c r="H1554">
        <v>7.6802432778144203</v>
      </c>
      <c r="I1554">
        <v>7.1566485276961913</v>
      </c>
      <c r="J1554">
        <v>7.5219904132210962</v>
      </c>
      <c r="K1554">
        <v>7.7338573402394388</v>
      </c>
      <c r="L1554">
        <v>7.6713990910459158</v>
      </c>
      <c r="M1554">
        <v>7.4555479450039952</v>
      </c>
      <c r="N1554">
        <v>8.066699550700358</v>
      </c>
      <c r="O1554">
        <v>7.9903756734440856</v>
      </c>
      <c r="P1554">
        <v>7.7932804477165298</v>
      </c>
      <c r="Q1554">
        <v>8.759766905996786</v>
      </c>
      <c r="R1554">
        <v>8.4852828695459053</v>
      </c>
      <c r="S1554">
        <v>8.3482539923311343</v>
      </c>
      <c r="T1554">
        <v>8.5222354482270593</v>
      </c>
    </row>
    <row r="1555" spans="1:20" x14ac:dyDescent="0.25">
      <c r="A1555" s="6" t="s">
        <v>1563</v>
      </c>
      <c r="B1555">
        <v>8.0517345545498813</v>
      </c>
      <c r="C1555">
        <v>8.3805765466285607</v>
      </c>
      <c r="D1555">
        <v>8.533545870704744</v>
      </c>
      <c r="E1555">
        <v>8.6030680997281248</v>
      </c>
      <c r="F1555">
        <v>8.6439808440113985</v>
      </c>
      <c r="G1555">
        <v>8.2147456791330811</v>
      </c>
      <c r="H1555">
        <v>8.461767535360103</v>
      </c>
      <c r="I1555">
        <v>8.3446420159017372</v>
      </c>
      <c r="J1555">
        <v>8.3140730952638329</v>
      </c>
      <c r="K1555">
        <v>8.55574662299124</v>
      </c>
      <c r="L1555">
        <v>8.6288628239171654</v>
      </c>
      <c r="M1555">
        <v>8.2081089849323359</v>
      </c>
      <c r="N1555">
        <v>8.9148605496420927</v>
      </c>
      <c r="O1555">
        <v>9.0436009013544769</v>
      </c>
      <c r="P1555">
        <v>7.7920514301788799</v>
      </c>
      <c r="Q1555">
        <v>7.5734709838750467</v>
      </c>
      <c r="R1555">
        <v>7.9451398564923768</v>
      </c>
      <c r="S1555">
        <v>7.9106000859361716</v>
      </c>
      <c r="T1555">
        <v>7.8593133446400509</v>
      </c>
    </row>
    <row r="1556" spans="1:20" x14ac:dyDescent="0.25">
      <c r="A1556" s="5" t="s">
        <v>1564</v>
      </c>
      <c r="B1556">
        <v>11.794720965131292</v>
      </c>
      <c r="C1556">
        <v>11.913830349472237</v>
      </c>
      <c r="D1556">
        <v>12.190789386544255</v>
      </c>
      <c r="E1556">
        <v>11.613626913638543</v>
      </c>
      <c r="F1556">
        <v>11.801600434937299</v>
      </c>
      <c r="G1556">
        <v>11.579436840490345</v>
      </c>
      <c r="H1556">
        <v>11.524806580647249</v>
      </c>
      <c r="I1556">
        <v>10.911508138125882</v>
      </c>
      <c r="J1556">
        <v>11.511962263729357</v>
      </c>
      <c r="K1556">
        <v>11.963984923818828</v>
      </c>
      <c r="L1556">
        <v>12.498408801650429</v>
      </c>
      <c r="M1556">
        <v>11.704501411622811</v>
      </c>
      <c r="N1556">
        <v>12.727290884419148</v>
      </c>
      <c r="O1556">
        <v>12.275808893518004</v>
      </c>
      <c r="P1556">
        <v>11.63887423092601</v>
      </c>
      <c r="Q1556">
        <v>11.83333115387202</v>
      </c>
      <c r="R1556">
        <v>12.240327551405809</v>
      </c>
      <c r="S1556">
        <v>11.743419893101581</v>
      </c>
      <c r="T1556">
        <v>11.851827803173631</v>
      </c>
    </row>
    <row r="1557" spans="1:20" x14ac:dyDescent="0.25">
      <c r="A1557" s="6" t="s">
        <v>1565</v>
      </c>
      <c r="B1557">
        <v>0</v>
      </c>
      <c r="C1557">
        <v>0</v>
      </c>
      <c r="D1557">
        <v>0</v>
      </c>
      <c r="E1557">
        <v>0</v>
      </c>
      <c r="F1557">
        <v>15.566996137028319</v>
      </c>
      <c r="G1557">
        <v>0</v>
      </c>
      <c r="H1557">
        <v>0</v>
      </c>
      <c r="I1557">
        <v>0</v>
      </c>
      <c r="J1557">
        <v>0</v>
      </c>
      <c r="K1557">
        <v>15.532397475504352</v>
      </c>
      <c r="L1557">
        <v>0</v>
      </c>
      <c r="M1557">
        <v>0</v>
      </c>
      <c r="N1557">
        <v>0</v>
      </c>
      <c r="O1557">
        <v>0</v>
      </c>
      <c r="P1557">
        <v>14.83564414932564</v>
      </c>
      <c r="Q1557">
        <v>12.507813937816627</v>
      </c>
      <c r="R1557">
        <v>13.309516749867798</v>
      </c>
      <c r="S1557">
        <v>14.267654727208196</v>
      </c>
      <c r="T1557">
        <v>12.287748447376321</v>
      </c>
    </row>
    <row r="1558" spans="1:20" x14ac:dyDescent="0.25">
      <c r="A1558" s="5" t="s">
        <v>1566</v>
      </c>
      <c r="B1558">
        <v>14.936084050446668</v>
      </c>
      <c r="C1558">
        <v>0</v>
      </c>
      <c r="D1558">
        <v>0</v>
      </c>
      <c r="E1558">
        <v>0</v>
      </c>
      <c r="F1558">
        <v>14.95428864582426</v>
      </c>
      <c r="G1558">
        <v>13.927067177089235</v>
      </c>
      <c r="H1558">
        <v>14.839868735187364</v>
      </c>
      <c r="I1558">
        <v>14.446141742153932</v>
      </c>
      <c r="J1558">
        <v>15.113945311812744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13.505303814622076</v>
      </c>
      <c r="Q1558">
        <v>12.37985261847659</v>
      </c>
      <c r="R1558">
        <v>13.131419324859184</v>
      </c>
      <c r="S1558">
        <v>14.270503089517227</v>
      </c>
      <c r="T1558">
        <v>11.818904921376054</v>
      </c>
    </row>
    <row r="1559" spans="1:20" x14ac:dyDescent="0.25">
      <c r="A1559" s="6" t="s">
        <v>1567</v>
      </c>
      <c r="B1559">
        <v>16.005569150767954</v>
      </c>
      <c r="C1559">
        <v>0</v>
      </c>
      <c r="D1559">
        <v>17.370853614849693</v>
      </c>
      <c r="E1559">
        <v>0</v>
      </c>
      <c r="F1559">
        <v>0</v>
      </c>
      <c r="G1559">
        <v>14.75365077712833</v>
      </c>
      <c r="H1559">
        <v>15.029494990013431</v>
      </c>
      <c r="I1559">
        <v>16.34660606860302</v>
      </c>
      <c r="J1559">
        <v>0</v>
      </c>
      <c r="K1559">
        <v>15.588160747026361</v>
      </c>
      <c r="L1559">
        <v>0</v>
      </c>
      <c r="M1559">
        <v>16.420606650046796</v>
      </c>
      <c r="N1559">
        <v>16.525576209648339</v>
      </c>
      <c r="O1559">
        <v>0</v>
      </c>
      <c r="P1559">
        <v>14.63144484475516</v>
      </c>
      <c r="Q1559">
        <v>13.303669953452426</v>
      </c>
      <c r="R1559">
        <v>14.242269408788282</v>
      </c>
      <c r="S1559">
        <v>15.358678900903593</v>
      </c>
      <c r="T1559">
        <v>12.739492791970452</v>
      </c>
    </row>
    <row r="1560" spans="1:20" x14ac:dyDescent="0.25">
      <c r="A1560" s="5" t="s">
        <v>1568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13.735827276077723</v>
      </c>
      <c r="R1560">
        <v>13.798169443906975</v>
      </c>
      <c r="S1560">
        <v>15.220073662674086</v>
      </c>
      <c r="T1560">
        <v>12.979747679483483</v>
      </c>
    </row>
    <row r="1561" spans="1:20" x14ac:dyDescent="0.25">
      <c r="A1561" s="6" t="s">
        <v>1569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14.039177543410771</v>
      </c>
      <c r="R1561">
        <v>13.942883882552009</v>
      </c>
      <c r="S1561">
        <v>15.63144484475516</v>
      </c>
      <c r="T1561">
        <v>13.88063160409895</v>
      </c>
    </row>
    <row r="1562" spans="1:20" x14ac:dyDescent="0.25">
      <c r="A1562" s="5" t="s">
        <v>1570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14.75365077712833</v>
      </c>
      <c r="R1562">
        <v>15.426948176920622</v>
      </c>
      <c r="S1562">
        <v>15.346606068603018</v>
      </c>
      <c r="T1562">
        <v>13.581071322240041</v>
      </c>
    </row>
    <row r="1563" spans="1:20" x14ac:dyDescent="0.25">
      <c r="A1563" s="6" t="s">
        <v>1571</v>
      </c>
      <c r="B1563">
        <v>13.720166931905704</v>
      </c>
      <c r="C1563">
        <v>0</v>
      </c>
      <c r="D1563">
        <v>15.485312339434612</v>
      </c>
      <c r="E1563">
        <v>14.714337853103507</v>
      </c>
      <c r="F1563">
        <v>13.318331614607843</v>
      </c>
      <c r="G1563">
        <v>12.729258603303805</v>
      </c>
      <c r="H1563">
        <v>13.662909614296503</v>
      </c>
      <c r="I1563">
        <v>13.274428792731026</v>
      </c>
      <c r="J1563">
        <v>13.655444164049936</v>
      </c>
      <c r="K1563">
        <v>13.234628854346688</v>
      </c>
      <c r="L1563">
        <v>14.814704811633275</v>
      </c>
      <c r="M1563">
        <v>14.012705332049579</v>
      </c>
      <c r="N1563">
        <v>15.015091924886457</v>
      </c>
      <c r="O1563">
        <v>0</v>
      </c>
      <c r="P1563">
        <v>12.201859465529932</v>
      </c>
      <c r="Q1563">
        <v>10.864333214711962</v>
      </c>
      <c r="R1563">
        <v>11.338405307626134</v>
      </c>
      <c r="S1563">
        <v>12.43678497141266</v>
      </c>
      <c r="T1563">
        <v>10.449654130190366</v>
      </c>
    </row>
    <row r="1564" spans="1:20" x14ac:dyDescent="0.25">
      <c r="A1564" s="5" t="s">
        <v>1572</v>
      </c>
      <c r="B1564">
        <v>12.056495039628842</v>
      </c>
      <c r="C1564">
        <v>13.495273449484813</v>
      </c>
      <c r="D1564">
        <v>13.006031931452988</v>
      </c>
      <c r="E1564">
        <v>13.032030376737236</v>
      </c>
      <c r="F1564">
        <v>11.520006738329917</v>
      </c>
      <c r="G1564">
        <v>11.09827997080528</v>
      </c>
      <c r="H1564">
        <v>11.556220642806421</v>
      </c>
      <c r="I1564">
        <v>11.528765400029997</v>
      </c>
      <c r="J1564">
        <v>11.868605012765087</v>
      </c>
      <c r="K1564">
        <v>11.815006270765089</v>
      </c>
      <c r="L1564">
        <v>12.487340486173169</v>
      </c>
      <c r="M1564">
        <v>12.100673130404465</v>
      </c>
      <c r="N1564">
        <v>12.721053069369285</v>
      </c>
      <c r="O1564">
        <v>13.718221287590733</v>
      </c>
      <c r="P1564">
        <v>10.259362477081719</v>
      </c>
      <c r="Q1564">
        <v>9.0344537193574457</v>
      </c>
      <c r="R1564">
        <v>9.6624676110611674</v>
      </c>
      <c r="S1564">
        <v>10.600996724757598</v>
      </c>
      <c r="T1564">
        <v>8.7821751820625504</v>
      </c>
    </row>
    <row r="1565" spans="1:20" x14ac:dyDescent="0.25">
      <c r="A1565" s="6" t="s">
        <v>1573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14.113945311812744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13.272928626922379</v>
      </c>
      <c r="Q1565">
        <v>12.251005096028701</v>
      </c>
      <c r="R1565">
        <v>12.585657747145833</v>
      </c>
      <c r="S1565">
        <v>13.802285552379209</v>
      </c>
      <c r="T1565">
        <v>12.301672860921332</v>
      </c>
    </row>
    <row r="1566" spans="1:20" x14ac:dyDescent="0.25">
      <c r="A1566" s="5" t="s">
        <v>1574</v>
      </c>
      <c r="B1566">
        <v>0</v>
      </c>
      <c r="C1566">
        <v>14.757641637324365</v>
      </c>
      <c r="D1566">
        <v>15.103749544706854</v>
      </c>
      <c r="E1566">
        <v>0</v>
      </c>
      <c r="F1566">
        <v>13.165158924027816</v>
      </c>
      <c r="G1566">
        <v>12.865694722555268</v>
      </c>
      <c r="H1566">
        <v>0</v>
      </c>
      <c r="I1566">
        <v>0</v>
      </c>
      <c r="J1566">
        <v>0</v>
      </c>
      <c r="K1566">
        <v>13.366276048743151</v>
      </c>
      <c r="L1566">
        <v>0</v>
      </c>
      <c r="M1566">
        <v>0</v>
      </c>
      <c r="N1566">
        <v>0</v>
      </c>
      <c r="O1566">
        <v>0</v>
      </c>
      <c r="P1566">
        <v>12.196987645945356</v>
      </c>
      <c r="Q1566">
        <v>10.981140982341669</v>
      </c>
      <c r="R1566">
        <v>11.377820255576843</v>
      </c>
      <c r="S1566">
        <v>12.423060684837942</v>
      </c>
      <c r="T1566">
        <v>10.824576482759621</v>
      </c>
    </row>
    <row r="1567" spans="1:20" x14ac:dyDescent="0.25">
      <c r="A1567" s="6" t="s">
        <v>1575</v>
      </c>
      <c r="B1567">
        <v>11.645070873131619</v>
      </c>
      <c r="C1567">
        <v>12.911399766876093</v>
      </c>
      <c r="D1567">
        <v>12.611255393027426</v>
      </c>
      <c r="E1567">
        <v>12.594392700737876</v>
      </c>
      <c r="F1567">
        <v>12.828039457559212</v>
      </c>
      <c r="G1567">
        <v>0</v>
      </c>
      <c r="H1567">
        <v>11.816670627011298</v>
      </c>
      <c r="I1567">
        <v>12.27238609397104</v>
      </c>
      <c r="J1567">
        <v>12.089111363568858</v>
      </c>
      <c r="K1567">
        <v>12.462789778427625</v>
      </c>
      <c r="L1567">
        <v>12.488517289941267</v>
      </c>
      <c r="M1567">
        <v>11.824346261847298</v>
      </c>
      <c r="N1567">
        <v>12.622192263998265</v>
      </c>
      <c r="O1567">
        <v>12.483592719230874</v>
      </c>
      <c r="P1567">
        <v>11.563861158686032</v>
      </c>
      <c r="Q1567">
        <v>11.34442864196544</v>
      </c>
      <c r="R1567">
        <v>13.166577588076652</v>
      </c>
      <c r="S1567">
        <v>12.311840113725536</v>
      </c>
      <c r="T1567">
        <v>11.328654475828008</v>
      </c>
    </row>
    <row r="1568" spans="1:20" x14ac:dyDescent="0.25">
      <c r="A1568" s="5" t="s">
        <v>1576</v>
      </c>
      <c r="B1568">
        <v>0</v>
      </c>
      <c r="C1568">
        <v>16.264811977439372</v>
      </c>
      <c r="D1568">
        <v>15.566996137028319</v>
      </c>
      <c r="E1568">
        <v>15.498609162048069</v>
      </c>
      <c r="F1568">
        <v>15.270503089517227</v>
      </c>
      <c r="G1568">
        <v>0</v>
      </c>
      <c r="H1568">
        <v>0</v>
      </c>
      <c r="I1568">
        <v>16.015091924886459</v>
      </c>
      <c r="J1568">
        <v>0</v>
      </c>
      <c r="K1568">
        <v>15.977372258937301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15.922579786096922</v>
      </c>
      <c r="R1568">
        <v>17.024677973715654</v>
      </c>
      <c r="S1568">
        <v>0</v>
      </c>
      <c r="T1568">
        <v>0</v>
      </c>
    </row>
    <row r="1569" spans="1:20" x14ac:dyDescent="0.25">
      <c r="A1569" s="6" t="s">
        <v>1577</v>
      </c>
      <c r="B1569">
        <v>10.42149872330158</v>
      </c>
      <c r="C1569">
        <v>10.841260274089622</v>
      </c>
      <c r="D1569">
        <v>10.680095626791083</v>
      </c>
      <c r="E1569">
        <v>10.453278242804334</v>
      </c>
      <c r="F1569">
        <v>11.363236187761927</v>
      </c>
      <c r="G1569">
        <v>11.525074415984673</v>
      </c>
      <c r="H1569">
        <v>11.027692747379447</v>
      </c>
      <c r="I1569">
        <v>11.344901389793957</v>
      </c>
      <c r="J1569">
        <v>11.310003833201055</v>
      </c>
      <c r="K1569">
        <v>10.80386823224825</v>
      </c>
      <c r="L1569">
        <v>11.129242852874111</v>
      </c>
      <c r="M1569">
        <v>11.313557555599695</v>
      </c>
      <c r="N1569">
        <v>12.598923285091514</v>
      </c>
      <c r="O1569">
        <v>11.152650386745222</v>
      </c>
      <c r="P1569">
        <v>11.773337590927042</v>
      </c>
      <c r="Q1569">
        <v>12.149074818705349</v>
      </c>
      <c r="R1569">
        <v>0</v>
      </c>
      <c r="S1569">
        <v>13.313917449896843</v>
      </c>
      <c r="T1569">
        <v>12.796546811054451</v>
      </c>
    </row>
    <row r="1570" spans="1:20" x14ac:dyDescent="0.25">
      <c r="A1570" s="5" t="s">
        <v>1578</v>
      </c>
      <c r="B1570">
        <v>14.131963146871506</v>
      </c>
      <c r="C1570">
        <v>0</v>
      </c>
      <c r="D1570">
        <v>0</v>
      </c>
      <c r="E1570">
        <v>0</v>
      </c>
      <c r="F1570">
        <v>13.588160747026361</v>
      </c>
      <c r="G1570">
        <v>0</v>
      </c>
      <c r="H1570">
        <v>13.498609162048069</v>
      </c>
      <c r="I1570">
        <v>13.436513040956156</v>
      </c>
      <c r="J1570">
        <v>0</v>
      </c>
      <c r="K1570">
        <v>14.174011880384722</v>
      </c>
      <c r="L1570">
        <v>13.996108821518886</v>
      </c>
      <c r="M1570">
        <v>0</v>
      </c>
      <c r="N1570">
        <v>0</v>
      </c>
      <c r="O1570">
        <v>0</v>
      </c>
      <c r="P1570">
        <v>13.56524635507836</v>
      </c>
      <c r="Q1570">
        <v>12.90764792070547</v>
      </c>
      <c r="R1570">
        <v>13.110470660321562</v>
      </c>
      <c r="S1570">
        <v>12.559330336423399</v>
      </c>
      <c r="T1570">
        <v>13.333143808796457</v>
      </c>
    </row>
    <row r="1571" spans="1:20" x14ac:dyDescent="0.25">
      <c r="A1571" s="6" t="s">
        <v>1579</v>
      </c>
      <c r="B1571">
        <v>14.343603580441494</v>
      </c>
      <c r="C1571">
        <v>14.051372840381076</v>
      </c>
      <c r="D1571">
        <v>14.13715270297407</v>
      </c>
      <c r="E1571">
        <v>14.126792191368347</v>
      </c>
      <c r="F1571">
        <v>13.904768509980459</v>
      </c>
      <c r="G1571">
        <v>14.691254239990466</v>
      </c>
      <c r="H1571">
        <v>14.337617285375762</v>
      </c>
      <c r="I1571">
        <v>14.108838421379655</v>
      </c>
      <c r="J1571">
        <v>14.913646661326911</v>
      </c>
      <c r="K1571">
        <v>14.261974818135842</v>
      </c>
      <c r="L1571">
        <v>14.200928613407385</v>
      </c>
      <c r="M1571">
        <v>14.595285181459742</v>
      </c>
      <c r="N1571">
        <v>14.823044112546006</v>
      </c>
      <c r="O1571">
        <v>14.904768509980459</v>
      </c>
      <c r="P1571">
        <v>14.27335708657238</v>
      </c>
      <c r="Q1571">
        <v>13.904768509980459</v>
      </c>
      <c r="R1571">
        <v>13.406439318120201</v>
      </c>
      <c r="S1571">
        <v>13.958875915319911</v>
      </c>
      <c r="T1571">
        <v>13.741744010444156</v>
      </c>
    </row>
    <row r="1572" spans="1:20" x14ac:dyDescent="0.25">
      <c r="A1572" s="5" t="s">
        <v>1580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14.007943957955854</v>
      </c>
      <c r="I1572">
        <v>14.789972290940359</v>
      </c>
      <c r="J1572">
        <v>0</v>
      </c>
      <c r="K1572">
        <v>0</v>
      </c>
      <c r="L1572">
        <v>15.878457232864612</v>
      </c>
      <c r="M1572">
        <v>0</v>
      </c>
      <c r="N1572">
        <v>0</v>
      </c>
      <c r="O1572">
        <v>0</v>
      </c>
      <c r="P1572">
        <v>15.108838421379655</v>
      </c>
      <c r="Q1572">
        <v>14.361712960993227</v>
      </c>
      <c r="R1572">
        <v>15.108838421379655</v>
      </c>
      <c r="S1572">
        <v>14.430129424165303</v>
      </c>
      <c r="T1572">
        <v>14.000831231761289</v>
      </c>
    </row>
    <row r="1573" spans="1:20" x14ac:dyDescent="0.25">
      <c r="A1573" s="6" t="s">
        <v>1581</v>
      </c>
      <c r="B1573">
        <v>9.514498781147493</v>
      </c>
      <c r="C1573">
        <v>10.034807810653085</v>
      </c>
      <c r="D1573">
        <v>10.044478975405449</v>
      </c>
      <c r="E1573">
        <v>9.8348376045656583</v>
      </c>
      <c r="F1573">
        <v>10.219354559326071</v>
      </c>
      <c r="G1573">
        <v>9.9723983096118864</v>
      </c>
      <c r="H1573">
        <v>9.8405193638776183</v>
      </c>
      <c r="I1573">
        <v>9.9712610384467641</v>
      </c>
      <c r="J1573">
        <v>9.9004560042386558</v>
      </c>
      <c r="K1573">
        <v>9.667651534229325</v>
      </c>
      <c r="L1573">
        <v>9.7923817736968193</v>
      </c>
      <c r="M1573">
        <v>9.8386079857563544</v>
      </c>
      <c r="N1573">
        <v>10.259670190152216</v>
      </c>
      <c r="O1573">
        <v>10.192027584942354</v>
      </c>
      <c r="P1573">
        <v>9.4166494165946037</v>
      </c>
      <c r="Q1573">
        <v>9.2033708309239994</v>
      </c>
      <c r="R1573">
        <v>9.1945739524832515</v>
      </c>
      <c r="S1573">
        <v>9.3436354490571123</v>
      </c>
      <c r="T1573">
        <v>8.9876033017049455</v>
      </c>
    </row>
    <row r="1574" spans="1:20" x14ac:dyDescent="0.25">
      <c r="A1574" s="5" t="s">
        <v>1582</v>
      </c>
      <c r="B1574">
        <v>12.306422304380286</v>
      </c>
      <c r="C1574">
        <v>12.776244340273584</v>
      </c>
      <c r="D1574">
        <v>13.284469962060767</v>
      </c>
      <c r="E1574">
        <v>12.954918531144541</v>
      </c>
      <c r="F1574">
        <v>12.064172441646178</v>
      </c>
      <c r="G1574">
        <v>11.986007683330289</v>
      </c>
      <c r="H1574">
        <v>12.073282899227941</v>
      </c>
      <c r="I1574">
        <v>11.335423548603291</v>
      </c>
      <c r="J1574">
        <v>11.958491171373291</v>
      </c>
      <c r="K1574">
        <v>12.033257412733169</v>
      </c>
      <c r="L1574">
        <v>11.433202003570177</v>
      </c>
      <c r="M1574">
        <v>11.754059332877397</v>
      </c>
      <c r="N1574">
        <v>11.591237748224504</v>
      </c>
      <c r="O1574">
        <v>12.012842454210199</v>
      </c>
      <c r="P1574">
        <v>11.694927670942983</v>
      </c>
      <c r="Q1574">
        <v>11.777509973340882</v>
      </c>
      <c r="R1574">
        <v>11.110129395215234</v>
      </c>
      <c r="S1574">
        <v>11.848222215405109</v>
      </c>
      <c r="T1574">
        <v>11.74331107466541</v>
      </c>
    </row>
    <row r="1575" spans="1:20" x14ac:dyDescent="0.25">
      <c r="A1575" s="6" t="s">
        <v>1583</v>
      </c>
      <c r="B1575">
        <v>11.027882509685803</v>
      </c>
      <c r="C1575">
        <v>11.209826806516975</v>
      </c>
      <c r="D1575">
        <v>11.649221437838994</v>
      </c>
      <c r="E1575">
        <v>11.100527401392519</v>
      </c>
      <c r="F1575">
        <v>10.619214245382334</v>
      </c>
      <c r="G1575">
        <v>11.256550122510463</v>
      </c>
      <c r="H1575">
        <v>10.811924483820837</v>
      </c>
      <c r="I1575">
        <v>10.947323871031024</v>
      </c>
      <c r="J1575">
        <v>11.196591431864473</v>
      </c>
      <c r="K1575">
        <v>11.311117784445532</v>
      </c>
      <c r="L1575">
        <v>11.39373671694924</v>
      </c>
      <c r="M1575">
        <v>10.751622168713059</v>
      </c>
      <c r="N1575">
        <v>10.793322371775595</v>
      </c>
      <c r="O1575">
        <v>11.380421731987566</v>
      </c>
      <c r="P1575">
        <v>10.761996770837747</v>
      </c>
      <c r="Q1575">
        <v>9.6418182361514209</v>
      </c>
      <c r="R1575">
        <v>9.4777073950282649</v>
      </c>
      <c r="S1575">
        <v>9.8820889069890985</v>
      </c>
      <c r="T1575">
        <v>9.7631897830429928</v>
      </c>
    </row>
    <row r="1576" spans="1:20" x14ac:dyDescent="0.25">
      <c r="A1576" s="5" t="s">
        <v>1584</v>
      </c>
      <c r="B1576">
        <v>13.816785122074323</v>
      </c>
      <c r="C1576">
        <v>15.06367210533152</v>
      </c>
      <c r="D1576">
        <v>14.982033636307161</v>
      </c>
      <c r="E1576">
        <v>15.242269408788282</v>
      </c>
      <c r="F1576">
        <v>15.624140044131927</v>
      </c>
      <c r="G1576">
        <v>14.789972290940359</v>
      </c>
      <c r="H1576">
        <v>13.4397154729945</v>
      </c>
      <c r="I1576">
        <v>13.3693261451031</v>
      </c>
      <c r="J1576">
        <v>14.769680886947281</v>
      </c>
      <c r="K1576">
        <v>13.144136104807307</v>
      </c>
      <c r="L1576">
        <v>13.653583822024411</v>
      </c>
      <c r="M1576">
        <v>13.546137532130654</v>
      </c>
      <c r="N1576">
        <v>14.051372840381076</v>
      </c>
      <c r="O1576">
        <v>14.818868436574812</v>
      </c>
      <c r="P1576">
        <v>12.278350873580569</v>
      </c>
      <c r="Q1576">
        <v>12.105382390154601</v>
      </c>
      <c r="R1576">
        <v>14.602444973032609</v>
      </c>
      <c r="S1576">
        <v>11.855207225552059</v>
      </c>
      <c r="T1576">
        <v>11.645847328180009</v>
      </c>
    </row>
    <row r="1577" spans="1:20" x14ac:dyDescent="0.25">
      <c r="A1577" s="6" t="s">
        <v>1585</v>
      </c>
      <c r="B1577">
        <v>15.83564414932564</v>
      </c>
      <c r="C1577">
        <v>15.904768509980459</v>
      </c>
      <c r="D1577">
        <v>16.733074415685092</v>
      </c>
      <c r="E1577">
        <v>0</v>
      </c>
      <c r="F1577">
        <v>16.459080797861432</v>
      </c>
      <c r="G1577">
        <v>16.299300353824663</v>
      </c>
      <c r="H1577">
        <v>17.209102544853081</v>
      </c>
      <c r="I1577">
        <v>0</v>
      </c>
      <c r="J1577">
        <v>16.828910437960435</v>
      </c>
      <c r="K1577">
        <v>16.06367210533152</v>
      </c>
      <c r="L1577">
        <v>15.949715916034434</v>
      </c>
      <c r="M1577">
        <v>16.083571662769224</v>
      </c>
      <c r="N1577">
        <v>17.296975300878419</v>
      </c>
      <c r="O1577">
        <v>16.6989078125339</v>
      </c>
      <c r="P1577">
        <v>0</v>
      </c>
      <c r="Q1577">
        <v>17.051862803041885</v>
      </c>
      <c r="R1577">
        <v>17.044043298582586</v>
      </c>
      <c r="S1577">
        <v>0</v>
      </c>
      <c r="T1577">
        <v>0</v>
      </c>
    </row>
    <row r="1578" spans="1:20" x14ac:dyDescent="0.25">
      <c r="A1578" s="5" t="s">
        <v>1586</v>
      </c>
      <c r="B1578">
        <v>11.281931556212998</v>
      </c>
      <c r="C1578">
        <v>11.881970471694139</v>
      </c>
      <c r="D1578">
        <v>11.807411061299289</v>
      </c>
      <c r="E1578">
        <v>11.661871472016657</v>
      </c>
      <c r="F1578">
        <v>11.919329545497575</v>
      </c>
      <c r="G1578">
        <v>12.043464630744753</v>
      </c>
      <c r="H1578">
        <v>12.021933454091542</v>
      </c>
      <c r="I1578">
        <v>11.775525954813496</v>
      </c>
      <c r="J1578">
        <v>12.152033050517099</v>
      </c>
      <c r="K1578">
        <v>12.007605309001105</v>
      </c>
      <c r="L1578">
        <v>11.824252091152688</v>
      </c>
      <c r="M1578">
        <v>11.941538373470717</v>
      </c>
      <c r="N1578">
        <v>12.372757577565153</v>
      </c>
      <c r="O1578">
        <v>12.53071474324044</v>
      </c>
      <c r="P1578">
        <v>12.155787117562312</v>
      </c>
      <c r="Q1578">
        <v>12.022119460027827</v>
      </c>
      <c r="R1578">
        <v>12.407732213676997</v>
      </c>
      <c r="S1578">
        <v>12.27709722506343</v>
      </c>
      <c r="T1578">
        <v>12.923408901883009</v>
      </c>
    </row>
    <row r="1579" spans="1:20" x14ac:dyDescent="0.25">
      <c r="A1579" s="6" t="s">
        <v>1587</v>
      </c>
      <c r="B1579">
        <v>11.682123228238336</v>
      </c>
      <c r="C1579">
        <v>12.316461302748282</v>
      </c>
      <c r="D1579">
        <v>12.38587814341564</v>
      </c>
      <c r="E1579">
        <v>11.982687432666147</v>
      </c>
      <c r="F1579">
        <v>12.500146183567814</v>
      </c>
      <c r="G1579">
        <v>12.521897607797769</v>
      </c>
      <c r="H1579">
        <v>12.427480546982482</v>
      </c>
      <c r="I1579">
        <v>12.621055757398755</v>
      </c>
      <c r="J1579">
        <v>12.187111428655678</v>
      </c>
      <c r="K1579">
        <v>12.538521396148401</v>
      </c>
      <c r="L1579">
        <v>12.490458626662688</v>
      </c>
      <c r="M1579">
        <v>12.25957468596855</v>
      </c>
      <c r="N1579">
        <v>13.139507125817524</v>
      </c>
      <c r="O1579">
        <v>13.167493167924455</v>
      </c>
      <c r="P1579">
        <v>12.582743058590061</v>
      </c>
      <c r="Q1579">
        <v>12.010786988998417</v>
      </c>
      <c r="R1579">
        <v>12.801955831193704</v>
      </c>
      <c r="S1579">
        <v>13.390859306652745</v>
      </c>
      <c r="T1579">
        <v>12.326800388211952</v>
      </c>
    </row>
    <row r="1580" spans="1:20" x14ac:dyDescent="0.25">
      <c r="A1580" s="5" t="s">
        <v>1588</v>
      </c>
      <c r="B1580">
        <v>12.762164635178332</v>
      </c>
      <c r="C1580">
        <v>13.579304396065853</v>
      </c>
      <c r="D1580">
        <v>13.911421996212397</v>
      </c>
      <c r="E1580">
        <v>14.036750806016231</v>
      </c>
      <c r="F1580">
        <v>13.237301234301283</v>
      </c>
      <c r="G1580">
        <v>13.349614818475358</v>
      </c>
      <c r="H1580">
        <v>13.700827566697265</v>
      </c>
      <c r="I1580">
        <v>13.687442626040445</v>
      </c>
      <c r="J1580">
        <v>13.262726122148136</v>
      </c>
      <c r="K1580">
        <v>13.651725875803827</v>
      </c>
      <c r="L1580">
        <v>13.199625071379788</v>
      </c>
      <c r="M1580">
        <v>13.101782420465181</v>
      </c>
      <c r="N1580">
        <v>13.415868731040131</v>
      </c>
      <c r="O1580">
        <v>14.103749544706854</v>
      </c>
      <c r="P1580">
        <v>13.785891114128539</v>
      </c>
      <c r="Q1580">
        <v>12.999802791296432</v>
      </c>
      <c r="R1580">
        <v>0</v>
      </c>
      <c r="S1580">
        <v>13.268480173486267</v>
      </c>
      <c r="T1580">
        <v>12.834589932953637</v>
      </c>
    </row>
    <row r="1581" spans="1:20" x14ac:dyDescent="0.25">
      <c r="A1581" s="6" t="s">
        <v>1589</v>
      </c>
      <c r="B1581">
        <v>14.852617227929352</v>
      </c>
      <c r="C1581">
        <v>14.155464581251008</v>
      </c>
      <c r="D1581">
        <v>14.414292876114592</v>
      </c>
      <c r="E1581">
        <v>14.179355201459032</v>
      </c>
      <c r="F1581">
        <v>14.328684160605755</v>
      </c>
      <c r="G1581">
        <v>14.144972207433367</v>
      </c>
      <c r="H1581">
        <v>13.375445751482999</v>
      </c>
      <c r="I1581">
        <v>14.349614818475356</v>
      </c>
      <c r="J1581">
        <v>15.124213647266568</v>
      </c>
      <c r="K1581">
        <v>14.041608369665534</v>
      </c>
      <c r="L1581">
        <v>14.798169443906975</v>
      </c>
      <c r="M1581">
        <v>15.560009706712211</v>
      </c>
      <c r="N1581">
        <v>15.574016564706092</v>
      </c>
      <c r="O1581">
        <v>15.595285181459742</v>
      </c>
      <c r="P1581">
        <v>15.653583822024411</v>
      </c>
      <c r="Q1581">
        <v>15.7066022043239</v>
      </c>
      <c r="R1581">
        <v>16.472136950686878</v>
      </c>
      <c r="S1581">
        <v>15.376979717646538</v>
      </c>
      <c r="T1581">
        <v>15.389310519557258</v>
      </c>
    </row>
    <row r="1582" spans="1:20" x14ac:dyDescent="0.25">
      <c r="A1582" s="5" t="s">
        <v>1590</v>
      </c>
      <c r="B1582">
        <v>14.642471866904184</v>
      </c>
      <c r="C1582">
        <v>0</v>
      </c>
      <c r="D1582">
        <v>0</v>
      </c>
      <c r="E1582">
        <v>14.609640474436812</v>
      </c>
      <c r="F1582">
        <v>15.247872115017659</v>
      </c>
      <c r="G1582">
        <v>0</v>
      </c>
      <c r="H1582">
        <v>0</v>
      </c>
      <c r="I1582">
        <v>14.392409758216143</v>
      </c>
      <c r="J1582">
        <v>14.475419534676179</v>
      </c>
      <c r="K1582">
        <v>0</v>
      </c>
      <c r="L1582">
        <v>14.560009706712211</v>
      </c>
      <c r="M1582">
        <v>0</v>
      </c>
      <c r="N1582">
        <v>0</v>
      </c>
      <c r="O1582">
        <v>0</v>
      </c>
      <c r="P1582">
        <v>14.449365643028219</v>
      </c>
      <c r="Q1582">
        <v>13.848355201075194</v>
      </c>
      <c r="R1582">
        <v>14.000831231761289</v>
      </c>
      <c r="S1582">
        <v>14.488625073475445</v>
      </c>
      <c r="T1582">
        <v>14.296394622649251</v>
      </c>
    </row>
    <row r="1583" spans="1:20" x14ac:dyDescent="0.25">
      <c r="A1583" s="6" t="s">
        <v>1591</v>
      </c>
      <c r="B1583">
        <v>14.322759326648649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14.761643567881864</v>
      </c>
      <c r="J1583">
        <v>14.420606650046794</v>
      </c>
      <c r="K1583">
        <v>0</v>
      </c>
      <c r="L1583">
        <v>0</v>
      </c>
      <c r="M1583">
        <v>14.687442626040445</v>
      </c>
      <c r="N1583">
        <v>0</v>
      </c>
      <c r="O1583">
        <v>15.093625327433148</v>
      </c>
      <c r="P1583">
        <v>13.893747103889208</v>
      </c>
      <c r="Q1583">
        <v>13.785891114128539</v>
      </c>
      <c r="R1583">
        <v>13.657306908067127</v>
      </c>
      <c r="S1583">
        <v>0</v>
      </c>
      <c r="T1583">
        <v>13.759641214970715</v>
      </c>
    </row>
    <row r="1584" spans="1:20" x14ac:dyDescent="0.25">
      <c r="A1584" s="5" t="s">
        <v>1592</v>
      </c>
      <c r="B1584">
        <v>14.518787043985698</v>
      </c>
      <c r="C1584">
        <v>13.852617227929352</v>
      </c>
      <c r="D1584">
        <v>14.0860785183798</v>
      </c>
      <c r="E1584">
        <v>14.27621674071162</v>
      </c>
      <c r="F1584">
        <v>14.869792371737484</v>
      </c>
      <c r="G1584">
        <v>14.638786820096328</v>
      </c>
      <c r="H1584">
        <v>15.203648114760977</v>
      </c>
      <c r="I1584">
        <v>14.352629856230788</v>
      </c>
      <c r="J1584">
        <v>14.245068042140955</v>
      </c>
      <c r="K1584">
        <v>14.256317183273916</v>
      </c>
      <c r="L1584">
        <v>14.010322680738586</v>
      </c>
      <c r="M1584">
        <v>14.653583822024411</v>
      </c>
      <c r="N1584">
        <v>15.12937535238235</v>
      </c>
      <c r="O1584">
        <v>15.019876987451834</v>
      </c>
      <c r="P1584">
        <v>15.15546458125101</v>
      </c>
      <c r="Q1584">
        <v>15.316858725208965</v>
      </c>
      <c r="R1584">
        <v>15.714337853103507</v>
      </c>
      <c r="S1584">
        <v>16.34660606860302</v>
      </c>
      <c r="T1584">
        <v>15.518787043985698</v>
      </c>
    </row>
    <row r="1585" spans="1:20" x14ac:dyDescent="0.25">
      <c r="A1585" s="6" t="s">
        <v>1593</v>
      </c>
      <c r="B1585">
        <v>12.065359117609848</v>
      </c>
      <c r="C1585">
        <v>11.5228354823586</v>
      </c>
      <c r="D1585">
        <v>11.487974349212788</v>
      </c>
      <c r="E1585">
        <v>11.195992237824786</v>
      </c>
      <c r="F1585">
        <v>11.658602933247485</v>
      </c>
      <c r="G1585">
        <v>12.603602823477992</v>
      </c>
      <c r="H1585">
        <v>12.341011458916496</v>
      </c>
      <c r="I1585">
        <v>11.973137654394799</v>
      </c>
      <c r="J1585">
        <v>12.05871519063005</v>
      </c>
      <c r="K1585">
        <v>11.401376847855465</v>
      </c>
      <c r="L1585">
        <v>11.918357574728413</v>
      </c>
      <c r="M1585">
        <v>12.388962271480144</v>
      </c>
      <c r="N1585">
        <v>12.51050520431829</v>
      </c>
      <c r="O1585">
        <v>11.892084680796893</v>
      </c>
      <c r="P1585">
        <v>13.655444164049936</v>
      </c>
      <c r="Q1585">
        <v>14.010322680738586</v>
      </c>
      <c r="R1585">
        <v>14.245068042140955</v>
      </c>
      <c r="S1585">
        <v>14.972725894080934</v>
      </c>
      <c r="T1585">
        <v>13.530689133041991</v>
      </c>
    </row>
    <row r="1586" spans="1:20" x14ac:dyDescent="0.25">
      <c r="A1586" s="5" t="s">
        <v>1594</v>
      </c>
      <c r="B1586">
        <v>15.160739523291683</v>
      </c>
      <c r="C1586">
        <v>14.945157634072132</v>
      </c>
      <c r="D1586">
        <v>15.370853614849695</v>
      </c>
      <c r="E1586">
        <v>15.560009706712211</v>
      </c>
      <c r="F1586">
        <v>0</v>
      </c>
      <c r="G1586">
        <v>0</v>
      </c>
      <c r="H1586">
        <v>0</v>
      </c>
      <c r="I1586">
        <v>15.305129432626858</v>
      </c>
      <c r="J1586">
        <v>15.452596764291233</v>
      </c>
      <c r="K1586">
        <v>15.322759326648649</v>
      </c>
      <c r="L1586">
        <v>15.214577674919234</v>
      </c>
      <c r="M1586">
        <v>0</v>
      </c>
      <c r="N1586">
        <v>0</v>
      </c>
      <c r="O1586">
        <v>16.06367210533152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25">
      <c r="A1587" s="6" t="s">
        <v>1595</v>
      </c>
      <c r="B1587">
        <v>9.1069399208235886</v>
      </c>
      <c r="C1587">
        <v>8.5205957793969667</v>
      </c>
      <c r="D1587">
        <v>9.3442307717051598</v>
      </c>
      <c r="E1587">
        <v>9.1352912356230647</v>
      </c>
      <c r="F1587">
        <v>8.3813157510987999</v>
      </c>
      <c r="G1587">
        <v>8.6342109056764844</v>
      </c>
      <c r="H1587">
        <v>8.4711157447602652</v>
      </c>
      <c r="I1587">
        <v>8.5147177463604962</v>
      </c>
      <c r="J1587">
        <v>8.7293596314464672</v>
      </c>
      <c r="K1587">
        <v>8.4757050620900358</v>
      </c>
      <c r="L1587">
        <v>8.3735071395078453</v>
      </c>
      <c r="M1587">
        <v>8.4014622152197358</v>
      </c>
      <c r="N1587">
        <v>8.5002773029712131</v>
      </c>
      <c r="O1587">
        <v>8.867526442857729</v>
      </c>
      <c r="P1587">
        <v>8.5758067487361327</v>
      </c>
      <c r="Q1587">
        <v>8.0450698628231265</v>
      </c>
      <c r="R1587">
        <v>7.6921374095676045</v>
      </c>
      <c r="S1587">
        <v>7.4023059163869656</v>
      </c>
      <c r="T1587">
        <v>8.2409890959252614</v>
      </c>
    </row>
    <row r="1588" spans="1:20" x14ac:dyDescent="0.25">
      <c r="A1588" s="5" t="s">
        <v>1596</v>
      </c>
      <c r="B1588">
        <v>11.59320655619468</v>
      </c>
      <c r="C1588">
        <v>11.421516530821719</v>
      </c>
      <c r="D1588">
        <v>11.695439540598359</v>
      </c>
      <c r="E1588">
        <v>11.810506530268349</v>
      </c>
      <c r="F1588">
        <v>11.686981151638562</v>
      </c>
      <c r="G1588">
        <v>11.518613490761208</v>
      </c>
      <c r="H1588">
        <v>10.880827458348302</v>
      </c>
      <c r="I1588">
        <v>11.209939578071602</v>
      </c>
      <c r="J1588">
        <v>11.63794518683572</v>
      </c>
      <c r="K1588">
        <v>11.527947205051824</v>
      </c>
      <c r="L1588">
        <v>11.197800733473073</v>
      </c>
      <c r="M1588">
        <v>11.080406718097096</v>
      </c>
      <c r="N1588">
        <v>11.507477882227057</v>
      </c>
      <c r="O1588">
        <v>11.952789480173363</v>
      </c>
      <c r="P1588">
        <v>11.012386424387506</v>
      </c>
      <c r="Q1588">
        <v>10.581968865755401</v>
      </c>
      <c r="R1588">
        <v>9.7299138813553832</v>
      </c>
      <c r="S1588">
        <v>9.6941829140722788</v>
      </c>
      <c r="T1588">
        <v>10.887403987890499</v>
      </c>
    </row>
    <row r="1589" spans="1:20" x14ac:dyDescent="0.25">
      <c r="A1589" s="6" t="s">
        <v>1597</v>
      </c>
      <c r="B1589">
        <v>16.093625327433145</v>
      </c>
      <c r="C1589">
        <v>15.7066022043239</v>
      </c>
      <c r="D1589">
        <v>15.264811977439372</v>
      </c>
      <c r="E1589">
        <v>15.546137532130656</v>
      </c>
      <c r="F1589">
        <v>16.358678900903591</v>
      </c>
      <c r="G1589">
        <v>16.685160482077791</v>
      </c>
      <c r="H1589">
        <v>0</v>
      </c>
      <c r="I1589">
        <v>16.525576209648339</v>
      </c>
      <c r="J1589">
        <v>16.176681067160704</v>
      </c>
      <c r="K1589">
        <v>16.209102544853081</v>
      </c>
      <c r="L1589">
        <v>0</v>
      </c>
      <c r="M1589">
        <v>0</v>
      </c>
      <c r="N1589">
        <v>17.308638218403996</v>
      </c>
      <c r="O1589">
        <v>16.383131944628133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25">
      <c r="A1590" s="5" t="s">
        <v>1598</v>
      </c>
      <c r="B1590">
        <v>0</v>
      </c>
      <c r="C1590">
        <v>14.991401818841357</v>
      </c>
      <c r="D1590">
        <v>15.414292876114592</v>
      </c>
      <c r="E1590">
        <v>15.340607327981576</v>
      </c>
      <c r="F1590">
        <v>0</v>
      </c>
      <c r="G1590">
        <v>14.737796825927495</v>
      </c>
      <c r="H1590">
        <v>0</v>
      </c>
      <c r="I1590">
        <v>15.878457232864612</v>
      </c>
      <c r="J1590">
        <v>0</v>
      </c>
      <c r="K1590">
        <v>15.895944659593452</v>
      </c>
      <c r="L1590">
        <v>15.609640474436812</v>
      </c>
      <c r="M1590">
        <v>0</v>
      </c>
      <c r="N1590">
        <v>0</v>
      </c>
      <c r="O1590">
        <v>0</v>
      </c>
      <c r="P1590">
        <v>0</v>
      </c>
      <c r="Q1590">
        <v>15.546137532130656</v>
      </c>
      <c r="R1590">
        <v>15.802285552379209</v>
      </c>
      <c r="S1590">
        <v>14.581071322240041</v>
      </c>
      <c r="T1590">
        <v>0</v>
      </c>
    </row>
    <row r="1591" spans="1:20" x14ac:dyDescent="0.25">
      <c r="A1591" s="6" t="s">
        <v>1599</v>
      </c>
      <c r="B1591">
        <v>14.395515669083965</v>
      </c>
      <c r="C1591">
        <v>14.505303814622076</v>
      </c>
      <c r="D1591">
        <v>14.031909542946732</v>
      </c>
      <c r="E1591">
        <v>13.674180726631523</v>
      </c>
      <c r="F1591">
        <v>13.248672274784118</v>
      </c>
      <c r="G1591">
        <v>13.584611679945288</v>
      </c>
      <c r="H1591">
        <v>12.313462088506444</v>
      </c>
      <c r="I1591">
        <v>13.835644149325638</v>
      </c>
      <c r="J1591">
        <v>13.874118297140276</v>
      </c>
      <c r="K1591">
        <v>13.43331770179635</v>
      </c>
      <c r="L1591">
        <v>13.579304396065853</v>
      </c>
      <c r="M1591">
        <v>13.030979461591087</v>
      </c>
      <c r="N1591">
        <v>13.798169443906975</v>
      </c>
      <c r="O1591">
        <v>13.351121549725512</v>
      </c>
      <c r="P1591">
        <v>12.368578274883355</v>
      </c>
      <c r="Q1591">
        <v>12.521066337481576</v>
      </c>
      <c r="R1591">
        <v>12.46940988514568</v>
      </c>
      <c r="S1591">
        <v>11.930943161347988</v>
      </c>
      <c r="T1591">
        <v>12.09655404330265</v>
      </c>
    </row>
    <row r="1592" spans="1:20" x14ac:dyDescent="0.25">
      <c r="A1592" s="5" t="s">
        <v>1600</v>
      </c>
      <c r="B1592">
        <v>6.6922794352745019</v>
      </c>
      <c r="C1592">
        <v>6.5987746370206297</v>
      </c>
      <c r="D1592">
        <v>6.177033226245233</v>
      </c>
      <c r="E1592">
        <v>6.3198947513787074</v>
      </c>
      <c r="F1592">
        <v>7.0508576021571079</v>
      </c>
      <c r="G1592">
        <v>7.4070726431976821</v>
      </c>
      <c r="H1592">
        <v>7.4359283641320841</v>
      </c>
      <c r="I1592">
        <v>7.3730524289527555</v>
      </c>
      <c r="J1592">
        <v>7.2117012825351168</v>
      </c>
      <c r="K1592">
        <v>6.5248755275515116</v>
      </c>
      <c r="L1592">
        <v>6.863948505466368</v>
      </c>
      <c r="M1592">
        <v>7.224402514166953</v>
      </c>
      <c r="N1592">
        <v>7.4838806437342313</v>
      </c>
      <c r="O1592">
        <v>7.229996121449652</v>
      </c>
      <c r="P1592">
        <v>8.4982428992565815</v>
      </c>
      <c r="Q1592">
        <v>9.0150725179024072</v>
      </c>
      <c r="R1592">
        <v>9.1204114605886115</v>
      </c>
      <c r="S1592">
        <v>9.4932507635955137</v>
      </c>
      <c r="T1592">
        <v>9.0960407728516639</v>
      </c>
    </row>
    <row r="1593" spans="1:20" x14ac:dyDescent="0.25">
      <c r="A1593" s="6" t="s">
        <v>1601</v>
      </c>
      <c r="B1593">
        <v>10.801201362345642</v>
      </c>
      <c r="C1593">
        <v>10.144263448534298</v>
      </c>
      <c r="D1593">
        <v>10.100899673203816</v>
      </c>
      <c r="E1593">
        <v>10.108005480000267</v>
      </c>
      <c r="F1593">
        <v>10.397785267374033</v>
      </c>
      <c r="G1593">
        <v>10.529072342817212</v>
      </c>
      <c r="H1593">
        <v>10.343419880970441</v>
      </c>
      <c r="I1593">
        <v>10.379564302047735</v>
      </c>
      <c r="J1593">
        <v>10.537112305761063</v>
      </c>
      <c r="K1593">
        <v>10.423054742616774</v>
      </c>
      <c r="L1593">
        <v>10.282089626708492</v>
      </c>
      <c r="M1593">
        <v>11.113788644661307</v>
      </c>
      <c r="N1593">
        <v>11.024398478626695</v>
      </c>
      <c r="O1593">
        <v>10.700743523994705</v>
      </c>
      <c r="P1593">
        <v>11.074523764108514</v>
      </c>
      <c r="Q1593">
        <v>11.504197054688465</v>
      </c>
      <c r="R1593">
        <v>11.697747600323014</v>
      </c>
      <c r="S1593">
        <v>12.613613351011736</v>
      </c>
      <c r="T1593">
        <v>11.971954884543672</v>
      </c>
    </row>
    <row r="1594" spans="1:20" x14ac:dyDescent="0.25">
      <c r="A1594" s="5" t="s">
        <v>1602</v>
      </c>
      <c r="B1594">
        <v>8.1230576197998303</v>
      </c>
      <c r="C1594">
        <v>8.3706883791840028</v>
      </c>
      <c r="D1594">
        <v>7.8071754850369546</v>
      </c>
      <c r="E1594">
        <v>7.1636673929607237</v>
      </c>
      <c r="F1594">
        <v>8.342326603304544</v>
      </c>
      <c r="G1594">
        <v>8.3619901369280445</v>
      </c>
      <c r="H1594">
        <v>8.0718901417703819</v>
      </c>
      <c r="I1594">
        <v>8.0213688329743551</v>
      </c>
      <c r="J1594">
        <v>8.0663530142524777</v>
      </c>
      <c r="K1594">
        <v>7.9963276291786594</v>
      </c>
      <c r="L1594">
        <v>8.4440163999629405</v>
      </c>
      <c r="M1594">
        <v>8.4669334828913936</v>
      </c>
      <c r="N1594">
        <v>7.9568073297904887</v>
      </c>
      <c r="O1594">
        <v>8.0801255865908281</v>
      </c>
      <c r="P1594">
        <v>9.1393590481962388</v>
      </c>
      <c r="Q1594">
        <v>10.575068179944081</v>
      </c>
      <c r="R1594">
        <v>10.241642210452849</v>
      </c>
      <c r="S1594">
        <v>10.529479569100092</v>
      </c>
      <c r="T1594">
        <v>10.836997310319843</v>
      </c>
    </row>
    <row r="1595" spans="1:20" x14ac:dyDescent="0.25">
      <c r="A1595" s="6" t="s">
        <v>1603</v>
      </c>
      <c r="B1595">
        <v>9.6291912505398223</v>
      </c>
      <c r="C1595">
        <v>9.7025755637088462</v>
      </c>
      <c r="D1595">
        <v>9.6927232065063862</v>
      </c>
      <c r="E1595">
        <v>9.1109890912089107</v>
      </c>
      <c r="F1595">
        <v>10.145957536033963</v>
      </c>
      <c r="G1595">
        <v>10.200938801967659</v>
      </c>
      <c r="H1595">
        <v>10.078976640716885</v>
      </c>
      <c r="I1595">
        <v>9.7572670248565441</v>
      </c>
      <c r="J1595">
        <v>9.5463284516275024</v>
      </c>
      <c r="K1595">
        <v>9.6291626887348709</v>
      </c>
      <c r="L1595">
        <v>9.9309149961977514</v>
      </c>
      <c r="M1595">
        <v>9.8519304572963549</v>
      </c>
      <c r="N1595">
        <v>9.4650077211417791</v>
      </c>
      <c r="O1595">
        <v>9.3489843419075527</v>
      </c>
      <c r="P1595">
        <v>10.246036583632822</v>
      </c>
      <c r="Q1595">
        <v>11.51831299674571</v>
      </c>
      <c r="R1595">
        <v>11.559770148621681</v>
      </c>
      <c r="S1595">
        <v>12.299533065340755</v>
      </c>
      <c r="T1595">
        <v>12.779983692631568</v>
      </c>
    </row>
    <row r="1596" spans="1:20" x14ac:dyDescent="0.25">
      <c r="A1596" s="5" t="s">
        <v>1604</v>
      </c>
      <c r="B1596">
        <v>17.764853124357753</v>
      </c>
      <c r="C1596">
        <v>17.647646797016556</v>
      </c>
      <c r="D1596">
        <v>18.11190038582772</v>
      </c>
      <c r="E1596">
        <v>17.635845544784207</v>
      </c>
      <c r="F1596">
        <v>17.400499076598219</v>
      </c>
      <c r="G1596">
        <v>17.260275196842599</v>
      </c>
      <c r="H1596">
        <v>16.910088841913723</v>
      </c>
      <c r="I1596">
        <v>17.410517832423213</v>
      </c>
      <c r="J1596">
        <v>17.423139916792319</v>
      </c>
      <c r="K1596">
        <v>17.986710123516637</v>
      </c>
      <c r="L1596">
        <v>0</v>
      </c>
      <c r="M1596">
        <v>0</v>
      </c>
      <c r="N1596">
        <v>0</v>
      </c>
      <c r="O1596">
        <v>17.892430175417214</v>
      </c>
      <c r="P1596">
        <v>0</v>
      </c>
      <c r="Q1596">
        <v>16.395515669083963</v>
      </c>
      <c r="R1596">
        <v>16.433317701796351</v>
      </c>
      <c r="S1596">
        <v>16.797347629563539</v>
      </c>
      <c r="T1596">
        <v>16.822208009919944</v>
      </c>
    </row>
    <row r="1597" spans="1:20" x14ac:dyDescent="0.25">
      <c r="A1597" s="6" t="s">
        <v>1605</v>
      </c>
      <c r="B1597">
        <v>13.05416785909364</v>
      </c>
      <c r="C1597">
        <v>13.577539631269786</v>
      </c>
      <c r="D1597">
        <v>12.903408327066927</v>
      </c>
      <c r="E1597">
        <v>12.667294879868059</v>
      </c>
      <c r="F1597">
        <v>13.640628166920497</v>
      </c>
      <c r="G1597">
        <v>13.324238255574564</v>
      </c>
      <c r="H1597">
        <v>12.290412744905165</v>
      </c>
      <c r="I1597">
        <v>12.526350504944967</v>
      </c>
      <c r="J1597">
        <v>13.480357457491845</v>
      </c>
      <c r="K1597">
        <v>12.952972500880808</v>
      </c>
      <c r="L1597">
        <v>13.27018949424572</v>
      </c>
      <c r="M1597">
        <v>12.756622918864231</v>
      </c>
      <c r="N1597">
        <v>13.177228860930702</v>
      </c>
      <c r="O1597">
        <v>13.355651208206025</v>
      </c>
      <c r="P1597">
        <v>13.280947597671029</v>
      </c>
      <c r="Q1597">
        <v>13.256444236376806</v>
      </c>
      <c r="R1597">
        <v>12.946500830252702</v>
      </c>
      <c r="S1597">
        <v>13.027506021538924</v>
      </c>
      <c r="T1597">
        <v>13.40800661326716</v>
      </c>
    </row>
    <row r="1598" spans="1:20" x14ac:dyDescent="0.25">
      <c r="A1598" s="5" t="s">
        <v>1606</v>
      </c>
      <c r="B1598">
        <v>0</v>
      </c>
      <c r="C1598">
        <v>15.745702024012841</v>
      </c>
      <c r="D1598">
        <v>16.747288274904793</v>
      </c>
      <c r="E1598">
        <v>16.334633426936943</v>
      </c>
      <c r="F1598">
        <v>0</v>
      </c>
      <c r="G1598">
        <v>15.472136950686876</v>
      </c>
      <c r="H1598">
        <v>14.515404404591045</v>
      </c>
      <c r="I1598">
        <v>15.225590667641651</v>
      </c>
      <c r="J1598">
        <v>0</v>
      </c>
      <c r="K1598">
        <v>15.478709604610364</v>
      </c>
      <c r="L1598">
        <v>16.242269408788282</v>
      </c>
      <c r="M1598">
        <v>15.737796825927495</v>
      </c>
      <c r="N1598">
        <v>15.878457232864612</v>
      </c>
      <c r="O1598">
        <v>0</v>
      </c>
      <c r="P1598">
        <v>15.000831231761289</v>
      </c>
      <c r="Q1598">
        <v>14.203648114760977</v>
      </c>
      <c r="R1598">
        <v>14.588160747026361</v>
      </c>
      <c r="S1598">
        <v>14.187407473753764</v>
      </c>
      <c r="T1598">
        <v>15.166033822961197</v>
      </c>
    </row>
    <row r="1599" spans="1:20" x14ac:dyDescent="0.25">
      <c r="A1599" s="6" t="s">
        <v>1607</v>
      </c>
      <c r="B1599">
        <v>15.75365077712833</v>
      </c>
      <c r="C1599">
        <v>15.340607327981576</v>
      </c>
      <c r="D1599">
        <v>15.745702024012841</v>
      </c>
      <c r="E1599">
        <v>15.352629856230788</v>
      </c>
      <c r="F1599">
        <v>16.420606650046796</v>
      </c>
      <c r="G1599">
        <v>14.927067177089235</v>
      </c>
      <c r="H1599">
        <v>15.588160747026361</v>
      </c>
      <c r="I1599">
        <v>15.505303814622076</v>
      </c>
      <c r="J1599">
        <v>16.747288274904793</v>
      </c>
      <c r="K1599">
        <v>15.646166350461927</v>
      </c>
      <c r="L1599">
        <v>15.225590667641651</v>
      </c>
      <c r="M1599">
        <v>15.63144484475516</v>
      </c>
      <c r="N1599">
        <v>16.264811977439372</v>
      </c>
      <c r="O1599">
        <v>16.498609162048069</v>
      </c>
      <c r="P1599">
        <v>16.420606650046796</v>
      </c>
      <c r="Q1599">
        <v>16.472136950686878</v>
      </c>
      <c r="R1599">
        <v>0</v>
      </c>
      <c r="S1599">
        <v>15.465594104820106</v>
      </c>
      <c r="T1599">
        <v>15.986710123516636</v>
      </c>
    </row>
    <row r="1600" spans="1:20" x14ac:dyDescent="0.25">
      <c r="A1600" s="5" t="s">
        <v>1608</v>
      </c>
      <c r="B1600">
        <v>15.6989078125339</v>
      </c>
      <c r="C1600">
        <v>14.577539631269786</v>
      </c>
      <c r="D1600">
        <v>15.383131944628133</v>
      </c>
      <c r="E1600">
        <v>14.972725894080934</v>
      </c>
      <c r="F1600">
        <v>15.187407473753764</v>
      </c>
      <c r="G1600">
        <v>14.505303814622076</v>
      </c>
      <c r="H1600">
        <v>14.563498692792091</v>
      </c>
      <c r="I1600">
        <v>14.595285181459742</v>
      </c>
      <c r="J1600">
        <v>15.310982158872298</v>
      </c>
      <c r="K1600">
        <v>14.958875915319911</v>
      </c>
      <c r="L1600">
        <v>15.010322680738586</v>
      </c>
      <c r="M1600">
        <v>15.802285552379209</v>
      </c>
      <c r="N1600">
        <v>15.646166350461927</v>
      </c>
      <c r="O1600">
        <v>15.75365077712833</v>
      </c>
      <c r="P1600">
        <v>15.395515669083965</v>
      </c>
      <c r="Q1600">
        <v>14.831431898038725</v>
      </c>
      <c r="R1600">
        <v>15.352629856230788</v>
      </c>
      <c r="S1600">
        <v>14.61687204366789</v>
      </c>
      <c r="T1600">
        <v>14.927067177089235</v>
      </c>
    </row>
    <row r="1601" spans="1:20" x14ac:dyDescent="0.25">
      <c r="A1601" s="6" t="s">
        <v>1609</v>
      </c>
      <c r="B1601">
        <v>0</v>
      </c>
      <c r="C1601">
        <v>15.532397475504352</v>
      </c>
      <c r="D1601">
        <v>15.6989078125339</v>
      </c>
      <c r="E1601">
        <v>15.426948176920622</v>
      </c>
      <c r="F1601">
        <v>0</v>
      </c>
      <c r="G1601">
        <v>0</v>
      </c>
      <c r="H1601">
        <v>15.852617227929352</v>
      </c>
      <c r="I1601">
        <v>15.478709604610364</v>
      </c>
      <c r="J1601">
        <v>0</v>
      </c>
      <c r="K1601">
        <v>0</v>
      </c>
      <c r="L1601">
        <v>15.446141742153934</v>
      </c>
      <c r="M1601">
        <v>15.818868436574812</v>
      </c>
      <c r="N1601">
        <v>0</v>
      </c>
      <c r="O1601">
        <v>0</v>
      </c>
      <c r="P1601">
        <v>16.134555591488027</v>
      </c>
      <c r="Q1601">
        <v>15.281953110260764</v>
      </c>
      <c r="R1601">
        <v>15.895944659593452</v>
      </c>
      <c r="S1601">
        <v>15.553056946070447</v>
      </c>
      <c r="T1601">
        <v>15.498609162048069</v>
      </c>
    </row>
    <row r="1602" spans="1:20" x14ac:dyDescent="0.25">
      <c r="A1602" s="5" t="s">
        <v>1610</v>
      </c>
      <c r="B1602">
        <v>0</v>
      </c>
      <c r="C1602">
        <v>14.878457232864612</v>
      </c>
      <c r="D1602">
        <v>15.737796825927495</v>
      </c>
      <c r="E1602">
        <v>15.922579786096922</v>
      </c>
      <c r="F1602">
        <v>0</v>
      </c>
      <c r="G1602">
        <v>16.198214228710349</v>
      </c>
      <c r="H1602">
        <v>0</v>
      </c>
      <c r="I1602">
        <v>0</v>
      </c>
      <c r="J1602">
        <v>0</v>
      </c>
      <c r="K1602">
        <v>15.878457232864612</v>
      </c>
      <c r="L1602">
        <v>16.899467726157152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25">
      <c r="A1603" s="6" t="s">
        <v>1611</v>
      </c>
      <c r="B1603">
        <v>16.825555331702056</v>
      </c>
      <c r="C1603">
        <v>15.7066022043239</v>
      </c>
      <c r="D1603">
        <v>15.646166350461927</v>
      </c>
      <c r="E1603">
        <v>15.668534163490381</v>
      </c>
      <c r="F1603">
        <v>15.887174449965721</v>
      </c>
      <c r="G1603">
        <v>15.287712379549449</v>
      </c>
      <c r="H1603">
        <v>15.505303814622076</v>
      </c>
      <c r="I1603">
        <v>15.389310519557258</v>
      </c>
      <c r="J1603">
        <v>16.024677973715658</v>
      </c>
      <c r="K1603">
        <v>15.588160747026361</v>
      </c>
      <c r="L1603">
        <v>15.931568569324174</v>
      </c>
      <c r="M1603">
        <v>15.83564414932564</v>
      </c>
      <c r="N1603">
        <v>15.358678900903593</v>
      </c>
      <c r="O1603">
        <v>16.06367210533152</v>
      </c>
      <c r="P1603">
        <v>15.4397154729945</v>
      </c>
      <c r="Q1603">
        <v>15.67606783617579</v>
      </c>
      <c r="R1603">
        <v>15.401747622795478</v>
      </c>
      <c r="S1603">
        <v>15.139754498162349</v>
      </c>
      <c r="T1603">
        <v>15.150208855799516</v>
      </c>
    </row>
    <row r="1604" spans="1:20" x14ac:dyDescent="0.25">
      <c r="A1604" s="5" t="s">
        <v>1612</v>
      </c>
      <c r="B1604">
        <v>0</v>
      </c>
      <c r="C1604">
        <v>15.638786820096328</v>
      </c>
      <c r="D1604">
        <v>16.629980922720989</v>
      </c>
      <c r="E1604">
        <v>16.06367210533152</v>
      </c>
      <c r="F1604">
        <v>0</v>
      </c>
      <c r="G1604">
        <v>15.512029677810389</v>
      </c>
      <c r="H1604">
        <v>15.420606650046794</v>
      </c>
      <c r="I1604">
        <v>15.015091924886457</v>
      </c>
      <c r="J1604">
        <v>15.505303814622076</v>
      </c>
      <c r="K1604">
        <v>0</v>
      </c>
      <c r="L1604">
        <v>15.383131944628133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15.802285552379209</v>
      </c>
      <c r="T1604">
        <v>15.940613708927183</v>
      </c>
    </row>
    <row r="1605" spans="1:20" x14ac:dyDescent="0.25">
      <c r="A1605" s="6" t="s">
        <v>1613</v>
      </c>
      <c r="B1605">
        <v>7.4606245395432591</v>
      </c>
      <c r="C1605">
        <v>7.2977688942955519</v>
      </c>
      <c r="D1605">
        <v>7.3597621338250754</v>
      </c>
      <c r="E1605">
        <v>7.508542764758336</v>
      </c>
      <c r="F1605">
        <v>6.8144164053949376</v>
      </c>
      <c r="G1605">
        <v>7.318535405991109</v>
      </c>
      <c r="H1605">
        <v>7.2567981029505164</v>
      </c>
      <c r="I1605">
        <v>6.6032166298085819</v>
      </c>
      <c r="J1605">
        <v>6.9714250544041878</v>
      </c>
      <c r="K1605">
        <v>7.1623392069299898</v>
      </c>
      <c r="L1605">
        <v>6.7826316057393647</v>
      </c>
      <c r="M1605">
        <v>6.7734195000000499</v>
      </c>
      <c r="N1605">
        <v>6.265104322312812</v>
      </c>
      <c r="O1605">
        <v>6.6930482876514796</v>
      </c>
      <c r="P1605">
        <v>7.0777188842373473</v>
      </c>
      <c r="Q1605">
        <v>7.0114675375357658</v>
      </c>
      <c r="R1605">
        <v>7.3420777571732021</v>
      </c>
      <c r="S1605">
        <v>6.8145307216911943</v>
      </c>
      <c r="T1605">
        <v>6.9098820356537223</v>
      </c>
    </row>
    <row r="1606" spans="1:20" x14ac:dyDescent="0.25">
      <c r="A1606" s="5" t="s">
        <v>1614</v>
      </c>
      <c r="B1606">
        <v>10.972267876325764</v>
      </c>
      <c r="C1606">
        <v>12.621864858293899</v>
      </c>
      <c r="D1606">
        <v>12.078932948881526</v>
      </c>
      <c r="E1606">
        <v>13.048509888047191</v>
      </c>
      <c r="F1606">
        <v>11.278798869331467</v>
      </c>
      <c r="G1606">
        <v>11.5444990367349</v>
      </c>
      <c r="H1606">
        <v>11.174712064034946</v>
      </c>
      <c r="I1606">
        <v>11.464631541302614</v>
      </c>
      <c r="J1606">
        <v>10.706819203519904</v>
      </c>
      <c r="K1606">
        <v>11.65839306600577</v>
      </c>
      <c r="L1606">
        <v>12.294110471346533</v>
      </c>
      <c r="M1606">
        <v>10.919175885852436</v>
      </c>
      <c r="N1606">
        <v>9.9785172706498884</v>
      </c>
      <c r="O1606">
        <v>12.056439733230995</v>
      </c>
      <c r="P1606">
        <v>9.6080768995994497</v>
      </c>
      <c r="Q1606">
        <v>9.2610300418431777</v>
      </c>
      <c r="R1606">
        <v>8.7234610468929379</v>
      </c>
      <c r="S1606">
        <v>9.1428363724743882</v>
      </c>
      <c r="T1606">
        <v>9.3447663031777424</v>
      </c>
    </row>
    <row r="1607" spans="1:20" x14ac:dyDescent="0.25">
      <c r="A1607" s="6" t="s">
        <v>1615</v>
      </c>
      <c r="B1607">
        <v>15.566996137028319</v>
      </c>
      <c r="C1607">
        <v>14.279082074406009</v>
      </c>
      <c r="D1607">
        <v>14.46233377565652</v>
      </c>
      <c r="E1607">
        <v>15.220073662674086</v>
      </c>
      <c r="F1607">
        <v>15.949715916034434</v>
      </c>
      <c r="G1607">
        <v>15.940613708927183</v>
      </c>
      <c r="H1607">
        <v>0</v>
      </c>
      <c r="I1607">
        <v>15.6989078125339</v>
      </c>
      <c r="J1607">
        <v>15.661039626943458</v>
      </c>
      <c r="K1607">
        <v>15.574016564706092</v>
      </c>
      <c r="L1607">
        <v>15.389310519557258</v>
      </c>
      <c r="M1607">
        <v>16.287712379549451</v>
      </c>
      <c r="N1607">
        <v>16.322759326648651</v>
      </c>
      <c r="O1607">
        <v>16.408006613267162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25">
      <c r="A1608" s="5" t="s">
        <v>1616</v>
      </c>
      <c r="B1608">
        <v>17.558616471412346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16.951543269085441</v>
      </c>
      <c r="J1608">
        <v>16.737796825927497</v>
      </c>
      <c r="K1608">
        <v>17.957039256840293</v>
      </c>
      <c r="L1608">
        <v>17.711238614444618</v>
      </c>
      <c r="M1608">
        <v>16.034328143749374</v>
      </c>
      <c r="N1608">
        <v>15.810553168362809</v>
      </c>
      <c r="O1608">
        <v>0</v>
      </c>
      <c r="P1608">
        <v>16.67003775408077</v>
      </c>
      <c r="Q1608">
        <v>16.242269408788282</v>
      </c>
      <c r="R1608">
        <v>16.113945311812746</v>
      </c>
      <c r="S1608">
        <v>16.581071322240042</v>
      </c>
      <c r="T1608">
        <v>16.737796825927497</v>
      </c>
    </row>
    <row r="1609" spans="1:20" x14ac:dyDescent="0.25">
      <c r="A1609" s="6" t="s">
        <v>1617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15.505303814622076</v>
      </c>
      <c r="Q1609">
        <v>13.662909614296503</v>
      </c>
      <c r="R1609">
        <v>15.465594104820106</v>
      </c>
      <c r="S1609">
        <v>16.459080797861432</v>
      </c>
      <c r="T1609">
        <v>17.375752414262536</v>
      </c>
    </row>
    <row r="1610" spans="1:20" x14ac:dyDescent="0.25">
      <c r="A1610" s="5" t="s">
        <v>1618</v>
      </c>
      <c r="B1610">
        <v>14.414292876114592</v>
      </c>
      <c r="C1610">
        <v>0</v>
      </c>
      <c r="D1610">
        <v>14.927067177089235</v>
      </c>
      <c r="E1610">
        <v>0</v>
      </c>
      <c r="F1610">
        <v>14.442925029470389</v>
      </c>
      <c r="G1610">
        <v>0</v>
      </c>
      <c r="H1610">
        <v>13.904768509980459</v>
      </c>
      <c r="I1610">
        <v>14.733860411368322</v>
      </c>
      <c r="J1610">
        <v>13.996108821518886</v>
      </c>
      <c r="K1610">
        <v>14.581071322240041</v>
      </c>
      <c r="L1610">
        <v>14.714337853103507</v>
      </c>
      <c r="M1610">
        <v>14.702749878828294</v>
      </c>
      <c r="N1610">
        <v>15.098678555159433</v>
      </c>
      <c r="O1610">
        <v>14.239476193896602</v>
      </c>
      <c r="P1610">
        <v>13.63144484475516</v>
      </c>
      <c r="Q1610">
        <v>13.002452217654147</v>
      </c>
      <c r="R1610">
        <v>12.593010445798567</v>
      </c>
      <c r="S1610">
        <v>13.048925519962333</v>
      </c>
      <c r="T1610">
        <v>12.675680777521803</v>
      </c>
    </row>
    <row r="1611" spans="1:20" x14ac:dyDescent="0.25">
      <c r="A1611" s="6" t="s">
        <v>1619</v>
      </c>
      <c r="B1611">
        <v>18.351423084900794</v>
      </c>
      <c r="C1611">
        <v>0</v>
      </c>
      <c r="D1611">
        <v>18.487961917848562</v>
      </c>
      <c r="E1611">
        <v>0</v>
      </c>
      <c r="F1611">
        <v>17.618322717536614</v>
      </c>
      <c r="G1611">
        <v>15.887174449965721</v>
      </c>
      <c r="H1611">
        <v>17.061697163146462</v>
      </c>
      <c r="I1611">
        <v>17.692781709737059</v>
      </c>
      <c r="J1611">
        <v>17.451303447269712</v>
      </c>
      <c r="K1611">
        <v>18.503962396542274</v>
      </c>
      <c r="L1611">
        <v>17.800637699497727</v>
      </c>
      <c r="M1611">
        <v>18.553056946070445</v>
      </c>
      <c r="N1611">
        <v>0</v>
      </c>
      <c r="O1611">
        <v>0</v>
      </c>
      <c r="P1611">
        <v>16.370853614849693</v>
      </c>
      <c r="Q1611">
        <v>15.352629856230788</v>
      </c>
      <c r="R1611">
        <v>15.887174449965721</v>
      </c>
      <c r="S1611">
        <v>15.058739809789289</v>
      </c>
      <c r="T1611">
        <v>15.203648114760977</v>
      </c>
    </row>
    <row r="1612" spans="1:20" x14ac:dyDescent="0.25">
      <c r="A1612" s="5" t="s">
        <v>1620</v>
      </c>
      <c r="B1612">
        <v>0</v>
      </c>
      <c r="C1612">
        <v>0</v>
      </c>
      <c r="D1612">
        <v>0</v>
      </c>
      <c r="E1612">
        <v>0</v>
      </c>
      <c r="F1612">
        <v>15.45908079786143</v>
      </c>
      <c r="G1612">
        <v>14.642471866904184</v>
      </c>
      <c r="H1612">
        <v>15.287712379549449</v>
      </c>
      <c r="I1612">
        <v>16.231128851183083</v>
      </c>
      <c r="J1612">
        <v>0</v>
      </c>
      <c r="K1612">
        <v>15.869792371737484</v>
      </c>
      <c r="L1612">
        <v>15.7066022043239</v>
      </c>
      <c r="M1612">
        <v>16.264811977439372</v>
      </c>
      <c r="N1612">
        <v>0</v>
      </c>
      <c r="O1612">
        <v>17.005569150767954</v>
      </c>
      <c r="P1612">
        <v>15.220073662674086</v>
      </c>
      <c r="Q1612">
        <v>14.649870319225345</v>
      </c>
      <c r="R1612">
        <v>14.918106309517611</v>
      </c>
      <c r="S1612">
        <v>14.869792371737484</v>
      </c>
      <c r="T1612">
        <v>14.056279971101485</v>
      </c>
    </row>
    <row r="1613" spans="1:20" x14ac:dyDescent="0.25">
      <c r="A1613" s="6" t="s">
        <v>1621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12.525729333993146</v>
      </c>
      <c r="R1613">
        <v>12.259602982845351</v>
      </c>
      <c r="S1613">
        <v>12.089079934974754</v>
      </c>
      <c r="T1613">
        <v>11.387736333417182</v>
      </c>
    </row>
    <row r="1614" spans="1:20" x14ac:dyDescent="0.25">
      <c r="A1614" s="5" t="s">
        <v>1622</v>
      </c>
      <c r="B1614">
        <v>15.638786820096328</v>
      </c>
      <c r="C1614">
        <v>0</v>
      </c>
      <c r="D1614">
        <v>16.566996137028319</v>
      </c>
      <c r="E1614">
        <v>0</v>
      </c>
      <c r="F1614">
        <v>16.005569150767954</v>
      </c>
      <c r="G1614">
        <v>14.0860785183798</v>
      </c>
      <c r="H1614">
        <v>13.82723190950944</v>
      </c>
      <c r="I1614">
        <v>15.27621674071162</v>
      </c>
      <c r="J1614">
        <v>14.392409758216143</v>
      </c>
      <c r="K1614">
        <v>15.352629856230788</v>
      </c>
      <c r="L1614">
        <v>14.546137532130656</v>
      </c>
      <c r="M1614">
        <v>14.267654727208196</v>
      </c>
      <c r="N1614">
        <v>13.398628280951302</v>
      </c>
      <c r="O1614">
        <v>15.420606650046794</v>
      </c>
      <c r="P1614">
        <v>14.367800290872141</v>
      </c>
      <c r="Q1614">
        <v>14.532397475504352</v>
      </c>
      <c r="R1614">
        <v>14.284829871016328</v>
      </c>
      <c r="S1614">
        <v>14.714337853103507</v>
      </c>
      <c r="T1614">
        <v>12.954620732900711</v>
      </c>
    </row>
    <row r="1615" spans="1:20" x14ac:dyDescent="0.25">
      <c r="A1615" s="6" t="s">
        <v>1623</v>
      </c>
      <c r="B1615">
        <v>0</v>
      </c>
      <c r="C1615">
        <v>15.968094445349289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17.363536464552894</v>
      </c>
      <c r="L1615">
        <v>17.509335568641127</v>
      </c>
      <c r="M1615">
        <v>0</v>
      </c>
      <c r="N1615">
        <v>0</v>
      </c>
      <c r="O1615">
        <v>0</v>
      </c>
      <c r="P1615">
        <v>0</v>
      </c>
      <c r="Q1615">
        <v>17.05382431937517</v>
      </c>
      <c r="R1615">
        <v>15.887174449965721</v>
      </c>
      <c r="S1615">
        <v>16.92796633264398</v>
      </c>
      <c r="T1615">
        <v>16.220073662674086</v>
      </c>
    </row>
    <row r="1616" spans="1:20" x14ac:dyDescent="0.25">
      <c r="A1616" s="5" t="s">
        <v>1624</v>
      </c>
      <c r="B1616">
        <v>14.491945431767057</v>
      </c>
      <c r="C1616">
        <v>0</v>
      </c>
      <c r="D1616">
        <v>0</v>
      </c>
      <c r="E1616">
        <v>0</v>
      </c>
      <c r="F1616">
        <v>13.856891883029679</v>
      </c>
      <c r="G1616">
        <v>0</v>
      </c>
      <c r="H1616">
        <v>0</v>
      </c>
      <c r="I1616">
        <v>14.150208855799516</v>
      </c>
      <c r="J1616">
        <v>14.171347622857667</v>
      </c>
      <c r="K1616">
        <v>14.239476193896602</v>
      </c>
      <c r="L1616">
        <v>14.515404404591045</v>
      </c>
      <c r="M1616">
        <v>14.404873723782199</v>
      </c>
      <c r="N1616">
        <v>14.501952605122439</v>
      </c>
      <c r="O1616">
        <v>15.182034301654912</v>
      </c>
      <c r="P1616">
        <v>14.331655727137047</v>
      </c>
      <c r="Q1616">
        <v>13.316858725208968</v>
      </c>
      <c r="R1616">
        <v>13.572258252433731</v>
      </c>
      <c r="S1616">
        <v>13.702749878828293</v>
      </c>
      <c r="T1616">
        <v>13.048937746243299</v>
      </c>
    </row>
    <row r="1617" spans="1:20" x14ac:dyDescent="0.25">
      <c r="A1617" s="6" t="s">
        <v>1625</v>
      </c>
      <c r="B1617">
        <v>9.2314522800123981</v>
      </c>
      <c r="C1617">
        <v>8.9187645776196671</v>
      </c>
      <c r="D1617">
        <v>8.9279480629697474</v>
      </c>
      <c r="E1617">
        <v>8.9959710707564486</v>
      </c>
      <c r="F1617">
        <v>9.1649328290549779</v>
      </c>
      <c r="G1617">
        <v>9.4234519349179404</v>
      </c>
      <c r="H1617">
        <v>8.2421907756637527</v>
      </c>
      <c r="I1617">
        <v>9.0589513980093912</v>
      </c>
      <c r="J1617">
        <v>9.2441701389034723</v>
      </c>
      <c r="K1617">
        <v>8.8573842813804724</v>
      </c>
      <c r="L1617">
        <v>8.9524678203526058</v>
      </c>
      <c r="M1617">
        <v>8.937119663158251</v>
      </c>
      <c r="N1617">
        <v>8.5807221827860634</v>
      </c>
      <c r="O1617">
        <v>9.182294104009264</v>
      </c>
      <c r="P1617">
        <v>8.8401602916405331</v>
      </c>
      <c r="Q1617">
        <v>9.1269470506676598</v>
      </c>
      <c r="R1617">
        <v>9.0343584019324723</v>
      </c>
      <c r="S1617">
        <v>9.0496218188881397</v>
      </c>
      <c r="T1617">
        <v>9.0651852270925115</v>
      </c>
    </row>
    <row r="1618" spans="1:20" x14ac:dyDescent="0.25">
      <c r="A1618" s="5" t="s">
        <v>1626</v>
      </c>
      <c r="B1618">
        <v>9.6961215182786251</v>
      </c>
      <c r="C1618">
        <v>9.2710591759893362</v>
      </c>
      <c r="D1618">
        <v>9.3367242781977886</v>
      </c>
      <c r="E1618">
        <v>9.3345961677321032</v>
      </c>
      <c r="F1618">
        <v>9.5307819721744629</v>
      </c>
      <c r="G1618">
        <v>9.7930766053423461</v>
      </c>
      <c r="H1618">
        <v>8.631172534304806</v>
      </c>
      <c r="I1618">
        <v>9.34742251181172</v>
      </c>
      <c r="J1618">
        <v>9.7136375209848662</v>
      </c>
      <c r="K1618">
        <v>9.207692644391761</v>
      </c>
      <c r="L1618">
        <v>9.3327558296026911</v>
      </c>
      <c r="M1618">
        <v>9.479668220027003</v>
      </c>
      <c r="N1618">
        <v>9.1974508802765502</v>
      </c>
      <c r="O1618">
        <v>9.5722176168028259</v>
      </c>
      <c r="P1618">
        <v>9.3582394913965405</v>
      </c>
      <c r="Q1618">
        <v>9.5034282725604839</v>
      </c>
      <c r="R1618">
        <v>9.4189377199588424</v>
      </c>
      <c r="S1618">
        <v>9.5270719945436628</v>
      </c>
      <c r="T1618">
        <v>9.7167807702104732</v>
      </c>
    </row>
    <row r="1619" spans="1:20" x14ac:dyDescent="0.25">
      <c r="A1619" s="6" t="s">
        <v>1627</v>
      </c>
      <c r="B1619">
        <v>14.940613708927183</v>
      </c>
      <c r="C1619">
        <v>15.986710123516636</v>
      </c>
      <c r="D1619">
        <v>14.367800290872141</v>
      </c>
      <c r="E1619">
        <v>14.67606783617579</v>
      </c>
      <c r="F1619">
        <v>16.15546458125101</v>
      </c>
      <c r="G1619">
        <v>13.712400048862014</v>
      </c>
      <c r="H1619">
        <v>13.710464843956299</v>
      </c>
      <c r="I1619">
        <v>15.777763233245141</v>
      </c>
      <c r="J1619">
        <v>15.996108821518886</v>
      </c>
      <c r="K1619">
        <v>15.389310519557258</v>
      </c>
      <c r="L1619">
        <v>16.015091924886459</v>
      </c>
      <c r="M1619">
        <v>13.340607327981576</v>
      </c>
      <c r="N1619">
        <v>14.182034301654912</v>
      </c>
      <c r="O1619">
        <v>13.475419534676179</v>
      </c>
      <c r="P1619">
        <v>16.553056946070445</v>
      </c>
      <c r="Q1619">
        <v>16.75524579668371</v>
      </c>
      <c r="R1619">
        <v>16.220073662674086</v>
      </c>
      <c r="S1619">
        <v>14.325718702129196</v>
      </c>
      <c r="T1619">
        <v>13.831431898038725</v>
      </c>
    </row>
    <row r="1620" spans="1:20" x14ac:dyDescent="0.25">
      <c r="A1620" s="5" t="s">
        <v>1628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16.59528518145974</v>
      </c>
      <c r="Q1620">
        <v>15.305129432626858</v>
      </c>
      <c r="R1620">
        <v>16.668534163490381</v>
      </c>
      <c r="S1620">
        <v>16.015091924886459</v>
      </c>
      <c r="T1620">
        <v>15.113945311812744</v>
      </c>
    </row>
    <row r="1621" spans="1:20" x14ac:dyDescent="0.25">
      <c r="A1621" s="6" t="s">
        <v>1629</v>
      </c>
      <c r="B1621">
        <v>0</v>
      </c>
      <c r="C1621">
        <v>16.662535422868938</v>
      </c>
      <c r="D1621">
        <v>16.753650777128332</v>
      </c>
      <c r="E1621">
        <v>16.566996137028319</v>
      </c>
      <c r="F1621">
        <v>17.140796531462176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25">
      <c r="A1622" s="5" t="s">
        <v>1630</v>
      </c>
      <c r="B1622">
        <v>15.761643567881864</v>
      </c>
      <c r="C1622">
        <v>0</v>
      </c>
      <c r="D1622">
        <v>15.352629856230788</v>
      </c>
      <c r="E1622">
        <v>16.61687204366789</v>
      </c>
      <c r="F1622">
        <v>15.574016564706092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16.899467726157152</v>
      </c>
      <c r="M1622">
        <v>17.091608981834643</v>
      </c>
      <c r="N1622">
        <v>0</v>
      </c>
      <c r="O1622">
        <v>0</v>
      </c>
      <c r="P1622">
        <v>0</v>
      </c>
      <c r="Q1622">
        <v>15.7066022043239</v>
      </c>
      <c r="R1622">
        <v>16.370853614849693</v>
      </c>
      <c r="S1622">
        <v>15.668534163490381</v>
      </c>
      <c r="T1622">
        <v>15.574016564706092</v>
      </c>
    </row>
    <row r="1623" spans="1:20" x14ac:dyDescent="0.25">
      <c r="A1623" s="6" t="s">
        <v>1631</v>
      </c>
      <c r="B1623">
        <v>17.168156994854169</v>
      </c>
      <c r="C1623">
        <v>17.124213647266568</v>
      </c>
      <c r="D1623">
        <v>15.83564414932564</v>
      </c>
      <c r="E1623">
        <v>15.968094445349289</v>
      </c>
      <c r="F1623">
        <v>17.339410567198815</v>
      </c>
      <c r="G1623">
        <v>0</v>
      </c>
      <c r="H1623">
        <v>17.278508552219609</v>
      </c>
      <c r="I1623">
        <v>18.06367210533152</v>
      </c>
      <c r="J1623">
        <v>17.130409913230476</v>
      </c>
      <c r="K1623">
        <v>16.944247703394922</v>
      </c>
      <c r="L1623">
        <v>17.383131944628133</v>
      </c>
      <c r="M1623">
        <v>17.378208065988847</v>
      </c>
      <c r="N1623">
        <v>0</v>
      </c>
      <c r="O1623">
        <v>17.477392676138372</v>
      </c>
      <c r="P1623">
        <v>0</v>
      </c>
      <c r="Q1623">
        <v>16.840715138873062</v>
      </c>
      <c r="R1623">
        <v>0</v>
      </c>
      <c r="S1623">
        <v>0</v>
      </c>
      <c r="T1623">
        <v>17.318036916406246</v>
      </c>
    </row>
    <row r="1624" spans="1:20" x14ac:dyDescent="0.25">
      <c r="A1624" s="5" t="s">
        <v>1632</v>
      </c>
      <c r="B1624">
        <v>9.4526847115265884</v>
      </c>
      <c r="C1624">
        <v>8.5970880022933862</v>
      </c>
      <c r="D1624">
        <v>9.2928041492620252</v>
      </c>
      <c r="E1624">
        <v>8.6559829483566002</v>
      </c>
      <c r="F1624">
        <v>8.3143150905828591</v>
      </c>
      <c r="G1624">
        <v>7.9818895636718272</v>
      </c>
      <c r="H1624">
        <v>8.3546142658230274</v>
      </c>
      <c r="I1624">
        <v>8.7543159849805239</v>
      </c>
      <c r="J1624">
        <v>9.020118155761816</v>
      </c>
      <c r="K1624">
        <v>8.5385053028734834</v>
      </c>
      <c r="L1624">
        <v>8.267363532099532</v>
      </c>
      <c r="M1624">
        <v>8.8162081854550358</v>
      </c>
      <c r="N1624">
        <v>8.3452194561511082</v>
      </c>
      <c r="O1624">
        <v>9.2505524656876883</v>
      </c>
      <c r="P1624">
        <v>8.5661969889204066</v>
      </c>
      <c r="Q1624">
        <v>7.7961119372732908</v>
      </c>
      <c r="R1624">
        <v>7.728349974184205</v>
      </c>
      <c r="S1624">
        <v>6.9101039371556503</v>
      </c>
      <c r="T1624">
        <v>7.3393241209838047</v>
      </c>
    </row>
    <row r="1625" spans="1:20" x14ac:dyDescent="0.25">
      <c r="A1625" s="6" t="s">
        <v>1633</v>
      </c>
      <c r="B1625">
        <v>14.203648114760977</v>
      </c>
      <c r="C1625">
        <v>14.452596764291233</v>
      </c>
      <c r="D1625">
        <v>14.073587574196603</v>
      </c>
      <c r="E1625">
        <v>13.900349838713455</v>
      </c>
      <c r="F1625">
        <v>13.441319358697088</v>
      </c>
      <c r="G1625">
        <v>14.313917449896843</v>
      </c>
      <c r="H1625">
        <v>14.296394622649251</v>
      </c>
      <c r="I1625">
        <v>14.198214228710349</v>
      </c>
      <c r="J1625">
        <v>14.068621321303253</v>
      </c>
      <c r="K1625">
        <v>14.126792191368347</v>
      </c>
      <c r="L1625">
        <v>14.14236099397683</v>
      </c>
      <c r="M1625">
        <v>14.310982158872298</v>
      </c>
      <c r="N1625">
        <v>13.846228899966805</v>
      </c>
      <c r="O1625">
        <v>13.7085322314223</v>
      </c>
      <c r="P1625">
        <v>13.884990202703845</v>
      </c>
      <c r="Q1625">
        <v>13.823044112546006</v>
      </c>
      <c r="R1625">
        <v>14.073587574196603</v>
      </c>
      <c r="S1625">
        <v>14.111389606908986</v>
      </c>
      <c r="T1625">
        <v>13.785891114128539</v>
      </c>
    </row>
    <row r="1626" spans="1:20" x14ac:dyDescent="0.25">
      <c r="A1626" s="5" t="s">
        <v>1634</v>
      </c>
      <c r="B1626">
        <v>15.745702024012841</v>
      </c>
      <c r="C1626">
        <v>15.034328143749375</v>
      </c>
      <c r="D1626">
        <v>0</v>
      </c>
      <c r="E1626">
        <v>15.287712379549449</v>
      </c>
      <c r="F1626">
        <v>0</v>
      </c>
      <c r="G1626">
        <v>0</v>
      </c>
      <c r="H1626">
        <v>0</v>
      </c>
      <c r="I1626">
        <v>15.039177543410771</v>
      </c>
      <c r="J1626">
        <v>16.044043298582586</v>
      </c>
      <c r="K1626">
        <v>15.334633426936943</v>
      </c>
      <c r="L1626">
        <v>15.247872115017659</v>
      </c>
      <c r="M1626">
        <v>0</v>
      </c>
      <c r="N1626">
        <v>16.198214228710349</v>
      </c>
      <c r="O1626">
        <v>0</v>
      </c>
      <c r="P1626">
        <v>0</v>
      </c>
      <c r="Q1626">
        <v>0</v>
      </c>
      <c r="R1626">
        <v>15.12937535238235</v>
      </c>
      <c r="S1626">
        <v>15.034328143749375</v>
      </c>
      <c r="T1626">
        <v>15.015091924886457</v>
      </c>
    </row>
    <row r="1627" spans="1:20" x14ac:dyDescent="0.25">
      <c r="A1627" s="6" t="s">
        <v>1635</v>
      </c>
      <c r="B1627">
        <v>0</v>
      </c>
      <c r="C1627">
        <v>15.827231909509438</v>
      </c>
      <c r="D1627">
        <v>14.485312339434612</v>
      </c>
      <c r="E1627">
        <v>0</v>
      </c>
      <c r="F1627">
        <v>15.414292876114592</v>
      </c>
      <c r="G1627">
        <v>15.098678555159433</v>
      </c>
      <c r="H1627">
        <v>15.595285181459742</v>
      </c>
      <c r="I1627">
        <v>15.761643567881864</v>
      </c>
      <c r="J1627">
        <v>15.12937535238235</v>
      </c>
      <c r="K1627">
        <v>0</v>
      </c>
      <c r="L1627">
        <v>15.61687204366789</v>
      </c>
      <c r="M1627">
        <v>0</v>
      </c>
      <c r="N1627">
        <v>15.810553168362809</v>
      </c>
      <c r="O1627">
        <v>15.895944659593452</v>
      </c>
      <c r="P1627">
        <v>15.264811977439372</v>
      </c>
      <c r="Q1627">
        <v>15.231128851183083</v>
      </c>
      <c r="R1627">
        <v>14.695075950942874</v>
      </c>
      <c r="S1627">
        <v>14.963477817278919</v>
      </c>
      <c r="T1627">
        <v>14.996108821518886</v>
      </c>
    </row>
    <row r="1628" spans="1:20" x14ac:dyDescent="0.25">
      <c r="A1628" s="5" t="s">
        <v>1636</v>
      </c>
      <c r="B1628">
        <v>12.579066026737785</v>
      </c>
      <c r="C1628">
        <v>0</v>
      </c>
      <c r="D1628">
        <v>0</v>
      </c>
      <c r="E1628">
        <v>0</v>
      </c>
      <c r="F1628">
        <v>12.958382083552547</v>
      </c>
      <c r="G1628">
        <v>13.033928795197342</v>
      </c>
      <c r="H1628">
        <v>12.614237363845881</v>
      </c>
      <c r="I1628">
        <v>13.691254239990464</v>
      </c>
      <c r="J1628">
        <v>12.440910198441292</v>
      </c>
      <c r="K1628">
        <v>0</v>
      </c>
      <c r="L1628">
        <v>0</v>
      </c>
      <c r="M1628">
        <v>11.824984691960326</v>
      </c>
      <c r="N1628">
        <v>11.757326956315069</v>
      </c>
      <c r="O1628">
        <v>13.490284297397135</v>
      </c>
      <c r="P1628">
        <v>12.019325896940156</v>
      </c>
      <c r="Q1628">
        <v>11.218051453004977</v>
      </c>
      <c r="R1628">
        <v>11.226755381505331</v>
      </c>
      <c r="S1628">
        <v>11.174628691016915</v>
      </c>
      <c r="T1628">
        <v>10.641501326085326</v>
      </c>
    </row>
    <row r="1629" spans="1:20" x14ac:dyDescent="0.25">
      <c r="A1629" s="6" t="s">
        <v>1637</v>
      </c>
      <c r="B1629">
        <v>10.755023883686333</v>
      </c>
      <c r="C1629">
        <v>10.410751519562019</v>
      </c>
      <c r="D1629">
        <v>10.471401445704274</v>
      </c>
      <c r="E1629">
        <v>10.870132568235189</v>
      </c>
      <c r="F1629">
        <v>10.638158997942861</v>
      </c>
      <c r="G1629">
        <v>10.513880581674934</v>
      </c>
      <c r="H1629">
        <v>10.995071962472604</v>
      </c>
      <c r="I1629">
        <v>10.601214093447647</v>
      </c>
      <c r="J1629">
        <v>10.572185768054366</v>
      </c>
      <c r="K1629">
        <v>10.628804000608573</v>
      </c>
      <c r="L1629">
        <v>10.408051698191645</v>
      </c>
      <c r="M1629">
        <v>10.764602120470192</v>
      </c>
      <c r="N1629">
        <v>9.9942639059827361</v>
      </c>
      <c r="O1629">
        <v>10.433046424031899</v>
      </c>
      <c r="P1629">
        <v>10.428452430231157</v>
      </c>
      <c r="Q1629">
        <v>10.596370288984579</v>
      </c>
      <c r="R1629">
        <v>10.160424133371619</v>
      </c>
      <c r="S1629">
        <v>9.9654871200905646</v>
      </c>
      <c r="T1629">
        <v>10.204046271867217</v>
      </c>
    </row>
    <row r="1630" spans="1:20" x14ac:dyDescent="0.25">
      <c r="A1630" s="5" t="s">
        <v>1638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18.96071491498369</v>
      </c>
      <c r="L1630">
        <v>0</v>
      </c>
      <c r="M1630">
        <v>0</v>
      </c>
      <c r="N1630">
        <v>0</v>
      </c>
      <c r="O1630">
        <v>0</v>
      </c>
      <c r="P1630">
        <v>17.503962396542278</v>
      </c>
      <c r="Q1630">
        <v>16.736220971001956</v>
      </c>
      <c r="R1630">
        <v>0</v>
      </c>
      <c r="S1630">
        <v>18.466900302320731</v>
      </c>
      <c r="T1630">
        <v>17.692781709737059</v>
      </c>
    </row>
    <row r="1631" spans="1:20" x14ac:dyDescent="0.25">
      <c r="A1631" s="6" t="s">
        <v>1639</v>
      </c>
      <c r="B1631">
        <v>14.986710123516636</v>
      </c>
      <c r="C1631">
        <v>13.59528518145974</v>
      </c>
      <c r="D1631">
        <v>13.477063631766804</v>
      </c>
      <c r="E1631">
        <v>14.066144591011041</v>
      </c>
      <c r="F1631">
        <v>14.036750806016231</v>
      </c>
      <c r="G1631">
        <v>13.480357457491845</v>
      </c>
      <c r="H1631">
        <v>14.144972207433367</v>
      </c>
      <c r="I1631">
        <v>13.902557482665108</v>
      </c>
      <c r="J1631">
        <v>14.279082074406009</v>
      </c>
      <c r="K1631">
        <v>14.056279971101485</v>
      </c>
      <c r="L1631">
        <v>13.777763233245141</v>
      </c>
      <c r="M1631">
        <v>0</v>
      </c>
      <c r="N1631">
        <v>14.352629856230788</v>
      </c>
      <c r="O1631">
        <v>13.993753400520754</v>
      </c>
      <c r="P1631">
        <v>15.000831231761289</v>
      </c>
      <c r="Q1631">
        <v>0</v>
      </c>
      <c r="R1631">
        <v>15.225590667641651</v>
      </c>
      <c r="S1631">
        <v>0</v>
      </c>
      <c r="T1631">
        <v>0</v>
      </c>
    </row>
    <row r="1632" spans="1:20" x14ac:dyDescent="0.25">
      <c r="A1632" s="5" t="s">
        <v>1640</v>
      </c>
      <c r="B1632">
        <v>0</v>
      </c>
      <c r="C1632">
        <v>16.220073662674086</v>
      </c>
      <c r="D1632">
        <v>0</v>
      </c>
      <c r="E1632">
        <v>17.830590921599356</v>
      </c>
      <c r="F1632">
        <v>0</v>
      </c>
      <c r="G1632">
        <v>16.807240434321972</v>
      </c>
      <c r="H1632">
        <v>16.581071322240042</v>
      </c>
      <c r="I1632">
        <v>0</v>
      </c>
      <c r="J1632">
        <v>0</v>
      </c>
      <c r="K1632">
        <v>14.718221287590733</v>
      </c>
      <c r="L1632">
        <v>16.024677973715658</v>
      </c>
      <c r="M1632">
        <v>0</v>
      </c>
      <c r="N1632">
        <v>0</v>
      </c>
      <c r="O1632">
        <v>0</v>
      </c>
      <c r="P1632">
        <v>0</v>
      </c>
      <c r="Q1632">
        <v>15.581071322240042</v>
      </c>
      <c r="R1632">
        <v>16.512029677810389</v>
      </c>
      <c r="S1632">
        <v>16.253496664211536</v>
      </c>
      <c r="T1632">
        <v>16.709691488247142</v>
      </c>
    </row>
    <row r="1633" spans="1:20" x14ac:dyDescent="0.25">
      <c r="A1633" s="6" t="s">
        <v>1641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17.026602850640149</v>
      </c>
      <c r="J1633">
        <v>0</v>
      </c>
      <c r="K1633">
        <v>0</v>
      </c>
      <c r="L1633">
        <v>0</v>
      </c>
      <c r="M1633">
        <v>17.777763233245139</v>
      </c>
      <c r="N1633">
        <v>0</v>
      </c>
      <c r="O1633">
        <v>0</v>
      </c>
      <c r="P1633">
        <v>17.196046392027636</v>
      </c>
      <c r="Q1633">
        <v>15.931568569324174</v>
      </c>
      <c r="R1633">
        <v>16.358678900903591</v>
      </c>
      <c r="S1633">
        <v>16.113945311812746</v>
      </c>
      <c r="T1633">
        <v>15.722115203695225</v>
      </c>
    </row>
    <row r="1634" spans="1:20" x14ac:dyDescent="0.25">
      <c r="A1634" s="5" t="s">
        <v>1642</v>
      </c>
      <c r="B1634">
        <v>11.378876419609933</v>
      </c>
      <c r="C1634">
        <v>11.164463360375546</v>
      </c>
      <c r="D1634">
        <v>10.979715631862421</v>
      </c>
      <c r="E1634">
        <v>11.336975234819914</v>
      </c>
      <c r="F1634">
        <v>11.048302116983908</v>
      </c>
      <c r="G1634">
        <v>11.270046973471414</v>
      </c>
      <c r="H1634">
        <v>11.855656275232512</v>
      </c>
      <c r="I1634">
        <v>11.144671677270654</v>
      </c>
      <c r="J1634">
        <v>10.83660151789555</v>
      </c>
      <c r="K1634">
        <v>11.199502924678921</v>
      </c>
      <c r="L1634">
        <v>11.104197281431848</v>
      </c>
      <c r="M1634">
        <v>11.540879390684703</v>
      </c>
      <c r="N1634">
        <v>10.714876055461122</v>
      </c>
      <c r="O1634">
        <v>11.064546262870806</v>
      </c>
      <c r="P1634">
        <v>11.49298461285419</v>
      </c>
      <c r="Q1634">
        <v>12.01739275526028</v>
      </c>
      <c r="R1634">
        <v>11.997282077515338</v>
      </c>
      <c r="S1634">
        <v>11.800457579726034</v>
      </c>
      <c r="T1634">
        <v>11.475312733187964</v>
      </c>
    </row>
    <row r="1635" spans="1:20" x14ac:dyDescent="0.25">
      <c r="A1635" s="6" t="s">
        <v>1643</v>
      </c>
      <c r="B1635">
        <v>16.446141742153934</v>
      </c>
      <c r="C1635">
        <v>15.498609162048069</v>
      </c>
      <c r="D1635">
        <v>0</v>
      </c>
      <c r="E1635">
        <v>16.242269408788282</v>
      </c>
      <c r="F1635">
        <v>16.093625327433145</v>
      </c>
      <c r="G1635">
        <v>15.225590667641651</v>
      </c>
      <c r="H1635">
        <v>15.408006613267162</v>
      </c>
      <c r="I1635">
        <v>15.940613708927183</v>
      </c>
      <c r="J1635">
        <v>15.714337853103507</v>
      </c>
      <c r="K1635">
        <v>15.904768509980459</v>
      </c>
      <c r="L1635">
        <v>15.376979717646538</v>
      </c>
      <c r="M1635">
        <v>0</v>
      </c>
      <c r="N1635">
        <v>0</v>
      </c>
      <c r="O1635">
        <v>16.370853614849693</v>
      </c>
      <c r="P1635">
        <v>15.887174449965721</v>
      </c>
      <c r="Q1635">
        <v>15.446141742153934</v>
      </c>
      <c r="R1635">
        <v>15.653583822024411</v>
      </c>
      <c r="S1635">
        <v>16.15546458125101</v>
      </c>
      <c r="T1635">
        <v>0</v>
      </c>
    </row>
    <row r="1636" spans="1:20" x14ac:dyDescent="0.25">
      <c r="A1636" s="5" t="s">
        <v>1644</v>
      </c>
      <c r="B1636">
        <v>9.303587901593616</v>
      </c>
      <c r="C1636">
        <v>9.2019410286373677</v>
      </c>
      <c r="D1636">
        <v>8.7091540085852657</v>
      </c>
      <c r="E1636">
        <v>8.8305081644781858</v>
      </c>
      <c r="F1636">
        <v>9.5123625810183707</v>
      </c>
      <c r="G1636">
        <v>9.5038021385832909</v>
      </c>
      <c r="H1636">
        <v>9.4231349646676854</v>
      </c>
      <c r="I1636">
        <v>9.147490790102335</v>
      </c>
      <c r="J1636">
        <v>9.0765405013360763</v>
      </c>
      <c r="K1636">
        <v>8.9977436821211754</v>
      </c>
      <c r="L1636">
        <v>9.3736597783328204</v>
      </c>
      <c r="M1636">
        <v>9.3040839306553345</v>
      </c>
      <c r="N1636">
        <v>9.2232243921835</v>
      </c>
      <c r="O1636">
        <v>8.6072963098282322</v>
      </c>
      <c r="P1636">
        <v>10.08296910026322</v>
      </c>
      <c r="Q1636">
        <v>11.186045496760729</v>
      </c>
      <c r="R1636">
        <v>10.726007440257069</v>
      </c>
      <c r="S1636">
        <v>11.348790549255446</v>
      </c>
      <c r="T1636">
        <v>11.184526979889135</v>
      </c>
    </row>
    <row r="1637" spans="1:20" x14ac:dyDescent="0.25">
      <c r="A1637" s="6" t="s">
        <v>1645</v>
      </c>
      <c r="B1637">
        <v>10.656177332472012</v>
      </c>
      <c r="C1637">
        <v>11.015390526779459</v>
      </c>
      <c r="D1637">
        <v>11.203501811125873</v>
      </c>
      <c r="E1637">
        <v>11.193979820417553</v>
      </c>
      <c r="F1637">
        <v>10.181947152635077</v>
      </c>
      <c r="G1637">
        <v>10.773236591921739</v>
      </c>
      <c r="H1637">
        <v>10.038883083944929</v>
      </c>
      <c r="I1637">
        <v>10.583940557509443</v>
      </c>
      <c r="J1637">
        <v>10.454308148909236</v>
      </c>
      <c r="K1637">
        <v>10.574551076660587</v>
      </c>
      <c r="L1637">
        <v>10.667301918246018</v>
      </c>
      <c r="M1637">
        <v>9.7845672135992849</v>
      </c>
      <c r="N1637">
        <v>10.288940996707407</v>
      </c>
      <c r="O1637">
        <v>10.514901913919482</v>
      </c>
      <c r="P1637">
        <v>10.09041625437788</v>
      </c>
      <c r="Q1637">
        <v>9.8990434016520474</v>
      </c>
      <c r="R1637">
        <v>9.4638601188155267</v>
      </c>
      <c r="S1637">
        <v>9.9350329394115988</v>
      </c>
      <c r="T1637">
        <v>9.8111673772593768</v>
      </c>
    </row>
    <row r="1638" spans="1:20" x14ac:dyDescent="0.25">
      <c r="A1638" s="5" t="s">
        <v>1646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15.95887591531991</v>
      </c>
      <c r="Q1638">
        <v>14.584611679945288</v>
      </c>
      <c r="R1638">
        <v>14.977372258937299</v>
      </c>
      <c r="S1638">
        <v>14.865479378866404</v>
      </c>
      <c r="T1638">
        <v>13.426948176920622</v>
      </c>
    </row>
    <row r="1639" spans="1:20" x14ac:dyDescent="0.25">
      <c r="A1639" s="6" t="s">
        <v>1647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15.691254239990466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15.034328143749375</v>
      </c>
      <c r="R1639">
        <v>15.553056946070447</v>
      </c>
      <c r="S1639">
        <v>15.214577674919234</v>
      </c>
      <c r="T1639">
        <v>14.972725894080934</v>
      </c>
    </row>
    <row r="1640" spans="1:20" x14ac:dyDescent="0.25">
      <c r="A1640" s="5" t="s">
        <v>1648</v>
      </c>
      <c r="B1640">
        <v>13.911421996212397</v>
      </c>
      <c r="C1640">
        <v>13.582840415093099</v>
      </c>
      <c r="D1640">
        <v>13.850484640636539</v>
      </c>
      <c r="E1640">
        <v>12.914136548363361</v>
      </c>
      <c r="F1640">
        <v>14.091105335454632</v>
      </c>
      <c r="G1640">
        <v>13.783854846972021</v>
      </c>
      <c r="H1640">
        <v>13.918106309517611</v>
      </c>
      <c r="I1640">
        <v>14.370853614849695</v>
      </c>
      <c r="J1640">
        <v>14.058739809789287</v>
      </c>
      <c r="K1640">
        <v>13.861179241432778</v>
      </c>
      <c r="L1640">
        <v>13.710464843956299</v>
      </c>
      <c r="M1640">
        <v>14.287712379549449</v>
      </c>
      <c r="N1640">
        <v>14.187407473753764</v>
      </c>
      <c r="O1640">
        <v>14.041608369665534</v>
      </c>
      <c r="P1640">
        <v>13.850484640636539</v>
      </c>
      <c r="Q1640">
        <v>14.027084471422752</v>
      </c>
      <c r="R1640">
        <v>13.657306908067127</v>
      </c>
      <c r="S1640">
        <v>13.806413438001886</v>
      </c>
      <c r="T1640">
        <v>14.206372752097511</v>
      </c>
    </row>
    <row r="1641" spans="1:20" x14ac:dyDescent="0.25">
      <c r="A1641" s="6" t="s">
        <v>1649</v>
      </c>
      <c r="B1641">
        <v>0</v>
      </c>
      <c r="C1641">
        <v>0</v>
      </c>
      <c r="D1641">
        <v>14.081069155566054</v>
      </c>
      <c r="E1641">
        <v>14.75365077712833</v>
      </c>
      <c r="F1641">
        <v>15.691254239990466</v>
      </c>
      <c r="G1641">
        <v>15.160739523291683</v>
      </c>
      <c r="H1641">
        <v>0</v>
      </c>
      <c r="I1641">
        <v>0</v>
      </c>
      <c r="J1641">
        <v>15.861179241432778</v>
      </c>
      <c r="K1641">
        <v>16.34660606860302</v>
      </c>
      <c r="L1641">
        <v>16.044043298582586</v>
      </c>
      <c r="M1641">
        <v>0</v>
      </c>
      <c r="N1641">
        <v>16.99988551226437</v>
      </c>
      <c r="O1641">
        <v>14.785891114128539</v>
      </c>
      <c r="P1641">
        <v>15.668534163490381</v>
      </c>
      <c r="Q1641">
        <v>15.745702024012841</v>
      </c>
      <c r="R1641">
        <v>16.420606650046796</v>
      </c>
      <c r="S1641">
        <v>15.802285552379209</v>
      </c>
      <c r="T1641">
        <v>15.346606068603018</v>
      </c>
    </row>
    <row r="1642" spans="1:20" x14ac:dyDescent="0.25">
      <c r="A1642" s="5" t="s">
        <v>1650</v>
      </c>
      <c r="B1642">
        <v>12.198092201395941</v>
      </c>
      <c r="C1642">
        <v>11.925062954119488</v>
      </c>
      <c r="D1642">
        <v>11.37069315451571</v>
      </c>
      <c r="E1642">
        <v>11.373967018913524</v>
      </c>
      <c r="F1642">
        <v>11.573757078874353</v>
      </c>
      <c r="G1642">
        <v>12.285182668925033</v>
      </c>
      <c r="H1642">
        <v>12.512215082777669</v>
      </c>
      <c r="I1642">
        <v>12.10559854710216</v>
      </c>
      <c r="J1642">
        <v>12.073879873921591</v>
      </c>
      <c r="K1642">
        <v>12.264748079959885</v>
      </c>
      <c r="L1642">
        <v>12.390394495917619</v>
      </c>
      <c r="M1642">
        <v>12.754667398315767</v>
      </c>
      <c r="N1642">
        <v>12.646952648533587</v>
      </c>
      <c r="O1642">
        <v>12.68109959656876</v>
      </c>
      <c r="P1642">
        <v>12.817576427236318</v>
      </c>
      <c r="Q1642">
        <v>12.282204597947983</v>
      </c>
      <c r="R1642">
        <v>12.445481731356088</v>
      </c>
      <c r="S1642">
        <v>12.759891357154418</v>
      </c>
      <c r="T1642">
        <v>12.960404419331882</v>
      </c>
    </row>
    <row r="1643" spans="1:20" x14ac:dyDescent="0.25">
      <c r="A1643" s="6" t="s">
        <v>1651</v>
      </c>
      <c r="B1643">
        <v>7.7292785022269435</v>
      </c>
      <c r="C1643">
        <v>6.9082002336272899</v>
      </c>
      <c r="D1643">
        <v>6.5772336366668291</v>
      </c>
      <c r="E1643">
        <v>6.7829639298114683</v>
      </c>
      <c r="F1643">
        <v>7.0569481326224501</v>
      </c>
      <c r="G1643">
        <v>7.952000826473248</v>
      </c>
      <c r="H1643">
        <v>8.131101381064763</v>
      </c>
      <c r="I1643">
        <v>7.6737644206701745</v>
      </c>
      <c r="J1643">
        <v>7.8789295402134352</v>
      </c>
      <c r="K1643">
        <v>7.3078313103114185</v>
      </c>
      <c r="L1643">
        <v>7.3389716142412</v>
      </c>
      <c r="M1643">
        <v>8.2957094508055533</v>
      </c>
      <c r="N1643">
        <v>8.0794097295696456</v>
      </c>
      <c r="O1643">
        <v>7.7433985615681644</v>
      </c>
      <c r="P1643">
        <v>9.2088062831464423</v>
      </c>
      <c r="Q1643">
        <v>10.387577849659325</v>
      </c>
      <c r="R1643">
        <v>10.151148552970987</v>
      </c>
      <c r="S1643">
        <v>10.494292966680666</v>
      </c>
      <c r="T1643">
        <v>9.8852535022046641</v>
      </c>
    </row>
    <row r="1644" spans="1:20" x14ac:dyDescent="0.25">
      <c r="A1644" s="5" t="s">
        <v>1652</v>
      </c>
      <c r="B1644">
        <v>7.1089593015388672</v>
      </c>
      <c r="C1644">
        <v>6.8596056744040199</v>
      </c>
      <c r="D1644">
        <v>7.0671906843560128</v>
      </c>
      <c r="E1644">
        <v>6.8769959611586975</v>
      </c>
      <c r="F1644">
        <v>6.9731126409527437</v>
      </c>
      <c r="G1644">
        <v>7.5963797816942833</v>
      </c>
      <c r="H1644">
        <v>7.8455216030299439</v>
      </c>
      <c r="I1644">
        <v>7.4678712771417342</v>
      </c>
      <c r="J1644">
        <v>7.3249475237544166</v>
      </c>
      <c r="K1644">
        <v>6.9833468192580881</v>
      </c>
      <c r="L1644">
        <v>6.950327214916916</v>
      </c>
      <c r="M1644">
        <v>7.4973776988478198</v>
      </c>
      <c r="N1644">
        <v>7.7479583080821861</v>
      </c>
      <c r="O1644">
        <v>7.5280438621219723</v>
      </c>
      <c r="P1644">
        <v>8.5165451589328836</v>
      </c>
      <c r="Q1644">
        <v>9.4227982600647469</v>
      </c>
      <c r="R1644">
        <v>9.4130127767241145</v>
      </c>
      <c r="S1644">
        <v>9.8038037569662677</v>
      </c>
      <c r="T1644">
        <v>9.7652146466931207</v>
      </c>
    </row>
    <row r="1645" spans="1:20" x14ac:dyDescent="0.25">
      <c r="A1645" s="6" t="s">
        <v>1653</v>
      </c>
      <c r="B1645">
        <v>13.390859306652745</v>
      </c>
      <c r="C1645">
        <v>12.949818643230998</v>
      </c>
      <c r="D1645">
        <v>13.993753400520754</v>
      </c>
      <c r="E1645">
        <v>13.142517533576695</v>
      </c>
      <c r="F1645">
        <v>12.815411780665629</v>
      </c>
      <c r="G1645">
        <v>12.607180973688687</v>
      </c>
      <c r="H1645">
        <v>12.462732770198395</v>
      </c>
      <c r="I1645">
        <v>13.006946062760894</v>
      </c>
      <c r="J1645">
        <v>13.400187108807861</v>
      </c>
      <c r="K1645">
        <v>13.157809549097307</v>
      </c>
      <c r="L1645">
        <v>13.163450424736755</v>
      </c>
      <c r="M1645">
        <v>12.824529389129616</v>
      </c>
      <c r="N1645">
        <v>13.292046969813342</v>
      </c>
      <c r="O1645">
        <v>13.551323978845989</v>
      </c>
      <c r="P1645">
        <v>12.55692028302545</v>
      </c>
      <c r="Q1645">
        <v>12.44697120817405</v>
      </c>
      <c r="R1645">
        <v>13.062931185153861</v>
      </c>
      <c r="S1645">
        <v>12.149441808292782</v>
      </c>
      <c r="T1645">
        <v>12.864564526617414</v>
      </c>
    </row>
    <row r="1646" spans="1:20" x14ac:dyDescent="0.25">
      <c r="A1646" s="5" t="s">
        <v>1654</v>
      </c>
      <c r="B1646">
        <v>12.6947889711904</v>
      </c>
      <c r="C1646">
        <v>11.949658848530188</v>
      </c>
      <c r="D1646">
        <v>12.198987308147025</v>
      </c>
      <c r="E1646">
        <v>11.976441788062807</v>
      </c>
      <c r="F1646">
        <v>11.938194234206314</v>
      </c>
      <c r="G1646">
        <v>12.308001617458112</v>
      </c>
      <c r="H1646">
        <v>13.468861818654016</v>
      </c>
      <c r="I1646">
        <v>12.530928179242489</v>
      </c>
      <c r="J1646">
        <v>12.486437815741379</v>
      </c>
      <c r="K1646">
        <v>12.21782464712129</v>
      </c>
      <c r="L1646">
        <v>12.091369727881018</v>
      </c>
      <c r="M1646">
        <v>12.746633735063503</v>
      </c>
      <c r="N1646">
        <v>12.457140638415011</v>
      </c>
      <c r="O1646">
        <v>12.60893733198143</v>
      </c>
      <c r="P1646">
        <v>13.422189420409488</v>
      </c>
      <c r="Q1646">
        <v>12.840270715022593</v>
      </c>
      <c r="R1646">
        <v>13.083158449933608</v>
      </c>
      <c r="S1646">
        <v>12.956018626703896</v>
      </c>
      <c r="T1646">
        <v>12.926662739846696</v>
      </c>
    </row>
    <row r="1647" spans="1:20" x14ac:dyDescent="0.25">
      <c r="A1647" s="6" t="s">
        <v>1655</v>
      </c>
      <c r="B1647">
        <v>7.2540568034826665</v>
      </c>
      <c r="C1647">
        <v>6.3806469879813177</v>
      </c>
      <c r="D1647">
        <v>6.3741998857742139</v>
      </c>
      <c r="E1647">
        <v>6.2216738996369507</v>
      </c>
      <c r="F1647">
        <v>7.2664385440318657</v>
      </c>
      <c r="G1647">
        <v>7.3584826179414984</v>
      </c>
      <c r="H1647">
        <v>7.8724191626967963</v>
      </c>
      <c r="I1647">
        <v>7.5996243608771357</v>
      </c>
      <c r="J1647">
        <v>7.4881600554676959</v>
      </c>
      <c r="K1647">
        <v>6.6746148380560175</v>
      </c>
      <c r="L1647">
        <v>6.7639991052636663</v>
      </c>
      <c r="M1647">
        <v>8.1016128023220428</v>
      </c>
      <c r="N1647">
        <v>8.8704877001501963</v>
      </c>
      <c r="O1647">
        <v>7.3197576067675536</v>
      </c>
      <c r="P1647">
        <v>8.8733393492480577</v>
      </c>
      <c r="Q1647">
        <v>9.8199516462107432</v>
      </c>
      <c r="R1647">
        <v>9.5646464498398185</v>
      </c>
      <c r="S1647">
        <v>10.004458786039976</v>
      </c>
      <c r="T1647">
        <v>9.6426978822319445</v>
      </c>
    </row>
    <row r="1648" spans="1:20" x14ac:dyDescent="0.25">
      <c r="A1648" s="5" t="s">
        <v>1656</v>
      </c>
      <c r="B1648">
        <v>15.231128851183083</v>
      </c>
      <c r="C1648">
        <v>14.852617227929352</v>
      </c>
      <c r="D1648">
        <v>15.465594104820106</v>
      </c>
      <c r="E1648">
        <v>14.794065045574239</v>
      </c>
      <c r="F1648">
        <v>15.401747622795478</v>
      </c>
      <c r="G1648">
        <v>14.53582024114514</v>
      </c>
      <c r="H1648">
        <v>15.083571662769224</v>
      </c>
      <c r="I1648">
        <v>15.134555591488031</v>
      </c>
      <c r="J1648">
        <v>15.61687204366789</v>
      </c>
      <c r="K1648">
        <v>15.192800732523983</v>
      </c>
      <c r="L1648">
        <v>15.220073662674086</v>
      </c>
      <c r="M1648">
        <v>14.940613708927183</v>
      </c>
      <c r="N1648">
        <v>15.414292876114592</v>
      </c>
      <c r="O1648">
        <v>15.588160747026361</v>
      </c>
      <c r="P1648">
        <v>14.661039626943458</v>
      </c>
      <c r="Q1648">
        <v>14.478709604610362</v>
      </c>
      <c r="R1648">
        <v>14.485312339434612</v>
      </c>
      <c r="S1648">
        <v>13.779790914592123</v>
      </c>
      <c r="T1648">
        <v>14.831431898038725</v>
      </c>
    </row>
    <row r="1649" spans="1:20" x14ac:dyDescent="0.25">
      <c r="A1649" s="6" t="s">
        <v>1657</v>
      </c>
      <c r="B1649">
        <v>15.922579786096922</v>
      </c>
      <c r="C1649">
        <v>13.810553168362809</v>
      </c>
      <c r="D1649">
        <v>13.539251146545414</v>
      </c>
      <c r="E1649">
        <v>13.3693261451031</v>
      </c>
      <c r="F1649">
        <v>14.88280925740432</v>
      </c>
      <c r="G1649">
        <v>15.039177543410771</v>
      </c>
      <c r="H1649">
        <v>15.595285181459742</v>
      </c>
      <c r="I1649">
        <v>15.12937535238235</v>
      </c>
      <c r="J1649">
        <v>16.358678900903591</v>
      </c>
      <c r="K1649">
        <v>14.239476193896602</v>
      </c>
      <c r="L1649">
        <v>14.695075950942874</v>
      </c>
      <c r="M1649">
        <v>0</v>
      </c>
      <c r="N1649">
        <v>0</v>
      </c>
      <c r="O1649">
        <v>14.986710123516636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25">
      <c r="A1650" s="5" t="s">
        <v>1658</v>
      </c>
      <c r="B1650">
        <v>17.003672115595354</v>
      </c>
      <c r="C1650">
        <v>14.977372258937299</v>
      </c>
      <c r="D1650">
        <v>14.936084050446668</v>
      </c>
      <c r="E1650">
        <v>14.945157634072132</v>
      </c>
      <c r="F1650">
        <v>17.339410567198815</v>
      </c>
      <c r="G1650">
        <v>16.166033822961197</v>
      </c>
      <c r="H1650">
        <v>0</v>
      </c>
      <c r="I1650">
        <v>16.485312339434611</v>
      </c>
      <c r="J1650">
        <v>0</v>
      </c>
      <c r="K1650">
        <v>14.852617227929352</v>
      </c>
      <c r="L1650">
        <v>15.395515669083965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25">
      <c r="A1651" s="6" t="s">
        <v>1659</v>
      </c>
      <c r="B1651">
        <v>15.414292876114592</v>
      </c>
      <c r="C1651">
        <v>14.206372752097511</v>
      </c>
      <c r="D1651">
        <v>13.991401818841355</v>
      </c>
      <c r="E1651">
        <v>14.119070343990613</v>
      </c>
      <c r="F1651">
        <v>14.398628280951302</v>
      </c>
      <c r="G1651">
        <v>14.722115203695225</v>
      </c>
      <c r="H1651">
        <v>15.281953110260764</v>
      </c>
      <c r="I1651">
        <v>15.119070343990609</v>
      </c>
      <c r="J1651">
        <v>15.098678555159433</v>
      </c>
      <c r="K1651">
        <v>14.325718702129196</v>
      </c>
      <c r="L1651">
        <v>14.325718702129196</v>
      </c>
      <c r="M1651">
        <v>15.646166350461927</v>
      </c>
      <c r="N1651">
        <v>14.827231909509438</v>
      </c>
      <c r="O1651">
        <v>15.000831231761289</v>
      </c>
      <c r="P1651">
        <v>0</v>
      </c>
      <c r="Q1651">
        <v>15.376979717646538</v>
      </c>
      <c r="R1651">
        <v>15.67606783617579</v>
      </c>
      <c r="S1651">
        <v>14.765656630388486</v>
      </c>
      <c r="T1651">
        <v>15.370853614849695</v>
      </c>
    </row>
    <row r="1652" spans="1:20" x14ac:dyDescent="0.25">
      <c r="A1652" s="5" t="s">
        <v>1660</v>
      </c>
      <c r="B1652">
        <v>13.267455552293207</v>
      </c>
      <c r="C1652">
        <v>12.615685389552517</v>
      </c>
      <c r="D1652">
        <v>12.517881410634407</v>
      </c>
      <c r="E1652">
        <v>12.340472642822922</v>
      </c>
      <c r="F1652">
        <v>13.005331884910843</v>
      </c>
      <c r="G1652">
        <v>13.345104043437788</v>
      </c>
      <c r="H1652">
        <v>13.417446309153467</v>
      </c>
      <c r="I1652">
        <v>13.011442036764823</v>
      </c>
      <c r="J1652">
        <v>13.597071800933756</v>
      </c>
      <c r="K1652">
        <v>12.277240444056325</v>
      </c>
      <c r="L1652">
        <v>12.217962100976099</v>
      </c>
      <c r="M1652">
        <v>13.638786820096328</v>
      </c>
      <c r="N1652">
        <v>13.261620565208123</v>
      </c>
      <c r="O1652">
        <v>13.358678900903593</v>
      </c>
      <c r="P1652">
        <v>13.927067177089235</v>
      </c>
      <c r="Q1652">
        <v>15.198214228710349</v>
      </c>
      <c r="R1652">
        <v>15.044043298582586</v>
      </c>
      <c r="S1652">
        <v>0</v>
      </c>
      <c r="T1652">
        <v>15.160739523291683</v>
      </c>
    </row>
    <row r="1653" spans="1:20" x14ac:dyDescent="0.25">
      <c r="A1653" s="6" t="s">
        <v>1661</v>
      </c>
      <c r="B1653">
        <v>15.827231909509438</v>
      </c>
      <c r="C1653">
        <v>0</v>
      </c>
      <c r="D1653">
        <v>0</v>
      </c>
      <c r="E1653">
        <v>16.736220971001956</v>
      </c>
      <c r="F1653">
        <v>0</v>
      </c>
      <c r="G1653">
        <v>16.073587574196605</v>
      </c>
      <c r="H1653">
        <v>15.498609162048069</v>
      </c>
      <c r="I1653">
        <v>17.349012566310112</v>
      </c>
      <c r="J1653">
        <v>16.103749544706854</v>
      </c>
      <c r="K1653">
        <v>14.869792371737484</v>
      </c>
      <c r="L1653">
        <v>0</v>
      </c>
      <c r="M1653">
        <v>15.465594104820106</v>
      </c>
      <c r="N1653">
        <v>0</v>
      </c>
      <c r="O1653">
        <v>0</v>
      </c>
      <c r="P1653">
        <v>13.759641214970715</v>
      </c>
      <c r="Q1653">
        <v>12.458536640543775</v>
      </c>
      <c r="R1653">
        <v>14.000831231761289</v>
      </c>
      <c r="S1653">
        <v>13.442925029470389</v>
      </c>
      <c r="T1653">
        <v>11.88373575633857</v>
      </c>
    </row>
    <row r="1654" spans="1:20" x14ac:dyDescent="0.25">
      <c r="A1654" s="5" t="s">
        <v>1662</v>
      </c>
      <c r="B1654">
        <v>12.112072814536722</v>
      </c>
      <c r="C1654">
        <v>11.093991091943595</v>
      </c>
      <c r="D1654">
        <v>11.136210709758515</v>
      </c>
      <c r="E1654">
        <v>10.924216066741611</v>
      </c>
      <c r="F1654">
        <v>11.476204357313328</v>
      </c>
      <c r="G1654">
        <v>11.281191729161735</v>
      </c>
      <c r="H1654">
        <v>10.454182659325996</v>
      </c>
      <c r="I1654">
        <v>11.553173996389871</v>
      </c>
      <c r="J1654">
        <v>11.737831316999916</v>
      </c>
      <c r="K1654">
        <v>11.065114903991056</v>
      </c>
      <c r="L1654">
        <v>11.110001840201202</v>
      </c>
      <c r="M1654">
        <v>12.226606715818461</v>
      </c>
      <c r="N1654">
        <v>12.159689591734603</v>
      </c>
      <c r="O1654">
        <v>12.068001740000671</v>
      </c>
      <c r="P1654">
        <v>12.597974885256221</v>
      </c>
      <c r="Q1654">
        <v>13.057410976014479</v>
      </c>
      <c r="R1654">
        <v>12.806144766236566</v>
      </c>
      <c r="S1654">
        <v>12.457830354358864</v>
      </c>
      <c r="T1654">
        <v>12.139682886016201</v>
      </c>
    </row>
    <row r="1655" spans="1:20" x14ac:dyDescent="0.25">
      <c r="A1655" s="6" t="s">
        <v>1663</v>
      </c>
      <c r="B1655">
        <v>12.175853090978034</v>
      </c>
      <c r="C1655">
        <v>11.597156720427312</v>
      </c>
      <c r="D1655">
        <v>11.452523984426538</v>
      </c>
      <c r="E1655">
        <v>11.168887557440835</v>
      </c>
      <c r="F1655">
        <v>12.217295572014221</v>
      </c>
      <c r="G1655">
        <v>11.87314383236774</v>
      </c>
      <c r="H1655">
        <v>11.161813356643004</v>
      </c>
      <c r="I1655">
        <v>12.10839879774195</v>
      </c>
      <c r="J1655">
        <v>12.270866660260946</v>
      </c>
      <c r="K1655">
        <v>11.530441591225824</v>
      </c>
      <c r="L1655">
        <v>11.700241770878817</v>
      </c>
      <c r="M1655">
        <v>12.546025365226011</v>
      </c>
      <c r="N1655">
        <v>12.798601083911318</v>
      </c>
      <c r="O1655">
        <v>12.370509793127455</v>
      </c>
      <c r="P1655">
        <v>13.488625073475445</v>
      </c>
      <c r="Q1655">
        <v>13.970408311187535</v>
      </c>
      <c r="R1655">
        <v>14.61687204366789</v>
      </c>
      <c r="S1655">
        <v>0</v>
      </c>
      <c r="T1655">
        <v>13.361712960993227</v>
      </c>
    </row>
    <row r="1656" spans="1:20" x14ac:dyDescent="0.25">
      <c r="A1656" s="5" t="s">
        <v>1664</v>
      </c>
      <c r="B1656">
        <v>9.2149702867543777</v>
      </c>
      <c r="C1656">
        <v>9.2436435590170962</v>
      </c>
      <c r="D1656">
        <v>9.1089403822292585</v>
      </c>
      <c r="E1656">
        <v>8.8016609491296798</v>
      </c>
      <c r="F1656">
        <v>9.038001582727027</v>
      </c>
      <c r="G1656">
        <v>10.090516921493723</v>
      </c>
      <c r="H1656">
        <v>9.7100285720338402</v>
      </c>
      <c r="I1656">
        <v>9.6922087190467074</v>
      </c>
      <c r="J1656">
        <v>9.403505221032221</v>
      </c>
      <c r="K1656">
        <v>9.3813297019941473</v>
      </c>
      <c r="L1656">
        <v>9.6352821020741004</v>
      </c>
      <c r="M1656">
        <v>10.056806945953182</v>
      </c>
      <c r="N1656">
        <v>10.34764337849157</v>
      </c>
      <c r="O1656">
        <v>9.4484773438983165</v>
      </c>
      <c r="P1656">
        <v>10.546008109553151</v>
      </c>
      <c r="Q1656">
        <v>11.379825706505184</v>
      </c>
      <c r="R1656">
        <v>11.748975579675234</v>
      </c>
      <c r="S1656">
        <v>11.918190059725607</v>
      </c>
      <c r="T1656">
        <v>11.198661750522763</v>
      </c>
    </row>
    <row r="1657" spans="1:20" x14ac:dyDescent="0.25">
      <c r="A1657" s="6" t="s">
        <v>1665</v>
      </c>
      <c r="B1657">
        <v>10.194505483826262</v>
      </c>
      <c r="C1657">
        <v>9.8803025200282146</v>
      </c>
      <c r="D1657">
        <v>9.8634701569907257</v>
      </c>
      <c r="E1657">
        <v>9.1571109297588862</v>
      </c>
      <c r="F1657">
        <v>9.2130879223294286</v>
      </c>
      <c r="G1657">
        <v>10.866362492334305</v>
      </c>
      <c r="H1657">
        <v>10.308063801722023</v>
      </c>
      <c r="I1657">
        <v>10.100098219935481</v>
      </c>
      <c r="J1657">
        <v>10.267466221680881</v>
      </c>
      <c r="K1657">
        <v>10.273791031648997</v>
      </c>
      <c r="L1657">
        <v>10.729645610059064</v>
      </c>
      <c r="M1657">
        <v>10.889843717701025</v>
      </c>
      <c r="N1657">
        <v>11.361401676174452</v>
      </c>
      <c r="O1657">
        <v>10.393399041505019</v>
      </c>
      <c r="P1657">
        <v>11.241193380724159</v>
      </c>
      <c r="Q1657">
        <v>12.040161534610146</v>
      </c>
      <c r="R1657">
        <v>12.778989639902884</v>
      </c>
      <c r="S1657">
        <v>12.159920643166659</v>
      </c>
      <c r="T1657">
        <v>12.521320757120757</v>
      </c>
    </row>
    <row r="1658" spans="1:20" x14ac:dyDescent="0.25">
      <c r="A1658" s="5" t="s">
        <v>1666</v>
      </c>
      <c r="B1658">
        <v>15.264811977439372</v>
      </c>
      <c r="C1658">
        <v>14.231128851183081</v>
      </c>
      <c r="D1658">
        <v>14.996108821518886</v>
      </c>
      <c r="E1658">
        <v>14.609640474436812</v>
      </c>
      <c r="F1658">
        <v>14.171347622857667</v>
      </c>
      <c r="G1658">
        <v>0</v>
      </c>
      <c r="H1658">
        <v>0</v>
      </c>
      <c r="I1658">
        <v>14.765656630388486</v>
      </c>
      <c r="J1658">
        <v>0</v>
      </c>
      <c r="K1658">
        <v>14.949715916034434</v>
      </c>
      <c r="L1658">
        <v>14.781821449819493</v>
      </c>
      <c r="M1658">
        <v>0</v>
      </c>
      <c r="N1658">
        <v>15.729934708154525</v>
      </c>
      <c r="O1658">
        <v>15.452596764291233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25">
      <c r="A1659" s="6" t="s">
        <v>1667</v>
      </c>
      <c r="B1659">
        <v>14.749670926215785</v>
      </c>
      <c r="C1659">
        <v>14.563498692792091</v>
      </c>
      <c r="D1659">
        <v>15.06367210533152</v>
      </c>
      <c r="E1659">
        <v>15.242269408788282</v>
      </c>
      <c r="F1659">
        <v>15.083571662769224</v>
      </c>
      <c r="G1659">
        <v>15.683641055880589</v>
      </c>
      <c r="H1659">
        <v>15.446141742153934</v>
      </c>
      <c r="I1659">
        <v>14.595285181459742</v>
      </c>
      <c r="J1659">
        <v>15.242269408788282</v>
      </c>
      <c r="K1659">
        <v>15.029494990013431</v>
      </c>
      <c r="L1659">
        <v>15.472136950686876</v>
      </c>
      <c r="M1659">
        <v>14.931568569324176</v>
      </c>
      <c r="N1659">
        <v>14.015091924886457</v>
      </c>
      <c r="O1659">
        <v>14.940613708927183</v>
      </c>
      <c r="P1659">
        <v>14.95428864582426</v>
      </c>
      <c r="Q1659">
        <v>14.6989078125339</v>
      </c>
      <c r="R1659">
        <v>14.878457232864612</v>
      </c>
      <c r="S1659">
        <v>15.044043298582586</v>
      </c>
      <c r="T1659">
        <v>14.475419534676179</v>
      </c>
    </row>
    <row r="1660" spans="1:20" x14ac:dyDescent="0.25">
      <c r="A1660" s="5" t="s">
        <v>1668</v>
      </c>
      <c r="B1660">
        <v>12.926898647792752</v>
      </c>
      <c r="C1660">
        <v>12.69173140058383</v>
      </c>
      <c r="D1660">
        <v>12.456589102971321</v>
      </c>
      <c r="E1660">
        <v>12.474491447498975</v>
      </c>
      <c r="F1660">
        <v>12.820704245191983</v>
      </c>
      <c r="G1660">
        <v>13.457457055381768</v>
      </c>
      <c r="H1660">
        <v>13.354139741288424</v>
      </c>
      <c r="I1660">
        <v>12.588516134401205</v>
      </c>
      <c r="J1660">
        <v>13.021375580129314</v>
      </c>
      <c r="K1660">
        <v>12.638280861459851</v>
      </c>
      <c r="L1660">
        <v>12.837818266055832</v>
      </c>
      <c r="M1660">
        <v>14.039177543410771</v>
      </c>
      <c r="N1660">
        <v>13.993753400520754</v>
      </c>
      <c r="O1660">
        <v>12.946956434949575</v>
      </c>
      <c r="P1660">
        <v>14.426948176920622</v>
      </c>
      <c r="Q1660">
        <v>15.328684160605755</v>
      </c>
      <c r="R1660">
        <v>15.264811977439372</v>
      </c>
      <c r="S1660">
        <v>15.895944659593452</v>
      </c>
      <c r="T1660">
        <v>15.352629856230788</v>
      </c>
    </row>
    <row r="1661" spans="1:20" x14ac:dyDescent="0.25">
      <c r="A1661" s="6" t="s">
        <v>1669</v>
      </c>
      <c r="B1661">
        <v>10.056873023436159</v>
      </c>
      <c r="C1661">
        <v>8.7269436306696058</v>
      </c>
      <c r="D1661">
        <v>9.1694473522563094</v>
      </c>
      <c r="E1661">
        <v>9.0584413308148104</v>
      </c>
      <c r="F1661">
        <v>9.0942851897160573</v>
      </c>
      <c r="G1661">
        <v>8.6341295089192549</v>
      </c>
      <c r="H1661">
        <v>8.1910199921540769</v>
      </c>
      <c r="I1661">
        <v>9.5228917317721464</v>
      </c>
      <c r="J1661">
        <v>9.5285352357877908</v>
      </c>
      <c r="K1661">
        <v>9.5253476167380331</v>
      </c>
      <c r="L1661">
        <v>9.4973719638674901</v>
      </c>
      <c r="M1661">
        <v>10.607894517819684</v>
      </c>
      <c r="N1661">
        <v>10.194488578485238</v>
      </c>
      <c r="O1661">
        <v>10.052126226744926</v>
      </c>
      <c r="P1661">
        <v>10.571210877637995</v>
      </c>
      <c r="Q1661">
        <v>10.193307385748115</v>
      </c>
      <c r="R1661">
        <v>10.51046521910126</v>
      </c>
      <c r="S1661">
        <v>0</v>
      </c>
      <c r="T1661">
        <v>0</v>
      </c>
    </row>
    <row r="1662" spans="1:20" x14ac:dyDescent="0.25">
      <c r="A1662" s="5" t="s">
        <v>1670</v>
      </c>
      <c r="B1662">
        <v>7.2130924175430629</v>
      </c>
      <c r="C1662">
        <v>7.2760572998751023</v>
      </c>
      <c r="D1662">
        <v>6.8875430263872559</v>
      </c>
      <c r="E1662">
        <v>7.0227434675853049</v>
      </c>
      <c r="F1662">
        <v>7.0161541089027812</v>
      </c>
      <c r="G1662">
        <v>8.4883499305090044</v>
      </c>
      <c r="H1662">
        <v>8.2621812105657391</v>
      </c>
      <c r="I1662">
        <v>8.1884790423990381</v>
      </c>
      <c r="J1662">
        <v>8.1734715542847809</v>
      </c>
      <c r="K1662">
        <v>7.5767007465430751</v>
      </c>
      <c r="L1662">
        <v>7.8683214729903845</v>
      </c>
      <c r="M1662">
        <v>8.0921305198029838</v>
      </c>
      <c r="N1662">
        <v>8.1130103570762646</v>
      </c>
      <c r="O1662">
        <v>8.2777754032013604</v>
      </c>
      <c r="P1662">
        <v>8.9830275823026291</v>
      </c>
      <c r="Q1662">
        <v>9.7502361421581316</v>
      </c>
      <c r="R1662">
        <v>10.090375360368425</v>
      </c>
      <c r="S1662">
        <v>10.055538230694978</v>
      </c>
      <c r="T1662">
        <v>9.0227834267675977</v>
      </c>
    </row>
    <row r="1663" spans="1:20" x14ac:dyDescent="0.25">
      <c r="A1663" s="6" t="s">
        <v>1671</v>
      </c>
      <c r="B1663">
        <v>12.993329832840276</v>
      </c>
      <c r="C1663">
        <v>13.586385122136509</v>
      </c>
      <c r="D1663">
        <v>14.449365643028219</v>
      </c>
      <c r="E1663">
        <v>14.236688376524981</v>
      </c>
      <c r="F1663">
        <v>15.088589737535848</v>
      </c>
      <c r="G1663">
        <v>14.59886063568357</v>
      </c>
      <c r="H1663">
        <v>0</v>
      </c>
      <c r="I1663">
        <v>15.322759326648649</v>
      </c>
      <c r="J1663">
        <v>14.131963146871506</v>
      </c>
      <c r="K1663">
        <v>13.800226030200914</v>
      </c>
      <c r="L1663">
        <v>12.905155788386184</v>
      </c>
      <c r="M1663">
        <v>14.839868735187364</v>
      </c>
      <c r="N1663">
        <v>15.192800732523983</v>
      </c>
      <c r="O1663">
        <v>0</v>
      </c>
      <c r="P1663">
        <v>13.093650549594896</v>
      </c>
      <c r="Q1663">
        <v>0</v>
      </c>
      <c r="R1663">
        <v>15.769680886947281</v>
      </c>
      <c r="S1663">
        <v>0</v>
      </c>
      <c r="T1663">
        <v>0</v>
      </c>
    </row>
    <row r="1664" spans="1:20" x14ac:dyDescent="0.25">
      <c r="A1664" s="5" t="s">
        <v>1672</v>
      </c>
      <c r="B1664">
        <v>16.777763233245139</v>
      </c>
      <c r="C1664">
        <v>16.044043298582586</v>
      </c>
      <c r="D1664">
        <v>15.904768509980459</v>
      </c>
      <c r="E1664">
        <v>16.198214228710349</v>
      </c>
      <c r="F1664">
        <v>16.446141742153934</v>
      </c>
      <c r="G1664">
        <v>0</v>
      </c>
      <c r="H1664">
        <v>17.380667904676653</v>
      </c>
      <c r="I1664">
        <v>17.136632906520639</v>
      </c>
      <c r="J1664">
        <v>0</v>
      </c>
      <c r="K1664">
        <v>17.085576798659602</v>
      </c>
      <c r="L1664">
        <v>16.938800138555251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25">
      <c r="A1665" s="6" t="s">
        <v>1673</v>
      </c>
      <c r="B1665">
        <v>12.816649810703318</v>
      </c>
      <c r="C1665">
        <v>12.193456037784644</v>
      </c>
      <c r="D1665">
        <v>12.037369236421165</v>
      </c>
      <c r="E1665">
        <v>12.017877293631503</v>
      </c>
      <c r="F1665">
        <v>12.703817868363434</v>
      </c>
      <c r="G1665">
        <v>13.123775752734788</v>
      </c>
      <c r="H1665">
        <v>13.773716400182437</v>
      </c>
      <c r="I1665">
        <v>13.09320922541395</v>
      </c>
      <c r="J1665">
        <v>13.360195133350974</v>
      </c>
      <c r="K1665">
        <v>12.853834214709385</v>
      </c>
      <c r="L1665">
        <v>12.830969300333233</v>
      </c>
      <c r="M1665">
        <v>13.649870319225345</v>
      </c>
      <c r="N1665">
        <v>13.968094445349287</v>
      </c>
      <c r="O1665">
        <v>13.313917449896843</v>
      </c>
      <c r="P1665">
        <v>14.290600658874276</v>
      </c>
      <c r="Q1665">
        <v>15.364753415313277</v>
      </c>
      <c r="R1665">
        <v>0</v>
      </c>
      <c r="S1665">
        <v>16.322759326648651</v>
      </c>
      <c r="T1665">
        <v>0</v>
      </c>
    </row>
    <row r="1666" spans="1:20" x14ac:dyDescent="0.25">
      <c r="A1666" s="5" t="s">
        <v>1674</v>
      </c>
      <c r="B1666">
        <v>13.581071322240041</v>
      </c>
      <c r="C1666">
        <v>0</v>
      </c>
      <c r="D1666">
        <v>14.508662826711991</v>
      </c>
      <c r="E1666">
        <v>13.884990202703845</v>
      </c>
      <c r="F1666">
        <v>0</v>
      </c>
      <c r="G1666">
        <v>13.113817418985136</v>
      </c>
      <c r="H1666">
        <v>13.19327360333037</v>
      </c>
      <c r="I1666">
        <v>15.395515669083965</v>
      </c>
      <c r="J1666">
        <v>14.67229608228658</v>
      </c>
      <c r="K1666">
        <v>12.81908735922369</v>
      </c>
      <c r="L1666">
        <v>13.716278263672942</v>
      </c>
      <c r="M1666">
        <v>13.254765215450321</v>
      </c>
      <c r="N1666">
        <v>13.625962779738746</v>
      </c>
      <c r="O1666">
        <v>13.727975855116467</v>
      </c>
      <c r="P1666">
        <v>12.493308990615818</v>
      </c>
      <c r="Q1666">
        <v>11.240048362435353</v>
      </c>
      <c r="R1666">
        <v>13.325718702129196</v>
      </c>
      <c r="S1666">
        <v>12.088596021064518</v>
      </c>
      <c r="T1666">
        <v>11.134377211717558</v>
      </c>
    </row>
    <row r="1667" spans="1:20" x14ac:dyDescent="0.25">
      <c r="A1667" s="6" t="s">
        <v>1675</v>
      </c>
      <c r="B1667">
        <v>13.993753400520754</v>
      </c>
      <c r="C1667">
        <v>14.296394622649251</v>
      </c>
      <c r="D1667">
        <v>14.012705332049579</v>
      </c>
      <c r="E1667">
        <v>14.293494732143458</v>
      </c>
      <c r="F1667">
        <v>13.477063631766804</v>
      </c>
      <c r="G1667">
        <v>13.648017146149867</v>
      </c>
      <c r="H1667">
        <v>13.649870319225345</v>
      </c>
      <c r="I1667">
        <v>13.546137532130654</v>
      </c>
      <c r="J1667">
        <v>13.604240486694223</v>
      </c>
      <c r="K1667">
        <v>14.436513040956156</v>
      </c>
      <c r="L1667">
        <v>13.498609162048069</v>
      </c>
      <c r="M1667">
        <v>13.59886063568357</v>
      </c>
      <c r="N1667">
        <v>12.629112421331488</v>
      </c>
      <c r="O1667">
        <v>13.364753415313277</v>
      </c>
      <c r="P1667">
        <v>12.642988525405407</v>
      </c>
      <c r="Q1667">
        <v>11.926791922753225</v>
      </c>
      <c r="R1667">
        <v>11.638014154698467</v>
      </c>
      <c r="S1667">
        <v>11.251318065276863</v>
      </c>
      <c r="T1667">
        <v>11.85039407547443</v>
      </c>
    </row>
    <row r="1668" spans="1:20" x14ac:dyDescent="0.25">
      <c r="A1668" s="5" t="s">
        <v>1676</v>
      </c>
      <c r="B1668">
        <v>9.7650702779510947</v>
      </c>
      <c r="C1668">
        <v>9.8162933780347199</v>
      </c>
      <c r="D1668">
        <v>9.3790819813948207</v>
      </c>
      <c r="E1668">
        <v>9.8481650353356134</v>
      </c>
      <c r="F1668">
        <v>10.51772065665573</v>
      </c>
      <c r="G1668">
        <v>10.642349648875996</v>
      </c>
      <c r="H1668">
        <v>10.770857586285166</v>
      </c>
      <c r="I1668">
        <v>10.158396387094696</v>
      </c>
      <c r="J1668">
        <v>10.556544347191887</v>
      </c>
      <c r="K1668">
        <v>10.061472067980967</v>
      </c>
      <c r="L1668">
        <v>10.133965400854585</v>
      </c>
      <c r="M1668">
        <v>10.086076950233867</v>
      </c>
      <c r="N1668">
        <v>9.852019785658193</v>
      </c>
      <c r="O1668">
        <v>10.04759194924543</v>
      </c>
      <c r="P1668">
        <v>10.807261115305078</v>
      </c>
      <c r="Q1668">
        <v>11.974733610719547</v>
      </c>
      <c r="R1668">
        <v>12.194584941582667</v>
      </c>
      <c r="S1668">
        <v>12.308440622530314</v>
      </c>
      <c r="T1668">
        <v>11.837754895921446</v>
      </c>
    </row>
    <row r="1669" spans="1:20" x14ac:dyDescent="0.25">
      <c r="A1669" s="6" t="s">
        <v>1677</v>
      </c>
      <c r="B1669">
        <v>11.102058290689117</v>
      </c>
      <c r="C1669">
        <v>11.073932742962052</v>
      </c>
      <c r="D1669">
        <v>11.47495541645765</v>
      </c>
      <c r="E1669">
        <v>10.821187054336745</v>
      </c>
      <c r="F1669">
        <v>10.578046780085398</v>
      </c>
      <c r="G1669">
        <v>10.440607414342548</v>
      </c>
      <c r="H1669">
        <v>10.606843457476653</v>
      </c>
      <c r="I1669">
        <v>9.3082540290517048</v>
      </c>
      <c r="J1669">
        <v>10.014157700222928</v>
      </c>
      <c r="K1669">
        <v>11.256737207007992</v>
      </c>
      <c r="L1669">
        <v>10.632069751246368</v>
      </c>
      <c r="M1669">
        <v>10.127531148841999</v>
      </c>
      <c r="N1669">
        <v>9.454130037910387</v>
      </c>
      <c r="O1669">
        <v>10.050001829514088</v>
      </c>
      <c r="P1669">
        <v>10.241885020914969</v>
      </c>
      <c r="Q1669">
        <v>11.02864482249737</v>
      </c>
      <c r="R1669">
        <v>10.48328290951248</v>
      </c>
      <c r="S1669">
        <v>11.186021967717648</v>
      </c>
      <c r="T1669">
        <v>10.830824768964462</v>
      </c>
    </row>
    <row r="1670" spans="1:20" x14ac:dyDescent="0.25">
      <c r="A1670" s="5" t="s">
        <v>1678</v>
      </c>
      <c r="B1670">
        <v>15.408006613267162</v>
      </c>
      <c r="C1670">
        <v>15.63144484475516</v>
      </c>
      <c r="D1670">
        <v>15.539251146545414</v>
      </c>
      <c r="E1670">
        <v>15.512029677810389</v>
      </c>
      <c r="F1670">
        <v>15.139754498162349</v>
      </c>
      <c r="G1670">
        <v>15.293494732143458</v>
      </c>
      <c r="H1670">
        <v>15.420606650046794</v>
      </c>
      <c r="I1670">
        <v>14.852617227929352</v>
      </c>
      <c r="J1670">
        <v>15.160739523291683</v>
      </c>
      <c r="K1670">
        <v>15.364753415313277</v>
      </c>
      <c r="L1670">
        <v>15.334633426936943</v>
      </c>
      <c r="M1670">
        <v>15.913646661326911</v>
      </c>
      <c r="N1670">
        <v>15.722115203695225</v>
      </c>
      <c r="O1670">
        <v>15.560009706712211</v>
      </c>
      <c r="P1670">
        <v>15.794065045574239</v>
      </c>
      <c r="Q1670">
        <v>15.986710123516636</v>
      </c>
      <c r="R1670">
        <v>15.67606783617579</v>
      </c>
      <c r="S1670">
        <v>15.653583822024411</v>
      </c>
      <c r="T1670">
        <v>16.420606650046796</v>
      </c>
    </row>
    <row r="1671" spans="1:20" x14ac:dyDescent="0.25">
      <c r="A1671" s="6" t="s">
        <v>1679</v>
      </c>
      <c r="B1671">
        <v>14.217323051658052</v>
      </c>
      <c r="C1671">
        <v>14.245068042140955</v>
      </c>
      <c r="D1671">
        <v>13.712400048862014</v>
      </c>
      <c r="E1671">
        <v>13.814704811633275</v>
      </c>
      <c r="F1671">
        <v>13.779790914592123</v>
      </c>
      <c r="G1671">
        <v>14.581071322240041</v>
      </c>
      <c r="H1671">
        <v>14.358678900903593</v>
      </c>
      <c r="I1671">
        <v>14.528982811091586</v>
      </c>
      <c r="J1671">
        <v>14.646166350461927</v>
      </c>
      <c r="K1671">
        <v>13.909200756295721</v>
      </c>
      <c r="L1671">
        <v>13.963477817278919</v>
      </c>
      <c r="M1671">
        <v>14.624140044131927</v>
      </c>
      <c r="N1671">
        <v>14.423773929125478</v>
      </c>
      <c r="O1671">
        <v>14.179355201459032</v>
      </c>
      <c r="P1671">
        <v>15.446141742153934</v>
      </c>
      <c r="Q1671">
        <v>15.602444973032609</v>
      </c>
      <c r="R1671">
        <v>15.683641055880589</v>
      </c>
      <c r="S1671">
        <v>15.895944659593452</v>
      </c>
      <c r="T1671">
        <v>16.034328143749374</v>
      </c>
    </row>
    <row r="1672" spans="1:20" x14ac:dyDescent="0.25">
      <c r="A1672" s="5" t="s">
        <v>1680</v>
      </c>
      <c r="B1672">
        <v>10.436195187237949</v>
      </c>
      <c r="C1672">
        <v>9.9545119373357327</v>
      </c>
      <c r="D1672">
        <v>10.066729335060726</v>
      </c>
      <c r="E1672">
        <v>10.182994965594496</v>
      </c>
      <c r="F1672">
        <v>10.166677079483375</v>
      </c>
      <c r="G1672">
        <v>10.061273211746643</v>
      </c>
      <c r="H1672">
        <v>9.3890135360593021</v>
      </c>
      <c r="I1672">
        <v>9.5756162916922971</v>
      </c>
      <c r="J1672">
        <v>10.118330895608096</v>
      </c>
      <c r="K1672">
        <v>10.169980771339741</v>
      </c>
      <c r="L1672">
        <v>9.6617522737618788</v>
      </c>
      <c r="M1672">
        <v>10.351837798699</v>
      </c>
      <c r="N1672">
        <v>9.4648517322315016</v>
      </c>
      <c r="O1672">
        <v>10.063621154886665</v>
      </c>
      <c r="P1672">
        <v>10.904530661923843</v>
      </c>
      <c r="Q1672">
        <v>10.750078356307979</v>
      </c>
      <c r="R1672">
        <v>10.774178682208955</v>
      </c>
      <c r="S1672">
        <v>10.513948085456619</v>
      </c>
      <c r="T1672">
        <v>10.633730616570093</v>
      </c>
    </row>
    <row r="1673" spans="1:20" x14ac:dyDescent="0.25">
      <c r="A1673" s="6" t="s">
        <v>1681</v>
      </c>
      <c r="B1673">
        <v>0</v>
      </c>
      <c r="C1673">
        <v>12.650333984677154</v>
      </c>
      <c r="D1673">
        <v>13.488625073475445</v>
      </c>
      <c r="E1673">
        <v>13.243486147200278</v>
      </c>
      <c r="F1673">
        <v>14.144972207433367</v>
      </c>
      <c r="G1673">
        <v>12.55530423642649</v>
      </c>
      <c r="H1673">
        <v>14.160739523291683</v>
      </c>
      <c r="I1673">
        <v>13.406439318120201</v>
      </c>
      <c r="J1673">
        <v>13.252229227420761</v>
      </c>
      <c r="K1673">
        <v>14.287712379549449</v>
      </c>
      <c r="L1673">
        <v>12.955376802354554</v>
      </c>
      <c r="M1673">
        <v>14.296394622649251</v>
      </c>
      <c r="N1673">
        <v>14.404873723782199</v>
      </c>
      <c r="O1673">
        <v>13.644317926069556</v>
      </c>
      <c r="P1673">
        <v>14.225590667641651</v>
      </c>
      <c r="Q1673">
        <v>14.116505552131308</v>
      </c>
      <c r="R1673">
        <v>13.498609162048069</v>
      </c>
      <c r="S1673">
        <v>14.236688376524981</v>
      </c>
      <c r="T1673">
        <v>13.577539631269786</v>
      </c>
    </row>
    <row r="1674" spans="1:20" x14ac:dyDescent="0.25">
      <c r="A1674" s="5" t="s">
        <v>1682</v>
      </c>
      <c r="B1674">
        <v>0</v>
      </c>
      <c r="C1674">
        <v>15.668534163490381</v>
      </c>
      <c r="D1674">
        <v>17.003672115595354</v>
      </c>
      <c r="E1674">
        <v>16.566996137028319</v>
      </c>
      <c r="F1674">
        <v>18.161796830074728</v>
      </c>
      <c r="G1674">
        <v>16.408006613267162</v>
      </c>
      <c r="H1674">
        <v>17.339410567198815</v>
      </c>
      <c r="I1674">
        <v>18.231128851183083</v>
      </c>
      <c r="J1674">
        <v>0</v>
      </c>
      <c r="K1674">
        <v>17.21348098536366</v>
      </c>
      <c r="L1674">
        <v>17.055788506255688</v>
      </c>
      <c r="M1674">
        <v>0</v>
      </c>
      <c r="N1674">
        <v>0</v>
      </c>
      <c r="O1674">
        <v>0</v>
      </c>
      <c r="P1674">
        <v>0</v>
      </c>
      <c r="Q1674">
        <v>17.334633426936943</v>
      </c>
      <c r="R1674">
        <v>17.92078873057093</v>
      </c>
      <c r="S1674">
        <v>18.327497245655312</v>
      </c>
      <c r="T1674">
        <v>18.044043298582586</v>
      </c>
    </row>
    <row r="1675" spans="1:20" x14ac:dyDescent="0.25">
      <c r="A1675" s="6" t="s">
        <v>1683</v>
      </c>
      <c r="B1675">
        <v>0</v>
      </c>
      <c r="C1675">
        <v>16.220073662674086</v>
      </c>
      <c r="D1675">
        <v>16.59528518145974</v>
      </c>
      <c r="E1675">
        <v>16.760041463285361</v>
      </c>
      <c r="F1675">
        <v>16.124213647266568</v>
      </c>
      <c r="G1675">
        <v>0</v>
      </c>
      <c r="H1675">
        <v>0</v>
      </c>
      <c r="I1675">
        <v>16.861179241432779</v>
      </c>
      <c r="J1675">
        <v>16.06367210533152</v>
      </c>
      <c r="K1675">
        <v>17.592431184404589</v>
      </c>
      <c r="L1675">
        <v>16.745702024012843</v>
      </c>
      <c r="M1675">
        <v>0</v>
      </c>
      <c r="N1675">
        <v>0</v>
      </c>
      <c r="O1675">
        <v>16.800637699497727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25">
      <c r="A1676" s="5" t="s">
        <v>1684</v>
      </c>
      <c r="B1676">
        <v>14.927067177089235</v>
      </c>
      <c r="C1676">
        <v>14.710464843956299</v>
      </c>
      <c r="D1676">
        <v>14.588160747026361</v>
      </c>
      <c r="E1676">
        <v>14.95428864582426</v>
      </c>
      <c r="F1676">
        <v>14.45908079786143</v>
      </c>
      <c r="G1676">
        <v>14.414292876114592</v>
      </c>
      <c r="H1676">
        <v>14.261974818135842</v>
      </c>
      <c r="I1676">
        <v>14.549593090766873</v>
      </c>
      <c r="J1676">
        <v>13.798169443906975</v>
      </c>
      <c r="K1676">
        <v>14.722115203695225</v>
      </c>
      <c r="L1676">
        <v>14.806413438001886</v>
      </c>
      <c r="M1676">
        <v>14.465594104820106</v>
      </c>
      <c r="N1676">
        <v>13.829330375393436</v>
      </c>
      <c r="O1676">
        <v>14.259143227352677</v>
      </c>
      <c r="P1676">
        <v>0</v>
      </c>
      <c r="Q1676">
        <v>14.982033636307161</v>
      </c>
      <c r="R1676">
        <v>0</v>
      </c>
      <c r="S1676">
        <v>15.264811977439372</v>
      </c>
      <c r="T1676">
        <v>0</v>
      </c>
    </row>
    <row r="1677" spans="1:20" x14ac:dyDescent="0.25">
      <c r="A1677" s="6" t="s">
        <v>1685</v>
      </c>
      <c r="B1677">
        <v>13.035066624647724</v>
      </c>
      <c r="C1677">
        <v>11.507461081502239</v>
      </c>
      <c r="D1677">
        <v>11.860213474327056</v>
      </c>
      <c r="E1677">
        <v>11.725301421752036</v>
      </c>
      <c r="F1677">
        <v>12.910299842609016</v>
      </c>
      <c r="G1677">
        <v>12.019068394197792</v>
      </c>
      <c r="H1677">
        <v>13.940613708927183</v>
      </c>
      <c r="I1677">
        <v>12.473342432426978</v>
      </c>
      <c r="J1677">
        <v>13.060020585339077</v>
      </c>
      <c r="K1677">
        <v>12.480143130149692</v>
      </c>
      <c r="L1677">
        <v>12.242590975494629</v>
      </c>
      <c r="M1677">
        <v>12.903043618020217</v>
      </c>
      <c r="N1677">
        <v>13.312449057870957</v>
      </c>
      <c r="O1677">
        <v>12.66981211556806</v>
      </c>
      <c r="P1677">
        <v>13.01287226510021</v>
      </c>
      <c r="Q1677">
        <v>14.452596764291233</v>
      </c>
      <c r="R1677">
        <v>14.581071322240041</v>
      </c>
      <c r="S1677">
        <v>12.750625089637399</v>
      </c>
      <c r="T1677">
        <v>0</v>
      </c>
    </row>
    <row r="1678" spans="1:20" x14ac:dyDescent="0.25">
      <c r="A1678" s="5" t="s">
        <v>1686</v>
      </c>
      <c r="B1678">
        <v>0</v>
      </c>
      <c r="C1678">
        <v>12.485709466117182</v>
      </c>
      <c r="D1678">
        <v>12.20238970817193</v>
      </c>
      <c r="E1678">
        <v>12.275486990314606</v>
      </c>
      <c r="F1678">
        <v>13.714337853103505</v>
      </c>
      <c r="G1678">
        <v>12.883114391340653</v>
      </c>
      <c r="H1678">
        <v>13.515404404591045</v>
      </c>
      <c r="I1678">
        <v>0</v>
      </c>
      <c r="J1678">
        <v>13.46233377565652</v>
      </c>
      <c r="K1678">
        <v>12.759911370402866</v>
      </c>
      <c r="L1678">
        <v>12.662872190786016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25">
      <c r="A1679" s="6" t="s">
        <v>1687</v>
      </c>
      <c r="B1679">
        <v>13.226627458948141</v>
      </c>
      <c r="C1679">
        <v>12.044506400026439</v>
      </c>
      <c r="D1679">
        <v>12.845772154258089</v>
      </c>
      <c r="E1679">
        <v>12.47481990567252</v>
      </c>
      <c r="F1679">
        <v>13.38005255169616</v>
      </c>
      <c r="G1679">
        <v>12.269740601474451</v>
      </c>
      <c r="H1679">
        <v>12.383286086947942</v>
      </c>
      <c r="I1679">
        <v>12.477631280244445</v>
      </c>
      <c r="J1679">
        <v>13.049500267202831</v>
      </c>
      <c r="K1679">
        <v>12.851273330571637</v>
      </c>
      <c r="L1679">
        <v>12.80101859820955</v>
      </c>
      <c r="M1679">
        <v>13.383131944628133</v>
      </c>
      <c r="N1679">
        <v>13.720166931905704</v>
      </c>
      <c r="O1679">
        <v>13.194246853776674</v>
      </c>
      <c r="P1679">
        <v>13.113088646278307</v>
      </c>
      <c r="Q1679">
        <v>13.428537923683015</v>
      </c>
      <c r="R1679">
        <v>13.189292821783905</v>
      </c>
      <c r="S1679">
        <v>13.104028966930828</v>
      </c>
      <c r="T1679">
        <v>13.260530012424857</v>
      </c>
    </row>
    <row r="1680" spans="1:20" x14ac:dyDescent="0.25">
      <c r="A1680" s="5" t="s">
        <v>1688</v>
      </c>
      <c r="B1680">
        <v>13.963477817278919</v>
      </c>
      <c r="C1680">
        <v>13.7397690682591</v>
      </c>
      <c r="D1680">
        <v>14.027084471422752</v>
      </c>
      <c r="E1680">
        <v>15.139754498162349</v>
      </c>
      <c r="F1680">
        <v>0</v>
      </c>
      <c r="G1680">
        <v>0</v>
      </c>
      <c r="H1680">
        <v>0</v>
      </c>
      <c r="I1680">
        <v>0</v>
      </c>
      <c r="J1680">
        <v>14.726019658151142</v>
      </c>
      <c r="K1680">
        <v>14.442925029470389</v>
      </c>
      <c r="L1680">
        <v>14.505303814622076</v>
      </c>
      <c r="M1680">
        <v>0</v>
      </c>
      <c r="N1680">
        <v>14.895944659593452</v>
      </c>
      <c r="O1680">
        <v>0</v>
      </c>
      <c r="P1680">
        <v>14.577539631269786</v>
      </c>
      <c r="Q1680">
        <v>0</v>
      </c>
      <c r="R1680">
        <v>0</v>
      </c>
      <c r="S1680">
        <v>0</v>
      </c>
      <c r="T1680">
        <v>16.06367210533152</v>
      </c>
    </row>
    <row r="1681" spans="1:20" x14ac:dyDescent="0.25">
      <c r="A1681" s="6" t="s">
        <v>1689</v>
      </c>
      <c r="B1681">
        <v>11.382592576165834</v>
      </c>
      <c r="C1681">
        <v>12.053965406145855</v>
      </c>
      <c r="D1681">
        <v>11.634230395722346</v>
      </c>
      <c r="E1681">
        <v>12.586686824230634</v>
      </c>
      <c r="F1681">
        <v>11.985059931273204</v>
      </c>
      <c r="G1681">
        <v>10.352365788733975</v>
      </c>
      <c r="H1681">
        <v>11.37696436990859</v>
      </c>
      <c r="I1681">
        <v>10.865425547966193</v>
      </c>
      <c r="J1681">
        <v>11.031103236531242</v>
      </c>
      <c r="K1681">
        <v>11.447160522109783</v>
      </c>
      <c r="L1681">
        <v>10.98857617710275</v>
      </c>
      <c r="M1681">
        <v>10.864497280960821</v>
      </c>
      <c r="N1681">
        <v>10.534186996859116</v>
      </c>
      <c r="O1681">
        <v>10.551993090720854</v>
      </c>
      <c r="P1681">
        <v>10.910152694130947</v>
      </c>
      <c r="Q1681">
        <v>11.742940164398007</v>
      </c>
      <c r="R1681">
        <v>11.428243688438549</v>
      </c>
      <c r="S1681">
        <v>11.730601324523292</v>
      </c>
      <c r="T1681">
        <v>12.510202186087945</v>
      </c>
    </row>
    <row r="1682" spans="1:20" x14ac:dyDescent="0.25">
      <c r="A1682" s="5" t="s">
        <v>1690</v>
      </c>
      <c r="B1682">
        <v>12.284945060847592</v>
      </c>
      <c r="C1682">
        <v>12.175512690248784</v>
      </c>
      <c r="D1682">
        <v>12.143920625642005</v>
      </c>
      <c r="E1682">
        <v>12.44446011510227</v>
      </c>
      <c r="F1682">
        <v>12.221981538749482</v>
      </c>
      <c r="G1682">
        <v>11.865231773354772</v>
      </c>
      <c r="H1682">
        <v>12.611264419998562</v>
      </c>
      <c r="I1682">
        <v>12.176447316068588</v>
      </c>
      <c r="J1682">
        <v>12.608522818815757</v>
      </c>
      <c r="K1682">
        <v>12.269263360781251</v>
      </c>
      <c r="L1682">
        <v>12.261677239831384</v>
      </c>
      <c r="M1682">
        <v>12.536085844846156</v>
      </c>
      <c r="N1682">
        <v>12.17782365306803</v>
      </c>
      <c r="O1682">
        <v>12.29128024442975</v>
      </c>
      <c r="P1682">
        <v>12.328031236546565</v>
      </c>
      <c r="Q1682">
        <v>12.509688883774277</v>
      </c>
      <c r="R1682">
        <v>12.732652119880072</v>
      </c>
      <c r="S1682">
        <v>12.467120839817538</v>
      </c>
      <c r="T1682">
        <v>12.476997831897194</v>
      </c>
    </row>
    <row r="1683" spans="1:20" x14ac:dyDescent="0.25">
      <c r="A1683" s="6" t="s">
        <v>1691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15.27621674071162</v>
      </c>
      <c r="H1683">
        <v>15.247872115017659</v>
      </c>
      <c r="I1683">
        <v>0</v>
      </c>
      <c r="J1683">
        <v>0</v>
      </c>
      <c r="K1683">
        <v>14.642471866904184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13.837754895921446</v>
      </c>
      <c r="R1683">
        <v>15.895944659593452</v>
      </c>
      <c r="S1683">
        <v>12.672117169061147</v>
      </c>
      <c r="T1683">
        <v>13.414292876114592</v>
      </c>
    </row>
    <row r="1684" spans="1:20" x14ac:dyDescent="0.25">
      <c r="A1684" s="5" t="s">
        <v>1692</v>
      </c>
      <c r="B1684">
        <v>16.553056946070445</v>
      </c>
      <c r="C1684">
        <v>16.91899989582112</v>
      </c>
      <c r="D1684">
        <v>0</v>
      </c>
      <c r="E1684">
        <v>0</v>
      </c>
      <c r="F1684">
        <v>0</v>
      </c>
      <c r="G1684">
        <v>15.878457232864612</v>
      </c>
      <c r="H1684">
        <v>16.581071322240042</v>
      </c>
      <c r="I1684">
        <v>0</v>
      </c>
      <c r="J1684">
        <v>0</v>
      </c>
      <c r="K1684">
        <v>15.977372258937301</v>
      </c>
      <c r="L1684">
        <v>15.827231909509438</v>
      </c>
      <c r="M1684">
        <v>0</v>
      </c>
      <c r="N1684">
        <v>0</v>
      </c>
      <c r="O1684">
        <v>17.334633426936943</v>
      </c>
      <c r="P1684">
        <v>16.299300353824663</v>
      </c>
      <c r="Q1684">
        <v>16.187407473753765</v>
      </c>
      <c r="R1684">
        <v>17.224485577552468</v>
      </c>
      <c r="S1684">
        <v>16.763247453584452</v>
      </c>
      <c r="T1684">
        <v>16.144972207433366</v>
      </c>
    </row>
    <row r="1685" spans="1:20" x14ac:dyDescent="0.25">
      <c r="A1685" s="6" t="s">
        <v>1693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18.020835907421262</v>
      </c>
      <c r="Q1685">
        <v>16.990462258377743</v>
      </c>
      <c r="R1685">
        <v>17.692781709737059</v>
      </c>
      <c r="S1685">
        <v>16.459080797861432</v>
      </c>
      <c r="T1685">
        <v>15.737796825927495</v>
      </c>
    </row>
    <row r="1686" spans="1:20" x14ac:dyDescent="0.25">
      <c r="A1686" s="5" t="s">
        <v>1694</v>
      </c>
      <c r="B1686">
        <v>15.231128851183083</v>
      </c>
      <c r="C1686">
        <v>15.878457232864612</v>
      </c>
      <c r="D1686">
        <v>15.83564414932564</v>
      </c>
      <c r="E1686">
        <v>15.624140044131927</v>
      </c>
      <c r="F1686">
        <v>15.922579786096922</v>
      </c>
      <c r="G1686">
        <v>15.729934708154525</v>
      </c>
      <c r="H1686">
        <v>16.299300353824663</v>
      </c>
      <c r="I1686">
        <v>15.949715916034434</v>
      </c>
      <c r="J1686">
        <v>15.426948176920622</v>
      </c>
      <c r="K1686">
        <v>15.714337853103507</v>
      </c>
      <c r="L1686">
        <v>15.566996137028319</v>
      </c>
      <c r="M1686">
        <v>16.05382431937517</v>
      </c>
      <c r="N1686">
        <v>16.144972207433366</v>
      </c>
      <c r="O1686">
        <v>15.478709604610364</v>
      </c>
      <c r="P1686">
        <v>16.408006613267162</v>
      </c>
      <c r="Q1686">
        <v>0</v>
      </c>
      <c r="R1686">
        <v>15.913646661326911</v>
      </c>
      <c r="S1686">
        <v>0</v>
      </c>
      <c r="T1686">
        <v>0</v>
      </c>
    </row>
    <row r="1687" spans="1:20" x14ac:dyDescent="0.25">
      <c r="A1687" s="6" t="s">
        <v>1695</v>
      </c>
      <c r="B1687">
        <v>5.8649356108951469</v>
      </c>
      <c r="C1687">
        <v>5.9900077454383718</v>
      </c>
      <c r="D1687">
        <v>6.0826887401706573</v>
      </c>
      <c r="E1687">
        <v>5.952863561442034</v>
      </c>
      <c r="F1687">
        <v>5.8876661054262458</v>
      </c>
      <c r="G1687">
        <v>5.8214078791874444</v>
      </c>
      <c r="H1687">
        <v>6.4670006120718773</v>
      </c>
      <c r="I1687">
        <v>6.1141121890334498</v>
      </c>
      <c r="J1687">
        <v>0</v>
      </c>
      <c r="K1687">
        <v>6.1608512060165701</v>
      </c>
      <c r="L1687">
        <v>6.1710771013113908</v>
      </c>
      <c r="M1687">
        <v>5.8028583161624132</v>
      </c>
      <c r="N1687">
        <v>6.4646368927670004</v>
      </c>
      <c r="O1687">
        <v>6.2085028273873757</v>
      </c>
      <c r="P1687">
        <v>0</v>
      </c>
      <c r="Q1687">
        <v>6.9294147646760598</v>
      </c>
      <c r="R1687">
        <v>7.3136863084874779</v>
      </c>
      <c r="S1687">
        <v>7.7431707357332176</v>
      </c>
      <c r="T1687">
        <v>7.0345463951141243</v>
      </c>
    </row>
    <row r="1688" spans="1:20" x14ac:dyDescent="0.25">
      <c r="A1688" s="5" t="s">
        <v>1696</v>
      </c>
      <c r="B1688">
        <v>10.298789610942418</v>
      </c>
      <c r="C1688">
        <v>11.561256050415428</v>
      </c>
      <c r="D1688">
        <v>11.189555619426836</v>
      </c>
      <c r="E1688">
        <v>11.958514138281393</v>
      </c>
      <c r="F1688">
        <v>11.579595789851098</v>
      </c>
      <c r="G1688">
        <v>12.390789575494953</v>
      </c>
      <c r="H1688">
        <v>11.3693185118162</v>
      </c>
      <c r="I1688">
        <v>11.619665890803065</v>
      </c>
      <c r="J1688">
        <v>10.709307381239588</v>
      </c>
      <c r="K1688">
        <v>10.634397791663844</v>
      </c>
      <c r="L1688">
        <v>11.588684974077141</v>
      </c>
      <c r="M1688">
        <v>10.247258258199825</v>
      </c>
      <c r="N1688">
        <v>10.510433652607452</v>
      </c>
      <c r="O1688">
        <v>11.332462820955906</v>
      </c>
      <c r="P1688">
        <v>12.422062734859624</v>
      </c>
      <c r="Q1688">
        <v>12.205861490486507</v>
      </c>
      <c r="R1688">
        <v>11.406082996087802</v>
      </c>
      <c r="S1688">
        <v>12.546266966319555</v>
      </c>
      <c r="T1688">
        <v>11.861179241432778</v>
      </c>
    </row>
    <row r="1689" spans="1:20" x14ac:dyDescent="0.25">
      <c r="A1689" s="6" t="s">
        <v>1697</v>
      </c>
      <c r="B1689">
        <v>13.09344878464645</v>
      </c>
      <c r="C1689">
        <v>12.487125118992445</v>
      </c>
      <c r="D1689">
        <v>12.606434043803562</v>
      </c>
      <c r="E1689">
        <v>12.126237415341173</v>
      </c>
      <c r="F1689">
        <v>12.841826797829073</v>
      </c>
      <c r="G1689">
        <v>13.442925029470389</v>
      </c>
      <c r="H1689">
        <v>13.517094732893247</v>
      </c>
      <c r="I1689">
        <v>13.415868731040131</v>
      </c>
      <c r="J1689">
        <v>13.534107843269455</v>
      </c>
      <c r="K1689">
        <v>12.923352865533596</v>
      </c>
      <c r="L1689">
        <v>12.829456380462812</v>
      </c>
      <c r="M1689">
        <v>13.622319608507558</v>
      </c>
      <c r="N1689">
        <v>14.093625327433148</v>
      </c>
      <c r="O1689">
        <v>13.154780253230898</v>
      </c>
      <c r="P1689">
        <v>0</v>
      </c>
      <c r="Q1689">
        <v>15.182034301654912</v>
      </c>
      <c r="R1689">
        <v>14.737796825927495</v>
      </c>
      <c r="S1689">
        <v>14.179355201459032</v>
      </c>
      <c r="T1689">
        <v>14.83564414932564</v>
      </c>
    </row>
    <row r="1690" spans="1:20" x14ac:dyDescent="0.25">
      <c r="A1690" s="5" t="s">
        <v>1698</v>
      </c>
      <c r="B1690">
        <v>17.485312339434611</v>
      </c>
      <c r="C1690">
        <v>17.501283296346394</v>
      </c>
      <c r="D1690">
        <v>18.525576209648339</v>
      </c>
      <c r="E1690">
        <v>18.833957772697751</v>
      </c>
      <c r="F1690">
        <v>17.020835907421262</v>
      </c>
      <c r="G1690">
        <v>17.430766516267017</v>
      </c>
      <c r="H1690">
        <v>17.091608981834643</v>
      </c>
      <c r="I1690">
        <v>17.536505769806599</v>
      </c>
      <c r="J1690">
        <v>17.550285196820393</v>
      </c>
      <c r="K1690">
        <v>17.509335568641127</v>
      </c>
      <c r="L1690">
        <v>17.361105638298135</v>
      </c>
      <c r="M1690">
        <v>17.768069837041296</v>
      </c>
      <c r="N1690">
        <v>16.712787401540105</v>
      </c>
      <c r="O1690">
        <v>17.854325570391715</v>
      </c>
      <c r="P1690">
        <v>16.662535422868938</v>
      </c>
      <c r="Q1690">
        <v>16.083571662769224</v>
      </c>
      <c r="R1690">
        <v>15.818868436574812</v>
      </c>
      <c r="S1690">
        <v>16.370853614849693</v>
      </c>
      <c r="T1690">
        <v>16.472136950686878</v>
      </c>
    </row>
    <row r="1691" spans="1:20" x14ac:dyDescent="0.25">
      <c r="A1691" s="6" t="s">
        <v>1699</v>
      </c>
      <c r="B1691">
        <v>9.5942176161850306</v>
      </c>
      <c r="C1691">
        <v>9.6970852116686395</v>
      </c>
      <c r="D1691">
        <v>9.8448126626972332</v>
      </c>
      <c r="E1691">
        <v>9.8138748251636443</v>
      </c>
      <c r="F1691">
        <v>9.7961080894178441</v>
      </c>
      <c r="G1691">
        <v>9.7196766254698659</v>
      </c>
      <c r="H1691">
        <v>9.757209592878219</v>
      </c>
      <c r="I1691">
        <v>9.3099580476900741</v>
      </c>
      <c r="J1691">
        <v>9.1170269576593608</v>
      </c>
      <c r="K1691">
        <v>9.6031561780438306</v>
      </c>
      <c r="L1691">
        <v>9.7762013282600897</v>
      </c>
      <c r="M1691">
        <v>10.000311009321999</v>
      </c>
      <c r="N1691">
        <v>9.9475660312330874</v>
      </c>
      <c r="O1691">
        <v>9.575859596765147</v>
      </c>
      <c r="P1691">
        <v>9.3704887844564553</v>
      </c>
      <c r="Q1691">
        <v>9.2223908209076377</v>
      </c>
      <c r="R1691">
        <v>9.0618490451380058</v>
      </c>
      <c r="S1691">
        <v>9.6448548803298184</v>
      </c>
      <c r="T1691">
        <v>9.5597124428451838</v>
      </c>
    </row>
    <row r="1692" spans="1:20" x14ac:dyDescent="0.25">
      <c r="A1692" s="5" t="s">
        <v>1700</v>
      </c>
      <c r="B1692">
        <v>0</v>
      </c>
      <c r="C1692">
        <v>15.293494732143458</v>
      </c>
      <c r="D1692">
        <v>15.539251146545414</v>
      </c>
      <c r="E1692">
        <v>16.083571662769224</v>
      </c>
      <c r="F1692">
        <v>0</v>
      </c>
      <c r="G1692">
        <v>0</v>
      </c>
      <c r="H1692">
        <v>0</v>
      </c>
      <c r="I1692">
        <v>0</v>
      </c>
      <c r="J1692">
        <v>14.891552890476294</v>
      </c>
      <c r="K1692">
        <v>15.334633426936943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15.253496664211537</v>
      </c>
      <c r="R1692">
        <v>15.566996137028319</v>
      </c>
      <c r="S1692">
        <v>15.073587574196603</v>
      </c>
      <c r="T1692">
        <v>0</v>
      </c>
    </row>
    <row r="1693" spans="1:20" x14ac:dyDescent="0.25">
      <c r="A1693" s="6" t="s">
        <v>1701</v>
      </c>
      <c r="B1693">
        <v>15.913646661326911</v>
      </c>
      <c r="C1693">
        <v>15.986710123516636</v>
      </c>
      <c r="D1693">
        <v>16.299300353824663</v>
      </c>
      <c r="E1693">
        <v>16.334633426936943</v>
      </c>
      <c r="F1693">
        <v>15.346606068603018</v>
      </c>
      <c r="G1693">
        <v>15.485312339434612</v>
      </c>
      <c r="H1693">
        <v>15.546137532130656</v>
      </c>
      <c r="I1693">
        <v>15.395515669083965</v>
      </c>
      <c r="J1693">
        <v>15.588160747026361</v>
      </c>
      <c r="K1693">
        <v>15.478709604610364</v>
      </c>
      <c r="L1693">
        <v>15.624140044131927</v>
      </c>
      <c r="M1693">
        <v>15.986710123516636</v>
      </c>
      <c r="N1693">
        <v>15.426948176920622</v>
      </c>
      <c r="O1693">
        <v>15.646166350461927</v>
      </c>
      <c r="P1693">
        <v>14.7066022043239</v>
      </c>
      <c r="Q1693">
        <v>14.168688276407176</v>
      </c>
      <c r="R1693">
        <v>14.642471866904184</v>
      </c>
      <c r="S1693">
        <v>14.15809964141898</v>
      </c>
      <c r="T1693">
        <v>14.488625073475445</v>
      </c>
    </row>
    <row r="1694" spans="1:20" x14ac:dyDescent="0.25">
      <c r="A1694" s="5" t="s">
        <v>1702</v>
      </c>
      <c r="B1694">
        <v>15.67606783617579</v>
      </c>
      <c r="C1694">
        <v>14.442925029470389</v>
      </c>
      <c r="D1694">
        <v>13.825136491507246</v>
      </c>
      <c r="E1694">
        <v>14.0860785183798</v>
      </c>
      <c r="F1694">
        <v>15.270503089517227</v>
      </c>
      <c r="G1694">
        <v>15.4397154729945</v>
      </c>
      <c r="H1694">
        <v>15.691254239990466</v>
      </c>
      <c r="I1694">
        <v>15.691254239990466</v>
      </c>
      <c r="J1694">
        <v>15.745702024012841</v>
      </c>
      <c r="K1694">
        <v>15.005569150767952</v>
      </c>
      <c r="L1694">
        <v>14.972725894080934</v>
      </c>
      <c r="M1694">
        <v>16.073587574196605</v>
      </c>
      <c r="N1694">
        <v>16.498609162048069</v>
      </c>
      <c r="O1694">
        <v>15.044043298582586</v>
      </c>
      <c r="P1694">
        <v>16.334633426936943</v>
      </c>
      <c r="Q1694">
        <v>16.166033822961197</v>
      </c>
      <c r="R1694">
        <v>16.113945311812746</v>
      </c>
      <c r="S1694">
        <v>16.024677973715658</v>
      </c>
      <c r="T1694">
        <v>16.299300353824663</v>
      </c>
    </row>
    <row r="1695" spans="1:20" x14ac:dyDescent="0.25">
      <c r="A1695" s="6" t="s">
        <v>1703</v>
      </c>
      <c r="B1695">
        <v>13.781821449819493</v>
      </c>
      <c r="C1695">
        <v>0</v>
      </c>
      <c r="D1695">
        <v>0</v>
      </c>
      <c r="E1695">
        <v>0</v>
      </c>
      <c r="F1695">
        <v>13.681744020707992</v>
      </c>
      <c r="G1695">
        <v>12.3588456084914</v>
      </c>
      <c r="H1695">
        <v>0</v>
      </c>
      <c r="I1695">
        <v>13.761643567881864</v>
      </c>
      <c r="J1695">
        <v>0</v>
      </c>
      <c r="K1695">
        <v>13.503627236814692</v>
      </c>
      <c r="L1695">
        <v>13.649870319225345</v>
      </c>
      <c r="M1695">
        <v>0</v>
      </c>
      <c r="N1695">
        <v>0</v>
      </c>
      <c r="O1695">
        <v>0</v>
      </c>
      <c r="P1695">
        <v>13.454215042689613</v>
      </c>
      <c r="Q1695">
        <v>11.649054629786754</v>
      </c>
      <c r="R1695">
        <v>11.983516779235199</v>
      </c>
      <c r="S1695">
        <v>11.447559371054437</v>
      </c>
      <c r="T1695">
        <v>11.814710008670883</v>
      </c>
    </row>
    <row r="1696" spans="1:20" x14ac:dyDescent="0.25">
      <c r="A1696" s="5" t="s">
        <v>1704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13.696990609539608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13.397071135586007</v>
      </c>
      <c r="R1696">
        <v>13.542690230512186</v>
      </c>
      <c r="S1696">
        <v>12.573524021219161</v>
      </c>
      <c r="T1696">
        <v>13.389310519557256</v>
      </c>
    </row>
    <row r="1697" spans="1:20" x14ac:dyDescent="0.25">
      <c r="A1697" s="6" t="s">
        <v>1705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13.763648703772239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14.078570981710859</v>
      </c>
      <c r="R1697">
        <v>14.071102310807008</v>
      </c>
      <c r="S1697">
        <v>13.642471866904184</v>
      </c>
      <c r="T1697">
        <v>14.250681648604484</v>
      </c>
    </row>
    <row r="1698" spans="1:20" x14ac:dyDescent="0.25">
      <c r="A1698" s="5" t="s">
        <v>1706</v>
      </c>
      <c r="B1698">
        <v>13.56524635507836</v>
      </c>
      <c r="C1698">
        <v>12.870645714691078</v>
      </c>
      <c r="D1698">
        <v>13.582840415093099</v>
      </c>
      <c r="E1698">
        <v>13.321281912243151</v>
      </c>
      <c r="F1698">
        <v>11.830948276688789</v>
      </c>
      <c r="G1698">
        <v>12.897363860917904</v>
      </c>
      <c r="H1698">
        <v>11.770729034953904</v>
      </c>
      <c r="I1698">
        <v>12.598914335009527</v>
      </c>
      <c r="J1698">
        <v>13.07424688721637</v>
      </c>
      <c r="K1698">
        <v>13.015808673286173</v>
      </c>
      <c r="L1698">
        <v>13.287337327593461</v>
      </c>
      <c r="M1698">
        <v>13.547864276850122</v>
      </c>
      <c r="N1698">
        <v>13.989054063984934</v>
      </c>
      <c r="O1698">
        <v>14.139754498162349</v>
      </c>
      <c r="P1698">
        <v>13.887174449965721</v>
      </c>
      <c r="Q1698">
        <v>13.579304396065853</v>
      </c>
      <c r="R1698">
        <v>13.73189622448781</v>
      </c>
      <c r="S1698">
        <v>13.043239317638399</v>
      </c>
      <c r="T1698">
        <v>14.13715270297407</v>
      </c>
    </row>
    <row r="1699" spans="1:20" x14ac:dyDescent="0.25">
      <c r="A1699" s="6" t="s">
        <v>1707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15.171347622857667</v>
      </c>
      <c r="H1699">
        <v>0</v>
      </c>
      <c r="I1699">
        <v>0</v>
      </c>
      <c r="J1699">
        <v>0</v>
      </c>
      <c r="K1699">
        <v>15.505303814622076</v>
      </c>
      <c r="L1699">
        <v>0</v>
      </c>
      <c r="M1699">
        <v>0</v>
      </c>
      <c r="N1699">
        <v>0</v>
      </c>
      <c r="O1699">
        <v>0</v>
      </c>
      <c r="P1699">
        <v>15.088589737535848</v>
      </c>
      <c r="Q1699">
        <v>13.775738397767649</v>
      </c>
      <c r="R1699">
        <v>13.961175031409498</v>
      </c>
      <c r="S1699">
        <v>13.310982158872298</v>
      </c>
      <c r="T1699">
        <v>13.859033969601219</v>
      </c>
    </row>
    <row r="1700" spans="1:20" x14ac:dyDescent="0.25">
      <c r="A1700" s="5" t="s">
        <v>1708</v>
      </c>
      <c r="B1700">
        <v>11.409038038387592</v>
      </c>
      <c r="C1700">
        <v>10.890396785989616</v>
      </c>
      <c r="D1700">
        <v>11.168439213818575</v>
      </c>
      <c r="E1700">
        <v>11.040596040585566</v>
      </c>
      <c r="F1700">
        <v>11.738245274199949</v>
      </c>
      <c r="G1700">
        <v>11.841048546628066</v>
      </c>
      <c r="H1700">
        <v>11.416507442340833</v>
      </c>
      <c r="I1700">
        <v>10.895562593933597</v>
      </c>
      <c r="J1700">
        <v>11.319311919194542</v>
      </c>
      <c r="K1700">
        <v>11.213385064680075</v>
      </c>
      <c r="L1700">
        <v>11.225642489514929</v>
      </c>
      <c r="M1700">
        <v>11.316847684217739</v>
      </c>
      <c r="N1700">
        <v>10.238043279857157</v>
      </c>
      <c r="O1700">
        <v>11.155138826951701</v>
      </c>
      <c r="P1700">
        <v>11.570642495639303</v>
      </c>
      <c r="Q1700">
        <v>11.995095519177248</v>
      </c>
      <c r="R1700">
        <v>11.802883364165712</v>
      </c>
      <c r="S1700">
        <v>11.983113727340541</v>
      </c>
      <c r="T1700">
        <v>12.273678514835968</v>
      </c>
    </row>
    <row r="1701" spans="1:20" x14ac:dyDescent="0.25">
      <c r="A1701" s="6" t="s">
        <v>1709</v>
      </c>
      <c r="B1701">
        <v>6.2680655011478033</v>
      </c>
      <c r="C1701">
        <v>6.2286848867358913</v>
      </c>
      <c r="D1701">
        <v>6.0479023182679787</v>
      </c>
      <c r="E1701">
        <v>5.8174656118732431</v>
      </c>
      <c r="F1701">
        <v>6.3483186413340071</v>
      </c>
      <c r="G1701">
        <v>6.3116713010400289</v>
      </c>
      <c r="H1701">
        <v>6.8307991490053848</v>
      </c>
      <c r="I1701">
        <v>6.3779155186491447</v>
      </c>
      <c r="J1701">
        <v>6.0520976996175655</v>
      </c>
      <c r="K1701">
        <v>6.0603057203064541</v>
      </c>
      <c r="L1701">
        <v>6.4292338647987917</v>
      </c>
      <c r="M1701">
        <v>5.6327067390917724</v>
      </c>
      <c r="N1701">
        <v>5.8420986394330612</v>
      </c>
      <c r="O1701">
        <v>5.7095737842146752</v>
      </c>
      <c r="P1701">
        <v>6.833377384039288</v>
      </c>
      <c r="Q1701">
        <v>7.4256141420901516</v>
      </c>
      <c r="R1701">
        <v>6.842223529961899</v>
      </c>
      <c r="S1701">
        <v>6.717409149616353</v>
      </c>
      <c r="T1701">
        <v>7.3523103878487657</v>
      </c>
    </row>
    <row r="1702" spans="1:20" x14ac:dyDescent="0.25">
      <c r="A1702" s="5" t="s">
        <v>1710</v>
      </c>
      <c r="B1702">
        <v>0</v>
      </c>
      <c r="C1702">
        <v>0</v>
      </c>
      <c r="D1702">
        <v>0</v>
      </c>
      <c r="E1702">
        <v>0</v>
      </c>
      <c r="F1702">
        <v>15.922579786096922</v>
      </c>
      <c r="G1702">
        <v>15.150208855799516</v>
      </c>
      <c r="H1702">
        <v>14.986710123516636</v>
      </c>
      <c r="I1702">
        <v>0</v>
      </c>
      <c r="J1702">
        <v>16.015091924886459</v>
      </c>
      <c r="K1702">
        <v>15.931568569324174</v>
      </c>
      <c r="L1702">
        <v>14.878457232864612</v>
      </c>
      <c r="M1702">
        <v>15.078570981710859</v>
      </c>
      <c r="N1702">
        <v>15.401747622795478</v>
      </c>
      <c r="O1702">
        <v>16.231128851183083</v>
      </c>
      <c r="P1702">
        <v>14.383131944628133</v>
      </c>
      <c r="Q1702">
        <v>12.539646224278055</v>
      </c>
      <c r="R1702">
        <v>13.302211949244565</v>
      </c>
      <c r="S1702">
        <v>12.346598554585913</v>
      </c>
      <c r="T1702">
        <v>13.139910755184459</v>
      </c>
    </row>
    <row r="1703" spans="1:20" x14ac:dyDescent="0.25">
      <c r="A1703" s="6" t="s">
        <v>1711</v>
      </c>
      <c r="B1703">
        <v>16.176681067160704</v>
      </c>
      <c r="C1703">
        <v>16.253496664211536</v>
      </c>
      <c r="D1703">
        <v>15.646166350461927</v>
      </c>
      <c r="E1703">
        <v>16.083571662769224</v>
      </c>
      <c r="F1703">
        <v>0</v>
      </c>
      <c r="G1703">
        <v>16.220073662674086</v>
      </c>
      <c r="H1703">
        <v>16.383131944628133</v>
      </c>
      <c r="I1703">
        <v>16.310982158872296</v>
      </c>
      <c r="J1703">
        <v>16.525576209648339</v>
      </c>
      <c r="K1703">
        <v>16.703519521439713</v>
      </c>
      <c r="L1703">
        <v>16.525576209648339</v>
      </c>
      <c r="M1703">
        <v>16.553056946070445</v>
      </c>
      <c r="N1703">
        <v>17.015091924886459</v>
      </c>
      <c r="O1703">
        <v>0</v>
      </c>
      <c r="P1703">
        <v>16.864618325399547</v>
      </c>
      <c r="Q1703">
        <v>16.06367210533152</v>
      </c>
      <c r="R1703">
        <v>16.748876271807983</v>
      </c>
      <c r="S1703">
        <v>16.566996137028319</v>
      </c>
      <c r="T1703">
        <v>16.166033822961197</v>
      </c>
    </row>
    <row r="1704" spans="1:20" x14ac:dyDescent="0.25">
      <c r="A1704" s="5" t="s">
        <v>1712</v>
      </c>
      <c r="B1704">
        <v>0</v>
      </c>
      <c r="C1704">
        <v>17.12009753879434</v>
      </c>
      <c r="D1704">
        <v>17.149160004396801</v>
      </c>
      <c r="E1704">
        <v>17.635845544784207</v>
      </c>
      <c r="F1704">
        <v>17.501283296346394</v>
      </c>
      <c r="G1704">
        <v>17.363536464552894</v>
      </c>
      <c r="H1704">
        <v>17.073587574196601</v>
      </c>
      <c r="I1704">
        <v>17.850910905978949</v>
      </c>
      <c r="J1704">
        <v>0</v>
      </c>
      <c r="K1704">
        <v>17.206918297591208</v>
      </c>
      <c r="L1704">
        <v>17.296975300878419</v>
      </c>
      <c r="M1704">
        <v>0</v>
      </c>
      <c r="N1704">
        <v>0</v>
      </c>
      <c r="O1704">
        <v>0</v>
      </c>
      <c r="P1704">
        <v>0</v>
      </c>
      <c r="Q1704">
        <v>17.339410567198815</v>
      </c>
      <c r="R1704">
        <v>0</v>
      </c>
      <c r="S1704">
        <v>0</v>
      </c>
      <c r="T1704">
        <v>17.240034404404977</v>
      </c>
    </row>
    <row r="1705" spans="1:20" x14ac:dyDescent="0.25">
      <c r="A1705" s="6" t="s">
        <v>1713</v>
      </c>
      <c r="B1705">
        <v>12.11006242742668</v>
      </c>
      <c r="C1705">
        <v>12.332994931541187</v>
      </c>
      <c r="D1705">
        <v>13.014053271802274</v>
      </c>
      <c r="E1705">
        <v>12.393744480532549</v>
      </c>
      <c r="F1705">
        <v>10.892509705734632</v>
      </c>
      <c r="G1705">
        <v>11.570295870611655</v>
      </c>
      <c r="H1705">
        <v>9.108202125467475</v>
      </c>
      <c r="I1705">
        <v>11.988174639976666</v>
      </c>
      <c r="J1705">
        <v>11.740188517321769</v>
      </c>
      <c r="K1705">
        <v>11.391634324152385</v>
      </c>
      <c r="L1705">
        <v>11.33385863355573</v>
      </c>
      <c r="M1705">
        <v>10.82752288934131</v>
      </c>
      <c r="N1705">
        <v>11.826351463227082</v>
      </c>
      <c r="O1705">
        <v>11.183855579508489</v>
      </c>
      <c r="P1705">
        <v>10.481771991867026</v>
      </c>
      <c r="Q1705">
        <v>11.567083681859248</v>
      </c>
      <c r="R1705">
        <v>10.807501553491349</v>
      </c>
      <c r="S1705">
        <v>10.801886290254297</v>
      </c>
      <c r="T1705">
        <v>11.02417011423586</v>
      </c>
    </row>
    <row r="1706" spans="1:20" x14ac:dyDescent="0.25">
      <c r="A1706" s="5" t="s">
        <v>1714</v>
      </c>
      <c r="B1706">
        <v>16.81886843657481</v>
      </c>
      <c r="C1706">
        <v>17.061697163146462</v>
      </c>
      <c r="D1706">
        <v>17.187407473753765</v>
      </c>
      <c r="E1706">
        <v>16.655071903683819</v>
      </c>
      <c r="F1706">
        <v>0</v>
      </c>
      <c r="G1706">
        <v>17.752057519052663</v>
      </c>
      <c r="H1706">
        <v>16.59528518145974</v>
      </c>
      <c r="I1706">
        <v>16.815536575877065</v>
      </c>
      <c r="J1706">
        <v>0</v>
      </c>
      <c r="K1706">
        <v>17.935179822876556</v>
      </c>
      <c r="L1706">
        <v>18.248995271976597</v>
      </c>
      <c r="M1706">
        <v>16.997995931063151</v>
      </c>
      <c r="N1706">
        <v>17.185255802898716</v>
      </c>
      <c r="O1706">
        <v>17.644687421536013</v>
      </c>
      <c r="P1706">
        <v>17.301629159884637</v>
      </c>
      <c r="Q1706">
        <v>0</v>
      </c>
      <c r="R1706">
        <v>0</v>
      </c>
      <c r="S1706">
        <v>18.091608981834643</v>
      </c>
      <c r="T1706">
        <v>0</v>
      </c>
    </row>
    <row r="1707" spans="1:20" x14ac:dyDescent="0.25">
      <c r="A1707" s="6" t="s">
        <v>1715</v>
      </c>
      <c r="B1707">
        <v>12.529315385512657</v>
      </c>
      <c r="C1707">
        <v>11.484344800873229</v>
      </c>
      <c r="D1707">
        <v>11.888043607603871</v>
      </c>
      <c r="E1707">
        <v>11.882798360957244</v>
      </c>
      <c r="F1707">
        <v>12.169871080280137</v>
      </c>
      <c r="G1707">
        <v>11.832378582872227</v>
      </c>
      <c r="H1707">
        <v>12.589778467084729</v>
      </c>
      <c r="I1707">
        <v>12.085557987563869</v>
      </c>
      <c r="J1707">
        <v>12.191936455103564</v>
      </c>
      <c r="K1707">
        <v>12.262010248213345</v>
      </c>
      <c r="L1707">
        <v>11.951183325922269</v>
      </c>
      <c r="M1707">
        <v>12.418962408819278</v>
      </c>
      <c r="N1707">
        <v>12.345787271002973</v>
      </c>
      <c r="O1707">
        <v>12.216636217538491</v>
      </c>
      <c r="P1707">
        <v>12.982080326222565</v>
      </c>
      <c r="Q1707">
        <v>13.057607763062135</v>
      </c>
      <c r="R1707">
        <v>13.513716054438275</v>
      </c>
      <c r="S1707">
        <v>13.246777878214656</v>
      </c>
      <c r="T1707">
        <v>13.589938559994264</v>
      </c>
    </row>
    <row r="1708" spans="1:20" x14ac:dyDescent="0.25">
      <c r="A1708" s="5" t="s">
        <v>1716</v>
      </c>
      <c r="B1708">
        <v>14.92257978609692</v>
      </c>
      <c r="C1708">
        <v>13.648017146149867</v>
      </c>
      <c r="D1708">
        <v>14.370853614849695</v>
      </c>
      <c r="E1708">
        <v>14.46233377565652</v>
      </c>
      <c r="F1708">
        <v>14.653583822024411</v>
      </c>
      <c r="G1708">
        <v>13.996108821518886</v>
      </c>
      <c r="H1708">
        <v>0</v>
      </c>
      <c r="I1708">
        <v>14.687442626040445</v>
      </c>
      <c r="J1708">
        <v>14.683641055880589</v>
      </c>
      <c r="K1708">
        <v>13.911421996212397</v>
      </c>
      <c r="L1708">
        <v>13.546137532130654</v>
      </c>
      <c r="M1708">
        <v>14.810553168362809</v>
      </c>
      <c r="N1708">
        <v>15.093625327433148</v>
      </c>
      <c r="O1708">
        <v>14.465594104820106</v>
      </c>
      <c r="P1708">
        <v>14.986710123516636</v>
      </c>
      <c r="Q1708">
        <v>0</v>
      </c>
      <c r="R1708">
        <v>0</v>
      </c>
      <c r="S1708">
        <v>0</v>
      </c>
      <c r="T1708">
        <v>0</v>
      </c>
    </row>
    <row r="1709" spans="1:20" x14ac:dyDescent="0.25">
      <c r="A1709" s="6" t="s">
        <v>1717</v>
      </c>
      <c r="B1709">
        <v>13.829330375393436</v>
      </c>
      <c r="C1709">
        <v>12.521227464710085</v>
      </c>
      <c r="D1709">
        <v>12.837068564489128</v>
      </c>
      <c r="E1709">
        <v>13.337617285375762</v>
      </c>
      <c r="F1709">
        <v>13.340607327981576</v>
      </c>
      <c r="G1709">
        <v>13.282111183117999</v>
      </c>
      <c r="H1709">
        <v>14.475419534676179</v>
      </c>
      <c r="I1709">
        <v>14.250681648604484</v>
      </c>
      <c r="J1709">
        <v>13.733860411368322</v>
      </c>
      <c r="K1709">
        <v>12.839530312703783</v>
      </c>
      <c r="L1709">
        <v>13.687442626040445</v>
      </c>
      <c r="M1709">
        <v>13.475419534676179</v>
      </c>
      <c r="N1709">
        <v>14.066144591011041</v>
      </c>
      <c r="O1709">
        <v>13.095391944514951</v>
      </c>
      <c r="P1709">
        <v>14.395515669083965</v>
      </c>
      <c r="Q1709">
        <v>14.43331770179635</v>
      </c>
      <c r="R1709">
        <v>15.203648114760977</v>
      </c>
      <c r="S1709">
        <v>15.166033822961197</v>
      </c>
      <c r="T1709">
        <v>15.134555591488031</v>
      </c>
    </row>
    <row r="1710" spans="1:20" x14ac:dyDescent="0.25">
      <c r="A1710" s="5" t="s">
        <v>1718</v>
      </c>
      <c r="B1710">
        <v>14.53582024114514</v>
      </c>
      <c r="C1710">
        <v>14.176681067160706</v>
      </c>
      <c r="D1710">
        <v>14.003198246305205</v>
      </c>
      <c r="E1710">
        <v>15.4397154729945</v>
      </c>
      <c r="F1710">
        <v>0</v>
      </c>
      <c r="G1710">
        <v>15.401747622795478</v>
      </c>
      <c r="H1710">
        <v>15.485312339434612</v>
      </c>
      <c r="I1710">
        <v>0</v>
      </c>
      <c r="J1710">
        <v>0</v>
      </c>
      <c r="K1710">
        <v>14.67229608228658</v>
      </c>
      <c r="L1710">
        <v>14.478709604610362</v>
      </c>
      <c r="M1710">
        <v>15.491945431767057</v>
      </c>
      <c r="N1710">
        <v>15.7066022043239</v>
      </c>
      <c r="O1710">
        <v>0</v>
      </c>
      <c r="P1710">
        <v>15.818868436574812</v>
      </c>
      <c r="Q1710">
        <v>0</v>
      </c>
      <c r="R1710">
        <v>0</v>
      </c>
      <c r="S1710">
        <v>0</v>
      </c>
      <c r="T1710">
        <v>15.852617227929352</v>
      </c>
    </row>
    <row r="1711" spans="1:20" x14ac:dyDescent="0.25">
      <c r="A1711" s="6" t="s">
        <v>1719</v>
      </c>
      <c r="B1711">
        <v>13.773716400182437</v>
      </c>
      <c r="C1711">
        <v>12.801543785653278</v>
      </c>
      <c r="D1711">
        <v>14.184718386226123</v>
      </c>
      <c r="E1711">
        <v>14.019876987451836</v>
      </c>
      <c r="F1711">
        <v>13.299300353824661</v>
      </c>
      <c r="G1711">
        <v>12.946910868004721</v>
      </c>
      <c r="H1711">
        <v>13.066070354754277</v>
      </c>
      <c r="I1711">
        <v>0</v>
      </c>
      <c r="J1711">
        <v>13.271444284532162</v>
      </c>
      <c r="K1711">
        <v>12.887644495369381</v>
      </c>
      <c r="L1711">
        <v>13.083271132606512</v>
      </c>
      <c r="M1711">
        <v>0</v>
      </c>
      <c r="N1711">
        <v>13.10696617234723</v>
      </c>
      <c r="O1711">
        <v>13.118313256132302</v>
      </c>
      <c r="P1711">
        <v>13.411146320797728</v>
      </c>
      <c r="Q1711">
        <v>13.859033969601219</v>
      </c>
      <c r="R1711">
        <v>0</v>
      </c>
      <c r="S1711">
        <v>0</v>
      </c>
      <c r="T1711">
        <v>0</v>
      </c>
    </row>
    <row r="1712" spans="1:20" x14ac:dyDescent="0.25">
      <c r="A1712" s="5" t="s">
        <v>1720</v>
      </c>
      <c r="B1712">
        <v>6.8982892593839793</v>
      </c>
      <c r="C1712">
        <v>6.9185265053862794</v>
      </c>
      <c r="D1712">
        <v>6.9488578233677378</v>
      </c>
      <c r="E1712">
        <v>6.917433169347353</v>
      </c>
      <c r="F1712">
        <v>7.0792341373377443</v>
      </c>
      <c r="G1712">
        <v>7.1294167609743884</v>
      </c>
      <c r="H1712">
        <v>7.3234768799993377</v>
      </c>
      <c r="I1712">
        <v>7.0673497244688805</v>
      </c>
      <c r="J1712">
        <v>6.8461314642396403</v>
      </c>
      <c r="K1712">
        <v>7.2264010292577519</v>
      </c>
      <c r="L1712">
        <v>7.2823860555762208</v>
      </c>
      <c r="M1712">
        <v>7.2654748588641302</v>
      </c>
      <c r="N1712">
        <v>6.8678580172591861</v>
      </c>
      <c r="O1712">
        <v>6.8408568608300024</v>
      </c>
      <c r="P1712">
        <v>7.3523396203911622</v>
      </c>
      <c r="Q1712">
        <v>8.1435978752091511</v>
      </c>
      <c r="R1712">
        <v>7.6092519571339343</v>
      </c>
      <c r="S1712">
        <v>8.1033305128172604</v>
      </c>
      <c r="T1712">
        <v>8.0511769018990567</v>
      </c>
    </row>
    <row r="1713" spans="1:20" x14ac:dyDescent="0.25">
      <c r="A1713" s="6" t="s">
        <v>1721</v>
      </c>
      <c r="B1713">
        <v>11.671651157200012</v>
      </c>
      <c r="C1713">
        <v>11.079057786207537</v>
      </c>
      <c r="D1713">
        <v>11.251972355134624</v>
      </c>
      <c r="E1713">
        <v>11.19801085558675</v>
      </c>
      <c r="F1713">
        <v>11.430535537870991</v>
      </c>
      <c r="G1713">
        <v>11.907503813598884</v>
      </c>
      <c r="H1713">
        <v>11.387512141987257</v>
      </c>
      <c r="I1713">
        <v>10.984226774874898</v>
      </c>
      <c r="J1713">
        <v>11.353365727796035</v>
      </c>
      <c r="K1713">
        <v>11.46433800566458</v>
      </c>
      <c r="L1713">
        <v>11.434654888887431</v>
      </c>
      <c r="M1713">
        <v>11.573229455034111</v>
      </c>
      <c r="N1713">
        <v>10.264740980414633</v>
      </c>
      <c r="O1713">
        <v>11.285251078505404</v>
      </c>
      <c r="P1713">
        <v>11.395686688330455</v>
      </c>
      <c r="Q1713">
        <v>11.510231643400775</v>
      </c>
      <c r="R1713">
        <v>11.39412883013325</v>
      </c>
      <c r="S1713">
        <v>11.757781517585792</v>
      </c>
      <c r="T1713">
        <v>11.198336266347049</v>
      </c>
    </row>
    <row r="1714" spans="1:20" x14ac:dyDescent="0.25">
      <c r="A1714" s="5" t="s">
        <v>1722</v>
      </c>
      <c r="B1714">
        <v>9.647600510058858</v>
      </c>
      <c r="C1714">
        <v>9.1599643820673382</v>
      </c>
      <c r="D1714">
        <v>9.3952193485019819</v>
      </c>
      <c r="E1714">
        <v>9.3893646990364168</v>
      </c>
      <c r="F1714">
        <v>9.7536084334546853</v>
      </c>
      <c r="G1714">
        <v>9.8187055692508451</v>
      </c>
      <c r="H1714">
        <v>9.3335002461424459</v>
      </c>
      <c r="I1714">
        <v>9.1326318757259308</v>
      </c>
      <c r="J1714">
        <v>9.6648019360845563</v>
      </c>
      <c r="K1714">
        <v>9.3657429442270317</v>
      </c>
      <c r="L1714">
        <v>9.3681730225272446</v>
      </c>
      <c r="M1714">
        <v>9.3964662487138639</v>
      </c>
      <c r="N1714">
        <v>8.3230859470567502</v>
      </c>
      <c r="O1714">
        <v>9.4150106615535236</v>
      </c>
      <c r="P1714">
        <v>9.4239651781631366</v>
      </c>
      <c r="Q1714">
        <v>9.4665685385789757</v>
      </c>
      <c r="R1714">
        <v>9.2511580556619748</v>
      </c>
      <c r="S1714">
        <v>9.3953563284852191</v>
      </c>
      <c r="T1714">
        <v>9.5162757328022582</v>
      </c>
    </row>
    <row r="1715" spans="1:20" x14ac:dyDescent="0.25">
      <c r="A1715" s="6" t="s">
        <v>1723</v>
      </c>
      <c r="B1715">
        <v>11.672649265618766</v>
      </c>
      <c r="C1715">
        <v>11.089193081117887</v>
      </c>
      <c r="D1715">
        <v>11.188386873883758</v>
      </c>
      <c r="E1715">
        <v>11.543908772112664</v>
      </c>
      <c r="F1715">
        <v>11.73361474171411</v>
      </c>
      <c r="G1715">
        <v>11.700284977199143</v>
      </c>
      <c r="H1715">
        <v>11.131668551168918</v>
      </c>
      <c r="I1715">
        <v>11.202345513840877</v>
      </c>
      <c r="J1715">
        <v>11.397623729794473</v>
      </c>
      <c r="K1715">
        <v>11.235296485398312</v>
      </c>
      <c r="L1715">
        <v>11.199730261548599</v>
      </c>
      <c r="M1715">
        <v>11.290282664955489</v>
      </c>
      <c r="N1715">
        <v>10.209167440265697</v>
      </c>
      <c r="O1715">
        <v>11.625493205126132</v>
      </c>
      <c r="P1715">
        <v>11.339982644593272</v>
      </c>
      <c r="Q1715">
        <v>11.371507101950748</v>
      </c>
      <c r="R1715">
        <v>11.361754723822559</v>
      </c>
      <c r="S1715">
        <v>11.277917346161933</v>
      </c>
      <c r="T1715">
        <v>11.332009007576197</v>
      </c>
    </row>
    <row r="1716" spans="1:20" x14ac:dyDescent="0.25">
      <c r="A1716" s="5" t="s">
        <v>1724</v>
      </c>
      <c r="B1716">
        <v>13.40800661326716</v>
      </c>
      <c r="C1716">
        <v>14.134555591488031</v>
      </c>
      <c r="D1716">
        <v>14.602444973032609</v>
      </c>
      <c r="E1716">
        <v>0</v>
      </c>
      <c r="F1716">
        <v>13.220954966941498</v>
      </c>
      <c r="G1716">
        <v>13.198892346250865</v>
      </c>
      <c r="H1716">
        <v>13.194625517444095</v>
      </c>
      <c r="I1716">
        <v>13.139272812189258</v>
      </c>
      <c r="J1716">
        <v>13.409575612922502</v>
      </c>
      <c r="K1716">
        <v>13.360195133350974</v>
      </c>
      <c r="L1716">
        <v>13.076687722229735</v>
      </c>
      <c r="M1716">
        <v>12.853225592995576</v>
      </c>
      <c r="N1716">
        <v>12.829834461716137</v>
      </c>
      <c r="O1716">
        <v>13.065835298472415</v>
      </c>
      <c r="P1716">
        <v>12.567617820397542</v>
      </c>
      <c r="Q1716">
        <v>11.985054082884927</v>
      </c>
      <c r="R1716">
        <v>12.376434972908866</v>
      </c>
      <c r="S1716">
        <v>12.934739217337517</v>
      </c>
      <c r="T1716">
        <v>11.434614954903402</v>
      </c>
    </row>
    <row r="1717" spans="1:20" x14ac:dyDescent="0.25">
      <c r="A1717" s="6" t="s">
        <v>1725</v>
      </c>
      <c r="B1717">
        <v>14.6989078125339</v>
      </c>
      <c r="C1717">
        <v>15.048925519962333</v>
      </c>
      <c r="D1717">
        <v>14.904768509980459</v>
      </c>
      <c r="E1717">
        <v>15.395515669083965</v>
      </c>
      <c r="F1717">
        <v>15.446141742153934</v>
      </c>
      <c r="G1717">
        <v>14.729934708154525</v>
      </c>
      <c r="H1717">
        <v>15.777763233245141</v>
      </c>
      <c r="I1717">
        <v>15.340607327981576</v>
      </c>
      <c r="J1717">
        <v>15.653583822024411</v>
      </c>
      <c r="K1717">
        <v>14.488625073475445</v>
      </c>
      <c r="L1717">
        <v>14.166033822961197</v>
      </c>
      <c r="M1717">
        <v>15.581071322240042</v>
      </c>
      <c r="N1717">
        <v>15.316858725208965</v>
      </c>
      <c r="O1717">
        <v>15.316858725208965</v>
      </c>
      <c r="P1717">
        <v>14.653583822024411</v>
      </c>
      <c r="Q1717">
        <v>15.878457232864612</v>
      </c>
      <c r="R1717">
        <v>15.383131944628133</v>
      </c>
      <c r="S1717">
        <v>15.485312339434612</v>
      </c>
      <c r="T1717">
        <v>17.126276113723463</v>
      </c>
    </row>
    <row r="1718" spans="1:20" x14ac:dyDescent="0.25">
      <c r="A1718" s="5" t="s">
        <v>1726</v>
      </c>
      <c r="B1718">
        <v>9.1234538562349243</v>
      </c>
      <c r="C1718">
        <v>8.858692361426904</v>
      </c>
      <c r="D1718">
        <v>8.8074866865272821</v>
      </c>
      <c r="E1718">
        <v>9.0260785183404337</v>
      </c>
      <c r="F1718">
        <v>9.316211129946014</v>
      </c>
      <c r="G1718">
        <v>9.1931080809171686</v>
      </c>
      <c r="H1718">
        <v>9.2432421928215085</v>
      </c>
      <c r="I1718">
        <v>9.4222864215532258</v>
      </c>
      <c r="J1718">
        <v>9.1869079328843544</v>
      </c>
      <c r="K1718">
        <v>8.5760682552896501</v>
      </c>
      <c r="L1718">
        <v>9.0555850580962076</v>
      </c>
      <c r="M1718">
        <v>9.9194790301294233</v>
      </c>
      <c r="N1718">
        <v>9.4509015426921348</v>
      </c>
      <c r="O1718">
        <v>8.8184052901088101</v>
      </c>
      <c r="P1718">
        <v>10.206492072547814</v>
      </c>
      <c r="Q1718">
        <v>11.800190014725761</v>
      </c>
      <c r="R1718">
        <v>10.855306111397457</v>
      </c>
      <c r="S1718">
        <v>11.512139232411123</v>
      </c>
      <c r="T1718">
        <v>11.366283665949327</v>
      </c>
    </row>
    <row r="1719" spans="1:20" x14ac:dyDescent="0.25">
      <c r="A1719" s="6" t="s">
        <v>1727</v>
      </c>
      <c r="B1719">
        <v>11.344612469935912</v>
      </c>
      <c r="C1719">
        <v>11.042517943469914</v>
      </c>
      <c r="D1719">
        <v>12.003346313739099</v>
      </c>
      <c r="E1719">
        <v>11.741185815226267</v>
      </c>
      <c r="F1719">
        <v>11.067846886242041</v>
      </c>
      <c r="G1719">
        <v>10.661020939304894</v>
      </c>
      <c r="H1719">
        <v>10.475384617935143</v>
      </c>
      <c r="I1719">
        <v>11.476126266825837</v>
      </c>
      <c r="J1719">
        <v>10.068661603299313</v>
      </c>
      <c r="K1719">
        <v>11.422640828110479</v>
      </c>
      <c r="L1719">
        <v>11.027719854752236</v>
      </c>
      <c r="M1719">
        <v>10.974486847553448</v>
      </c>
      <c r="N1719">
        <v>9.7010280883482096</v>
      </c>
      <c r="O1719">
        <v>10.206686415549315</v>
      </c>
      <c r="P1719">
        <v>10.230872240753463</v>
      </c>
      <c r="Q1719">
        <v>9.3090920595279201</v>
      </c>
      <c r="R1719">
        <v>9.6540138129372632</v>
      </c>
      <c r="S1719">
        <v>8.8007830982873134</v>
      </c>
      <c r="T1719">
        <v>9.1656360758537136</v>
      </c>
    </row>
    <row r="1720" spans="1:20" x14ac:dyDescent="0.25">
      <c r="A1720" s="5" t="s">
        <v>1728</v>
      </c>
      <c r="B1720">
        <v>10.169080221942762</v>
      </c>
      <c r="C1720">
        <v>10.006941609418847</v>
      </c>
      <c r="D1720">
        <v>9.8110235200809459</v>
      </c>
      <c r="E1720">
        <v>10.358680795199795</v>
      </c>
      <c r="F1720">
        <v>10.195983776414211</v>
      </c>
      <c r="G1720">
        <v>10.491989062317145</v>
      </c>
      <c r="H1720">
        <v>10.601191682790144</v>
      </c>
      <c r="I1720">
        <v>10.382207436399835</v>
      </c>
      <c r="J1720">
        <v>10.448391668592551</v>
      </c>
      <c r="K1720">
        <v>10.41962422771801</v>
      </c>
      <c r="L1720">
        <v>10.067885598123466</v>
      </c>
      <c r="M1720">
        <v>10.917104475710872</v>
      </c>
      <c r="N1720">
        <v>10.334396847329765</v>
      </c>
      <c r="O1720">
        <v>10.102262849222583</v>
      </c>
      <c r="P1720">
        <v>11.061173023253</v>
      </c>
      <c r="Q1720">
        <v>10.818120701412225</v>
      </c>
      <c r="R1720">
        <v>10.550633538267425</v>
      </c>
      <c r="S1720">
        <v>11.131681499166657</v>
      </c>
      <c r="T1720">
        <v>11.216361575420606</v>
      </c>
    </row>
    <row r="1721" spans="1:20" x14ac:dyDescent="0.25">
      <c r="A1721" s="6" t="s">
        <v>1729</v>
      </c>
      <c r="B1721">
        <v>0</v>
      </c>
      <c r="C1721">
        <v>13.751659479309239</v>
      </c>
      <c r="D1721">
        <v>14.214577674919234</v>
      </c>
      <c r="E1721">
        <v>14.404873723782199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12.018074744817849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14.250681648604484</v>
      </c>
      <c r="T1721">
        <v>14.498609162048069</v>
      </c>
    </row>
    <row r="1722" spans="1:20" x14ac:dyDescent="0.25">
      <c r="A1722" s="5" t="s">
        <v>1730</v>
      </c>
      <c r="B1722">
        <v>13.566996137028319</v>
      </c>
      <c r="C1722">
        <v>12.637618783681221</v>
      </c>
      <c r="D1722">
        <v>12.659088076603343</v>
      </c>
      <c r="E1722">
        <v>12.550008314554713</v>
      </c>
      <c r="F1722">
        <v>12.776973209333139</v>
      </c>
      <c r="G1722">
        <v>12.774636057728548</v>
      </c>
      <c r="H1722">
        <v>13.600651691209556</v>
      </c>
      <c r="I1722">
        <v>12.611426915138217</v>
      </c>
      <c r="J1722">
        <v>13.137503671481914</v>
      </c>
      <c r="K1722">
        <v>12.49459890571219</v>
      </c>
      <c r="L1722">
        <v>12.297716004749697</v>
      </c>
      <c r="M1722">
        <v>13.241039727922717</v>
      </c>
      <c r="N1722">
        <v>13.321281912243151</v>
      </c>
      <c r="O1722">
        <v>12.829025908569768</v>
      </c>
      <c r="P1722">
        <v>13.568748043789912</v>
      </c>
      <c r="Q1722">
        <v>14.281953110260764</v>
      </c>
      <c r="R1722">
        <v>13.869792371737484</v>
      </c>
      <c r="S1722">
        <v>14.0760771262223</v>
      </c>
      <c r="T1722">
        <v>14.331655727137047</v>
      </c>
    </row>
    <row r="1723" spans="1:20" x14ac:dyDescent="0.25">
      <c r="A1723" s="6" t="s">
        <v>1731</v>
      </c>
      <c r="B1723">
        <v>12.427806422593955</v>
      </c>
      <c r="C1723">
        <v>13.818868436574812</v>
      </c>
      <c r="D1723">
        <v>12.875928216297014</v>
      </c>
      <c r="E1723">
        <v>13.05459739881185</v>
      </c>
      <c r="F1723">
        <v>14.166033822961197</v>
      </c>
      <c r="G1723">
        <v>14.508662826711991</v>
      </c>
      <c r="H1723">
        <v>14.364753415313277</v>
      </c>
      <c r="I1723">
        <v>14.38005255169616</v>
      </c>
      <c r="J1723">
        <v>14.488625073475445</v>
      </c>
      <c r="K1723">
        <v>13.02574836952518</v>
      </c>
      <c r="L1723">
        <v>13.825136491507246</v>
      </c>
      <c r="M1723">
        <v>13.000618390816907</v>
      </c>
      <c r="N1723">
        <v>13.495273449484813</v>
      </c>
      <c r="O1723">
        <v>13.271601210081986</v>
      </c>
      <c r="P1723">
        <v>14.310982158872298</v>
      </c>
      <c r="Q1723">
        <v>14.200928613407385</v>
      </c>
      <c r="R1723">
        <v>13.054879737419608</v>
      </c>
      <c r="S1723">
        <v>13.308052827833626</v>
      </c>
      <c r="T1723">
        <v>13.384674109436538</v>
      </c>
    </row>
    <row r="1724" spans="1:20" x14ac:dyDescent="0.25">
      <c r="A1724" s="5" t="s">
        <v>1732</v>
      </c>
      <c r="B1724">
        <v>13.119198703351957</v>
      </c>
      <c r="C1724">
        <v>12.977535153057079</v>
      </c>
      <c r="D1724">
        <v>0</v>
      </c>
      <c r="E1724">
        <v>12.814548909209888</v>
      </c>
      <c r="F1724">
        <v>0</v>
      </c>
      <c r="G1724">
        <v>0</v>
      </c>
      <c r="H1724">
        <v>0</v>
      </c>
      <c r="I1724">
        <v>13.449365643028219</v>
      </c>
      <c r="J1724">
        <v>13.090677374229422</v>
      </c>
      <c r="K1724">
        <v>13.011704139171917</v>
      </c>
      <c r="L1724">
        <v>12.746177716177691</v>
      </c>
      <c r="M1724">
        <v>13.200222381942165</v>
      </c>
      <c r="N1724">
        <v>12.786910326492292</v>
      </c>
      <c r="O1724">
        <v>12.826414334431147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25">
      <c r="A1725" s="6" t="s">
        <v>1733</v>
      </c>
      <c r="B1725">
        <v>15.253496664211537</v>
      </c>
      <c r="C1725">
        <v>14.485312339434612</v>
      </c>
      <c r="D1725">
        <v>14.222829527964596</v>
      </c>
      <c r="E1725">
        <v>13.961175031409498</v>
      </c>
      <c r="F1725">
        <v>14.646166350461927</v>
      </c>
      <c r="G1725">
        <v>14.40800661326716</v>
      </c>
      <c r="H1725">
        <v>14.59171856643955</v>
      </c>
      <c r="I1725">
        <v>14.729934708154525</v>
      </c>
      <c r="J1725">
        <v>0</v>
      </c>
      <c r="K1725">
        <v>14.518787043985698</v>
      </c>
      <c r="L1725">
        <v>14.661039626943458</v>
      </c>
      <c r="M1725">
        <v>0</v>
      </c>
      <c r="N1725">
        <v>0</v>
      </c>
      <c r="O1725">
        <v>14.661039626943458</v>
      </c>
      <c r="P1725">
        <v>0</v>
      </c>
      <c r="Q1725">
        <v>0</v>
      </c>
      <c r="R1725">
        <v>14.823044112546006</v>
      </c>
      <c r="S1725">
        <v>14.468861818654016</v>
      </c>
      <c r="T1725">
        <v>15.124213647266568</v>
      </c>
    </row>
    <row r="1726" spans="1:20" x14ac:dyDescent="0.25">
      <c r="A1726" s="5" t="s">
        <v>1734</v>
      </c>
      <c r="B1726">
        <v>12.953659035393928</v>
      </c>
      <c r="C1726">
        <v>13.468861818654016</v>
      </c>
      <c r="D1726">
        <v>13.342104676368077</v>
      </c>
      <c r="E1726">
        <v>13.131199264691283</v>
      </c>
      <c r="F1726">
        <v>12.363969885560735</v>
      </c>
      <c r="G1726">
        <v>13.003435161494323</v>
      </c>
      <c r="H1726">
        <v>12.585205540285743</v>
      </c>
      <c r="I1726">
        <v>12.812305780342747</v>
      </c>
      <c r="J1726">
        <v>12.302926187196862</v>
      </c>
      <c r="K1726">
        <v>12.968591613430105</v>
      </c>
      <c r="L1726">
        <v>13.113050300015862</v>
      </c>
      <c r="M1726">
        <v>13.143744348441912</v>
      </c>
      <c r="N1726">
        <v>12.836751906226027</v>
      </c>
      <c r="O1726">
        <v>12.404615563929495</v>
      </c>
      <c r="P1726">
        <v>12.582787310731542</v>
      </c>
      <c r="Q1726">
        <v>12.261167248354514</v>
      </c>
      <c r="R1726">
        <v>12.379352906613844</v>
      </c>
      <c r="S1726">
        <v>12.494956957577031</v>
      </c>
      <c r="T1726">
        <v>12.705975501039971</v>
      </c>
    </row>
    <row r="1727" spans="1:20" x14ac:dyDescent="0.25">
      <c r="A1727" s="6" t="s">
        <v>1735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14.972725894080934</v>
      </c>
      <c r="I1727">
        <v>0</v>
      </c>
      <c r="J1727">
        <v>0</v>
      </c>
      <c r="K1727">
        <v>15.352629856230788</v>
      </c>
      <c r="L1727">
        <v>0</v>
      </c>
      <c r="M1727">
        <v>0</v>
      </c>
      <c r="N1727">
        <v>0</v>
      </c>
      <c r="O1727">
        <v>0</v>
      </c>
      <c r="P1727">
        <v>15.968094445349289</v>
      </c>
      <c r="Q1727">
        <v>14.861179241432778</v>
      </c>
      <c r="R1727">
        <v>14.679849476718214</v>
      </c>
      <c r="S1727">
        <v>0</v>
      </c>
      <c r="T1727">
        <v>13.625962779738746</v>
      </c>
    </row>
    <row r="1728" spans="1:20" x14ac:dyDescent="0.25">
      <c r="A1728" s="5" t="s">
        <v>1736</v>
      </c>
      <c r="B1728">
        <v>9.5604998358288302</v>
      </c>
      <c r="C1728">
        <v>9.5952126467905732</v>
      </c>
      <c r="D1728">
        <v>9.3962854153925779</v>
      </c>
      <c r="E1728">
        <v>9.3555954447348508</v>
      </c>
      <c r="F1728">
        <v>10.066506547475711</v>
      </c>
      <c r="G1728">
        <v>10.818798075635074</v>
      </c>
      <c r="H1728">
        <v>9.9969238089809576</v>
      </c>
      <c r="I1728">
        <v>0</v>
      </c>
      <c r="J1728">
        <v>10.879679913418798</v>
      </c>
      <c r="K1728">
        <v>9.5714764919377586</v>
      </c>
      <c r="L1728">
        <v>9.8702905438820761</v>
      </c>
      <c r="M1728">
        <v>9.7999224993394076</v>
      </c>
      <c r="N1728">
        <v>10.082745355415414</v>
      </c>
      <c r="O1728">
        <v>10.123069284089398</v>
      </c>
      <c r="P1728">
        <v>0</v>
      </c>
      <c r="Q1728">
        <v>11.762039361433217</v>
      </c>
      <c r="R1728">
        <v>0</v>
      </c>
      <c r="S1728">
        <v>11.295545801378582</v>
      </c>
      <c r="T1728">
        <v>0</v>
      </c>
    </row>
    <row r="1729" spans="1:20" x14ac:dyDescent="0.25">
      <c r="A1729" s="6" t="s">
        <v>1737</v>
      </c>
      <c r="B1729">
        <v>15.103749544706854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15.098678555159433</v>
      </c>
      <c r="K1729">
        <v>0</v>
      </c>
      <c r="L1729">
        <v>0</v>
      </c>
      <c r="M1729">
        <v>15.383131944628133</v>
      </c>
      <c r="N1729">
        <v>14.806413438001886</v>
      </c>
      <c r="O1729">
        <v>15.346606068603018</v>
      </c>
      <c r="P1729">
        <v>0</v>
      </c>
      <c r="Q1729">
        <v>12.761002512532105</v>
      </c>
      <c r="R1729">
        <v>13.444532489292275</v>
      </c>
      <c r="S1729">
        <v>13.757641637324365</v>
      </c>
      <c r="T1729">
        <v>13.260756552954248</v>
      </c>
    </row>
    <row r="1730" spans="1:20" x14ac:dyDescent="0.25">
      <c r="A1730" s="5" t="s">
        <v>1738</v>
      </c>
      <c r="B1730">
        <v>14.714337853103507</v>
      </c>
      <c r="C1730">
        <v>13.88063160409895</v>
      </c>
      <c r="D1730">
        <v>14.638786820096328</v>
      </c>
      <c r="E1730">
        <v>14.495273449484813</v>
      </c>
      <c r="F1730">
        <v>14.59886063568357</v>
      </c>
      <c r="G1730">
        <v>14.423773929125478</v>
      </c>
      <c r="H1730">
        <v>0</v>
      </c>
      <c r="I1730">
        <v>14.361712960993227</v>
      </c>
      <c r="J1730">
        <v>14.442925029470389</v>
      </c>
      <c r="K1730">
        <v>14.67606783617579</v>
      </c>
      <c r="L1730">
        <v>14.426948176920622</v>
      </c>
      <c r="M1730">
        <v>15.264811977439372</v>
      </c>
      <c r="N1730">
        <v>14.259143227352677</v>
      </c>
      <c r="O1730">
        <v>14.913646661326911</v>
      </c>
      <c r="P1730">
        <v>14.679849476718214</v>
      </c>
      <c r="Q1730">
        <v>0</v>
      </c>
      <c r="R1730">
        <v>15.310982158872298</v>
      </c>
      <c r="S1730">
        <v>15.940613708927183</v>
      </c>
      <c r="T1730">
        <v>0</v>
      </c>
    </row>
    <row r="1731" spans="1:20" x14ac:dyDescent="0.25">
      <c r="A1731" s="6" t="s">
        <v>1739</v>
      </c>
      <c r="B1731">
        <v>16.34660606860302</v>
      </c>
      <c r="C1731">
        <v>14.635111161952929</v>
      </c>
      <c r="D1731">
        <v>14.831431898038725</v>
      </c>
      <c r="E1731">
        <v>14.6989078125339</v>
      </c>
      <c r="F1731">
        <v>16.015091924886459</v>
      </c>
      <c r="G1731">
        <v>15.785891114128539</v>
      </c>
      <c r="H1731">
        <v>0</v>
      </c>
      <c r="I1731">
        <v>16.888924231915681</v>
      </c>
      <c r="J1731">
        <v>17.022755661584625</v>
      </c>
      <c r="K1731">
        <v>15.124213647266568</v>
      </c>
      <c r="L1731">
        <v>14.940613708927183</v>
      </c>
      <c r="M1731">
        <v>16.420606650046796</v>
      </c>
      <c r="N1731">
        <v>16.299300353824663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25">
      <c r="A1732" s="5" t="s">
        <v>1740</v>
      </c>
      <c r="B1732">
        <v>9.6006035275051751</v>
      </c>
      <c r="C1732">
        <v>10.242239702437516</v>
      </c>
      <c r="D1732">
        <v>10.444494291350667</v>
      </c>
      <c r="E1732">
        <v>9.9766074842663919</v>
      </c>
      <c r="F1732">
        <v>10.047483545788426</v>
      </c>
      <c r="G1732">
        <v>10.581073532252519</v>
      </c>
      <c r="H1732">
        <v>9.318593209691624</v>
      </c>
      <c r="I1732">
        <v>10.038867907250646</v>
      </c>
      <c r="J1732">
        <v>10.288940996707407</v>
      </c>
      <c r="K1732">
        <v>10.179067494124819</v>
      </c>
      <c r="L1732">
        <v>10.430521600702546</v>
      </c>
      <c r="M1732">
        <v>9.977402800183814</v>
      </c>
      <c r="N1732">
        <v>10.314396836313676</v>
      </c>
      <c r="O1732">
        <v>10.267699189648786</v>
      </c>
      <c r="P1732">
        <v>10.373999565362091</v>
      </c>
      <c r="Q1732">
        <v>10.320206198735836</v>
      </c>
      <c r="R1732">
        <v>9.7000293586226309</v>
      </c>
      <c r="S1732">
        <v>10.375074010276061</v>
      </c>
      <c r="T1732">
        <v>10.554221369037062</v>
      </c>
    </row>
    <row r="1733" spans="1:20" x14ac:dyDescent="0.25">
      <c r="A1733" s="6" t="s">
        <v>1741</v>
      </c>
      <c r="B1733">
        <v>0</v>
      </c>
      <c r="C1733">
        <v>0</v>
      </c>
      <c r="D1733">
        <v>0</v>
      </c>
      <c r="E1733">
        <v>0</v>
      </c>
      <c r="F1733">
        <v>13.781821449819493</v>
      </c>
      <c r="G1733">
        <v>0</v>
      </c>
      <c r="H1733">
        <v>12.855993154240773</v>
      </c>
      <c r="I1733">
        <v>12.952480685368574</v>
      </c>
      <c r="J1733">
        <v>13.475419534676179</v>
      </c>
      <c r="K1733">
        <v>13.400187108807861</v>
      </c>
      <c r="L1733">
        <v>13.986710123516636</v>
      </c>
      <c r="M1733">
        <v>13.009632447263366</v>
      </c>
      <c r="N1733">
        <v>13.478709604610362</v>
      </c>
      <c r="O1733">
        <v>13.146999153596861</v>
      </c>
      <c r="P1733">
        <v>13.530689133041991</v>
      </c>
      <c r="Q1733">
        <v>0</v>
      </c>
      <c r="R1733">
        <v>12.863445966549957</v>
      </c>
      <c r="S1733">
        <v>13.848355201075194</v>
      </c>
      <c r="T1733">
        <v>13.540969663771714</v>
      </c>
    </row>
    <row r="1734" spans="1:20" x14ac:dyDescent="0.25">
      <c r="A1734" s="5" t="s">
        <v>1742</v>
      </c>
      <c r="B1734">
        <v>13.202777316460272</v>
      </c>
      <c r="C1734">
        <v>13.664782028629272</v>
      </c>
      <c r="D1734">
        <v>12.954059664784037</v>
      </c>
      <c r="E1734">
        <v>13.051777047563412</v>
      </c>
      <c r="F1734">
        <v>13.506982343073073</v>
      </c>
      <c r="G1734">
        <v>14.679849476718214</v>
      </c>
      <c r="H1734">
        <v>13.465594104820106</v>
      </c>
      <c r="I1734">
        <v>13.749670926215785</v>
      </c>
      <c r="J1734">
        <v>14.539251146545414</v>
      </c>
      <c r="K1734">
        <v>13.62050146706858</v>
      </c>
      <c r="L1734">
        <v>14.051372840381076</v>
      </c>
      <c r="M1734">
        <v>13.346606068603018</v>
      </c>
      <c r="N1734">
        <v>13.938347101955237</v>
      </c>
      <c r="O1734">
        <v>14.203648114760977</v>
      </c>
      <c r="P1734">
        <v>0</v>
      </c>
      <c r="Q1734">
        <v>15.389310519557258</v>
      </c>
      <c r="R1734">
        <v>15.214577674919234</v>
      </c>
      <c r="S1734">
        <v>0</v>
      </c>
      <c r="T1734">
        <v>14.900349838713455</v>
      </c>
    </row>
    <row r="1735" spans="1:20" x14ac:dyDescent="0.25">
      <c r="A1735" s="6" t="s">
        <v>1743</v>
      </c>
      <c r="B1735">
        <v>6.8060916513605854</v>
      </c>
      <c r="C1735">
        <v>5.5951041305756624</v>
      </c>
      <c r="D1735">
        <v>6.0308095713621181</v>
      </c>
      <c r="E1735">
        <v>5.918521967734053</v>
      </c>
      <c r="F1735">
        <v>6.8662561131448916</v>
      </c>
      <c r="G1735">
        <v>5.7458846483373698</v>
      </c>
      <c r="H1735">
        <v>6.7049847806945158</v>
      </c>
      <c r="I1735">
        <v>5.6215732541020156</v>
      </c>
      <c r="J1735">
        <v>6.1984236694361607</v>
      </c>
      <c r="K1735">
        <v>5.8364722492287111</v>
      </c>
      <c r="L1735">
        <v>5.9494532458969056</v>
      </c>
      <c r="M1735">
        <v>6.8098357886367937</v>
      </c>
      <c r="N1735">
        <v>7.2044602846082366</v>
      </c>
      <c r="O1735">
        <v>6.3873219206554452</v>
      </c>
      <c r="P1735">
        <v>7.1273425415706031</v>
      </c>
      <c r="Q1735">
        <v>7.3356106602263855</v>
      </c>
      <c r="R1735">
        <v>7.2888911370621052</v>
      </c>
      <c r="S1735">
        <v>7.5876000793568474</v>
      </c>
      <c r="T1735">
        <v>7.4651367051033546</v>
      </c>
    </row>
    <row r="1736" spans="1:20" x14ac:dyDescent="0.25">
      <c r="A1736" s="5" t="s">
        <v>1744</v>
      </c>
      <c r="B1736">
        <v>11.195738417092484</v>
      </c>
      <c r="C1736">
        <v>10.074915838011902</v>
      </c>
      <c r="D1736">
        <v>10.493125999321979</v>
      </c>
      <c r="E1736">
        <v>10.798267065463927</v>
      </c>
      <c r="F1736">
        <v>11.599406671990344</v>
      </c>
      <c r="G1736">
        <v>10.412919347384957</v>
      </c>
      <c r="H1736">
        <v>11.802069164351773</v>
      </c>
      <c r="I1736">
        <v>10.357094246632563</v>
      </c>
      <c r="J1736">
        <v>10.658211205754373</v>
      </c>
      <c r="K1736">
        <v>10.115692183453977</v>
      </c>
      <c r="L1736">
        <v>10.360327879537948</v>
      </c>
      <c r="M1736">
        <v>11.445574275644448</v>
      </c>
      <c r="N1736">
        <v>11.72801011218969</v>
      </c>
      <c r="O1736">
        <v>11.210025016936518</v>
      </c>
      <c r="P1736">
        <v>12.097432554239997</v>
      </c>
      <c r="Q1736">
        <v>12.557024606284394</v>
      </c>
      <c r="R1736">
        <v>12.755375469515693</v>
      </c>
      <c r="S1736">
        <v>13.316858725208968</v>
      </c>
      <c r="T1736">
        <v>12.348275149867712</v>
      </c>
    </row>
    <row r="1737" spans="1:20" x14ac:dyDescent="0.25">
      <c r="A1737" s="6" t="s">
        <v>1745</v>
      </c>
      <c r="B1737">
        <v>11.327853217620985</v>
      </c>
      <c r="C1737">
        <v>10.707967431284644</v>
      </c>
      <c r="D1737">
        <v>10.941427722879071</v>
      </c>
      <c r="E1737">
        <v>10.913048445412512</v>
      </c>
      <c r="F1737">
        <v>11.392157696426121</v>
      </c>
      <c r="G1737">
        <v>10.917076579433463</v>
      </c>
      <c r="H1737">
        <v>0</v>
      </c>
      <c r="I1737">
        <v>10.586511563128132</v>
      </c>
      <c r="J1737">
        <v>11.207651699352649</v>
      </c>
      <c r="K1737">
        <v>10.724856978342814</v>
      </c>
      <c r="L1737">
        <v>10.916956631586791</v>
      </c>
      <c r="M1737">
        <v>11.802811201321688</v>
      </c>
      <c r="N1737">
        <v>0</v>
      </c>
      <c r="O1737">
        <v>11.599702154846653</v>
      </c>
      <c r="P1737">
        <v>12.118704582453391</v>
      </c>
      <c r="Q1737">
        <v>11.805209971812024</v>
      </c>
      <c r="R1737">
        <v>11.921225095460347</v>
      </c>
      <c r="S1737">
        <v>0</v>
      </c>
      <c r="T1737">
        <v>11.491741839978111</v>
      </c>
    </row>
    <row r="1738" spans="1:20" x14ac:dyDescent="0.25">
      <c r="A1738" s="5" t="s">
        <v>1746</v>
      </c>
      <c r="B1738">
        <v>9.0882889456145666</v>
      </c>
      <c r="C1738">
        <v>8.1027890467589465</v>
      </c>
      <c r="D1738">
        <v>8.0478103076955811</v>
      </c>
      <c r="E1738">
        <v>7.9244750577502607</v>
      </c>
      <c r="F1738">
        <v>9.4805872765058599</v>
      </c>
      <c r="G1738">
        <v>8.3026829057376297</v>
      </c>
      <c r="H1738">
        <v>9.1242917416898841</v>
      </c>
      <c r="I1738">
        <v>7.7823339769827635</v>
      </c>
      <c r="J1738">
        <v>8.6472204345862131</v>
      </c>
      <c r="K1738">
        <v>7.8603214203599139</v>
      </c>
      <c r="L1738">
        <v>8.1910950417831359</v>
      </c>
      <c r="M1738">
        <v>9.3121876572871596</v>
      </c>
      <c r="N1738">
        <v>9.4878593631806964</v>
      </c>
      <c r="O1738">
        <v>8.5070169832854674</v>
      </c>
      <c r="P1738">
        <v>9.9992460253357027</v>
      </c>
      <c r="Q1738">
        <v>10.298816870229462</v>
      </c>
      <c r="R1738">
        <v>10.217496528991278</v>
      </c>
      <c r="S1738">
        <v>10.196105625514669</v>
      </c>
      <c r="T1738">
        <v>10.291354367534083</v>
      </c>
    </row>
    <row r="1739" spans="1:20" x14ac:dyDescent="0.25">
      <c r="A1739" s="6" t="s">
        <v>1747</v>
      </c>
      <c r="B1739">
        <v>10.122384066502432</v>
      </c>
      <c r="C1739">
        <v>9.2731437334661262</v>
      </c>
      <c r="D1739">
        <v>9.3603639127535363</v>
      </c>
      <c r="E1739">
        <v>9.1355216577820837</v>
      </c>
      <c r="F1739">
        <v>10.723151294215437</v>
      </c>
      <c r="G1739">
        <v>9.5836062202773995</v>
      </c>
      <c r="H1739">
        <v>10.770671064571633</v>
      </c>
      <c r="I1739">
        <v>9.3105451280618805</v>
      </c>
      <c r="J1739">
        <v>9.7465990329074774</v>
      </c>
      <c r="K1739">
        <v>9.0467234236260925</v>
      </c>
      <c r="L1739">
        <v>9.4080291555532884</v>
      </c>
      <c r="M1739">
        <v>10.431346116248166</v>
      </c>
      <c r="N1739">
        <v>10.459442329245039</v>
      </c>
      <c r="O1739">
        <v>9.4422915796290745</v>
      </c>
      <c r="P1739">
        <v>10.869660094760937</v>
      </c>
      <c r="Q1739">
        <v>11.600011133463108</v>
      </c>
      <c r="R1739">
        <v>11.270011345477624</v>
      </c>
      <c r="S1739">
        <v>11.277197476865588</v>
      </c>
      <c r="T1739">
        <v>11.518490746207544</v>
      </c>
    </row>
    <row r="1740" spans="1:20" x14ac:dyDescent="0.25">
      <c r="A1740" s="5" t="s">
        <v>1748</v>
      </c>
      <c r="B1740">
        <v>9.6650923819646035</v>
      </c>
      <c r="C1740">
        <v>8.1734224058993767</v>
      </c>
      <c r="D1740">
        <v>8.9197221503658426</v>
      </c>
      <c r="E1740">
        <v>8.9191158233492427</v>
      </c>
      <c r="F1740">
        <v>9.4779110732532388</v>
      </c>
      <c r="G1740">
        <v>8.2364647134666171</v>
      </c>
      <c r="H1740">
        <v>9.5320471004197671</v>
      </c>
      <c r="I1740">
        <v>8.3136245699291322</v>
      </c>
      <c r="J1740">
        <v>9.1980328862905179</v>
      </c>
      <c r="K1740">
        <v>8.3522314157966182</v>
      </c>
      <c r="L1740">
        <v>8.4659409482022028</v>
      </c>
      <c r="M1740">
        <v>9.5795284549978224</v>
      </c>
      <c r="N1740">
        <v>10.148730850730866</v>
      </c>
      <c r="O1740">
        <v>9.4540834897964405</v>
      </c>
      <c r="P1740">
        <v>10.426431886176076</v>
      </c>
      <c r="Q1740">
        <v>10.622922373415735</v>
      </c>
      <c r="R1740">
        <v>10.372350193542589</v>
      </c>
      <c r="S1740">
        <v>11.191224490486062</v>
      </c>
      <c r="T1740">
        <v>10.545328831438191</v>
      </c>
    </row>
    <row r="1741" spans="1:20" x14ac:dyDescent="0.25">
      <c r="A1741" s="6" t="s">
        <v>1749</v>
      </c>
      <c r="B1741">
        <v>6.7762598375632832</v>
      </c>
      <c r="C1741">
        <v>5.5922218859607513</v>
      </c>
      <c r="D1741">
        <v>6.0496116891898684</v>
      </c>
      <c r="E1741">
        <v>5.9762722961766856</v>
      </c>
      <c r="F1741">
        <v>6.7724872108271486</v>
      </c>
      <c r="G1741">
        <v>5.8006078656066586</v>
      </c>
      <c r="H1741">
        <v>6.8128600720783803</v>
      </c>
      <c r="I1741">
        <v>5.6628572070354153</v>
      </c>
      <c r="J1741">
        <v>6.261859344266365</v>
      </c>
      <c r="K1741">
        <v>5.7803562425932427</v>
      </c>
      <c r="L1741">
        <v>5.8562130202398457</v>
      </c>
      <c r="M1741">
        <v>6.8948852945579313</v>
      </c>
      <c r="N1741">
        <v>7.1289213497810167</v>
      </c>
      <c r="O1741">
        <v>6.346982523989193</v>
      </c>
      <c r="P1741">
        <v>7.2603627846226511</v>
      </c>
      <c r="Q1741">
        <v>7.2906462859106327</v>
      </c>
      <c r="R1741">
        <v>7.3059455600369692</v>
      </c>
      <c r="S1741">
        <v>7.5110103761780271</v>
      </c>
      <c r="T1741">
        <v>7.3928243017261552</v>
      </c>
    </row>
    <row r="1742" spans="1:20" x14ac:dyDescent="0.25">
      <c r="A1742" s="5" t="s">
        <v>1750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14.532397475504352</v>
      </c>
      <c r="Q1742">
        <v>12.775010152127349</v>
      </c>
      <c r="R1742">
        <v>14.066144591011041</v>
      </c>
      <c r="S1742">
        <v>14.4397154729945</v>
      </c>
      <c r="T1742">
        <v>11.490226192322799</v>
      </c>
    </row>
    <row r="1743" spans="1:20" x14ac:dyDescent="0.25">
      <c r="A1743" s="6" t="s">
        <v>1751</v>
      </c>
      <c r="B1743">
        <v>13.92257978609692</v>
      </c>
      <c r="C1743">
        <v>12.462504759805658</v>
      </c>
      <c r="D1743">
        <v>12.675737413765713</v>
      </c>
      <c r="E1743">
        <v>13.110674820095609</v>
      </c>
      <c r="F1743">
        <v>13.589938559994264</v>
      </c>
      <c r="G1743">
        <v>12.834547780317708</v>
      </c>
      <c r="H1743">
        <v>13.674180726631523</v>
      </c>
      <c r="I1743">
        <v>13.103762244543043</v>
      </c>
      <c r="J1743">
        <v>13.783854846972021</v>
      </c>
      <c r="K1743">
        <v>13.18428859698011</v>
      </c>
      <c r="L1743">
        <v>12.924171212400079</v>
      </c>
      <c r="M1743">
        <v>14.737796825927495</v>
      </c>
      <c r="N1743">
        <v>14.083571662769224</v>
      </c>
      <c r="O1743">
        <v>13.649870319225345</v>
      </c>
      <c r="P1743">
        <v>14.649870319225345</v>
      </c>
      <c r="Q1743">
        <v>14.852617227929352</v>
      </c>
      <c r="R1743">
        <v>15.553056946070447</v>
      </c>
      <c r="S1743">
        <v>14.430129424165303</v>
      </c>
      <c r="T1743">
        <v>14.539251146545414</v>
      </c>
    </row>
    <row r="1744" spans="1:20" x14ac:dyDescent="0.25">
      <c r="A1744" s="5" t="s">
        <v>1752</v>
      </c>
      <c r="B1744">
        <v>9.1351955076598212</v>
      </c>
      <c r="C1744">
        <v>8.8020253754852948</v>
      </c>
      <c r="D1744">
        <v>8.8954547268033419</v>
      </c>
      <c r="E1744">
        <v>9.0157683467356335</v>
      </c>
      <c r="F1744">
        <v>9.0080553730157646</v>
      </c>
      <c r="G1744">
        <v>9.3405399838305296</v>
      </c>
      <c r="H1744">
        <v>9.1214042562125499</v>
      </c>
      <c r="I1744">
        <v>8.7592504546146746</v>
      </c>
      <c r="J1744">
        <v>8.9340489234975156</v>
      </c>
      <c r="K1744">
        <v>9.0651790447044043</v>
      </c>
      <c r="L1744">
        <v>9.2326069833545574</v>
      </c>
      <c r="M1744">
        <v>8.8593401460487851</v>
      </c>
      <c r="N1744">
        <v>8.1763475659717368</v>
      </c>
      <c r="O1744">
        <v>8.6406863227059443</v>
      </c>
      <c r="P1744">
        <v>9.2490593533853858</v>
      </c>
      <c r="Q1744">
        <v>9.3487171782489593</v>
      </c>
      <c r="R1744">
        <v>8.9833415254450077</v>
      </c>
      <c r="S1744">
        <v>9.0410314374327942</v>
      </c>
      <c r="T1744">
        <v>9.3100761772701457</v>
      </c>
    </row>
    <row r="1745" spans="1:20" x14ac:dyDescent="0.25">
      <c r="A1745" s="6" t="s">
        <v>1753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14.532397475504352</v>
      </c>
      <c r="H1745">
        <v>0</v>
      </c>
      <c r="I1745">
        <v>0</v>
      </c>
      <c r="J1745">
        <v>0</v>
      </c>
      <c r="K1745">
        <v>0</v>
      </c>
      <c r="L1745">
        <v>15.532397475504352</v>
      </c>
      <c r="M1745">
        <v>0</v>
      </c>
      <c r="N1745">
        <v>15.098678555159433</v>
      </c>
      <c r="O1745">
        <v>0</v>
      </c>
      <c r="P1745">
        <v>0</v>
      </c>
      <c r="Q1745">
        <v>14.113945311812744</v>
      </c>
      <c r="R1745">
        <v>13.438113368398</v>
      </c>
      <c r="S1745">
        <v>12.451594342530479</v>
      </c>
      <c r="T1745">
        <v>14.395515669083965</v>
      </c>
    </row>
    <row r="1746" spans="1:20" x14ac:dyDescent="0.25">
      <c r="A1746" s="5" t="s">
        <v>1754</v>
      </c>
      <c r="B1746">
        <v>0</v>
      </c>
      <c r="C1746">
        <v>12.711422445937464</v>
      </c>
      <c r="D1746">
        <v>12.547933389645214</v>
      </c>
      <c r="E1746">
        <v>12.72422229660239</v>
      </c>
      <c r="F1746">
        <v>13.054867460678945</v>
      </c>
      <c r="G1746">
        <v>0</v>
      </c>
      <c r="H1746">
        <v>12.810750101384958</v>
      </c>
      <c r="I1746">
        <v>12.537380291546647</v>
      </c>
      <c r="J1746">
        <v>13.088225339690558</v>
      </c>
      <c r="K1746">
        <v>13.302211949244565</v>
      </c>
      <c r="L1746">
        <v>12.720205871568613</v>
      </c>
      <c r="M1746">
        <v>12.78893049371014</v>
      </c>
      <c r="N1746">
        <v>12.303071993499501</v>
      </c>
      <c r="O1746">
        <v>12.649823960875029</v>
      </c>
      <c r="P1746">
        <v>12.750038601965118</v>
      </c>
      <c r="Q1746">
        <v>12.726880058049222</v>
      </c>
      <c r="R1746">
        <v>12.829109893000043</v>
      </c>
      <c r="S1746">
        <v>12.441648375614662</v>
      </c>
      <c r="T1746">
        <v>12.788266995559933</v>
      </c>
    </row>
    <row r="1747" spans="1:20" x14ac:dyDescent="0.25">
      <c r="A1747" s="6" t="s">
        <v>1755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14.749670926215785</v>
      </c>
      <c r="H1747">
        <v>0</v>
      </c>
      <c r="I1747">
        <v>0</v>
      </c>
      <c r="J1747">
        <v>0</v>
      </c>
      <c r="K1747">
        <v>15.253496664211537</v>
      </c>
      <c r="L1747">
        <v>0</v>
      </c>
      <c r="M1747">
        <v>15.996108821518886</v>
      </c>
      <c r="N1747">
        <v>0</v>
      </c>
      <c r="O1747">
        <v>0</v>
      </c>
      <c r="P1747">
        <v>14.977372258937299</v>
      </c>
      <c r="Q1747">
        <v>14.083571662769224</v>
      </c>
      <c r="R1747">
        <v>14.67229608228658</v>
      </c>
      <c r="S1747">
        <v>12.451319606578858</v>
      </c>
      <c r="T1747">
        <v>13.693163829999097</v>
      </c>
    </row>
    <row r="1748" spans="1:20" x14ac:dyDescent="0.25">
      <c r="A1748" s="5" t="s">
        <v>1756</v>
      </c>
      <c r="B1748">
        <v>12.42417032836987</v>
      </c>
      <c r="C1748">
        <v>12.468894533198194</v>
      </c>
      <c r="D1748">
        <v>12.506806005795106</v>
      </c>
      <c r="E1748">
        <v>12.671825305633394</v>
      </c>
      <c r="F1748">
        <v>13.14006702913246</v>
      </c>
      <c r="G1748">
        <v>12.627367857139619</v>
      </c>
      <c r="H1748">
        <v>13.681744020707992</v>
      </c>
      <c r="I1748">
        <v>12.741042596404961</v>
      </c>
      <c r="J1748">
        <v>12.952526428576697</v>
      </c>
      <c r="K1748">
        <v>12.946945043078435</v>
      </c>
      <c r="L1748">
        <v>12.492959663739336</v>
      </c>
      <c r="M1748">
        <v>12.640858500606768</v>
      </c>
      <c r="N1748">
        <v>12.549895846311468</v>
      </c>
      <c r="O1748">
        <v>12.794905496250207</v>
      </c>
      <c r="P1748">
        <v>13.542690230512186</v>
      </c>
      <c r="Q1748">
        <v>13.986710123516636</v>
      </c>
      <c r="R1748">
        <v>13.582840415093099</v>
      </c>
      <c r="S1748">
        <v>13.679849476718214</v>
      </c>
      <c r="T1748">
        <v>13.670413896708604</v>
      </c>
    </row>
    <row r="1749" spans="1:20" x14ac:dyDescent="0.25">
      <c r="A1749" s="6" t="s">
        <v>1757</v>
      </c>
      <c r="B1749">
        <v>0</v>
      </c>
      <c r="C1749">
        <v>14.761643567881864</v>
      </c>
      <c r="D1749">
        <v>14.331655727137047</v>
      </c>
      <c r="E1749">
        <v>14.532397475504352</v>
      </c>
      <c r="F1749">
        <v>14.718221287590733</v>
      </c>
      <c r="G1749">
        <v>14.972725894080934</v>
      </c>
      <c r="H1749">
        <v>0</v>
      </c>
      <c r="I1749">
        <v>15.253496664211537</v>
      </c>
      <c r="J1749">
        <v>0</v>
      </c>
      <c r="K1749">
        <v>14.121639703602744</v>
      </c>
      <c r="L1749">
        <v>14.777763233245141</v>
      </c>
      <c r="M1749">
        <v>0</v>
      </c>
      <c r="N1749">
        <v>15.010322680738586</v>
      </c>
      <c r="O1749">
        <v>14.414292876114592</v>
      </c>
      <c r="P1749">
        <v>14.963477817278919</v>
      </c>
      <c r="Q1749">
        <v>14.904768509980459</v>
      </c>
      <c r="R1749">
        <v>14.653583822024411</v>
      </c>
      <c r="S1749">
        <v>14.337617285375762</v>
      </c>
      <c r="T1749">
        <v>14.452596764291233</v>
      </c>
    </row>
    <row r="1750" spans="1:20" x14ac:dyDescent="0.25">
      <c r="A1750" s="5" t="s">
        <v>1758</v>
      </c>
      <c r="B1750">
        <v>11.946290161731365</v>
      </c>
      <c r="C1750">
        <v>10.949296522547325</v>
      </c>
      <c r="D1750">
        <v>10.840479682995094</v>
      </c>
      <c r="E1750">
        <v>10.882752051975306</v>
      </c>
      <c r="F1750">
        <v>11.471043048532232</v>
      </c>
      <c r="G1750">
        <v>11.181002259003948</v>
      </c>
      <c r="H1750">
        <v>11.995660995511535</v>
      </c>
      <c r="I1750">
        <v>11.940194118090243</v>
      </c>
      <c r="J1750">
        <v>11.549160693029219</v>
      </c>
      <c r="K1750">
        <v>11.873035599122565</v>
      </c>
      <c r="L1750">
        <v>11.054115709405735</v>
      </c>
      <c r="M1750">
        <v>12.156129479878244</v>
      </c>
      <c r="N1750">
        <v>12.916354253690404</v>
      </c>
      <c r="O1750">
        <v>11.212614504914997</v>
      </c>
      <c r="P1750">
        <v>11.975529346483563</v>
      </c>
      <c r="Q1750">
        <v>12.414978161490309</v>
      </c>
      <c r="R1750">
        <v>12.259631280277171</v>
      </c>
      <c r="S1750">
        <v>12.208993253913984</v>
      </c>
      <c r="T1750">
        <v>12.514365835354019</v>
      </c>
    </row>
    <row r="1751" spans="1:20" x14ac:dyDescent="0.25">
      <c r="A1751" s="6" t="s">
        <v>1759</v>
      </c>
      <c r="B1751">
        <v>13.88063160409895</v>
      </c>
      <c r="C1751">
        <v>13.900349838713455</v>
      </c>
      <c r="D1751">
        <v>14.233905935853656</v>
      </c>
      <c r="E1751">
        <v>14.279082074406009</v>
      </c>
      <c r="F1751">
        <v>14.019876987451836</v>
      </c>
      <c r="G1751">
        <v>13.327200669430427</v>
      </c>
      <c r="H1751">
        <v>14.417446309153467</v>
      </c>
      <c r="I1751">
        <v>13.909200756295721</v>
      </c>
      <c r="J1751">
        <v>13.551323978845989</v>
      </c>
      <c r="K1751">
        <v>14.718221287590733</v>
      </c>
      <c r="L1751">
        <v>14.152834325206339</v>
      </c>
      <c r="M1751">
        <v>14.328684160605755</v>
      </c>
      <c r="N1751">
        <v>0</v>
      </c>
      <c r="O1751">
        <v>14.039177543410771</v>
      </c>
      <c r="P1751">
        <v>14.891552890476294</v>
      </c>
      <c r="Q1751">
        <v>0</v>
      </c>
      <c r="R1751">
        <v>14.936084050446668</v>
      </c>
      <c r="S1751">
        <v>15.67606783617579</v>
      </c>
      <c r="T1751">
        <v>13.622319608507558</v>
      </c>
    </row>
    <row r="1752" spans="1:20" x14ac:dyDescent="0.25">
      <c r="A1752" s="5" t="s">
        <v>1760</v>
      </c>
      <c r="B1752">
        <v>0</v>
      </c>
      <c r="C1752">
        <v>15.624140044131927</v>
      </c>
      <c r="D1752">
        <v>16.383131944628133</v>
      </c>
      <c r="E1752">
        <v>16.472136950686878</v>
      </c>
      <c r="F1752">
        <v>0</v>
      </c>
      <c r="G1752">
        <v>15.553056946070447</v>
      </c>
      <c r="H1752">
        <v>16.968094445349287</v>
      </c>
      <c r="I1752">
        <v>0</v>
      </c>
      <c r="J1752">
        <v>0</v>
      </c>
      <c r="K1752">
        <v>17.185255802898716</v>
      </c>
      <c r="L1752">
        <v>16.231128851183083</v>
      </c>
      <c r="M1752">
        <v>0</v>
      </c>
      <c r="N1752">
        <v>0</v>
      </c>
      <c r="O1752">
        <v>0</v>
      </c>
      <c r="P1752">
        <v>16.737796825927497</v>
      </c>
      <c r="Q1752">
        <v>15.505303814622076</v>
      </c>
      <c r="R1752">
        <v>15.931568569324174</v>
      </c>
      <c r="S1752">
        <v>16.083571662769224</v>
      </c>
      <c r="T1752">
        <v>15.869792371737484</v>
      </c>
    </row>
    <row r="1753" spans="1:20" x14ac:dyDescent="0.25">
      <c r="A1753" s="6" t="s">
        <v>1761</v>
      </c>
      <c r="B1753">
        <v>14.222829527964596</v>
      </c>
      <c r="C1753">
        <v>14.048925519962333</v>
      </c>
      <c r="D1753">
        <v>13.927067177089235</v>
      </c>
      <c r="E1753">
        <v>13.710464843956299</v>
      </c>
      <c r="F1753">
        <v>14.909200756295721</v>
      </c>
      <c r="G1753">
        <v>14.308052827833627</v>
      </c>
      <c r="H1753">
        <v>14.267654727208196</v>
      </c>
      <c r="I1753">
        <v>14.093625327433148</v>
      </c>
      <c r="J1753">
        <v>14.802285552379209</v>
      </c>
      <c r="K1753">
        <v>14.59171856643955</v>
      </c>
      <c r="L1753">
        <v>14.522177633186471</v>
      </c>
      <c r="M1753">
        <v>14.423773929125478</v>
      </c>
      <c r="N1753">
        <v>14.802285552379209</v>
      </c>
      <c r="O1753">
        <v>13.554791997441193</v>
      </c>
      <c r="P1753">
        <v>15.346606068603018</v>
      </c>
      <c r="Q1753">
        <v>0</v>
      </c>
      <c r="R1753">
        <v>15.83564414932564</v>
      </c>
      <c r="S1753">
        <v>16.65805267962206</v>
      </c>
      <c r="T1753">
        <v>0</v>
      </c>
    </row>
    <row r="1754" spans="1:20" x14ac:dyDescent="0.25">
      <c r="A1754" s="5" t="s">
        <v>1762</v>
      </c>
      <c r="B1754">
        <v>10.480693438456383</v>
      </c>
      <c r="C1754">
        <v>10.404551031183772</v>
      </c>
      <c r="D1754">
        <v>10.859079523469914</v>
      </c>
      <c r="E1754">
        <v>10.667717243334884</v>
      </c>
      <c r="F1754">
        <v>10.262795247594772</v>
      </c>
      <c r="G1754">
        <v>10.535287039414655</v>
      </c>
      <c r="H1754">
        <v>10.497367792987021</v>
      </c>
      <c r="I1754">
        <v>10.000331696405533</v>
      </c>
      <c r="J1754">
        <v>10.209152070035737</v>
      </c>
      <c r="K1754">
        <v>10.872129464319475</v>
      </c>
      <c r="L1754">
        <v>10.62001323194346</v>
      </c>
      <c r="M1754">
        <v>10.746960967864174</v>
      </c>
      <c r="N1754">
        <v>9.869469799161898</v>
      </c>
      <c r="O1754">
        <v>10.322463722705216</v>
      </c>
      <c r="P1754">
        <v>10.458071832860384</v>
      </c>
      <c r="Q1754">
        <v>10.522708133299414</v>
      </c>
      <c r="R1754">
        <v>11.113008759381684</v>
      </c>
      <c r="S1754">
        <v>10.947486256324018</v>
      </c>
      <c r="T1754">
        <v>11.171873423958381</v>
      </c>
    </row>
    <row r="1755" spans="1:20" x14ac:dyDescent="0.25">
      <c r="A1755" s="6" t="s">
        <v>1763</v>
      </c>
      <c r="B1755">
        <v>0</v>
      </c>
      <c r="C1755">
        <v>12.950549358768402</v>
      </c>
      <c r="D1755">
        <v>12.788277200912974</v>
      </c>
      <c r="E1755">
        <v>13.491945431767057</v>
      </c>
      <c r="F1755">
        <v>12.927168304117622</v>
      </c>
      <c r="G1755">
        <v>0</v>
      </c>
      <c r="H1755">
        <v>0</v>
      </c>
      <c r="I1755">
        <v>0</v>
      </c>
      <c r="J1755">
        <v>13.355651208206025</v>
      </c>
      <c r="K1755">
        <v>13.419025614227316</v>
      </c>
      <c r="L1755">
        <v>13.470498455291123</v>
      </c>
      <c r="M1755">
        <v>13.210811291992185</v>
      </c>
      <c r="N1755">
        <v>0</v>
      </c>
      <c r="O1755">
        <v>0</v>
      </c>
      <c r="P1755">
        <v>0</v>
      </c>
      <c r="Q1755">
        <v>0</v>
      </c>
      <c r="R1755">
        <v>14.0860785183798</v>
      </c>
      <c r="S1755">
        <v>14.182034301654912</v>
      </c>
      <c r="T1755">
        <v>14.195504941452361</v>
      </c>
    </row>
    <row r="1756" spans="1:20" x14ac:dyDescent="0.25">
      <c r="A1756" s="5" t="s">
        <v>1764</v>
      </c>
      <c r="B1756">
        <v>9.8830585361072476</v>
      </c>
      <c r="C1756">
        <v>9.7920619820936672</v>
      </c>
      <c r="D1756">
        <v>9.8719009918139289</v>
      </c>
      <c r="E1756">
        <v>9.9005552829671366</v>
      </c>
      <c r="F1756">
        <v>9.9469364992341109</v>
      </c>
      <c r="G1756">
        <v>9.9453325771411816</v>
      </c>
      <c r="H1756">
        <v>9.6568666177612315</v>
      </c>
      <c r="I1756">
        <v>9.8631678056307184</v>
      </c>
      <c r="J1756">
        <v>9.9917572496320606</v>
      </c>
      <c r="K1756">
        <v>10.317525021399904</v>
      </c>
      <c r="L1756">
        <v>10.199423195605375</v>
      </c>
      <c r="M1756">
        <v>10.666155115759643</v>
      </c>
      <c r="N1756">
        <v>10.700753128627213</v>
      </c>
      <c r="O1756">
        <v>9.5539068605169835</v>
      </c>
      <c r="P1756">
        <v>10.366447445610486</v>
      </c>
      <c r="Q1756">
        <v>11.044314438626397</v>
      </c>
      <c r="R1756">
        <v>10.817641520992094</v>
      </c>
      <c r="S1756">
        <v>11.56742077906447</v>
      </c>
      <c r="T1756">
        <v>10.920548226864076</v>
      </c>
    </row>
    <row r="1757" spans="1:20" x14ac:dyDescent="0.25">
      <c r="A1757" s="6" t="s">
        <v>1765</v>
      </c>
      <c r="B1757">
        <v>15.103749544706854</v>
      </c>
      <c r="C1757">
        <v>14.818868436574812</v>
      </c>
      <c r="D1757">
        <v>14.574016564706092</v>
      </c>
      <c r="E1757">
        <v>14.749670926215785</v>
      </c>
      <c r="F1757">
        <v>15.078570981710859</v>
      </c>
      <c r="G1757">
        <v>15.108838421379655</v>
      </c>
      <c r="H1757">
        <v>14.525576209648337</v>
      </c>
      <c r="I1757">
        <v>14.814704811633275</v>
      </c>
      <c r="J1757">
        <v>15.039177543410771</v>
      </c>
      <c r="K1757">
        <v>15.068621321303253</v>
      </c>
      <c r="L1757">
        <v>14.913646661326911</v>
      </c>
      <c r="M1757">
        <v>15.769680886947281</v>
      </c>
      <c r="N1757">
        <v>16.144972207433366</v>
      </c>
      <c r="O1757">
        <v>14.945157634072132</v>
      </c>
      <c r="P1757">
        <v>15.986710123516636</v>
      </c>
      <c r="Q1757">
        <v>16.96994524103723</v>
      </c>
      <c r="R1757">
        <v>15.777763233245141</v>
      </c>
      <c r="S1757">
        <v>16.890676138677275</v>
      </c>
      <c r="T1757">
        <v>17.341805082339199</v>
      </c>
    </row>
    <row r="1758" spans="1:20" x14ac:dyDescent="0.25">
      <c r="A1758" s="5" t="s">
        <v>1766</v>
      </c>
      <c r="B1758">
        <v>10.907900142783923</v>
      </c>
      <c r="C1758">
        <v>11.076432237355345</v>
      </c>
      <c r="D1758">
        <v>11.116102012714446</v>
      </c>
      <c r="E1758">
        <v>10.783188593748715</v>
      </c>
      <c r="F1758">
        <v>11.22825326485604</v>
      </c>
      <c r="G1758">
        <v>11.263268580013928</v>
      </c>
      <c r="H1758">
        <v>11.326455790578072</v>
      </c>
      <c r="I1758">
        <v>10.676266125952942</v>
      </c>
      <c r="J1758">
        <v>10.974571032596057</v>
      </c>
      <c r="K1758">
        <v>11.563428830317035</v>
      </c>
      <c r="L1758">
        <v>10.662339011214483</v>
      </c>
      <c r="M1758">
        <v>10.892353391684358</v>
      </c>
      <c r="N1758">
        <v>10.319099954808559</v>
      </c>
      <c r="O1758">
        <v>10.965322696099236</v>
      </c>
      <c r="P1758">
        <v>11.399317854532187</v>
      </c>
      <c r="Q1758">
        <v>11.98531728383125</v>
      </c>
      <c r="R1758">
        <v>12.165258317645078</v>
      </c>
      <c r="S1758">
        <v>12.630099810958281</v>
      </c>
      <c r="T1758">
        <v>11.559900811739832</v>
      </c>
    </row>
    <row r="1759" spans="1:20" x14ac:dyDescent="0.25">
      <c r="A1759" s="6" t="s">
        <v>1767</v>
      </c>
      <c r="B1759">
        <v>15.661039626943458</v>
      </c>
      <c r="C1759">
        <v>15.270503089517227</v>
      </c>
      <c r="D1759">
        <v>14.927067177089235</v>
      </c>
      <c r="E1759">
        <v>15.150208855799516</v>
      </c>
      <c r="F1759">
        <v>0</v>
      </c>
      <c r="G1759">
        <v>15.574016564706092</v>
      </c>
      <c r="H1759">
        <v>0</v>
      </c>
      <c r="I1759">
        <v>15.389310519557258</v>
      </c>
      <c r="J1759">
        <v>0</v>
      </c>
      <c r="K1759">
        <v>15.024677973715658</v>
      </c>
      <c r="L1759">
        <v>15.485312339434612</v>
      </c>
      <c r="M1759">
        <v>15.198214228710349</v>
      </c>
      <c r="N1759">
        <v>15.574016564706092</v>
      </c>
      <c r="O1759">
        <v>15.452596764291233</v>
      </c>
      <c r="P1759">
        <v>15.546137532130656</v>
      </c>
      <c r="Q1759">
        <v>0</v>
      </c>
      <c r="R1759">
        <v>15.352629856230788</v>
      </c>
      <c r="S1759">
        <v>0</v>
      </c>
      <c r="T1759">
        <v>0</v>
      </c>
    </row>
    <row r="1760" spans="1:20" x14ac:dyDescent="0.25">
      <c r="A1760" s="5" t="s">
        <v>1768</v>
      </c>
      <c r="B1760">
        <v>0</v>
      </c>
      <c r="C1760">
        <v>13.513716054438275</v>
      </c>
      <c r="D1760">
        <v>13.648017146149867</v>
      </c>
      <c r="E1760">
        <v>14.160739523291683</v>
      </c>
      <c r="F1760">
        <v>0</v>
      </c>
      <c r="G1760">
        <v>13.977372258937299</v>
      </c>
      <c r="H1760">
        <v>14.566996137028319</v>
      </c>
      <c r="I1760">
        <v>13.861179241432778</v>
      </c>
      <c r="J1760">
        <v>14.053824319375174</v>
      </c>
      <c r="K1760">
        <v>14.308052827833627</v>
      </c>
      <c r="L1760">
        <v>13.506982343073073</v>
      </c>
      <c r="M1760">
        <v>0</v>
      </c>
      <c r="N1760">
        <v>14.14236099397683</v>
      </c>
      <c r="O1760">
        <v>14.209102544853085</v>
      </c>
      <c r="P1760">
        <v>0</v>
      </c>
      <c r="Q1760">
        <v>0</v>
      </c>
      <c r="R1760">
        <v>14.331655727137047</v>
      </c>
      <c r="S1760">
        <v>0</v>
      </c>
      <c r="T1760">
        <v>0</v>
      </c>
    </row>
    <row r="1761" spans="1:20" x14ac:dyDescent="0.25">
      <c r="A1761" s="6" t="s">
        <v>1769</v>
      </c>
      <c r="B1761">
        <v>14.844105728073835</v>
      </c>
      <c r="C1761">
        <v>14.328684160605755</v>
      </c>
      <c r="D1761">
        <v>14.702749878828294</v>
      </c>
      <c r="E1761">
        <v>14.310982158872298</v>
      </c>
      <c r="F1761">
        <v>15.310982158872298</v>
      </c>
      <c r="G1761">
        <v>14.958875915319911</v>
      </c>
      <c r="H1761">
        <v>14.452596764291233</v>
      </c>
      <c r="I1761">
        <v>14.839868735187364</v>
      </c>
      <c r="J1761">
        <v>15.034328143749375</v>
      </c>
      <c r="K1761">
        <v>14.322759326648649</v>
      </c>
      <c r="L1761">
        <v>14.152834325206339</v>
      </c>
      <c r="M1761">
        <v>14.861179241432778</v>
      </c>
      <c r="N1761">
        <v>16.358678900903591</v>
      </c>
      <c r="O1761">
        <v>15.058739809789289</v>
      </c>
      <c r="P1761">
        <v>15.305129432626858</v>
      </c>
      <c r="Q1761">
        <v>14.794065045574239</v>
      </c>
      <c r="R1761">
        <v>14.741744010444156</v>
      </c>
      <c r="S1761">
        <v>0</v>
      </c>
      <c r="T1761">
        <v>14.515404404591045</v>
      </c>
    </row>
    <row r="1762" spans="1:20" x14ac:dyDescent="0.25">
      <c r="A1762" s="5" t="s">
        <v>1770</v>
      </c>
      <c r="B1762">
        <v>7.5235716740835379</v>
      </c>
      <c r="C1762">
        <v>6.8511497362203704</v>
      </c>
      <c r="D1762">
        <v>6.8295174181248868</v>
      </c>
      <c r="E1762">
        <v>6.5806228978739911</v>
      </c>
      <c r="F1762">
        <v>6.581600302412566</v>
      </c>
      <c r="G1762">
        <v>6.8703394928384771</v>
      </c>
      <c r="H1762">
        <v>6.9991904712923407</v>
      </c>
      <c r="I1762">
        <v>6.746189796341084</v>
      </c>
      <c r="J1762">
        <v>6.9612487355657287</v>
      </c>
      <c r="K1762">
        <v>6.725097955904797</v>
      </c>
      <c r="L1762">
        <v>6.4926379627644444</v>
      </c>
      <c r="M1762">
        <v>7.6649008919239527</v>
      </c>
      <c r="N1762">
        <v>7.5417928602398909</v>
      </c>
      <c r="O1762">
        <v>6.229517989966646</v>
      </c>
      <c r="P1762">
        <v>7.5865620317058875</v>
      </c>
      <c r="Q1762">
        <v>9.0180066809401378</v>
      </c>
      <c r="R1762">
        <v>8.2651821060116877</v>
      </c>
      <c r="S1762">
        <v>8.1899705496921982</v>
      </c>
      <c r="T1762">
        <v>9.0813864208356652</v>
      </c>
    </row>
    <row r="1763" spans="1:20" x14ac:dyDescent="0.25">
      <c r="A1763" s="6" t="s">
        <v>1771</v>
      </c>
      <c r="B1763">
        <v>0</v>
      </c>
      <c r="C1763">
        <v>0</v>
      </c>
      <c r="D1763">
        <v>13.02345220380934</v>
      </c>
      <c r="E1763">
        <v>13.115788226741934</v>
      </c>
      <c r="F1763">
        <v>13.59886063568357</v>
      </c>
      <c r="G1763">
        <v>13.360195133350974</v>
      </c>
      <c r="H1763">
        <v>13.972725894080934</v>
      </c>
      <c r="I1763">
        <v>13.659172060286689</v>
      </c>
      <c r="J1763">
        <v>0</v>
      </c>
      <c r="K1763">
        <v>13.779790914592123</v>
      </c>
      <c r="L1763">
        <v>13.139402981728912</v>
      </c>
      <c r="M1763">
        <v>13.729934708154524</v>
      </c>
      <c r="N1763">
        <v>13.325718702129196</v>
      </c>
      <c r="O1763">
        <v>13.622319608507558</v>
      </c>
      <c r="P1763">
        <v>0</v>
      </c>
      <c r="Q1763">
        <v>13.553056946070445</v>
      </c>
      <c r="R1763">
        <v>0</v>
      </c>
      <c r="S1763">
        <v>12.581867145579642</v>
      </c>
      <c r="T1763">
        <v>13.398628280951302</v>
      </c>
    </row>
    <row r="1764" spans="1:20" x14ac:dyDescent="0.25">
      <c r="A1764" s="5" t="s">
        <v>1772</v>
      </c>
      <c r="B1764">
        <v>0</v>
      </c>
      <c r="C1764">
        <v>0</v>
      </c>
      <c r="D1764">
        <v>0</v>
      </c>
      <c r="E1764">
        <v>0</v>
      </c>
      <c r="F1764">
        <v>17.589582822095558</v>
      </c>
      <c r="G1764">
        <v>16.187407473753765</v>
      </c>
      <c r="H1764">
        <v>0</v>
      </c>
      <c r="I1764">
        <v>0</v>
      </c>
      <c r="J1764">
        <v>17.629980922720989</v>
      </c>
      <c r="K1764">
        <v>17.490616371294536</v>
      </c>
      <c r="L1764">
        <v>16.472136950686878</v>
      </c>
      <c r="M1764">
        <v>0</v>
      </c>
      <c r="N1764">
        <v>0</v>
      </c>
      <c r="O1764">
        <v>0</v>
      </c>
      <c r="P1764">
        <v>15.769680886947281</v>
      </c>
      <c r="Q1764">
        <v>15.532397475504352</v>
      </c>
      <c r="R1764">
        <v>15.505303814622076</v>
      </c>
      <c r="S1764">
        <v>14.741744010444156</v>
      </c>
      <c r="T1764">
        <v>15.220073662674086</v>
      </c>
    </row>
    <row r="1765" spans="1:20" x14ac:dyDescent="0.25">
      <c r="A1765" s="6" t="s">
        <v>1773</v>
      </c>
      <c r="B1765">
        <v>11.98710832482446</v>
      </c>
      <c r="C1765">
        <v>12.285247477920301</v>
      </c>
      <c r="D1765">
        <v>12.170163608307861</v>
      </c>
      <c r="E1765">
        <v>11.988315311799015</v>
      </c>
      <c r="F1765">
        <v>11.637761288652101</v>
      </c>
      <c r="G1765">
        <v>12.233808647560966</v>
      </c>
      <c r="H1765">
        <v>11.913101301014276</v>
      </c>
      <c r="I1765">
        <v>11.878316012099466</v>
      </c>
      <c r="J1765">
        <v>11.565150178614813</v>
      </c>
      <c r="K1765">
        <v>12.073854995043517</v>
      </c>
      <c r="L1765">
        <v>12.328298306128611</v>
      </c>
      <c r="M1765">
        <v>12.012484771569216</v>
      </c>
      <c r="N1765">
        <v>12.041073236363726</v>
      </c>
      <c r="O1765">
        <v>12.020002809366321</v>
      </c>
      <c r="P1765">
        <v>11.715365945641881</v>
      </c>
      <c r="Q1765">
        <v>12.331388035368136</v>
      </c>
      <c r="R1765">
        <v>12.479253188012633</v>
      </c>
      <c r="S1765">
        <v>13.004810037337709</v>
      </c>
      <c r="T1765">
        <v>12.24756340008423</v>
      </c>
    </row>
    <row r="1766" spans="1:20" x14ac:dyDescent="0.25">
      <c r="A1766" s="5" t="s">
        <v>1774</v>
      </c>
      <c r="B1766">
        <v>12.77386795173895</v>
      </c>
      <c r="C1766">
        <v>0</v>
      </c>
      <c r="D1766">
        <v>0</v>
      </c>
      <c r="E1766">
        <v>0</v>
      </c>
      <c r="F1766">
        <v>12.095537155682011</v>
      </c>
      <c r="G1766">
        <v>12.168097237920884</v>
      </c>
      <c r="H1766">
        <v>12.646120110977272</v>
      </c>
      <c r="I1766">
        <v>13.094016320500751</v>
      </c>
      <c r="J1766">
        <v>12.605058185682637</v>
      </c>
      <c r="K1766">
        <v>12.598162726273415</v>
      </c>
      <c r="L1766">
        <v>14.044043298582588</v>
      </c>
      <c r="M1766">
        <v>0</v>
      </c>
      <c r="N1766">
        <v>13.030870789910752</v>
      </c>
      <c r="O1766">
        <v>0</v>
      </c>
      <c r="P1766">
        <v>11.089793532743823</v>
      </c>
      <c r="Q1766">
        <v>9.8674267158724795</v>
      </c>
      <c r="R1766">
        <v>10.892024364822866</v>
      </c>
      <c r="S1766">
        <v>11.467284222664084</v>
      </c>
      <c r="T1766">
        <v>9.5659602285333634</v>
      </c>
    </row>
    <row r="1767" spans="1:20" x14ac:dyDescent="0.25">
      <c r="A1767" s="6" t="s">
        <v>1775</v>
      </c>
      <c r="B1767">
        <v>13.17674786014393</v>
      </c>
      <c r="C1767">
        <v>15.214577674919234</v>
      </c>
      <c r="D1767">
        <v>15.334633426936943</v>
      </c>
      <c r="E1767">
        <v>14.810553168362809</v>
      </c>
      <c r="F1767">
        <v>12.274957794501091</v>
      </c>
      <c r="G1767">
        <v>11.887731962576119</v>
      </c>
      <c r="H1767">
        <v>12.825827643049486</v>
      </c>
      <c r="I1767">
        <v>12.813156927884183</v>
      </c>
      <c r="J1767">
        <v>12.897815217434355</v>
      </c>
      <c r="K1767">
        <v>12.325207776400632</v>
      </c>
      <c r="L1767">
        <v>14.017482472311452</v>
      </c>
      <c r="M1767">
        <v>13.653583822024411</v>
      </c>
      <c r="N1767">
        <v>13.79201721692538</v>
      </c>
      <c r="O1767">
        <v>14.895944659593452</v>
      </c>
      <c r="P1767">
        <v>11.23008882107132</v>
      </c>
      <c r="Q1767">
        <v>9.7831301205584342</v>
      </c>
      <c r="R1767">
        <v>10.552586672930406</v>
      </c>
      <c r="S1767">
        <v>11.395383531731893</v>
      </c>
      <c r="T1767">
        <v>9.1724335463368618</v>
      </c>
    </row>
    <row r="1768" spans="1:20" x14ac:dyDescent="0.25">
      <c r="A1768" s="5" t="s">
        <v>1776</v>
      </c>
      <c r="B1768">
        <v>13.689347174225803</v>
      </c>
      <c r="C1768">
        <v>15.264811977439372</v>
      </c>
      <c r="D1768">
        <v>15.729934708154525</v>
      </c>
      <c r="E1768">
        <v>15.581071322240042</v>
      </c>
      <c r="F1768">
        <v>12.865931637744387</v>
      </c>
      <c r="G1768">
        <v>12.325015300589017</v>
      </c>
      <c r="H1768">
        <v>12.743593030258733</v>
      </c>
      <c r="I1768">
        <v>12.692896335188943</v>
      </c>
      <c r="J1768">
        <v>12.947754089545567</v>
      </c>
      <c r="K1768">
        <v>12.839435145681961</v>
      </c>
      <c r="L1768">
        <v>13.867634263570075</v>
      </c>
      <c r="M1768">
        <v>13.794065045574239</v>
      </c>
      <c r="N1768">
        <v>14.150208855799516</v>
      </c>
      <c r="O1768">
        <v>14.848355201075194</v>
      </c>
      <c r="P1768">
        <v>11.496135825750111</v>
      </c>
      <c r="Q1768">
        <v>10.07976019751387</v>
      </c>
      <c r="R1768">
        <v>10.37782217517363</v>
      </c>
      <c r="S1768">
        <v>11.667496660320857</v>
      </c>
      <c r="T1768">
        <v>9.4118350262948329</v>
      </c>
    </row>
    <row r="1769" spans="1:20" x14ac:dyDescent="0.25">
      <c r="A1769" s="6" t="s">
        <v>1777</v>
      </c>
      <c r="B1769">
        <v>0</v>
      </c>
      <c r="C1769">
        <v>0</v>
      </c>
      <c r="D1769">
        <v>0</v>
      </c>
      <c r="E1769">
        <v>0</v>
      </c>
      <c r="F1769">
        <v>14.222829527964596</v>
      </c>
      <c r="G1769">
        <v>13.560009706712211</v>
      </c>
      <c r="H1769">
        <v>14.556529137977249</v>
      </c>
      <c r="I1769">
        <v>14.472136950686876</v>
      </c>
      <c r="J1769">
        <v>13.898145567786724</v>
      </c>
      <c r="K1769">
        <v>14.48200719471094</v>
      </c>
      <c r="L1769">
        <v>0</v>
      </c>
      <c r="M1769">
        <v>0</v>
      </c>
      <c r="N1769">
        <v>14.777763233245141</v>
      </c>
      <c r="O1769">
        <v>0</v>
      </c>
      <c r="P1769">
        <v>12.61254682370247</v>
      </c>
      <c r="Q1769">
        <v>10.988045702854539</v>
      </c>
      <c r="R1769">
        <v>11.801064930588478</v>
      </c>
      <c r="S1769">
        <v>13.175145681413657</v>
      </c>
      <c r="T1769">
        <v>10.726163837115847</v>
      </c>
    </row>
    <row r="1770" spans="1:20" x14ac:dyDescent="0.25">
      <c r="A1770" s="5" t="s">
        <v>1778</v>
      </c>
      <c r="B1770">
        <v>16.124213647266568</v>
      </c>
      <c r="C1770">
        <v>14.918106309517611</v>
      </c>
      <c r="D1770">
        <v>15.574016564706092</v>
      </c>
      <c r="E1770">
        <v>15.560009706712211</v>
      </c>
      <c r="F1770">
        <v>16.695841509486119</v>
      </c>
      <c r="G1770">
        <v>15.281953110260764</v>
      </c>
      <c r="H1770">
        <v>0</v>
      </c>
      <c r="I1770">
        <v>16.253496664211536</v>
      </c>
      <c r="J1770">
        <v>16.61687204366789</v>
      </c>
      <c r="K1770">
        <v>16.103749544706854</v>
      </c>
      <c r="L1770">
        <v>15.661039626943458</v>
      </c>
      <c r="M1770">
        <v>16.383131944628133</v>
      </c>
      <c r="N1770">
        <v>16.59528518145974</v>
      </c>
      <c r="O1770">
        <v>16.74411751529685</v>
      </c>
      <c r="P1770">
        <v>16.253496664211536</v>
      </c>
      <c r="Q1770">
        <v>16.358678900903591</v>
      </c>
      <c r="R1770">
        <v>16.581071322240042</v>
      </c>
      <c r="S1770">
        <v>16.566996137028319</v>
      </c>
      <c r="T1770">
        <v>15.977372258937301</v>
      </c>
    </row>
    <row r="1771" spans="1:20" x14ac:dyDescent="0.25">
      <c r="A1771" s="6" t="s">
        <v>1779</v>
      </c>
      <c r="B1771">
        <v>13.662909614296503</v>
      </c>
      <c r="C1771">
        <v>12.48607359496555</v>
      </c>
      <c r="D1771">
        <v>12.356778281261413</v>
      </c>
      <c r="E1771">
        <v>12.220603757750704</v>
      </c>
      <c r="F1771">
        <v>13.134166427692776</v>
      </c>
      <c r="G1771">
        <v>13.01664533005841</v>
      </c>
      <c r="H1771">
        <v>13.579304396065853</v>
      </c>
      <c r="I1771">
        <v>13.366276048743151</v>
      </c>
      <c r="J1771">
        <v>13.589938559994264</v>
      </c>
      <c r="K1771">
        <v>12.79803586721683</v>
      </c>
      <c r="L1771">
        <v>12.899688203736991</v>
      </c>
      <c r="M1771">
        <v>14.101211821904954</v>
      </c>
      <c r="N1771">
        <v>14.498609162048069</v>
      </c>
      <c r="O1771">
        <v>12.800565648890483</v>
      </c>
      <c r="P1771">
        <v>14.398628280951302</v>
      </c>
      <c r="Q1771">
        <v>14.806413438001886</v>
      </c>
      <c r="R1771">
        <v>14.848355201075194</v>
      </c>
      <c r="S1771">
        <v>14.606038237756618</v>
      </c>
      <c r="T1771">
        <v>14.986710123516636</v>
      </c>
    </row>
    <row r="1772" spans="1:20" x14ac:dyDescent="0.25">
      <c r="A1772" s="5" t="s">
        <v>1780</v>
      </c>
      <c r="B1772">
        <v>0</v>
      </c>
      <c r="C1772">
        <v>16.242269408788282</v>
      </c>
      <c r="D1772">
        <v>16.287712379549451</v>
      </c>
      <c r="E1772">
        <v>17.771293737915581</v>
      </c>
      <c r="F1772">
        <v>0</v>
      </c>
      <c r="G1772">
        <v>0</v>
      </c>
      <c r="H1772">
        <v>0</v>
      </c>
      <c r="I1772">
        <v>17.159682990808811</v>
      </c>
      <c r="J1772">
        <v>0</v>
      </c>
      <c r="K1772">
        <v>17.20473735229168</v>
      </c>
      <c r="L1772">
        <v>17.242269408788282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25">
      <c r="A1773" s="6" t="s">
        <v>1781</v>
      </c>
      <c r="B1773">
        <v>14.635111161952929</v>
      </c>
      <c r="C1773">
        <v>13.759641214970715</v>
      </c>
      <c r="D1773">
        <v>13.900349838713455</v>
      </c>
      <c r="E1773">
        <v>13.622319608507558</v>
      </c>
      <c r="F1773">
        <v>14.174011880384722</v>
      </c>
      <c r="G1773">
        <v>14.098678555159433</v>
      </c>
      <c r="H1773">
        <v>13.893747103889208</v>
      </c>
      <c r="I1773">
        <v>14.126792191368347</v>
      </c>
      <c r="J1773">
        <v>14.53582024114514</v>
      </c>
      <c r="K1773">
        <v>13.993753400520754</v>
      </c>
      <c r="L1773">
        <v>14.0860785183798</v>
      </c>
      <c r="M1773">
        <v>14.485312339434612</v>
      </c>
      <c r="N1773">
        <v>14.67606783617579</v>
      </c>
      <c r="O1773">
        <v>14.267654727208196</v>
      </c>
      <c r="P1773">
        <v>14.737796825927495</v>
      </c>
      <c r="Q1773">
        <v>14.284829871016328</v>
      </c>
      <c r="R1773">
        <v>14.649870319225345</v>
      </c>
      <c r="S1773">
        <v>14.560009706712211</v>
      </c>
      <c r="T1773">
        <v>14.635111161952929</v>
      </c>
    </row>
    <row r="1774" spans="1:20" x14ac:dyDescent="0.25">
      <c r="A1774" s="5" t="s">
        <v>1782</v>
      </c>
      <c r="B1774">
        <v>16.581071322240042</v>
      </c>
      <c r="C1774">
        <v>15.389310519557258</v>
      </c>
      <c r="D1774">
        <v>15.334633426936943</v>
      </c>
      <c r="E1774">
        <v>15.334633426936943</v>
      </c>
      <c r="F1774">
        <v>15.977372258937301</v>
      </c>
      <c r="G1774">
        <v>16.024677973715658</v>
      </c>
      <c r="H1774">
        <v>16.358678900903591</v>
      </c>
      <c r="I1774">
        <v>15.986710123516636</v>
      </c>
      <c r="J1774">
        <v>16.420606650046796</v>
      </c>
      <c r="K1774">
        <v>15.904768509980459</v>
      </c>
      <c r="L1774">
        <v>15.566996137028319</v>
      </c>
      <c r="M1774">
        <v>17.609640474436812</v>
      </c>
      <c r="N1774">
        <v>0</v>
      </c>
      <c r="O1774">
        <v>16.936988845108427</v>
      </c>
      <c r="P1774">
        <v>0</v>
      </c>
      <c r="Q1774">
        <v>0</v>
      </c>
      <c r="R1774">
        <v>0</v>
      </c>
      <c r="S1774">
        <v>17.946068139019292</v>
      </c>
      <c r="T1774">
        <v>0</v>
      </c>
    </row>
    <row r="1775" spans="1:20" x14ac:dyDescent="0.25">
      <c r="A1775" s="6" t="s">
        <v>1783</v>
      </c>
      <c r="B1775">
        <v>17.729934708154524</v>
      </c>
      <c r="C1775">
        <v>15.968094445349289</v>
      </c>
      <c r="D1775">
        <v>16.370853614849693</v>
      </c>
      <c r="E1775">
        <v>15.968094445349289</v>
      </c>
      <c r="F1775">
        <v>17.122154125088276</v>
      </c>
      <c r="G1775">
        <v>16.044043298582586</v>
      </c>
      <c r="H1775">
        <v>16.613975064700703</v>
      </c>
      <c r="I1775">
        <v>16.635845544784207</v>
      </c>
      <c r="J1775">
        <v>17.641734104146664</v>
      </c>
      <c r="K1775">
        <v>16.764853124357753</v>
      </c>
      <c r="L1775">
        <v>16.446141742153934</v>
      </c>
      <c r="M1775">
        <v>18.013182334877825</v>
      </c>
      <c r="N1775">
        <v>0</v>
      </c>
      <c r="O1775">
        <v>18.017004045830234</v>
      </c>
      <c r="P1775">
        <v>17.485312339434611</v>
      </c>
      <c r="Q1775">
        <v>16.8039352895983</v>
      </c>
      <c r="R1775">
        <v>17.400499076598219</v>
      </c>
      <c r="S1775">
        <v>15.609640474436812</v>
      </c>
      <c r="T1775">
        <v>16.935179822876556</v>
      </c>
    </row>
    <row r="1776" spans="1:20" x14ac:dyDescent="0.25">
      <c r="A1776" s="5" t="s">
        <v>1784</v>
      </c>
      <c r="B1776">
        <v>17.650612255493119</v>
      </c>
      <c r="C1776">
        <v>16.750466018570375</v>
      </c>
      <c r="D1776">
        <v>0</v>
      </c>
      <c r="E1776">
        <v>17.264811977439372</v>
      </c>
      <c r="F1776">
        <v>16.024677973715658</v>
      </c>
      <c r="G1776">
        <v>15.83564414932564</v>
      </c>
      <c r="H1776">
        <v>15.171347622857667</v>
      </c>
      <c r="I1776">
        <v>16.253496664211536</v>
      </c>
      <c r="J1776">
        <v>15.922579786096922</v>
      </c>
      <c r="K1776">
        <v>17.296975300878419</v>
      </c>
      <c r="L1776">
        <v>16.420606650046796</v>
      </c>
      <c r="M1776">
        <v>17.276216740711622</v>
      </c>
      <c r="N1776">
        <v>18.055788506255688</v>
      </c>
      <c r="O1776">
        <v>17.823880700009802</v>
      </c>
      <c r="P1776">
        <v>16.134555591488027</v>
      </c>
      <c r="Q1776">
        <v>15.904768509980459</v>
      </c>
      <c r="R1776">
        <v>15.310982158872298</v>
      </c>
      <c r="S1776">
        <v>17.276216740711622</v>
      </c>
      <c r="T1776">
        <v>16.798991726654165</v>
      </c>
    </row>
    <row r="1777" spans="1:20" x14ac:dyDescent="0.25">
      <c r="A1777" s="6" t="s">
        <v>1785</v>
      </c>
      <c r="B1777">
        <v>7.3420688622453021</v>
      </c>
      <c r="C1777">
        <v>7.1329843784752303</v>
      </c>
      <c r="D1777">
        <v>6.9898428869102549</v>
      </c>
      <c r="E1777">
        <v>6.5442282443998163</v>
      </c>
      <c r="F1777">
        <v>7.212910907671219</v>
      </c>
      <c r="G1777">
        <v>7.7721058858658996</v>
      </c>
      <c r="H1777">
        <v>7.3485798528034376</v>
      </c>
      <c r="I1777">
        <v>7.670530579623593</v>
      </c>
      <c r="J1777">
        <v>7.5248698150623836</v>
      </c>
      <c r="K1777">
        <v>7.3958071913375187</v>
      </c>
      <c r="L1777">
        <v>7.5154999609619288</v>
      </c>
      <c r="M1777">
        <v>7.8407134852567832</v>
      </c>
      <c r="N1777">
        <v>7.9611196658858789</v>
      </c>
      <c r="O1777">
        <v>7.5665133680038821</v>
      </c>
      <c r="P1777">
        <v>8.6983096114164304</v>
      </c>
      <c r="Q1777">
        <v>8.962045340215937</v>
      </c>
      <c r="R1777">
        <v>9.3939958491158393</v>
      </c>
      <c r="S1777">
        <v>0</v>
      </c>
      <c r="T1777">
        <v>0</v>
      </c>
    </row>
    <row r="1778" spans="1:20" x14ac:dyDescent="0.25">
      <c r="A1778" s="5" t="s">
        <v>1786</v>
      </c>
      <c r="B1778">
        <v>12.739147520993415</v>
      </c>
      <c r="C1778">
        <v>12.342988841403853</v>
      </c>
      <c r="D1778">
        <v>12.236681413727881</v>
      </c>
      <c r="E1778">
        <v>12.331440082655506</v>
      </c>
      <c r="F1778">
        <v>12.610398088224304</v>
      </c>
      <c r="G1778">
        <v>13.211686954534521</v>
      </c>
      <c r="H1778">
        <v>13.10627901714691</v>
      </c>
      <c r="I1778">
        <v>12.932684835506592</v>
      </c>
      <c r="J1778">
        <v>13.164628940354206</v>
      </c>
      <c r="K1778">
        <v>12.222140067955827</v>
      </c>
      <c r="L1778">
        <v>12.276839466699151</v>
      </c>
      <c r="M1778">
        <v>12.765194559742083</v>
      </c>
      <c r="N1778">
        <v>12.167791852244399</v>
      </c>
      <c r="O1778">
        <v>12.722105455788691</v>
      </c>
      <c r="P1778">
        <v>13.525576209648337</v>
      </c>
      <c r="Q1778">
        <v>12.817690994210825</v>
      </c>
      <c r="R1778">
        <v>13.859033969601219</v>
      </c>
      <c r="S1778">
        <v>13.726019658151142</v>
      </c>
      <c r="T1778">
        <v>12.917157480124063</v>
      </c>
    </row>
    <row r="1779" spans="1:20" x14ac:dyDescent="0.25">
      <c r="A1779" s="6" t="s">
        <v>1787</v>
      </c>
      <c r="B1779">
        <v>12.335214795160457</v>
      </c>
      <c r="C1779">
        <v>11.460364847813313</v>
      </c>
      <c r="D1779">
        <v>11.699493066848778</v>
      </c>
      <c r="E1779">
        <v>11.78771091297028</v>
      </c>
      <c r="F1779">
        <v>12.084893486238402</v>
      </c>
      <c r="G1779">
        <v>12.803770230958353</v>
      </c>
      <c r="H1779">
        <v>13.403309826565764</v>
      </c>
      <c r="I1779">
        <v>12.226558316342349</v>
      </c>
      <c r="J1779">
        <v>12.536737209270834</v>
      </c>
      <c r="K1779">
        <v>11.90502852829923</v>
      </c>
      <c r="L1779">
        <v>11.672498563488297</v>
      </c>
      <c r="M1779">
        <v>12.474795268715406</v>
      </c>
      <c r="N1779">
        <v>12.122745936647455</v>
      </c>
      <c r="O1779">
        <v>12.37796999179688</v>
      </c>
      <c r="P1779">
        <v>12.826016196404161</v>
      </c>
      <c r="Q1779">
        <v>13.092931890726266</v>
      </c>
      <c r="R1779">
        <v>13.733860411368322</v>
      </c>
      <c r="S1779">
        <v>13.340607327981576</v>
      </c>
      <c r="T1779">
        <v>13.182289075132573</v>
      </c>
    </row>
    <row r="1780" spans="1:20" x14ac:dyDescent="0.25">
      <c r="A1780" s="5" t="s">
        <v>1788</v>
      </c>
      <c r="B1780">
        <v>0</v>
      </c>
      <c r="C1780">
        <v>16.06367210533152</v>
      </c>
      <c r="D1780">
        <v>16.725237921453125</v>
      </c>
      <c r="E1780">
        <v>17.015091924886459</v>
      </c>
      <c r="F1780">
        <v>16.638786820096328</v>
      </c>
      <c r="G1780">
        <v>16.813873526654422</v>
      </c>
      <c r="H1780">
        <v>15.714337853103507</v>
      </c>
      <c r="I1780">
        <v>16.322759326648651</v>
      </c>
      <c r="J1780">
        <v>17.857748336032504</v>
      </c>
      <c r="K1780">
        <v>17.079569732211727</v>
      </c>
      <c r="L1780">
        <v>16.539251146545414</v>
      </c>
      <c r="M1780">
        <v>0</v>
      </c>
      <c r="N1780">
        <v>0</v>
      </c>
      <c r="O1780">
        <v>0</v>
      </c>
      <c r="P1780">
        <v>17.235574756214277</v>
      </c>
      <c r="Q1780">
        <v>17.569800209905022</v>
      </c>
      <c r="R1780">
        <v>17.061697163146462</v>
      </c>
      <c r="S1780">
        <v>17.308638218403996</v>
      </c>
      <c r="T1780">
        <v>17.178819977917041</v>
      </c>
    </row>
    <row r="1781" spans="1:20" x14ac:dyDescent="0.25">
      <c r="A1781" s="6" t="s">
        <v>1789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16.433317701796351</v>
      </c>
      <c r="R1781">
        <v>15.539251146545414</v>
      </c>
      <c r="S1781">
        <v>16.044043298582586</v>
      </c>
      <c r="T1781">
        <v>16.093625327433145</v>
      </c>
    </row>
    <row r="1782" spans="1:20" x14ac:dyDescent="0.25">
      <c r="A1782" s="5" t="s">
        <v>1790</v>
      </c>
      <c r="B1782">
        <v>13.089972773543094</v>
      </c>
      <c r="C1782">
        <v>13.478709604610362</v>
      </c>
      <c r="D1782">
        <v>14.053824319375174</v>
      </c>
      <c r="E1782">
        <v>13.330169178792346</v>
      </c>
      <c r="F1782">
        <v>13.141239623625674</v>
      </c>
      <c r="G1782">
        <v>12.359709765571168</v>
      </c>
      <c r="H1782">
        <v>12.662095871922368</v>
      </c>
      <c r="I1782">
        <v>12.448123588152411</v>
      </c>
      <c r="J1782">
        <v>12.159709394693197</v>
      </c>
      <c r="K1782">
        <v>12.943338346263717</v>
      </c>
      <c r="L1782">
        <v>12.515539557997945</v>
      </c>
      <c r="M1782">
        <v>12.867321605701539</v>
      </c>
      <c r="N1782">
        <v>12.900504263878345</v>
      </c>
      <c r="O1782">
        <v>12.558581657762872</v>
      </c>
      <c r="P1782">
        <v>11.827556971899874</v>
      </c>
      <c r="Q1782">
        <v>11.247195133453262</v>
      </c>
      <c r="R1782">
        <v>11.45468873245435</v>
      </c>
      <c r="S1782">
        <v>11.498584115476582</v>
      </c>
      <c r="T1782">
        <v>11.189373677498596</v>
      </c>
    </row>
    <row r="1783" spans="1:20" x14ac:dyDescent="0.25">
      <c r="A1783" s="6" t="s">
        <v>1791</v>
      </c>
      <c r="B1783">
        <v>13.911421996212397</v>
      </c>
      <c r="C1783">
        <v>13.457457055381768</v>
      </c>
      <c r="D1783">
        <v>13.687442626040445</v>
      </c>
      <c r="E1783">
        <v>12.620901261638391</v>
      </c>
      <c r="F1783">
        <v>12.831558086796992</v>
      </c>
      <c r="G1783">
        <v>13.829330375393436</v>
      </c>
      <c r="H1783">
        <v>13.324238255574564</v>
      </c>
      <c r="I1783">
        <v>12.83609769931536</v>
      </c>
      <c r="J1783">
        <v>13.560009706712211</v>
      </c>
      <c r="K1783">
        <v>13.289155796419118</v>
      </c>
      <c r="L1783">
        <v>13.808481818343115</v>
      </c>
      <c r="M1783">
        <v>14.59886063568357</v>
      </c>
      <c r="N1783">
        <v>13.871953713026953</v>
      </c>
      <c r="O1783">
        <v>13.833536486363649</v>
      </c>
      <c r="P1783">
        <v>14.488625073475445</v>
      </c>
      <c r="Q1783">
        <v>14.553056946070445</v>
      </c>
      <c r="R1783">
        <v>15.6989078125339</v>
      </c>
      <c r="S1783">
        <v>13.025952917518225</v>
      </c>
      <c r="T1783">
        <v>15.000831231761289</v>
      </c>
    </row>
    <row r="1784" spans="1:20" x14ac:dyDescent="0.25">
      <c r="A1784" s="5" t="s">
        <v>1792</v>
      </c>
      <c r="B1784">
        <v>14.518787043985698</v>
      </c>
      <c r="C1784">
        <v>13.570502080529854</v>
      </c>
      <c r="D1784">
        <v>0</v>
      </c>
      <c r="E1784">
        <v>13.876286133822985</v>
      </c>
      <c r="F1784">
        <v>0</v>
      </c>
      <c r="G1784">
        <v>13.79201721692538</v>
      </c>
      <c r="H1784">
        <v>0</v>
      </c>
      <c r="I1784">
        <v>0</v>
      </c>
      <c r="J1784">
        <v>0</v>
      </c>
      <c r="K1784">
        <v>13.927067177089235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14.749670926215785</v>
      </c>
      <c r="T1784">
        <v>0</v>
      </c>
    </row>
    <row r="1785" spans="1:20" x14ac:dyDescent="0.25">
      <c r="A1785" s="6" t="s">
        <v>1793</v>
      </c>
      <c r="B1785">
        <v>8.0157702136806819</v>
      </c>
      <c r="C1785">
        <v>7.9984046384573881</v>
      </c>
      <c r="D1785">
        <v>8.5543759371430177</v>
      </c>
      <c r="E1785">
        <v>8.7507792064609209</v>
      </c>
      <c r="F1785">
        <v>7.3764802805394165</v>
      </c>
      <c r="G1785">
        <v>6.9752886191538739</v>
      </c>
      <c r="H1785">
        <v>7.0362032692582348</v>
      </c>
      <c r="I1785">
        <v>7.5748943245416989</v>
      </c>
      <c r="J1785">
        <v>7.2914642032825103</v>
      </c>
      <c r="K1785">
        <v>7.8032210311427574</v>
      </c>
      <c r="L1785">
        <v>7.4717660781870512</v>
      </c>
      <c r="M1785">
        <v>6.5490404554391839</v>
      </c>
      <c r="N1785">
        <v>7.1696961735324667</v>
      </c>
      <c r="O1785">
        <v>6.9779328301302819</v>
      </c>
      <c r="P1785">
        <v>6.9605993697324768</v>
      </c>
      <c r="Q1785">
        <v>7.2590535037048705</v>
      </c>
      <c r="R1785">
        <v>7.2414459394182176</v>
      </c>
      <c r="S1785">
        <v>7.4039124592961763</v>
      </c>
      <c r="T1785">
        <v>7.6038946765915094</v>
      </c>
    </row>
    <row r="1786" spans="1:20" x14ac:dyDescent="0.25">
      <c r="A1786" s="5" t="s">
        <v>1794</v>
      </c>
      <c r="B1786">
        <v>15.588160747026361</v>
      </c>
      <c r="C1786">
        <v>16.134555591488027</v>
      </c>
      <c r="D1786">
        <v>15.737796825927495</v>
      </c>
      <c r="E1786">
        <v>15.108838421379655</v>
      </c>
      <c r="F1786">
        <v>15.242269408788282</v>
      </c>
      <c r="G1786">
        <v>15.532397475504352</v>
      </c>
      <c r="H1786">
        <v>15.019876987451834</v>
      </c>
      <c r="I1786">
        <v>15.293494732143458</v>
      </c>
      <c r="J1786">
        <v>15.198214228710349</v>
      </c>
      <c r="K1786">
        <v>14.532397475504352</v>
      </c>
      <c r="L1786">
        <v>14.918106309517611</v>
      </c>
      <c r="M1786">
        <v>14.553056946070445</v>
      </c>
      <c r="N1786">
        <v>14.184718386226123</v>
      </c>
      <c r="O1786">
        <v>15.083571662769224</v>
      </c>
      <c r="P1786">
        <v>14.195504941452361</v>
      </c>
      <c r="Q1786">
        <v>13.367800290872143</v>
      </c>
      <c r="R1786">
        <v>13.67229608228658</v>
      </c>
      <c r="S1786">
        <v>13.449365643028219</v>
      </c>
      <c r="T1786">
        <v>13.270417556773653</v>
      </c>
    </row>
    <row r="1787" spans="1:20" x14ac:dyDescent="0.25">
      <c r="A1787" s="6" t="s">
        <v>1795</v>
      </c>
      <c r="B1787">
        <v>10.076614499378314</v>
      </c>
      <c r="C1787">
        <v>9.9181188717388764</v>
      </c>
      <c r="D1787">
        <v>10.128264026283521</v>
      </c>
      <c r="E1787">
        <v>10.042881629242617</v>
      </c>
      <c r="F1787">
        <v>9.4579713810110011</v>
      </c>
      <c r="G1787">
        <v>9.982953122092507</v>
      </c>
      <c r="H1787">
        <v>10.125871444473143</v>
      </c>
      <c r="I1787">
        <v>9.7196109394988355</v>
      </c>
      <c r="J1787">
        <v>9.8844664750695035</v>
      </c>
      <c r="K1787">
        <v>9.8725824605798351</v>
      </c>
      <c r="L1787">
        <v>9.8954993841910674</v>
      </c>
      <c r="M1787">
        <v>10.050047712820579</v>
      </c>
      <c r="N1787">
        <v>10.0774357429381</v>
      </c>
      <c r="O1787">
        <v>9.8596624719867023</v>
      </c>
      <c r="P1787">
        <v>10.142074048817632</v>
      </c>
      <c r="Q1787">
        <v>10.657390788124181</v>
      </c>
      <c r="R1787">
        <v>10.439567203623454</v>
      </c>
      <c r="S1787">
        <v>10.495125605807644</v>
      </c>
      <c r="T1787">
        <v>10.495098537479501</v>
      </c>
    </row>
    <row r="1788" spans="1:20" x14ac:dyDescent="0.25">
      <c r="A1788" s="5" t="s">
        <v>1796</v>
      </c>
      <c r="B1788">
        <v>11.421014047445821</v>
      </c>
      <c r="C1788">
        <v>12.894878427024427</v>
      </c>
      <c r="D1788">
        <v>12.723119591000357</v>
      </c>
      <c r="E1788">
        <v>12.598672703781482</v>
      </c>
      <c r="F1788">
        <v>10.569337600695748</v>
      </c>
      <c r="G1788">
        <v>10.720802266458531</v>
      </c>
      <c r="H1788">
        <v>11.094653487820777</v>
      </c>
      <c r="I1788">
        <v>10.946888085071988</v>
      </c>
      <c r="J1788">
        <v>11.496890306888943</v>
      </c>
      <c r="K1788">
        <v>11.417028082924213</v>
      </c>
      <c r="L1788">
        <v>12.338655622765973</v>
      </c>
      <c r="M1788">
        <v>11.689552062904701</v>
      </c>
      <c r="N1788">
        <v>12.17175360431758</v>
      </c>
      <c r="O1788">
        <v>12.645001567105036</v>
      </c>
      <c r="P1788">
        <v>9.82959027290865</v>
      </c>
      <c r="Q1788">
        <v>8.9894272483118236</v>
      </c>
      <c r="R1788">
        <v>9.3164309485885184</v>
      </c>
      <c r="S1788">
        <v>10.431740616406815</v>
      </c>
      <c r="T1788">
        <v>8.7237013339443656</v>
      </c>
    </row>
    <row r="1789" spans="1:20" x14ac:dyDescent="0.25">
      <c r="A1789" s="6" t="s">
        <v>1797</v>
      </c>
      <c r="B1789">
        <v>12.021441553973874</v>
      </c>
      <c r="C1789">
        <v>13.741744010444156</v>
      </c>
      <c r="D1789">
        <v>13.454215042689613</v>
      </c>
      <c r="E1789">
        <v>13.274214387800471</v>
      </c>
      <c r="F1789">
        <v>11.114600940559239</v>
      </c>
      <c r="G1789">
        <v>11.073851885213923</v>
      </c>
      <c r="H1789">
        <v>12.100761842228088</v>
      </c>
      <c r="I1789">
        <v>11.753855040540538</v>
      </c>
      <c r="J1789">
        <v>11.760406786789993</v>
      </c>
      <c r="K1789">
        <v>11.868184274580967</v>
      </c>
      <c r="L1789">
        <v>13.015975965829185</v>
      </c>
      <c r="M1789">
        <v>12.040040017895604</v>
      </c>
      <c r="N1789">
        <v>12.926741371542636</v>
      </c>
      <c r="O1789">
        <v>13.534107843269455</v>
      </c>
      <c r="P1789">
        <v>10.463472015932828</v>
      </c>
      <c r="Q1789">
        <v>9.7379545061332244</v>
      </c>
      <c r="R1789">
        <v>9.949233766662287</v>
      </c>
      <c r="S1789">
        <v>11.022929765615691</v>
      </c>
      <c r="T1789">
        <v>9.1566069475965985</v>
      </c>
    </row>
    <row r="1790" spans="1:20" x14ac:dyDescent="0.25">
      <c r="A1790" s="5" t="s">
        <v>1798</v>
      </c>
      <c r="B1790">
        <v>13.143117759442369</v>
      </c>
      <c r="C1790">
        <v>0</v>
      </c>
      <c r="D1790">
        <v>14.549593090766873</v>
      </c>
      <c r="E1790">
        <v>0</v>
      </c>
      <c r="F1790">
        <v>13.096137095847606</v>
      </c>
      <c r="G1790">
        <v>12.944236332892434</v>
      </c>
      <c r="H1790">
        <v>13.330169178792346</v>
      </c>
      <c r="I1790">
        <v>13.207163860383037</v>
      </c>
      <c r="J1790">
        <v>13.577539631269786</v>
      </c>
      <c r="K1790">
        <v>13.094256013799864</v>
      </c>
      <c r="L1790">
        <v>14.373913414598753</v>
      </c>
      <c r="M1790">
        <v>13.745702024012841</v>
      </c>
      <c r="N1790">
        <v>14.000831231761289</v>
      </c>
      <c r="O1790">
        <v>0</v>
      </c>
      <c r="P1790">
        <v>12.514239231701497</v>
      </c>
      <c r="Q1790">
        <v>10.921958261805704</v>
      </c>
      <c r="R1790">
        <v>11.887906912899995</v>
      </c>
      <c r="S1790">
        <v>12.605255940738459</v>
      </c>
      <c r="T1790">
        <v>10.494057833154327</v>
      </c>
    </row>
    <row r="1791" spans="1:20" x14ac:dyDescent="0.25">
      <c r="A1791" s="6" t="s">
        <v>1799</v>
      </c>
      <c r="B1791">
        <v>13.733860411368322</v>
      </c>
      <c r="C1791">
        <v>12.006447373881254</v>
      </c>
      <c r="D1791">
        <v>11.032592386846833</v>
      </c>
      <c r="E1791">
        <v>12.066095099748763</v>
      </c>
      <c r="F1791">
        <v>14.848355201075194</v>
      </c>
      <c r="G1791">
        <v>12.954712356582556</v>
      </c>
      <c r="H1791">
        <v>12.138752251446487</v>
      </c>
      <c r="I1791">
        <v>12.37886105168125</v>
      </c>
      <c r="J1791">
        <v>13.528982811091586</v>
      </c>
      <c r="K1791">
        <v>10.213779065330133</v>
      </c>
      <c r="L1791">
        <v>10.763142143899662</v>
      </c>
      <c r="M1791">
        <v>13.696990609539608</v>
      </c>
      <c r="N1791">
        <v>10.561955956512083</v>
      </c>
      <c r="O1791">
        <v>13.506982343073073</v>
      </c>
      <c r="P1791">
        <v>11.264428635006198</v>
      </c>
      <c r="Q1791">
        <v>10.427039539906927</v>
      </c>
      <c r="R1791">
        <v>10.82460526295697</v>
      </c>
      <c r="S1791">
        <v>9.2483274146788315</v>
      </c>
      <c r="T1791">
        <v>10.056863803140567</v>
      </c>
    </row>
    <row r="1792" spans="1:20" x14ac:dyDescent="0.25">
      <c r="A1792" s="5" t="s">
        <v>1800</v>
      </c>
      <c r="B1792">
        <v>14.940613708927183</v>
      </c>
      <c r="C1792">
        <v>14.217323051658052</v>
      </c>
      <c r="D1792">
        <v>14.745702024012841</v>
      </c>
      <c r="E1792">
        <v>14.417446309153467</v>
      </c>
      <c r="F1792">
        <v>14.67606783617579</v>
      </c>
      <c r="G1792">
        <v>0</v>
      </c>
      <c r="H1792">
        <v>0</v>
      </c>
      <c r="I1792">
        <v>0</v>
      </c>
      <c r="J1792">
        <v>0</v>
      </c>
      <c r="K1792">
        <v>15.225590667641651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25">
      <c r="A1793" s="6" t="s">
        <v>1801</v>
      </c>
      <c r="B1793">
        <v>15.214577674919234</v>
      </c>
      <c r="C1793">
        <v>14.62050146706858</v>
      </c>
      <c r="D1793">
        <v>14.683641055880589</v>
      </c>
      <c r="E1793">
        <v>14.518787043985698</v>
      </c>
      <c r="F1793">
        <v>0</v>
      </c>
      <c r="G1793">
        <v>15.039177543410771</v>
      </c>
      <c r="H1793">
        <v>15.192800732523983</v>
      </c>
      <c r="I1793">
        <v>14.958875915319911</v>
      </c>
      <c r="J1793">
        <v>15.683641055880589</v>
      </c>
      <c r="K1793">
        <v>14.918106309517611</v>
      </c>
      <c r="L1793">
        <v>14.6989078125339</v>
      </c>
      <c r="M1793">
        <v>15.039177543410771</v>
      </c>
      <c r="N1793">
        <v>14.931568569324176</v>
      </c>
      <c r="O1793">
        <v>15.794065045574239</v>
      </c>
      <c r="P1793">
        <v>14.869792371737484</v>
      </c>
      <c r="Q1793">
        <v>15.024677973715658</v>
      </c>
      <c r="R1793">
        <v>14.856891883029679</v>
      </c>
      <c r="S1793">
        <v>14.823044112546006</v>
      </c>
      <c r="T1793">
        <v>14.909200756295721</v>
      </c>
    </row>
    <row r="1794" spans="1:20" x14ac:dyDescent="0.25">
      <c r="A1794" s="5" t="s">
        <v>1802</v>
      </c>
      <c r="B1794">
        <v>14.334633426936943</v>
      </c>
      <c r="C1794">
        <v>13.700827566697265</v>
      </c>
      <c r="D1794">
        <v>14.331655727137047</v>
      </c>
      <c r="E1794">
        <v>13.915874762219028</v>
      </c>
      <c r="F1794">
        <v>13.884990202703845</v>
      </c>
      <c r="G1794">
        <v>14.302211949244565</v>
      </c>
      <c r="H1794">
        <v>14.048925519962333</v>
      </c>
      <c r="I1794">
        <v>14.14236099397683</v>
      </c>
      <c r="J1794">
        <v>14.661039626943458</v>
      </c>
      <c r="K1794">
        <v>14.179355201459032</v>
      </c>
      <c r="L1794">
        <v>14.376979717646538</v>
      </c>
      <c r="M1794">
        <v>14.635111161952929</v>
      </c>
      <c r="N1794">
        <v>14.806413438001886</v>
      </c>
      <c r="O1794">
        <v>15.160739523291683</v>
      </c>
      <c r="P1794">
        <v>14.913646661326911</v>
      </c>
      <c r="Q1794">
        <v>14.577539631269786</v>
      </c>
      <c r="R1794">
        <v>14.522177633186471</v>
      </c>
      <c r="S1794">
        <v>0</v>
      </c>
      <c r="T1794">
        <v>14.931568569324176</v>
      </c>
    </row>
    <row r="1795" spans="1:20" x14ac:dyDescent="0.25">
      <c r="A1795" s="6" t="s">
        <v>1803</v>
      </c>
      <c r="B1795">
        <v>12.359361008313952</v>
      </c>
      <c r="C1795">
        <v>11.160614019566827</v>
      </c>
      <c r="D1795">
        <v>11.807012963072104</v>
      </c>
      <c r="E1795">
        <v>11.535499011684307</v>
      </c>
      <c r="F1795">
        <v>12.566190973741328</v>
      </c>
      <c r="G1795">
        <v>12.050546405527539</v>
      </c>
      <c r="H1795">
        <v>11.947372299819767</v>
      </c>
      <c r="I1795">
        <v>11.646240336720096</v>
      </c>
      <c r="J1795">
        <v>12.43800128767648</v>
      </c>
      <c r="K1795">
        <v>11.778878105298215</v>
      </c>
      <c r="L1795">
        <v>11.749208980074417</v>
      </c>
      <c r="M1795">
        <v>13.138674183532999</v>
      </c>
      <c r="N1795">
        <v>13.609640474436812</v>
      </c>
      <c r="O1795">
        <v>13.308052827833626</v>
      </c>
      <c r="P1795">
        <v>12.624285778264168</v>
      </c>
      <c r="Q1795">
        <v>12.26610473411195</v>
      </c>
      <c r="R1795">
        <v>12.995107297673812</v>
      </c>
      <c r="S1795">
        <v>12.658845484532673</v>
      </c>
      <c r="T1795">
        <v>12.619166592554322</v>
      </c>
    </row>
    <row r="1796" spans="1:20" x14ac:dyDescent="0.25">
      <c r="A1796" s="5" t="s">
        <v>1804</v>
      </c>
      <c r="B1796">
        <v>12.979712718477623</v>
      </c>
      <c r="C1796">
        <v>12.372887658664702</v>
      </c>
      <c r="D1796">
        <v>12.541494219179363</v>
      </c>
      <c r="E1796">
        <v>12.550328464474985</v>
      </c>
      <c r="F1796">
        <v>12.90924514759531</v>
      </c>
      <c r="G1796">
        <v>12.873912521982922</v>
      </c>
      <c r="H1796">
        <v>12.803440170320702</v>
      </c>
      <c r="I1796">
        <v>12.696952291455096</v>
      </c>
      <c r="J1796">
        <v>13.200860691510952</v>
      </c>
      <c r="K1796">
        <v>12.629697459531762</v>
      </c>
      <c r="L1796">
        <v>12.774464209036385</v>
      </c>
      <c r="M1796">
        <v>13.293494732143458</v>
      </c>
      <c r="N1796">
        <v>13.61687204366789</v>
      </c>
      <c r="O1796">
        <v>13.510345270099036</v>
      </c>
      <c r="P1796">
        <v>13.278193212173054</v>
      </c>
      <c r="Q1796">
        <v>12.874659951000922</v>
      </c>
      <c r="R1796">
        <v>13.609640474436812</v>
      </c>
      <c r="S1796">
        <v>13.310982158872298</v>
      </c>
      <c r="T1796">
        <v>12.912901016336294</v>
      </c>
    </row>
    <row r="1797" spans="1:20" x14ac:dyDescent="0.25">
      <c r="A1797" s="6" t="s">
        <v>1805</v>
      </c>
      <c r="B1797">
        <v>0</v>
      </c>
      <c r="C1797">
        <v>15.818868436574812</v>
      </c>
      <c r="D1797">
        <v>16.093625327433145</v>
      </c>
      <c r="E1797">
        <v>15.761643567881864</v>
      </c>
      <c r="F1797">
        <v>16.06367210533152</v>
      </c>
      <c r="G1797">
        <v>0</v>
      </c>
      <c r="H1797">
        <v>0</v>
      </c>
      <c r="I1797">
        <v>14.986710123516636</v>
      </c>
      <c r="J1797">
        <v>0</v>
      </c>
      <c r="K1797">
        <v>16.383131944628133</v>
      </c>
      <c r="L1797">
        <v>16.691254239990464</v>
      </c>
      <c r="M1797">
        <v>0</v>
      </c>
      <c r="N1797">
        <v>17.329872052843218</v>
      </c>
      <c r="O1797">
        <v>0</v>
      </c>
      <c r="P1797">
        <v>0</v>
      </c>
      <c r="Q1797">
        <v>16.761643567881862</v>
      </c>
      <c r="R1797">
        <v>16.688204143630514</v>
      </c>
      <c r="S1797">
        <v>0</v>
      </c>
      <c r="T1797">
        <v>15.401747622795478</v>
      </c>
    </row>
    <row r="1798" spans="1:20" x14ac:dyDescent="0.25">
      <c r="A1798" s="5" t="s">
        <v>1806</v>
      </c>
      <c r="B1798">
        <v>15.45908079786143</v>
      </c>
      <c r="C1798">
        <v>15.083571662769224</v>
      </c>
      <c r="D1798">
        <v>14.977372258937299</v>
      </c>
      <c r="E1798">
        <v>14.63144484475516</v>
      </c>
      <c r="F1798">
        <v>15.560009706712211</v>
      </c>
      <c r="G1798">
        <v>15.498609162048069</v>
      </c>
      <c r="H1798">
        <v>16.113945311812746</v>
      </c>
      <c r="I1798">
        <v>16.015091924886459</v>
      </c>
      <c r="J1798">
        <v>0</v>
      </c>
      <c r="K1798">
        <v>15.247872115017659</v>
      </c>
      <c r="L1798">
        <v>15.259143227352677</v>
      </c>
      <c r="M1798">
        <v>15.465594104820106</v>
      </c>
      <c r="N1798">
        <v>15.6989078125339</v>
      </c>
      <c r="O1798">
        <v>15.305129432626858</v>
      </c>
      <c r="P1798">
        <v>15.922579786096922</v>
      </c>
      <c r="Q1798">
        <v>16.433317701796351</v>
      </c>
      <c r="R1798">
        <v>15.328684160605755</v>
      </c>
      <c r="S1798">
        <v>14.668534163490381</v>
      </c>
      <c r="T1798">
        <v>14.831431898038725</v>
      </c>
    </row>
    <row r="1799" spans="1:20" x14ac:dyDescent="0.25">
      <c r="A1799" s="6" t="s">
        <v>1807</v>
      </c>
      <c r="B1799">
        <v>7.3364295298863622</v>
      </c>
      <c r="C1799">
        <v>7.1356478376211525</v>
      </c>
      <c r="D1799">
        <v>7.1719191910309368</v>
      </c>
      <c r="E1799">
        <v>7.3979808882945566</v>
      </c>
      <c r="F1799">
        <v>7.6667345592143796</v>
      </c>
      <c r="G1799">
        <v>7.6611295645898165</v>
      </c>
      <c r="H1799">
        <v>8.2285782132757834</v>
      </c>
      <c r="I1799">
        <v>7.8008738191150995</v>
      </c>
      <c r="J1799">
        <v>7.5065404909142535</v>
      </c>
      <c r="K1799">
        <v>7.4533042849042301</v>
      </c>
      <c r="L1799">
        <v>7.4651851407943823</v>
      </c>
      <c r="M1799">
        <v>7.6865323072196068</v>
      </c>
      <c r="N1799">
        <v>7.606360665307073</v>
      </c>
      <c r="O1799">
        <v>7.5949099933937312</v>
      </c>
      <c r="P1799">
        <v>8.0168728800321727</v>
      </c>
      <c r="Q1799">
        <v>9.1441973263500103</v>
      </c>
      <c r="R1799">
        <v>9.1258827285312627</v>
      </c>
      <c r="S1799">
        <v>10.224754865252832</v>
      </c>
      <c r="T1799">
        <v>8.9691482402609619</v>
      </c>
    </row>
    <row r="1800" spans="1:20" x14ac:dyDescent="0.25">
      <c r="A1800" s="5" t="s">
        <v>1808</v>
      </c>
      <c r="B1800">
        <v>0</v>
      </c>
      <c r="C1800">
        <v>12.913501953804163</v>
      </c>
      <c r="D1800">
        <v>13.293494732143458</v>
      </c>
      <c r="E1800">
        <v>13.041182679301148</v>
      </c>
      <c r="F1800">
        <v>14.505303814622076</v>
      </c>
      <c r="G1800">
        <v>13.952000469228988</v>
      </c>
      <c r="H1800">
        <v>14.661039626943458</v>
      </c>
      <c r="I1800">
        <v>0</v>
      </c>
      <c r="J1800">
        <v>0</v>
      </c>
      <c r="K1800">
        <v>13.702749878828293</v>
      </c>
      <c r="L1800">
        <v>13.945157634072132</v>
      </c>
      <c r="M1800">
        <v>0</v>
      </c>
      <c r="N1800">
        <v>0</v>
      </c>
      <c r="O1800">
        <v>14.722115203695225</v>
      </c>
      <c r="P1800">
        <v>0</v>
      </c>
      <c r="Q1800">
        <v>0</v>
      </c>
      <c r="R1800">
        <v>14.991401818841357</v>
      </c>
      <c r="S1800">
        <v>13.898145567786724</v>
      </c>
      <c r="T1800">
        <v>14.48200719471094</v>
      </c>
    </row>
    <row r="1801" spans="1:20" x14ac:dyDescent="0.25">
      <c r="A1801" s="6" t="s">
        <v>1809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17.393030405694368</v>
      </c>
      <c r="R1801">
        <v>16.697373846370365</v>
      </c>
      <c r="S1801">
        <v>17.466900302320731</v>
      </c>
      <c r="T1801">
        <v>17.168156994854169</v>
      </c>
    </row>
    <row r="1802" spans="1:20" x14ac:dyDescent="0.25">
      <c r="A1802" s="5" t="s">
        <v>1810</v>
      </c>
      <c r="B1802">
        <v>12.81845153293345</v>
      </c>
      <c r="C1802">
        <v>12.678004688631155</v>
      </c>
      <c r="D1802">
        <v>12.956614862234714</v>
      </c>
      <c r="E1802">
        <v>12.942747571350147</v>
      </c>
      <c r="F1802">
        <v>12.836340354364475</v>
      </c>
      <c r="G1802">
        <v>13.015880367714951</v>
      </c>
      <c r="H1802">
        <v>13.490284297397135</v>
      </c>
      <c r="I1802">
        <v>13.256091338714768</v>
      </c>
      <c r="J1802">
        <v>12.754607577234731</v>
      </c>
      <c r="K1802">
        <v>12.435162146670359</v>
      </c>
      <c r="L1802">
        <v>12.673228673522139</v>
      </c>
      <c r="M1802">
        <v>13.321281912243151</v>
      </c>
      <c r="N1802">
        <v>12.961313094957227</v>
      </c>
      <c r="O1802">
        <v>12.709102082956031</v>
      </c>
      <c r="P1802">
        <v>12.851038810145077</v>
      </c>
      <c r="Q1802">
        <v>13.640628166920497</v>
      </c>
      <c r="R1802">
        <v>13.230629543159562</v>
      </c>
      <c r="S1802">
        <v>12.889602843347253</v>
      </c>
      <c r="T1802">
        <v>13.812627496600667</v>
      </c>
    </row>
    <row r="1803" spans="1:20" x14ac:dyDescent="0.25">
      <c r="A1803" s="6" t="s">
        <v>1811</v>
      </c>
      <c r="B1803">
        <v>12.896769606746908</v>
      </c>
      <c r="C1803">
        <v>12.758331178521647</v>
      </c>
      <c r="D1803">
        <v>11.917598329111385</v>
      </c>
      <c r="E1803">
        <v>12.130506941356968</v>
      </c>
      <c r="F1803">
        <v>11.894730096279346</v>
      </c>
      <c r="G1803">
        <v>13.73189622448781</v>
      </c>
      <c r="H1803">
        <v>13.239043729260233</v>
      </c>
      <c r="I1803">
        <v>12.788144536953967</v>
      </c>
      <c r="J1803">
        <v>12.9591171504226</v>
      </c>
      <c r="K1803">
        <v>12.763528316997691</v>
      </c>
      <c r="L1803">
        <v>13.052880006738455</v>
      </c>
      <c r="M1803">
        <v>13.702749878828293</v>
      </c>
      <c r="N1803">
        <v>13.611444971283561</v>
      </c>
      <c r="O1803">
        <v>13.081957048731944</v>
      </c>
      <c r="P1803">
        <v>14.546137532130656</v>
      </c>
      <c r="Q1803">
        <v>0</v>
      </c>
      <c r="R1803">
        <v>15.364753415313277</v>
      </c>
      <c r="S1803">
        <v>0</v>
      </c>
      <c r="T1803">
        <v>0</v>
      </c>
    </row>
    <row r="1804" spans="1:20" x14ac:dyDescent="0.25">
      <c r="A1804" s="5" t="s">
        <v>1812</v>
      </c>
      <c r="B1804">
        <v>14.794065045574239</v>
      </c>
      <c r="C1804">
        <v>0</v>
      </c>
      <c r="D1804">
        <v>15.073587574196603</v>
      </c>
      <c r="E1804">
        <v>14.765656630388486</v>
      </c>
      <c r="F1804">
        <v>0</v>
      </c>
      <c r="G1804">
        <v>0</v>
      </c>
      <c r="H1804">
        <v>0</v>
      </c>
      <c r="I1804">
        <v>15.247872115017659</v>
      </c>
      <c r="J1804">
        <v>0</v>
      </c>
      <c r="K1804">
        <v>0</v>
      </c>
      <c r="L1804">
        <v>0</v>
      </c>
      <c r="M1804">
        <v>0</v>
      </c>
      <c r="N1804">
        <v>15.478709604610364</v>
      </c>
      <c r="O1804">
        <v>15.408006613267162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25">
      <c r="A1805" s="6" t="s">
        <v>1813</v>
      </c>
      <c r="B1805">
        <v>14.370853614849695</v>
      </c>
      <c r="C1805">
        <v>14.649870319225345</v>
      </c>
      <c r="D1805">
        <v>15.220073662674086</v>
      </c>
      <c r="E1805">
        <v>0</v>
      </c>
      <c r="F1805">
        <v>0</v>
      </c>
      <c r="G1805">
        <v>0</v>
      </c>
      <c r="H1805">
        <v>0</v>
      </c>
      <c r="I1805">
        <v>14.231128851183081</v>
      </c>
      <c r="J1805">
        <v>0</v>
      </c>
      <c r="K1805">
        <v>0</v>
      </c>
      <c r="L1805">
        <v>14.991401818841357</v>
      </c>
      <c r="M1805">
        <v>0</v>
      </c>
      <c r="N1805">
        <v>15.176681067160706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25">
      <c r="A1806" s="5" t="s">
        <v>1814</v>
      </c>
      <c r="B1806">
        <v>12.473719865016749</v>
      </c>
      <c r="C1806">
        <v>12.632617052856121</v>
      </c>
      <c r="D1806">
        <v>12.84462561627258</v>
      </c>
      <c r="E1806">
        <v>12.808254151294134</v>
      </c>
      <c r="F1806">
        <v>12.786655455889935</v>
      </c>
      <c r="G1806">
        <v>12.500455456394576</v>
      </c>
      <c r="H1806">
        <v>0</v>
      </c>
      <c r="I1806">
        <v>13.696990609539608</v>
      </c>
      <c r="J1806">
        <v>12.587707755053488</v>
      </c>
      <c r="K1806">
        <v>12.567740437477132</v>
      </c>
      <c r="L1806">
        <v>12.445658777788246</v>
      </c>
      <c r="M1806">
        <v>12.407661662217279</v>
      </c>
      <c r="N1806">
        <v>12.586740072326732</v>
      </c>
      <c r="O1806">
        <v>13.155201339750256</v>
      </c>
      <c r="P1806">
        <v>12.320337160412466</v>
      </c>
      <c r="Q1806">
        <v>11.98283924920403</v>
      </c>
      <c r="R1806">
        <v>11.650296885956701</v>
      </c>
      <c r="S1806">
        <v>12.223464122310876</v>
      </c>
      <c r="T1806">
        <v>12.346313050931439</v>
      </c>
    </row>
    <row r="1807" spans="1:20" x14ac:dyDescent="0.25">
      <c r="A1807" s="6" t="s">
        <v>1815</v>
      </c>
      <c r="B1807">
        <v>13.430129424165303</v>
      </c>
      <c r="C1807">
        <v>11.981275136884939</v>
      </c>
      <c r="D1807">
        <v>11.968210050545142</v>
      </c>
      <c r="E1807">
        <v>11.507948381973762</v>
      </c>
      <c r="F1807">
        <v>12.995378229638996</v>
      </c>
      <c r="G1807">
        <v>11.761147726679383</v>
      </c>
      <c r="H1807">
        <v>12.643422292361326</v>
      </c>
      <c r="I1807">
        <v>12.978722508545658</v>
      </c>
      <c r="J1807">
        <v>13.096907911422448</v>
      </c>
      <c r="K1807">
        <v>11.987278179407403</v>
      </c>
      <c r="L1807">
        <v>12.020668050409991</v>
      </c>
      <c r="M1807">
        <v>12.488591908453413</v>
      </c>
      <c r="N1807">
        <v>13.313917449896843</v>
      </c>
      <c r="O1807">
        <v>12.481512075433338</v>
      </c>
      <c r="P1807">
        <v>12.54639641212194</v>
      </c>
      <c r="Q1807">
        <v>11.500321708657664</v>
      </c>
      <c r="R1807">
        <v>11.766073625494769</v>
      </c>
      <c r="S1807">
        <v>11.410019164613404</v>
      </c>
      <c r="T1807">
        <v>11.382989377643446</v>
      </c>
    </row>
    <row r="1808" spans="1:20" x14ac:dyDescent="0.25">
      <c r="A1808" s="5" t="s">
        <v>1816</v>
      </c>
      <c r="B1808">
        <v>13.861179241432778</v>
      </c>
      <c r="C1808">
        <v>14.041608369665534</v>
      </c>
      <c r="D1808">
        <v>13.749670926215785</v>
      </c>
      <c r="E1808">
        <v>13.835644149325638</v>
      </c>
      <c r="F1808">
        <v>0</v>
      </c>
      <c r="G1808">
        <v>0</v>
      </c>
      <c r="H1808">
        <v>0</v>
      </c>
      <c r="I1808">
        <v>14.563498692792091</v>
      </c>
      <c r="J1808">
        <v>13.820954763823279</v>
      </c>
      <c r="K1808">
        <v>14.247872115017659</v>
      </c>
      <c r="L1808">
        <v>14.553056946070445</v>
      </c>
      <c r="M1808">
        <v>0</v>
      </c>
      <c r="N1808">
        <v>0</v>
      </c>
      <c r="O1808">
        <v>14.635111161952929</v>
      </c>
      <c r="P1808">
        <v>0</v>
      </c>
      <c r="Q1808">
        <v>0</v>
      </c>
      <c r="R1808">
        <v>0</v>
      </c>
      <c r="S1808">
        <v>15.609640474436812</v>
      </c>
      <c r="T1808">
        <v>16.166033822961197</v>
      </c>
    </row>
    <row r="1809" spans="1:20" x14ac:dyDescent="0.25">
      <c r="A1809" s="6" t="s">
        <v>1817</v>
      </c>
      <c r="B1809">
        <v>0</v>
      </c>
      <c r="C1809">
        <v>17.042095026793064</v>
      </c>
      <c r="D1809">
        <v>17.542001757561451</v>
      </c>
      <c r="E1809">
        <v>16.953372939642524</v>
      </c>
      <c r="F1809">
        <v>0</v>
      </c>
      <c r="G1809">
        <v>17.237802857106391</v>
      </c>
      <c r="H1809">
        <v>17.650612255493119</v>
      </c>
      <c r="I1809">
        <v>17.503962396542278</v>
      </c>
      <c r="J1809">
        <v>17.356256238636739</v>
      </c>
      <c r="K1809">
        <v>17.837332499478411</v>
      </c>
      <c r="L1809">
        <v>17.459080797861432</v>
      </c>
      <c r="M1809">
        <v>0</v>
      </c>
      <c r="N1809">
        <v>17.299300353824663</v>
      </c>
      <c r="O1809">
        <v>17.224485577552468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25">
      <c r="A1810" s="5" t="s">
        <v>1818</v>
      </c>
      <c r="B1810">
        <v>17.258012145334028</v>
      </c>
      <c r="C1810">
        <v>15.895944659593452</v>
      </c>
      <c r="D1810">
        <v>15.566996137028319</v>
      </c>
      <c r="E1810">
        <v>15.818868436574812</v>
      </c>
      <c r="F1810">
        <v>17.313329913728719</v>
      </c>
      <c r="G1810">
        <v>17.341805082339199</v>
      </c>
      <c r="H1810">
        <v>17.299300353824663</v>
      </c>
      <c r="I1810">
        <v>17.233350091099762</v>
      </c>
      <c r="J1810">
        <v>17.226696604867822</v>
      </c>
      <c r="K1810">
        <v>16.433317701796351</v>
      </c>
      <c r="L1810">
        <v>16.242269408788282</v>
      </c>
      <c r="M1810">
        <v>0</v>
      </c>
      <c r="N1810">
        <v>0</v>
      </c>
      <c r="O1810">
        <v>17.278508552219609</v>
      </c>
      <c r="P1810">
        <v>0</v>
      </c>
      <c r="Q1810">
        <v>0</v>
      </c>
      <c r="R1810">
        <v>0</v>
      </c>
      <c r="S1810">
        <v>0</v>
      </c>
      <c r="T1810">
        <v>18.178819977917041</v>
      </c>
    </row>
    <row r="1811" spans="1:20" x14ac:dyDescent="0.25">
      <c r="A1811" s="6" t="s">
        <v>1819</v>
      </c>
      <c r="B1811">
        <v>15.383131944628133</v>
      </c>
      <c r="C1811">
        <v>14.945157634072132</v>
      </c>
      <c r="D1811">
        <v>15.574016564706092</v>
      </c>
      <c r="E1811">
        <v>15.364753415313277</v>
      </c>
      <c r="F1811">
        <v>15.426948176920622</v>
      </c>
      <c r="G1811">
        <v>15.566996137028319</v>
      </c>
      <c r="H1811">
        <v>15.414292876114592</v>
      </c>
      <c r="I1811">
        <v>15.722115203695225</v>
      </c>
      <c r="J1811">
        <v>15.986710123516636</v>
      </c>
      <c r="K1811">
        <v>15.7066022043239</v>
      </c>
      <c r="L1811">
        <v>15.512029677810389</v>
      </c>
      <c r="M1811">
        <v>0</v>
      </c>
      <c r="N1811">
        <v>15.95887591531991</v>
      </c>
      <c r="O1811">
        <v>16.242269408788282</v>
      </c>
      <c r="P1811">
        <v>0</v>
      </c>
      <c r="Q1811">
        <v>0</v>
      </c>
      <c r="R1811">
        <v>16.093625327433145</v>
      </c>
      <c r="S1811">
        <v>15.624140044131927</v>
      </c>
      <c r="T1811">
        <v>0</v>
      </c>
    </row>
    <row r="1812" spans="1:20" x14ac:dyDescent="0.25">
      <c r="A1812" s="5" t="s">
        <v>1820</v>
      </c>
      <c r="B1812">
        <v>0</v>
      </c>
      <c r="C1812">
        <v>15.777763233245141</v>
      </c>
      <c r="D1812">
        <v>16.718999230473369</v>
      </c>
      <c r="E1812">
        <v>16.124213647266568</v>
      </c>
      <c r="F1812">
        <v>17.692781709737059</v>
      </c>
      <c r="G1812">
        <v>16.81886843657481</v>
      </c>
      <c r="H1812">
        <v>16.692781709737059</v>
      </c>
      <c r="I1812">
        <v>17.292336406074899</v>
      </c>
      <c r="J1812">
        <v>0</v>
      </c>
      <c r="K1812">
        <v>16.446141742153934</v>
      </c>
      <c r="L1812">
        <v>16.433317701796351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18.075578872015694</v>
      </c>
    </row>
    <row r="1813" spans="1:20" x14ac:dyDescent="0.25">
      <c r="A1813" s="6" t="s">
        <v>1821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18.598144835598983</v>
      </c>
      <c r="O1813">
        <v>0</v>
      </c>
      <c r="P1813">
        <v>0</v>
      </c>
      <c r="Q1813">
        <v>15.63144484475516</v>
      </c>
      <c r="R1813">
        <v>15.844105728073835</v>
      </c>
      <c r="S1813">
        <v>14.856891883029679</v>
      </c>
      <c r="T1813">
        <v>15.27621674071162</v>
      </c>
    </row>
    <row r="1814" spans="1:20" x14ac:dyDescent="0.25">
      <c r="A1814" s="5" t="s">
        <v>1822</v>
      </c>
      <c r="B1814">
        <v>14.75365077712833</v>
      </c>
      <c r="C1814">
        <v>15.171347622857667</v>
      </c>
      <c r="D1814">
        <v>14.367800290872141</v>
      </c>
      <c r="E1814">
        <v>14.446141742153932</v>
      </c>
      <c r="F1814">
        <v>14.340607327981576</v>
      </c>
      <c r="G1814">
        <v>15.214577674919234</v>
      </c>
      <c r="H1814">
        <v>15.714337853103507</v>
      </c>
      <c r="I1814">
        <v>14.909200756295721</v>
      </c>
      <c r="J1814">
        <v>14.773716400182437</v>
      </c>
      <c r="K1814">
        <v>14.781821449819493</v>
      </c>
      <c r="L1814">
        <v>15.322759326648649</v>
      </c>
      <c r="M1814">
        <v>15.139754498162349</v>
      </c>
      <c r="N1814">
        <v>14.844105728073835</v>
      </c>
      <c r="O1814">
        <v>14.532397475504352</v>
      </c>
      <c r="P1814">
        <v>15.192800732523983</v>
      </c>
      <c r="Q1814">
        <v>14.865479378866404</v>
      </c>
      <c r="R1814">
        <v>14.231128851183081</v>
      </c>
      <c r="S1814">
        <v>15.113945311812744</v>
      </c>
      <c r="T1814">
        <v>14.958875915319911</v>
      </c>
    </row>
    <row r="1815" spans="1:20" x14ac:dyDescent="0.25">
      <c r="A1815" s="6" t="s">
        <v>1823</v>
      </c>
      <c r="B1815">
        <v>16.861179241432779</v>
      </c>
      <c r="C1815">
        <v>15.478709604610364</v>
      </c>
      <c r="D1815">
        <v>16.310982158872296</v>
      </c>
      <c r="E1815">
        <v>16.198214228710349</v>
      </c>
      <c r="F1815">
        <v>16.640259709495204</v>
      </c>
      <c r="G1815">
        <v>15.505303814622076</v>
      </c>
      <c r="H1815">
        <v>15.498609162048069</v>
      </c>
      <c r="I1815">
        <v>15.560009706712211</v>
      </c>
      <c r="J1815">
        <v>16.733074415685092</v>
      </c>
      <c r="K1815">
        <v>16.911866654881624</v>
      </c>
      <c r="L1815">
        <v>16.525576209648339</v>
      </c>
      <c r="M1815">
        <v>16.525576209648339</v>
      </c>
      <c r="N1815">
        <v>16.581071322240042</v>
      </c>
      <c r="O1815">
        <v>16.931568569324174</v>
      </c>
      <c r="P1815">
        <v>16.472136950686878</v>
      </c>
      <c r="Q1815">
        <v>14.996108821518886</v>
      </c>
      <c r="R1815">
        <v>15.922579786096922</v>
      </c>
      <c r="S1815">
        <v>15.198214228710349</v>
      </c>
      <c r="T1815">
        <v>15.352629856230788</v>
      </c>
    </row>
    <row r="1816" spans="1:20" x14ac:dyDescent="0.25">
      <c r="A1816" s="5" t="s">
        <v>1824</v>
      </c>
      <c r="B1816">
        <v>16.59528518145974</v>
      </c>
      <c r="C1816">
        <v>15.43331770179635</v>
      </c>
      <c r="D1816">
        <v>15.761643567881864</v>
      </c>
      <c r="E1816">
        <v>15.401747622795478</v>
      </c>
      <c r="F1816">
        <v>15.931568569324174</v>
      </c>
      <c r="G1816">
        <v>15.595285181459742</v>
      </c>
      <c r="H1816">
        <v>15.328684160605755</v>
      </c>
      <c r="I1816">
        <v>15.729934708154525</v>
      </c>
      <c r="J1816">
        <v>15.810553168362809</v>
      </c>
      <c r="K1816">
        <v>15.968094445349289</v>
      </c>
      <c r="L1816">
        <v>15.827231909509438</v>
      </c>
      <c r="M1816">
        <v>16.800637699497727</v>
      </c>
      <c r="N1816">
        <v>17.650612255493119</v>
      </c>
      <c r="O1816">
        <v>15.777763233245141</v>
      </c>
      <c r="P1816">
        <v>16.659545380263125</v>
      </c>
      <c r="Q1816">
        <v>16.815536575877065</v>
      </c>
      <c r="R1816">
        <v>16.525576209648339</v>
      </c>
      <c r="S1816">
        <v>16.938800138555251</v>
      </c>
      <c r="T1816">
        <v>16.113945311812746</v>
      </c>
    </row>
    <row r="1817" spans="1:20" x14ac:dyDescent="0.25">
      <c r="A1817" s="6" t="s">
        <v>1825</v>
      </c>
      <c r="B1817">
        <v>17.408006613267162</v>
      </c>
      <c r="C1817">
        <v>0</v>
      </c>
      <c r="D1817">
        <v>0</v>
      </c>
      <c r="E1817">
        <v>17.857748336032504</v>
      </c>
      <c r="F1817">
        <v>17.52014232359771</v>
      </c>
      <c r="G1817">
        <v>0</v>
      </c>
      <c r="H1817">
        <v>17.405499757656589</v>
      </c>
      <c r="I1817">
        <v>17.361105638298135</v>
      </c>
      <c r="J1817">
        <v>17.393030405694368</v>
      </c>
      <c r="K1817">
        <v>17.787522199707468</v>
      </c>
      <c r="L1817">
        <v>0</v>
      </c>
      <c r="M1817">
        <v>0</v>
      </c>
      <c r="N1817">
        <v>0</v>
      </c>
      <c r="O1817">
        <v>17.27392856411635</v>
      </c>
      <c r="P1817">
        <v>17.671542913362721</v>
      </c>
      <c r="Q1817">
        <v>17.193881807914313</v>
      </c>
      <c r="R1817">
        <v>16.697373846370365</v>
      </c>
      <c r="S1817">
        <v>17.423139916792319</v>
      </c>
      <c r="T1817">
        <v>17.764853124357753</v>
      </c>
    </row>
    <row r="1818" spans="1:20" x14ac:dyDescent="0.25">
      <c r="A1818" s="5" t="s">
        <v>1826</v>
      </c>
      <c r="B1818">
        <v>0</v>
      </c>
      <c r="C1818">
        <v>14.958875915319911</v>
      </c>
      <c r="D1818">
        <v>15.376979717646538</v>
      </c>
      <c r="E1818">
        <v>15.827231909509438</v>
      </c>
      <c r="F1818">
        <v>16.242269408788282</v>
      </c>
      <c r="G1818">
        <v>12.293501974606619</v>
      </c>
      <c r="H1818">
        <v>13.929316117592796</v>
      </c>
      <c r="I1818">
        <v>15.287712379549449</v>
      </c>
      <c r="J1818">
        <v>14.67606783617579</v>
      </c>
      <c r="K1818">
        <v>14.166033822961197</v>
      </c>
      <c r="L1818">
        <v>13.655444164049936</v>
      </c>
      <c r="M1818">
        <v>0</v>
      </c>
      <c r="N1818">
        <v>0</v>
      </c>
      <c r="O1818">
        <v>16.024677973715658</v>
      </c>
      <c r="P1818">
        <v>14.430129424165303</v>
      </c>
      <c r="Q1818">
        <v>14.887174449965721</v>
      </c>
      <c r="R1818">
        <v>13.712400048862014</v>
      </c>
      <c r="S1818">
        <v>12.27714018926847</v>
      </c>
      <c r="T1818">
        <v>14.40800661326716</v>
      </c>
    </row>
    <row r="1819" spans="1:20" x14ac:dyDescent="0.25">
      <c r="A1819" s="6" t="s">
        <v>1827</v>
      </c>
      <c r="B1819">
        <v>15.818868436574812</v>
      </c>
      <c r="C1819">
        <v>14.056279971101485</v>
      </c>
      <c r="D1819">
        <v>14.168688276407176</v>
      </c>
      <c r="E1819">
        <v>14.525576209648337</v>
      </c>
      <c r="F1819">
        <v>15.139754498162349</v>
      </c>
      <c r="G1819">
        <v>11.73775248147456</v>
      </c>
      <c r="H1819">
        <v>13.3693261451031</v>
      </c>
      <c r="I1819">
        <v>15.000831231761289</v>
      </c>
      <c r="J1819">
        <v>14.395515669083965</v>
      </c>
      <c r="K1819">
        <v>13.781821449819493</v>
      </c>
      <c r="L1819">
        <v>13.127140648170316</v>
      </c>
      <c r="M1819">
        <v>0</v>
      </c>
      <c r="N1819">
        <v>0</v>
      </c>
      <c r="O1819">
        <v>15.714337853103507</v>
      </c>
      <c r="P1819">
        <v>13.945157634072132</v>
      </c>
      <c r="Q1819">
        <v>14.284829871016328</v>
      </c>
      <c r="R1819">
        <v>13.126572835811816</v>
      </c>
      <c r="S1819">
        <v>11.77787974773206</v>
      </c>
      <c r="T1819">
        <v>13.989054063984934</v>
      </c>
    </row>
    <row r="1820" spans="1:20" x14ac:dyDescent="0.25">
      <c r="A1820" s="5" t="s">
        <v>1828</v>
      </c>
      <c r="B1820">
        <v>13.972725894080934</v>
      </c>
      <c r="C1820">
        <v>13.823044112546006</v>
      </c>
      <c r="D1820">
        <v>13.606038237756618</v>
      </c>
      <c r="E1820">
        <v>13.563498692792091</v>
      </c>
      <c r="F1820">
        <v>13.852617227929352</v>
      </c>
      <c r="G1820">
        <v>13.848355201075194</v>
      </c>
      <c r="H1820">
        <v>14.121639703602744</v>
      </c>
      <c r="I1820">
        <v>14.027084471422752</v>
      </c>
      <c r="J1820">
        <v>13.989054063984934</v>
      </c>
      <c r="K1820">
        <v>14.349614818475356</v>
      </c>
      <c r="L1820">
        <v>14.046482344034004</v>
      </c>
      <c r="M1820">
        <v>14.996108821518886</v>
      </c>
      <c r="N1820">
        <v>15.539251146545414</v>
      </c>
      <c r="O1820">
        <v>13.887174449965721</v>
      </c>
      <c r="P1820">
        <v>14.553056946070445</v>
      </c>
      <c r="Q1820">
        <v>15.209102544853085</v>
      </c>
      <c r="R1820">
        <v>14.337617285375762</v>
      </c>
      <c r="S1820">
        <v>14.67229608228658</v>
      </c>
      <c r="T1820">
        <v>15.093625327433148</v>
      </c>
    </row>
    <row r="1821" spans="1:20" x14ac:dyDescent="0.25">
      <c r="A1821" s="6" t="s">
        <v>1829</v>
      </c>
      <c r="B1821">
        <v>13.812627496600667</v>
      </c>
      <c r="C1821">
        <v>13.177562983632072</v>
      </c>
      <c r="D1821">
        <v>13.475419534676179</v>
      </c>
      <c r="E1821">
        <v>13.137724695464749</v>
      </c>
      <c r="F1821">
        <v>13.829330375393436</v>
      </c>
      <c r="G1821">
        <v>13.965784284662087</v>
      </c>
      <c r="H1821">
        <v>13.537534673956392</v>
      </c>
      <c r="I1821">
        <v>13.397071135586007</v>
      </c>
      <c r="J1821">
        <v>14.67229608228658</v>
      </c>
      <c r="K1821">
        <v>13.657306908067127</v>
      </c>
      <c r="L1821">
        <v>13.648017146149867</v>
      </c>
      <c r="M1821">
        <v>13.794065045574239</v>
      </c>
      <c r="N1821">
        <v>14.182034301654912</v>
      </c>
      <c r="O1821">
        <v>14.27621674071162</v>
      </c>
      <c r="P1821">
        <v>14.383131944628133</v>
      </c>
      <c r="Q1821">
        <v>14.093625327433148</v>
      </c>
      <c r="R1821">
        <v>13.846228899966805</v>
      </c>
      <c r="S1821">
        <v>13.835644149325638</v>
      </c>
      <c r="T1821">
        <v>14.290600658874276</v>
      </c>
    </row>
    <row r="1822" spans="1:20" x14ac:dyDescent="0.25">
      <c r="A1822" s="5" t="s">
        <v>1830</v>
      </c>
      <c r="B1822">
        <v>12.735118895836647</v>
      </c>
      <c r="C1822">
        <v>12.502563620445052</v>
      </c>
      <c r="D1822">
        <v>12.317145820643361</v>
      </c>
      <c r="E1822">
        <v>12.175252437990993</v>
      </c>
      <c r="F1822">
        <v>12.335326623605482</v>
      </c>
      <c r="G1822">
        <v>12.71532713639238</v>
      </c>
      <c r="H1822">
        <v>12.724251583460596</v>
      </c>
      <c r="I1822">
        <v>12.665306740415705</v>
      </c>
      <c r="J1822">
        <v>12.737028381620652</v>
      </c>
      <c r="K1822">
        <v>12.777185865524295</v>
      </c>
      <c r="L1822">
        <v>12.824131770876384</v>
      </c>
      <c r="M1822">
        <v>13.058112152425952</v>
      </c>
      <c r="N1822">
        <v>13.409575612922502</v>
      </c>
      <c r="O1822">
        <v>13.041608369665534</v>
      </c>
      <c r="P1822">
        <v>13.02879552488365</v>
      </c>
      <c r="Q1822">
        <v>13.26128056421495</v>
      </c>
      <c r="R1822">
        <v>12.630877398671025</v>
      </c>
      <c r="S1822">
        <v>13.142047965723863</v>
      </c>
      <c r="T1822">
        <v>12.875624598317698</v>
      </c>
    </row>
    <row r="1823" spans="1:20" x14ac:dyDescent="0.25">
      <c r="A1823" s="6" t="s">
        <v>1831</v>
      </c>
      <c r="B1823">
        <v>11.300977443184145</v>
      </c>
      <c r="C1823">
        <v>10.053490060142536</v>
      </c>
      <c r="D1823">
        <v>9.8878590728133275</v>
      </c>
      <c r="E1823">
        <v>9.6669852252273181</v>
      </c>
      <c r="F1823">
        <v>10.7754045728837</v>
      </c>
      <c r="G1823">
        <v>9.8901434982053829</v>
      </c>
      <c r="H1823">
        <v>10.945163322943918</v>
      </c>
      <c r="I1823">
        <v>10.51227197316973</v>
      </c>
      <c r="J1823">
        <v>10.762006792041213</v>
      </c>
      <c r="K1823">
        <v>10.054279833910261</v>
      </c>
      <c r="L1823">
        <v>9.9105164280476039</v>
      </c>
      <c r="M1823">
        <v>11.231548542270797</v>
      </c>
      <c r="N1823">
        <v>11.111134285248133</v>
      </c>
      <c r="O1823">
        <v>10.701425611848641</v>
      </c>
      <c r="P1823">
        <v>11.133148612209999</v>
      </c>
      <c r="Q1823">
        <v>11.467611043876174</v>
      </c>
      <c r="R1823">
        <v>11.626692519279285</v>
      </c>
      <c r="S1823">
        <v>11.274743310944805</v>
      </c>
      <c r="T1823">
        <v>11.707180941394263</v>
      </c>
    </row>
    <row r="1824" spans="1:20" x14ac:dyDescent="0.25">
      <c r="A1824" s="5" t="s">
        <v>1832</v>
      </c>
      <c r="B1824">
        <v>7.9818122445446367</v>
      </c>
      <c r="C1824">
        <v>6.9593625551901921</v>
      </c>
      <c r="D1824">
        <v>7.096340026810747</v>
      </c>
      <c r="E1824">
        <v>6.880222300167973</v>
      </c>
      <c r="F1824">
        <v>7.5225059897528421</v>
      </c>
      <c r="G1824">
        <v>7.018013038419129</v>
      </c>
      <c r="H1824">
        <v>7.5114625497508882</v>
      </c>
      <c r="I1824">
        <v>7.1686374226353822</v>
      </c>
      <c r="J1824">
        <v>7.6908067471353156</v>
      </c>
      <c r="K1824">
        <v>7.2366783675147159</v>
      </c>
      <c r="L1824">
        <v>7.2741679375983548</v>
      </c>
      <c r="M1824">
        <v>7.7397829451377484</v>
      </c>
      <c r="N1824">
        <v>7.498475585357923</v>
      </c>
      <c r="O1824">
        <v>7.638672101419024</v>
      </c>
      <c r="P1824">
        <v>7.9096301606887787</v>
      </c>
      <c r="Q1824">
        <v>8.049211336379031</v>
      </c>
      <c r="R1824">
        <v>8.1143002738046253</v>
      </c>
      <c r="S1824">
        <v>7.666471626589396</v>
      </c>
      <c r="T1824">
        <v>8.3475625467623953</v>
      </c>
    </row>
    <row r="1825" spans="1:20" x14ac:dyDescent="0.25">
      <c r="A1825" s="6" t="s">
        <v>1833</v>
      </c>
      <c r="B1825">
        <v>10.027275659247133</v>
      </c>
      <c r="C1825">
        <v>8.3900387263901006</v>
      </c>
      <c r="D1825">
        <v>8.6593575415751598</v>
      </c>
      <c r="E1825">
        <v>8.6055683590722509</v>
      </c>
      <c r="F1825">
        <v>10.070022556030043</v>
      </c>
      <c r="G1825">
        <v>8.9443209031501176</v>
      </c>
      <c r="H1825">
        <v>9.7829903029732534</v>
      </c>
      <c r="I1825">
        <v>9.3984627544343819</v>
      </c>
      <c r="J1825">
        <v>10.152745637663454</v>
      </c>
      <c r="K1825">
        <v>8.5666711733057426</v>
      </c>
      <c r="L1825">
        <v>8.6424643721044649</v>
      </c>
      <c r="M1825">
        <v>10.081020712330133</v>
      </c>
      <c r="N1825">
        <v>10.386503711459831</v>
      </c>
      <c r="O1825">
        <v>10.000127793815757</v>
      </c>
      <c r="P1825">
        <v>10.484572155456634</v>
      </c>
      <c r="Q1825">
        <v>10.506340075286646</v>
      </c>
      <c r="R1825">
        <v>10.688396966538074</v>
      </c>
      <c r="S1825">
        <v>10.540868644264872</v>
      </c>
      <c r="T1825">
        <v>10.230743952652746</v>
      </c>
    </row>
    <row r="1826" spans="1:20" x14ac:dyDescent="0.25">
      <c r="A1826" s="5" t="s">
        <v>1834</v>
      </c>
      <c r="B1826">
        <v>11.435190110947621</v>
      </c>
      <c r="C1826">
        <v>9.9471458379872875</v>
      </c>
      <c r="D1826">
        <v>9.7842860411803425</v>
      </c>
      <c r="E1826">
        <v>9.6635635128911197</v>
      </c>
      <c r="F1826">
        <v>10.817865465943912</v>
      </c>
      <c r="G1826">
        <v>10.026926421879926</v>
      </c>
      <c r="H1826">
        <v>11.298079233828393</v>
      </c>
      <c r="I1826">
        <v>10.872178137693854</v>
      </c>
      <c r="J1826">
        <v>11.300144111725224</v>
      </c>
      <c r="K1826">
        <v>10.004566968254414</v>
      </c>
      <c r="L1826">
        <v>10.155704831039662</v>
      </c>
      <c r="M1826">
        <v>11.582526242715218</v>
      </c>
      <c r="N1826">
        <v>11.989089252097983</v>
      </c>
      <c r="O1826">
        <v>11.149441808292783</v>
      </c>
      <c r="P1826">
        <v>11.849531327858763</v>
      </c>
      <c r="Q1826">
        <v>11.831437155683293</v>
      </c>
      <c r="R1826">
        <v>12.122694465134339</v>
      </c>
      <c r="S1826">
        <v>11.834805984545474</v>
      </c>
      <c r="T1826">
        <v>11.783686983196807</v>
      </c>
    </row>
    <row r="1827" spans="1:20" x14ac:dyDescent="0.25">
      <c r="A1827" s="6" t="s">
        <v>1835</v>
      </c>
      <c r="B1827">
        <v>11.823849319223463</v>
      </c>
      <c r="C1827">
        <v>10.664011704016724</v>
      </c>
      <c r="D1827">
        <v>10.413905085820621</v>
      </c>
      <c r="E1827">
        <v>10.378864893648075</v>
      </c>
      <c r="F1827">
        <v>10.907409597503722</v>
      </c>
      <c r="G1827">
        <v>10.471968919288866</v>
      </c>
      <c r="H1827">
        <v>10.936346947907298</v>
      </c>
      <c r="I1827">
        <v>10.602034563141816</v>
      </c>
      <c r="J1827">
        <v>11.367148480284449</v>
      </c>
      <c r="K1827">
        <v>10.459155940184992</v>
      </c>
      <c r="L1827">
        <v>10.587721076316837</v>
      </c>
      <c r="M1827">
        <v>11.960341178409459</v>
      </c>
      <c r="N1827">
        <v>11.558947242988442</v>
      </c>
      <c r="O1827">
        <v>10.930805157365418</v>
      </c>
      <c r="P1827">
        <v>11.684856468792315</v>
      </c>
      <c r="Q1827">
        <v>11.367971868930869</v>
      </c>
      <c r="R1827">
        <v>11.651308167445682</v>
      </c>
      <c r="S1827">
        <v>10.971149532726358</v>
      </c>
      <c r="T1827">
        <v>11.344785064451397</v>
      </c>
    </row>
    <row r="1828" spans="1:20" x14ac:dyDescent="0.25">
      <c r="A1828" s="5" t="s">
        <v>1836</v>
      </c>
      <c r="B1828">
        <v>8.4616764896032315</v>
      </c>
      <c r="C1828">
        <v>7.5019183477981723</v>
      </c>
      <c r="D1828">
        <v>7.147109982141675</v>
      </c>
      <c r="E1828">
        <v>6.9955429855672735</v>
      </c>
      <c r="F1828">
        <v>7.8614721173199014</v>
      </c>
      <c r="G1828">
        <v>7.6388877455730464</v>
      </c>
      <c r="H1828">
        <v>7.97292922229457</v>
      </c>
      <c r="I1828">
        <v>7.6020183061376443</v>
      </c>
      <c r="J1828">
        <v>8.0998369727115094</v>
      </c>
      <c r="K1828">
        <v>7.2747989395545511</v>
      </c>
      <c r="L1828">
        <v>7.5518130604503337</v>
      </c>
      <c r="M1828">
        <v>8.5961497406670127</v>
      </c>
      <c r="N1828">
        <v>8.3634414334922216</v>
      </c>
      <c r="O1828">
        <v>7.902069095421524</v>
      </c>
      <c r="P1828">
        <v>8.6936446093999109</v>
      </c>
      <c r="Q1828">
        <v>8.8075597300408432</v>
      </c>
      <c r="R1828">
        <v>8.736928046111899</v>
      </c>
      <c r="S1828">
        <v>8.5608157850689626</v>
      </c>
      <c r="T1828">
        <v>8.6812079676269267</v>
      </c>
    </row>
    <row r="1829" spans="1:20" x14ac:dyDescent="0.25">
      <c r="A1829" s="6" t="s">
        <v>1837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16.024677973715658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16.459080797861432</v>
      </c>
      <c r="Q1829">
        <v>15.861179241432778</v>
      </c>
      <c r="R1829">
        <v>16.005569150767954</v>
      </c>
      <c r="S1829">
        <v>15.203648114760977</v>
      </c>
      <c r="T1829">
        <v>16.63731543287966</v>
      </c>
    </row>
  </sheetData>
  <autoFilter ref="A1:T1829" xr:uid="{66DFC7A7-2AE7-774D-B195-6F89BCABDEA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9"/>
  <sheetViews>
    <sheetView topLeftCell="A402" workbookViewId="0">
      <selection activeCell="D22" sqref="D22"/>
    </sheetView>
  </sheetViews>
  <sheetFormatPr defaultColWidth="11" defaultRowHeight="15.75" x14ac:dyDescent="0.25"/>
  <cols>
    <col min="1" max="1" width="13.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545</v>
      </c>
      <c r="B2" cm="1">
        <f t="array" ref="B2">INDEX(Table1[riBAQ 17], MATCH(1, (Table3[[#This Row],[Gene names]:[Gene names]] = Table1[[Gene names]:[Gene names]])*1, 0))</f>
        <v>3.51436E-4</v>
      </c>
      <c r="C2" cm="1">
        <f t="array" ref="C2">INDEX(Table1[riBAQ 18], MATCH(1, (Table3[[#This Row],[Gene names]:[Gene names]] = Table1[[Gene names]:[Gene names]])*1, 0))</f>
        <v>3.7677199999999999E-4</v>
      </c>
      <c r="D2" cm="1">
        <f t="array" ref="D2">INDEX(Table1[riBAQ 35], MATCH(1, (Table3[[#This Row],[Gene names]:[Gene names]] = Table1[[Gene names]:[Gene names]])*1, 0))</f>
        <v>4.8335899999999999E-4</v>
      </c>
      <c r="E2" cm="1">
        <f t="array" ref="E2">INDEX(Table1[riBAQ 36], MATCH(1, (Table3[[#This Row],[Gene names]:[Gene names]] = Table1[[Gene names]:[Gene names]])*1, 0))</f>
        <v>4.4188499999999999E-4</v>
      </c>
      <c r="F2" cm="1">
        <f t="array" ref="F2">INDEX(Table1[riBAQ 19], MATCH(1, (Table3[[#This Row],[Gene names]:[Gene names]] = Table1[[Gene names]:[Gene names]])*1, 0))</f>
        <v>5.3360199999999999E-4</v>
      </c>
      <c r="G2" cm="1">
        <f t="array" ref="G2">INDEX(Table1[riBAQ 20], MATCH(1, (Table3[[#This Row],[Gene names]:[Gene names]] = Table1[[Gene names]:[Gene names]])*1, 0))</f>
        <v>2.9376899999999999E-4</v>
      </c>
      <c r="H2" cm="1">
        <f t="array" ref="H2">INDEX(Table1[riBAQ 21], MATCH(1, (Table3[[#This Row],[Gene names]:[Gene names]] = Table1[[Gene names]:[Gene names]])*1, 0))</f>
        <v>2.9677300000000001E-4</v>
      </c>
      <c r="I2" cm="1">
        <f t="array" ref="I2">INDEX(Table1[riBAQ 22], MATCH(1, (Table3[[#This Row],[Gene names]:[Gene names]] = Table1[[Gene names]:[Gene names]])*1, 0))</f>
        <v>3.1347999999999999E-4</v>
      </c>
      <c r="J2" cm="1">
        <f t="array" ref="J2">INDEX(Table1[riBAQ 23], MATCH(1, (Table3[[#This Row],[Gene names]:[Gene names]] = Table1[[Gene names]:[Gene names]])*1, 0))</f>
        <v>3.5577999999999999E-4</v>
      </c>
      <c r="K2" cm="1">
        <f t="array" ref="K2">INDEX(Table1[riBAQ 37], MATCH(1, (Table3[[#This Row],[Gene names]:[Gene names]] = Table1[[Gene names]:[Gene names]])*1, 0))</f>
        <v>3.5889899999999998E-4</v>
      </c>
      <c r="L2" cm="1">
        <f t="array" ref="L2">INDEX(Table1[riBAQ 38], MATCH(1, (Table3[[#This Row],[Gene names]:[Gene names]] = Table1[[Gene names]:[Gene names]])*1, 0))</f>
        <v>3.73185E-4</v>
      </c>
      <c r="M2" cm="1">
        <f t="array" ref="M2">INDEX(Table1[riBAQ 39], MATCH(1, (Table3[[#This Row],[Gene names]:[Gene names]] = Table1[[Gene names]:[Gene names]])*1, 0))</f>
        <v>3.13181E-4</v>
      </c>
      <c r="N2" cm="1">
        <f t="array" ref="N2">INDEX(Table1[riBAQ 40], MATCH(1, (Table3[[#This Row],[Gene names]:[Gene names]] = Table1[[Gene names]:[Gene names]])*1, 0))</f>
        <v>5.0322300000000002E-4</v>
      </c>
      <c r="O2" cm="1">
        <f t="array" ref="O2">INDEX(Table1[riBAQ 41], MATCH(1, (Table3[[#This Row],[Gene names]:[Gene names]] = Table1[[Gene names]:[Gene names]])*1, 0))</f>
        <v>3.9077900000000001E-4</v>
      </c>
      <c r="P2" cm="1">
        <f t="array" ref="P2">INDEX(Table1[riBAQ 24], MATCH(1, (Table3[[#This Row],[Gene names]:[Gene names]] = Table1[[Gene names]:[Gene names]])*1, 0))</f>
        <v>2.3989200000000001E-4</v>
      </c>
      <c r="Q2" cm="1">
        <f t="array" ref="Q2">INDEX(Table1[riBAQ 25], MATCH(1, (Table3[[#This Row],[Gene names]:[Gene names]] = Table1[[Gene names]:[Gene names]])*1, 0))</f>
        <v>1.02973E-4</v>
      </c>
      <c r="R2" cm="1">
        <f t="array" ref="R2">INDEX(Table1[riBAQ 26], MATCH(1, (Table3[[#This Row],[Gene names]:[Gene names]] = Table1[[Gene names]:[Gene names]])*1, 0))</f>
        <v>1.52022E-4</v>
      </c>
      <c r="S2" cm="1">
        <f t="array" ref="S2">INDEX(Table1[riBAQ 42], MATCH(1, (Table3[[#This Row],[Gene names]:[Gene names]] = Table1[[Gene names]:[Gene names]])*1, 0))</f>
        <v>9.3300000000000005E-5</v>
      </c>
      <c r="T2" cm="1">
        <f t="array" ref="T2">INDEX(Table1[riBAQ 43], MATCH(1, (Table3[[#This Row],[Gene names]:[Gene names]] = Table1[[Gene names]:[Gene names]])*1, 0))</f>
        <v>1.5975200000000001E-4</v>
      </c>
    </row>
    <row r="3" spans="1:20" x14ac:dyDescent="0.25">
      <c r="A3" t="s">
        <v>710</v>
      </c>
      <c r="B3" cm="1">
        <f t="array" ref="B3">INDEX(Table1[riBAQ 17], MATCH(1, (Table3[[#This Row],[Gene names]:[Gene names]] = Table1[[Gene names]:[Gene names]])*1, 0))</f>
        <v>1.9497989E-2</v>
      </c>
      <c r="C3" cm="1">
        <f t="array" ref="C3">INDEX(Table1[riBAQ 18], MATCH(1, (Table3[[#This Row],[Gene names]:[Gene names]] = Table1[[Gene names]:[Gene names]])*1, 0))</f>
        <v>1.8563364999999998E-2</v>
      </c>
      <c r="D3" cm="1">
        <f t="array" ref="D3">INDEX(Table1[riBAQ 35], MATCH(1, (Table3[[#This Row],[Gene names]:[Gene names]] = Table1[[Gene names]:[Gene names]])*1, 0))</f>
        <v>1.7377640999999999E-2</v>
      </c>
      <c r="E3" cm="1">
        <f t="array" ref="E3">INDEX(Table1[riBAQ 36], MATCH(1, (Table3[[#This Row],[Gene names]:[Gene names]] = Table1[[Gene names]:[Gene names]])*1, 0))</f>
        <v>1.9636926999999998E-2</v>
      </c>
      <c r="F3" cm="1">
        <f t="array" ref="F3">INDEX(Table1[riBAQ 19], MATCH(1, (Table3[[#This Row],[Gene names]:[Gene names]] = Table1[[Gene names]:[Gene names]])*1, 0))</f>
        <v>1.8050534E-2</v>
      </c>
      <c r="G3" cm="1">
        <f t="array" ref="G3">INDEX(Table1[riBAQ 20], MATCH(1, (Table3[[#This Row],[Gene names]:[Gene names]] = Table1[[Gene names]:[Gene names]])*1, 0))</f>
        <v>1.7642074000000001E-2</v>
      </c>
      <c r="H3" cm="1">
        <f t="array" ref="H3">INDEX(Table1[riBAQ 21], MATCH(1, (Table3[[#This Row],[Gene names]:[Gene names]] = Table1[[Gene names]:[Gene names]])*1, 0))</f>
        <v>1.5342516E-2</v>
      </c>
      <c r="I3" cm="1">
        <f t="array" ref="I3">INDEX(Table1[riBAQ 22], MATCH(1, (Table3[[#This Row],[Gene names]:[Gene names]] = Table1[[Gene names]:[Gene names]])*1, 0))</f>
        <v>1.3964786E-2</v>
      </c>
      <c r="J3" cm="1">
        <f t="array" ref="J3">INDEX(Table1[riBAQ 23], MATCH(1, (Table3[[#This Row],[Gene names]:[Gene names]] = Table1[[Gene names]:[Gene names]])*1, 0))</f>
        <v>1.8060474999999999E-2</v>
      </c>
      <c r="K3" cm="1">
        <f t="array" ref="K3">INDEX(Table1[riBAQ 37], MATCH(1, (Table3[[#This Row],[Gene names]:[Gene names]] = Table1[[Gene names]:[Gene names]])*1, 0))</f>
        <v>1.5624523E-2</v>
      </c>
      <c r="L3" cm="1">
        <f t="array" ref="L3">INDEX(Table1[riBAQ 38], MATCH(1, (Table3[[#This Row],[Gene names]:[Gene names]] = Table1[[Gene names]:[Gene names]])*1, 0))</f>
        <v>1.5190891E-2</v>
      </c>
      <c r="M3" cm="1">
        <f t="array" ref="M3">INDEX(Table1[riBAQ 39], MATCH(1, (Table3[[#This Row],[Gene names]:[Gene names]] = Table1[[Gene names]:[Gene names]])*1, 0))</f>
        <v>1.8282162000000001E-2</v>
      </c>
      <c r="N3" cm="1">
        <f t="array" ref="N3">INDEX(Table1[riBAQ 40], MATCH(1, (Table3[[#This Row],[Gene names]:[Gene names]] = Table1[[Gene names]:[Gene names]])*1, 0))</f>
        <v>1.1961164E-2</v>
      </c>
      <c r="O3" cm="1">
        <f t="array" ref="O3">INDEX(Table1[riBAQ 41], MATCH(1, (Table3[[#This Row],[Gene names]:[Gene names]] = Table1[[Gene names]:[Gene names]])*1, 0))</f>
        <v>1.9877710999999999E-2</v>
      </c>
      <c r="P3" cm="1">
        <f t="array" ref="P3">INDEX(Table1[riBAQ 24], MATCH(1, (Table3[[#This Row],[Gene names]:[Gene names]] = Table1[[Gene names]:[Gene names]])*1, 0))</f>
        <v>1.7128866E-2</v>
      </c>
      <c r="Q3" cm="1">
        <f t="array" ref="Q3">INDEX(Table1[riBAQ 25], MATCH(1, (Table3[[#This Row],[Gene names]:[Gene names]] = Table1[[Gene names]:[Gene names]])*1, 0))</f>
        <v>1.1909904000000001E-2</v>
      </c>
      <c r="R3" cm="1">
        <f t="array" ref="R3">INDEX(Table1[riBAQ 26], MATCH(1, (Table3[[#This Row],[Gene names]:[Gene names]] = Table1[[Gene names]:[Gene names]])*1, 0))</f>
        <v>1.3442212E-2</v>
      </c>
      <c r="S3" cm="1">
        <f t="array" ref="S3">INDEX(Table1[riBAQ 42], MATCH(1, (Table3[[#This Row],[Gene names]:[Gene names]] = Table1[[Gene names]:[Gene names]])*1, 0))</f>
        <v>1.2609482999999999E-2</v>
      </c>
      <c r="T3" cm="1">
        <f t="array" ref="T3">INDEX(Table1[riBAQ 43], MATCH(1, (Table3[[#This Row],[Gene names]:[Gene names]] = Table1[[Gene names]:[Gene names]])*1, 0))</f>
        <v>1.2215108000000001E-2</v>
      </c>
    </row>
    <row r="4" spans="1:20" x14ac:dyDescent="0.25">
      <c r="A4" t="s">
        <v>1724</v>
      </c>
      <c r="B4" cm="1">
        <f t="array" ref="B4">INDEX(Table1[riBAQ 17], MATCH(1, (Table3[[#This Row],[Gene names]:[Gene names]] = Table1[[Gene names]:[Gene names]])*1, 0))</f>
        <v>9.2E-5</v>
      </c>
      <c r="C4" cm="1">
        <f t="array" ref="C4">INDEX(Table1[riBAQ 18], MATCH(1, (Table3[[#This Row],[Gene names]:[Gene names]] = Table1[[Gene names]:[Gene names]])*1, 0))</f>
        <v>5.5600000000000003E-5</v>
      </c>
      <c r="D4" cm="1">
        <f t="array" ref="D4">INDEX(Table1[riBAQ 35], MATCH(1, (Table3[[#This Row],[Gene names]:[Gene names]] = Table1[[Gene names]:[Gene names]])*1, 0))</f>
        <v>4.0200000000000001E-5</v>
      </c>
      <c r="E4" cm="1">
        <f t="array" ref="E4">INDEX(Table1[riBAQ 36], MATCH(1, (Table3[[#This Row],[Gene names]:[Gene names]] = Table1[[Gene names]:[Gene names]])*1, 0))</f>
        <v>0</v>
      </c>
      <c r="F4" cm="1">
        <f t="array" ref="F4">INDEX(Table1[riBAQ 19], MATCH(1, (Table3[[#This Row],[Gene names]:[Gene names]] = Table1[[Gene names]:[Gene names]])*1, 0))</f>
        <v>1.0473599999999999E-4</v>
      </c>
      <c r="G4" cm="1">
        <f t="array" ref="G4">INDEX(Table1[riBAQ 20], MATCH(1, (Table3[[#This Row],[Gene names]:[Gene names]] = Table1[[Gene names]:[Gene names]])*1, 0))</f>
        <v>1.0635E-4</v>
      </c>
      <c r="H4" cm="1">
        <f t="array" ref="H4">INDEX(Table1[riBAQ 21], MATCH(1, (Table3[[#This Row],[Gene names]:[Gene names]] = Table1[[Gene names]:[Gene names]])*1, 0))</f>
        <v>1.06665E-4</v>
      </c>
      <c r="I4" cm="1">
        <f t="array" ref="I4">INDEX(Table1[riBAQ 22], MATCH(1, (Table3[[#This Row],[Gene names]:[Gene names]] = Table1[[Gene names]:[Gene names]])*1, 0))</f>
        <v>1.10837E-4</v>
      </c>
      <c r="J4" cm="1">
        <f t="array" ref="J4">INDEX(Table1[riBAQ 23], MATCH(1, (Table3[[#This Row],[Gene names]:[Gene names]] = Table1[[Gene names]:[Gene names]])*1, 0))</f>
        <v>9.1899999999999998E-5</v>
      </c>
      <c r="K4" cm="1">
        <f t="array" ref="K4">INDEX(Table1[riBAQ 37], MATCH(1, (Table3[[#This Row],[Gene names]:[Gene names]] = Table1[[Gene names]:[Gene names]])*1, 0))</f>
        <v>9.5099999999999994E-5</v>
      </c>
      <c r="L4" cm="1">
        <f t="array" ref="L4">INDEX(Table1[riBAQ 38], MATCH(1, (Table3[[#This Row],[Gene names]:[Gene names]] = Table1[[Gene names]:[Gene names]])*1, 0))</f>
        <v>1.15751E-4</v>
      </c>
      <c r="M4" cm="1">
        <f t="array" ref="M4">INDEX(Table1[riBAQ 39], MATCH(1, (Table3[[#This Row],[Gene names]:[Gene names]] = Table1[[Gene names]:[Gene names]])*1, 0))</f>
        <v>1.35143E-4</v>
      </c>
      <c r="N4" cm="1">
        <f t="array" ref="N4">INDEX(Table1[riBAQ 40], MATCH(1, (Table3[[#This Row],[Gene names]:[Gene names]] = Table1[[Gene names]:[Gene names]])*1, 0))</f>
        <v>1.3735200000000001E-4</v>
      </c>
      <c r="O4" cm="1">
        <f t="array" ref="O4">INDEX(Table1[riBAQ 41], MATCH(1, (Table3[[#This Row],[Gene names]:[Gene names]] = Table1[[Gene names]:[Gene names]])*1, 0))</f>
        <v>1.16625E-4</v>
      </c>
      <c r="P4" cm="1">
        <f t="array" ref="P4">INDEX(Table1[riBAQ 24], MATCH(1, (Table3[[#This Row],[Gene names]:[Gene names]] = Table1[[Gene names]:[Gene names]])*1, 0))</f>
        <v>1.6472899999999999E-4</v>
      </c>
      <c r="Q4" cm="1">
        <f t="array" ref="Q4">INDEX(Table1[riBAQ 25], MATCH(1, (Table3[[#This Row],[Gene names]:[Gene names]] = Table1[[Gene names]:[Gene names]])*1, 0))</f>
        <v>2.4668299999999998E-4</v>
      </c>
      <c r="R4" cm="1">
        <f t="array" ref="R4">INDEX(Table1[riBAQ 26], MATCH(1, (Table3[[#This Row],[Gene names]:[Gene names]] = Table1[[Gene names]:[Gene names]])*1, 0))</f>
        <v>1.88071E-4</v>
      </c>
      <c r="S4" cm="1">
        <f t="array" ref="S4">INDEX(Table1[riBAQ 42], MATCH(1, (Table3[[#This Row],[Gene names]:[Gene names]] = Table1[[Gene names]:[Gene names]])*1, 0))</f>
        <v>1.2771899999999999E-4</v>
      </c>
      <c r="T4" cm="1">
        <f t="array" ref="T4">INDEX(Table1[riBAQ 43], MATCH(1, (Table3[[#This Row],[Gene names]:[Gene names]] = Table1[[Gene names]:[Gene names]])*1, 0))</f>
        <v>3.6127499999999999E-4</v>
      </c>
    </row>
    <row r="5" spans="1:20" x14ac:dyDescent="0.25">
      <c r="A5" t="s">
        <v>991</v>
      </c>
      <c r="B5" cm="1">
        <f t="array" ref="B5">INDEX(Table1[riBAQ 17], MATCH(1, (Table3[[#This Row],[Gene names]:[Gene names]] = Table1[[Gene names]:[Gene names]])*1, 0))</f>
        <v>5.1700000000000003E-5</v>
      </c>
      <c r="C5" cm="1">
        <f t="array" ref="C5">INDEX(Table1[riBAQ 18], MATCH(1, (Table3[[#This Row],[Gene names]:[Gene names]] = Table1[[Gene names]:[Gene names]])*1, 0))</f>
        <v>4.1E-5</v>
      </c>
      <c r="D5" cm="1">
        <f t="array" ref="D5">INDEX(Table1[riBAQ 35], MATCH(1, (Table3[[#This Row],[Gene names]:[Gene names]] = Table1[[Gene names]:[Gene names]])*1, 0))</f>
        <v>4.8900000000000003E-5</v>
      </c>
      <c r="E5" cm="1">
        <f t="array" ref="E5">INDEX(Table1[riBAQ 36], MATCH(1, (Table3[[#This Row],[Gene names]:[Gene names]] = Table1[[Gene names]:[Gene names]])*1, 0))</f>
        <v>5.13E-5</v>
      </c>
      <c r="F5" cm="1">
        <f t="array" ref="F5">INDEX(Table1[riBAQ 19], MATCH(1, (Table3[[#This Row],[Gene names]:[Gene names]] = Table1[[Gene names]:[Gene names]])*1, 0))</f>
        <v>3.6600000000000002E-5</v>
      </c>
      <c r="G5" cm="1">
        <f t="array" ref="G5">INDEX(Table1[riBAQ 20], MATCH(1, (Table3[[#This Row],[Gene names]:[Gene names]] = Table1[[Gene names]:[Gene names]])*1, 0))</f>
        <v>4.1199999999999999E-5</v>
      </c>
      <c r="H5" cm="1">
        <f t="array" ref="H5">INDEX(Table1[riBAQ 21], MATCH(1, (Table3[[#This Row],[Gene names]:[Gene names]] = Table1[[Gene names]:[Gene names]])*1, 0))</f>
        <v>4.4799999999999998E-5</v>
      </c>
      <c r="I5" cm="1">
        <f t="array" ref="I5">INDEX(Table1[riBAQ 22], MATCH(1, (Table3[[#This Row],[Gene names]:[Gene names]] = Table1[[Gene names]:[Gene names]])*1, 0))</f>
        <v>3.9700000000000003E-5</v>
      </c>
      <c r="J5" cm="1">
        <f t="array" ref="J5">INDEX(Table1[riBAQ 23], MATCH(1, (Table3[[#This Row],[Gene names]:[Gene names]] = Table1[[Gene names]:[Gene names]])*1, 0))</f>
        <v>4.5500000000000001E-5</v>
      </c>
      <c r="K5" cm="1">
        <f t="array" ref="K5">INDEX(Table1[riBAQ 37], MATCH(1, (Table3[[#This Row],[Gene names]:[Gene names]] = Table1[[Gene names]:[Gene names]])*1, 0))</f>
        <v>5.8199999999999998E-5</v>
      </c>
      <c r="L5" cm="1">
        <f t="array" ref="L5">INDEX(Table1[riBAQ 38], MATCH(1, (Table3[[#This Row],[Gene names]:[Gene names]] = Table1[[Gene names]:[Gene names]])*1, 0))</f>
        <v>4.74E-5</v>
      </c>
      <c r="M5" cm="1">
        <f t="array" ref="M5">INDEX(Table1[riBAQ 39], MATCH(1, (Table3[[#This Row],[Gene names]:[Gene names]] = Table1[[Gene names]:[Gene names]])*1, 0))</f>
        <v>5.2200000000000002E-5</v>
      </c>
      <c r="N5" cm="1">
        <f t="array" ref="N5">INDEX(Table1[riBAQ 40], MATCH(1, (Table3[[#This Row],[Gene names]:[Gene names]] = Table1[[Gene names]:[Gene names]])*1, 0))</f>
        <v>4.6E-5</v>
      </c>
      <c r="O5" cm="1">
        <f t="array" ref="O5">INDEX(Table1[riBAQ 41], MATCH(1, (Table3[[#This Row],[Gene names]:[Gene names]] = Table1[[Gene names]:[Gene names]])*1, 0))</f>
        <v>4.6900000000000002E-5</v>
      </c>
      <c r="P5" cm="1">
        <f t="array" ref="P5">INDEX(Table1[riBAQ 24], MATCH(1, (Table3[[#This Row],[Gene names]:[Gene names]] = Table1[[Gene names]:[Gene names]])*1, 0))</f>
        <v>4.3699999999999998E-5</v>
      </c>
      <c r="Q5" cm="1">
        <f t="array" ref="Q5">INDEX(Table1[riBAQ 25], MATCH(1, (Table3[[#This Row],[Gene names]:[Gene names]] = Table1[[Gene names]:[Gene names]])*1, 0))</f>
        <v>3.5599999999999998E-5</v>
      </c>
      <c r="R5" cm="1">
        <f t="array" ref="R5">INDEX(Table1[riBAQ 26], MATCH(1, (Table3[[#This Row],[Gene names]:[Gene names]] = Table1[[Gene names]:[Gene names]])*1, 0))</f>
        <v>4.6999999999999997E-5</v>
      </c>
      <c r="S5" cm="1">
        <f t="array" ref="S5">INDEX(Table1[riBAQ 42], MATCH(1, (Table3[[#This Row],[Gene names]:[Gene names]] = Table1[[Gene names]:[Gene names]])*1, 0))</f>
        <v>3.4199999999999998E-5</v>
      </c>
      <c r="T5" cm="1">
        <f t="array" ref="T5">INDEX(Table1[riBAQ 43], MATCH(1, (Table3[[#This Row],[Gene names]:[Gene names]] = Table1[[Gene names]:[Gene names]])*1, 0))</f>
        <v>2.5599999999999999E-5</v>
      </c>
    </row>
    <row r="6" spans="1:20" x14ac:dyDescent="0.25">
      <c r="A6" t="s">
        <v>705</v>
      </c>
      <c r="B6" cm="1">
        <f t="array" ref="B6">INDEX(Table1[riBAQ 17], MATCH(1, (Table3[[#This Row],[Gene names]:[Gene names]] = Table1[[Gene names]:[Gene names]])*1, 0))</f>
        <v>2.3338100000000001E-4</v>
      </c>
      <c r="C6" cm="1">
        <f t="array" ref="C6">INDEX(Table1[riBAQ 18], MATCH(1, (Table3[[#This Row],[Gene names]:[Gene names]] = Table1[[Gene names]:[Gene names]])*1, 0))</f>
        <v>1.74098E-4</v>
      </c>
      <c r="D6" cm="1">
        <f t="array" ref="D6">INDEX(Table1[riBAQ 35], MATCH(1, (Table3[[#This Row],[Gene names]:[Gene names]] = Table1[[Gene names]:[Gene names]])*1, 0))</f>
        <v>1.85661E-4</v>
      </c>
      <c r="E6" cm="1">
        <f t="array" ref="E6">INDEX(Table1[riBAQ 36], MATCH(1, (Table3[[#This Row],[Gene names]:[Gene names]] = Table1[[Gene names]:[Gene names]])*1, 0))</f>
        <v>1.71206E-4</v>
      </c>
      <c r="F6" cm="1">
        <f t="array" ref="F6">INDEX(Table1[riBAQ 19], MATCH(1, (Table3[[#This Row],[Gene names]:[Gene names]] = Table1[[Gene names]:[Gene names]])*1, 0))</f>
        <v>2.6598399999999998E-4</v>
      </c>
      <c r="G6" cm="1">
        <f t="array" ref="G6">INDEX(Table1[riBAQ 20], MATCH(1, (Table3[[#This Row],[Gene names]:[Gene names]] = Table1[[Gene names]:[Gene names]])*1, 0))</f>
        <v>2.35372E-4</v>
      </c>
      <c r="H6" cm="1">
        <f t="array" ref="H6">INDEX(Table1[riBAQ 21], MATCH(1, (Table3[[#This Row],[Gene names]:[Gene names]] = Table1[[Gene names]:[Gene names]])*1, 0))</f>
        <v>1.7744000000000001E-4</v>
      </c>
      <c r="I6" cm="1">
        <f t="array" ref="I6">INDEX(Table1[riBAQ 22], MATCH(1, (Table3[[#This Row],[Gene names]:[Gene names]] = Table1[[Gene names]:[Gene names]])*1, 0))</f>
        <v>1.95191E-4</v>
      </c>
      <c r="J6" cm="1">
        <f t="array" ref="J6">INDEX(Table1[riBAQ 23], MATCH(1, (Table3[[#This Row],[Gene names]:[Gene names]] = Table1[[Gene names]:[Gene names]])*1, 0))</f>
        <v>2.4115700000000001E-4</v>
      </c>
      <c r="K6" cm="1">
        <f t="array" ref="K6">INDEX(Table1[riBAQ 37], MATCH(1, (Table3[[#This Row],[Gene names]:[Gene names]] = Table1[[Gene names]:[Gene names]])*1, 0))</f>
        <v>2.0359100000000001E-4</v>
      </c>
      <c r="L6" cm="1">
        <f t="array" ref="L6">INDEX(Table1[riBAQ 38], MATCH(1, (Table3[[#This Row],[Gene names]:[Gene names]] = Table1[[Gene names]:[Gene names]])*1, 0))</f>
        <v>1.94761E-4</v>
      </c>
      <c r="M6" cm="1">
        <f t="array" ref="M6">INDEX(Table1[riBAQ 39], MATCH(1, (Table3[[#This Row],[Gene names]:[Gene names]] = Table1[[Gene names]:[Gene names]])*1, 0))</f>
        <v>2.6719200000000003E-4</v>
      </c>
      <c r="N6" cm="1">
        <f t="array" ref="N6">INDEX(Table1[riBAQ 40], MATCH(1, (Table3[[#This Row],[Gene names]:[Gene names]] = Table1[[Gene names]:[Gene names]])*1, 0))</f>
        <v>1.5902000000000001E-4</v>
      </c>
      <c r="O6" cm="1">
        <f t="array" ref="O6">INDEX(Table1[riBAQ 41], MATCH(1, (Table3[[#This Row],[Gene names]:[Gene names]] = Table1[[Gene names]:[Gene names]])*1, 0))</f>
        <v>1.95961E-4</v>
      </c>
      <c r="P6" cm="1">
        <f t="array" ref="P6">INDEX(Table1[riBAQ 24], MATCH(1, (Table3[[#This Row],[Gene names]:[Gene names]] = Table1[[Gene names]:[Gene names]])*1, 0))</f>
        <v>3.4405200000000002E-4</v>
      </c>
      <c r="Q6" cm="1">
        <f t="array" ref="Q6">INDEX(Table1[riBAQ 25], MATCH(1, (Table3[[#This Row],[Gene names]:[Gene names]] = Table1[[Gene names]:[Gene names]])*1, 0))</f>
        <v>3.5668100000000002E-4</v>
      </c>
      <c r="R6" cm="1">
        <f t="array" ref="R6">INDEX(Table1[riBAQ 26], MATCH(1, (Table3[[#This Row],[Gene names]:[Gene names]] = Table1[[Gene names]:[Gene names]])*1, 0))</f>
        <v>3.7485600000000002E-4</v>
      </c>
      <c r="S6" cm="1">
        <f t="array" ref="S6">INDEX(Table1[riBAQ 42], MATCH(1, (Table3[[#This Row],[Gene names]:[Gene names]] = Table1[[Gene names]:[Gene names]])*1, 0))</f>
        <v>4.20488E-4</v>
      </c>
      <c r="T6" cm="1">
        <f t="array" ref="T6">INDEX(Table1[riBAQ 43], MATCH(1, (Table3[[#This Row],[Gene names]:[Gene names]] = Table1[[Gene names]:[Gene names]])*1, 0))</f>
        <v>4.0965499999999998E-4</v>
      </c>
    </row>
    <row r="7" spans="1:20" x14ac:dyDescent="0.25">
      <c r="A7" t="s">
        <v>1253</v>
      </c>
      <c r="B7" cm="1">
        <f t="array" ref="B7">INDEX(Table1[riBAQ 17], MATCH(1, (Table3[[#This Row],[Gene names]:[Gene names]] = Table1[[Gene names]:[Gene names]])*1, 0))</f>
        <v>0</v>
      </c>
      <c r="C7" cm="1">
        <f t="array" ref="C7">INDEX(Table1[riBAQ 18], MATCH(1, (Table3[[#This Row],[Gene names]:[Gene names]] = Table1[[Gene names]:[Gene names]])*1, 0))</f>
        <v>0</v>
      </c>
      <c r="D7" cm="1">
        <f t="array" ref="D7">INDEX(Table1[riBAQ 35], MATCH(1, (Table3[[#This Row],[Gene names]:[Gene names]] = Table1[[Gene names]:[Gene names]])*1, 0))</f>
        <v>0</v>
      </c>
      <c r="E7" cm="1">
        <f t="array" ref="E7">INDEX(Table1[riBAQ 36], MATCH(1, (Table3[[#This Row],[Gene names]:[Gene names]] = Table1[[Gene names]:[Gene names]])*1, 0))</f>
        <v>0</v>
      </c>
      <c r="F7" cm="1">
        <f t="array" ref="F7">INDEX(Table1[riBAQ 19], MATCH(1, (Table3[[#This Row],[Gene names]:[Gene names]] = Table1[[Gene names]:[Gene names]])*1, 0))</f>
        <v>0</v>
      </c>
      <c r="G7" cm="1">
        <f t="array" ref="G7">INDEX(Table1[riBAQ 20], MATCH(1, (Table3[[#This Row],[Gene names]:[Gene names]] = Table1[[Gene names]:[Gene names]])*1, 0))</f>
        <v>0</v>
      </c>
      <c r="H7" cm="1">
        <f t="array" ref="H7">INDEX(Table1[riBAQ 21], MATCH(1, (Table3[[#This Row],[Gene names]:[Gene names]] = Table1[[Gene names]:[Gene names]])*1, 0))</f>
        <v>0</v>
      </c>
      <c r="I7" cm="1">
        <f t="array" ref="I7">INDEX(Table1[riBAQ 22], MATCH(1, (Table3[[#This Row],[Gene names]:[Gene names]] = Table1[[Gene names]:[Gene names]])*1, 0))</f>
        <v>0</v>
      </c>
      <c r="J7" cm="1">
        <f t="array" ref="J7">INDEX(Table1[riBAQ 23], MATCH(1, (Table3[[#This Row],[Gene names]:[Gene names]] = Table1[[Gene names]:[Gene names]])*1, 0))</f>
        <v>0</v>
      </c>
      <c r="K7" cm="1">
        <f t="array" ref="K7">INDEX(Table1[riBAQ 37], MATCH(1, (Table3[[#This Row],[Gene names]:[Gene names]] = Table1[[Gene names]:[Gene names]])*1, 0))</f>
        <v>0</v>
      </c>
      <c r="L7" cm="1">
        <f t="array" ref="L7">INDEX(Table1[riBAQ 38], MATCH(1, (Table3[[#This Row],[Gene names]:[Gene names]] = Table1[[Gene names]:[Gene names]])*1, 0))</f>
        <v>0</v>
      </c>
      <c r="M7" cm="1">
        <f t="array" ref="M7">INDEX(Table1[riBAQ 39], MATCH(1, (Table3[[#This Row],[Gene names]:[Gene names]] = Table1[[Gene names]:[Gene names]])*1, 0))</f>
        <v>0</v>
      </c>
      <c r="N7" cm="1">
        <f t="array" ref="N7">INDEX(Table1[riBAQ 40], MATCH(1, (Table3[[#This Row],[Gene names]:[Gene names]] = Table1[[Gene names]:[Gene names]])*1, 0))</f>
        <v>0</v>
      </c>
      <c r="O7" cm="1">
        <f t="array" ref="O7">INDEX(Table1[riBAQ 41], MATCH(1, (Table3[[#This Row],[Gene names]:[Gene names]] = Table1[[Gene names]:[Gene names]])*1, 0))</f>
        <v>0</v>
      </c>
      <c r="P7" cm="1">
        <f t="array" ref="P7">INDEX(Table1[riBAQ 24], MATCH(1, (Table3[[#This Row],[Gene names]:[Gene names]] = Table1[[Gene names]:[Gene names]])*1, 0))</f>
        <v>0</v>
      </c>
      <c r="Q7" cm="1">
        <f t="array" ref="Q7">INDEX(Table1[riBAQ 25], MATCH(1, (Table3[[#This Row],[Gene names]:[Gene names]] = Table1[[Gene names]:[Gene names]])*1, 0))</f>
        <v>1.6200000000000001E-5</v>
      </c>
      <c r="R7" cm="1">
        <f t="array" ref="R7">INDEX(Table1[riBAQ 26], MATCH(1, (Table3[[#This Row],[Gene names]:[Gene names]] = Table1[[Gene names]:[Gene names]])*1, 0))</f>
        <v>2.0100000000000001E-5</v>
      </c>
      <c r="S7" cm="1">
        <f t="array" ref="S7">INDEX(Table1[riBAQ 42], MATCH(1, (Table3[[#This Row],[Gene names]:[Gene names]] = Table1[[Gene names]:[Gene names]])*1, 0))</f>
        <v>2.3799999999999999E-5</v>
      </c>
      <c r="T7" cm="1">
        <f t="array" ref="T7">INDEX(Table1[riBAQ 43], MATCH(1, (Table3[[#This Row],[Gene names]:[Gene names]] = Table1[[Gene names]:[Gene names]])*1, 0))</f>
        <v>1.9400000000000001E-5</v>
      </c>
    </row>
    <row r="8" spans="1:20" x14ac:dyDescent="0.25">
      <c r="A8" t="s">
        <v>744</v>
      </c>
      <c r="B8" cm="1">
        <f t="array" ref="B8">INDEX(Table1[riBAQ 17], MATCH(1, (Table3[[#This Row],[Gene names]:[Gene names]] = Table1[[Gene names]:[Gene names]])*1, 0))</f>
        <v>0</v>
      </c>
      <c r="C8" cm="1">
        <f t="array" ref="C8">INDEX(Table1[riBAQ 18], MATCH(1, (Table3[[#This Row],[Gene names]:[Gene names]] = Table1[[Gene names]:[Gene names]])*1, 0))</f>
        <v>0</v>
      </c>
      <c r="D8" cm="1">
        <f t="array" ref="D8">INDEX(Table1[riBAQ 35], MATCH(1, (Table3[[#This Row],[Gene names]:[Gene names]] = Table1[[Gene names]:[Gene names]])*1, 0))</f>
        <v>0</v>
      </c>
      <c r="E8" cm="1">
        <f t="array" ref="E8">INDEX(Table1[riBAQ 36], MATCH(1, (Table3[[#This Row],[Gene names]:[Gene names]] = Table1[[Gene names]:[Gene names]])*1, 0))</f>
        <v>0</v>
      </c>
      <c r="F8" cm="1">
        <f t="array" ref="F8">INDEX(Table1[riBAQ 19], MATCH(1, (Table3[[#This Row],[Gene names]:[Gene names]] = Table1[[Gene names]:[Gene names]])*1, 0))</f>
        <v>0</v>
      </c>
      <c r="G8" cm="1">
        <f t="array" ref="G8">INDEX(Table1[riBAQ 20], MATCH(1, (Table3[[#This Row],[Gene names]:[Gene names]] = Table1[[Gene names]:[Gene names]])*1, 0))</f>
        <v>0</v>
      </c>
      <c r="H8" cm="1">
        <f t="array" ref="H8">INDEX(Table1[riBAQ 21], MATCH(1, (Table3[[#This Row],[Gene names]:[Gene names]] = Table1[[Gene names]:[Gene names]])*1, 0))</f>
        <v>0</v>
      </c>
      <c r="I8" cm="1">
        <f t="array" ref="I8">INDEX(Table1[riBAQ 22], MATCH(1, (Table3[[#This Row],[Gene names]:[Gene names]] = Table1[[Gene names]:[Gene names]])*1, 0))</f>
        <v>0</v>
      </c>
      <c r="J8" cm="1">
        <f t="array" ref="J8">INDEX(Table1[riBAQ 23], MATCH(1, (Table3[[#This Row],[Gene names]:[Gene names]] = Table1[[Gene names]:[Gene names]])*1, 0))</f>
        <v>0</v>
      </c>
      <c r="K8" cm="1">
        <f t="array" ref="K8">INDEX(Table1[riBAQ 37], MATCH(1, (Table3[[#This Row],[Gene names]:[Gene names]] = Table1[[Gene names]:[Gene names]])*1, 0))</f>
        <v>0</v>
      </c>
      <c r="L8" cm="1">
        <f t="array" ref="L8">INDEX(Table1[riBAQ 38], MATCH(1, (Table3[[#This Row],[Gene names]:[Gene names]] = Table1[[Gene names]:[Gene names]])*1, 0))</f>
        <v>0</v>
      </c>
      <c r="M8" cm="1">
        <f t="array" ref="M8">INDEX(Table1[riBAQ 39], MATCH(1, (Table3[[#This Row],[Gene names]:[Gene names]] = Table1[[Gene names]:[Gene names]])*1, 0))</f>
        <v>0</v>
      </c>
      <c r="N8" cm="1">
        <f t="array" ref="N8">INDEX(Table1[riBAQ 40], MATCH(1, (Table3[[#This Row],[Gene names]:[Gene names]] = Table1[[Gene names]:[Gene names]])*1, 0))</f>
        <v>0</v>
      </c>
      <c r="O8" cm="1">
        <f t="array" ref="O8">INDEX(Table1[riBAQ 41], MATCH(1, (Table3[[#This Row],[Gene names]:[Gene names]] = Table1[[Gene names]:[Gene names]])*1, 0))</f>
        <v>0</v>
      </c>
      <c r="P8" cm="1">
        <f t="array" ref="P8">INDEX(Table1[riBAQ 24], MATCH(1, (Table3[[#This Row],[Gene names]:[Gene names]] = Table1[[Gene names]:[Gene names]])*1, 0))</f>
        <v>2.3099999999999999E-5</v>
      </c>
      <c r="Q8" cm="1">
        <f t="array" ref="Q8">INDEX(Table1[riBAQ 25], MATCH(1, (Table3[[#This Row],[Gene names]:[Gene names]] = Table1[[Gene names]:[Gene names]])*1, 0))</f>
        <v>3.43E-5</v>
      </c>
      <c r="R8" cm="1">
        <f t="array" ref="R8">INDEX(Table1[riBAQ 26], MATCH(1, (Table3[[#This Row],[Gene names]:[Gene names]] = Table1[[Gene names]:[Gene names]])*1, 0))</f>
        <v>2.7900000000000001E-5</v>
      </c>
      <c r="S8" cm="1">
        <f t="array" ref="S8">INDEX(Table1[riBAQ 42], MATCH(1, (Table3[[#This Row],[Gene names]:[Gene names]] = Table1[[Gene names]:[Gene names]])*1, 0))</f>
        <v>2.9600000000000001E-5</v>
      </c>
      <c r="T8" cm="1">
        <f t="array" ref="T8">INDEX(Table1[riBAQ 43], MATCH(1, (Table3[[#This Row],[Gene names]:[Gene names]] = Table1[[Gene names]:[Gene names]])*1, 0))</f>
        <v>3.9199999999999997E-5</v>
      </c>
    </row>
    <row r="9" spans="1:20" x14ac:dyDescent="0.25">
      <c r="A9" t="s">
        <v>53</v>
      </c>
      <c r="B9" cm="1">
        <f t="array" ref="B9">INDEX(Table1[riBAQ 17], MATCH(1, (Table3[[#This Row],[Gene names]:[Gene names]] = Table1[[Gene names]:[Gene names]])*1, 0))</f>
        <v>0</v>
      </c>
      <c r="C9" cm="1">
        <f t="array" ref="C9">INDEX(Table1[riBAQ 18], MATCH(1, (Table3[[#This Row],[Gene names]:[Gene names]] = Table1[[Gene names]:[Gene names]])*1, 0))</f>
        <v>0</v>
      </c>
      <c r="D9" cm="1">
        <f t="array" ref="D9">INDEX(Table1[riBAQ 35], MATCH(1, (Table3[[#This Row],[Gene names]:[Gene names]] = Table1[[Gene names]:[Gene names]])*1, 0))</f>
        <v>0</v>
      </c>
      <c r="E9" cm="1">
        <f t="array" ref="E9">INDEX(Table1[riBAQ 36], MATCH(1, (Table3[[#This Row],[Gene names]:[Gene names]] = Table1[[Gene names]:[Gene names]])*1, 0))</f>
        <v>0</v>
      </c>
      <c r="F9" cm="1">
        <f t="array" ref="F9">INDEX(Table1[riBAQ 19], MATCH(1, (Table3[[#This Row],[Gene names]:[Gene names]] = Table1[[Gene names]:[Gene names]])*1, 0))</f>
        <v>1.1199999999999999E-5</v>
      </c>
      <c r="G9" cm="1">
        <f t="array" ref="G9">INDEX(Table1[riBAQ 20], MATCH(1, (Table3[[#This Row],[Gene names]:[Gene names]] = Table1[[Gene names]:[Gene names]])*1, 0))</f>
        <v>0</v>
      </c>
      <c r="H9" cm="1">
        <f t="array" ref="H9">INDEX(Table1[riBAQ 21], MATCH(1, (Table3[[#This Row],[Gene names]:[Gene names]] = Table1[[Gene names]:[Gene names]])*1, 0))</f>
        <v>0</v>
      </c>
      <c r="I9" cm="1">
        <f t="array" ref="I9">INDEX(Table1[riBAQ 22], MATCH(1, (Table3[[#This Row],[Gene names]:[Gene names]] = Table1[[Gene names]:[Gene names]])*1, 0))</f>
        <v>0</v>
      </c>
      <c r="J9" cm="1">
        <f t="array" ref="J9">INDEX(Table1[riBAQ 23], MATCH(1, (Table3[[#This Row],[Gene names]:[Gene names]] = Table1[[Gene names]:[Gene names]])*1, 0))</f>
        <v>0</v>
      </c>
      <c r="K9" cm="1">
        <f t="array" ref="K9">INDEX(Table1[riBAQ 37], MATCH(1, (Table3[[#This Row],[Gene names]:[Gene names]] = Table1[[Gene names]:[Gene names]])*1, 0))</f>
        <v>7.8099999999999998E-6</v>
      </c>
      <c r="L9" cm="1">
        <f t="array" ref="L9">INDEX(Table1[riBAQ 38], MATCH(1, (Table3[[#This Row],[Gene names]:[Gene names]] = Table1[[Gene names]:[Gene names]])*1, 0))</f>
        <v>1.03E-5</v>
      </c>
      <c r="M9" cm="1">
        <f t="array" ref="M9">INDEX(Table1[riBAQ 39], MATCH(1, (Table3[[#This Row],[Gene names]:[Gene names]] = Table1[[Gene names]:[Gene names]])*1, 0))</f>
        <v>0</v>
      </c>
      <c r="N9" cm="1">
        <f t="array" ref="N9">INDEX(Table1[riBAQ 40], MATCH(1, (Table3[[#This Row],[Gene names]:[Gene names]] = Table1[[Gene names]:[Gene names]])*1, 0))</f>
        <v>0</v>
      </c>
      <c r="O9" cm="1">
        <f t="array" ref="O9">INDEX(Table1[riBAQ 41], MATCH(1, (Table3[[#This Row],[Gene names]:[Gene names]] = Table1[[Gene names]:[Gene names]])*1, 0))</f>
        <v>0</v>
      </c>
      <c r="P9" cm="1">
        <f t="array" ref="P9">INDEX(Table1[riBAQ 24], MATCH(1, (Table3[[#This Row],[Gene names]:[Gene names]] = Table1[[Gene names]:[Gene names]])*1, 0))</f>
        <v>0</v>
      </c>
      <c r="Q9" cm="1">
        <f t="array" ref="Q9">INDEX(Table1[riBAQ 25], MATCH(1, (Table3[[#This Row],[Gene names]:[Gene names]] = Table1[[Gene names]:[Gene names]])*1, 0))</f>
        <v>1.73E-5</v>
      </c>
      <c r="R9" cm="1">
        <f t="array" ref="R9">INDEX(Table1[riBAQ 26], MATCH(1, (Table3[[#This Row],[Gene names]:[Gene names]] = Table1[[Gene names]:[Gene names]])*1, 0))</f>
        <v>1.1800000000000001E-5</v>
      </c>
      <c r="S9" cm="1">
        <f t="array" ref="S9">INDEX(Table1[riBAQ 42], MATCH(1, (Table3[[#This Row],[Gene names]:[Gene names]] = Table1[[Gene names]:[Gene names]])*1, 0))</f>
        <v>9.3300000000000005E-6</v>
      </c>
      <c r="T9" cm="1">
        <f t="array" ref="T9">INDEX(Table1[riBAQ 43], MATCH(1, (Table3[[#This Row],[Gene names]:[Gene names]] = Table1[[Gene names]:[Gene names]])*1, 0))</f>
        <v>4.1600000000000002E-5</v>
      </c>
    </row>
    <row r="10" spans="1:20" x14ac:dyDescent="0.25">
      <c r="A10" t="s">
        <v>1083</v>
      </c>
      <c r="B10" cm="1">
        <f t="array" ref="B10">INDEX(Table1[riBAQ 17], MATCH(1, (Table3[[#This Row],[Gene names]:[Gene names]] = Table1[[Gene names]:[Gene names]])*1, 0))</f>
        <v>1.7799999999999999E-5</v>
      </c>
      <c r="C10" cm="1">
        <f t="array" ref="C10">INDEX(Table1[riBAQ 18], MATCH(1, (Table3[[#This Row],[Gene names]:[Gene names]] = Table1[[Gene names]:[Gene names]])*1, 0))</f>
        <v>0</v>
      </c>
      <c r="D10" cm="1">
        <f t="array" ref="D10">INDEX(Table1[riBAQ 35], MATCH(1, (Table3[[#This Row],[Gene names]:[Gene names]] = Table1[[Gene names]:[Gene names]])*1, 0))</f>
        <v>1.0000000000000001E-5</v>
      </c>
      <c r="E10" cm="1">
        <f t="array" ref="E10">INDEX(Table1[riBAQ 36], MATCH(1, (Table3[[#This Row],[Gene names]:[Gene names]] = Table1[[Gene names]:[Gene names]])*1, 0))</f>
        <v>1.1800000000000001E-5</v>
      </c>
      <c r="F10" cm="1">
        <f t="array" ref="F10">INDEX(Table1[riBAQ 19], MATCH(1, (Table3[[#This Row],[Gene names]:[Gene names]] = Table1[[Gene names]:[Gene names]])*1, 0))</f>
        <v>4.5599999999999997E-5</v>
      </c>
      <c r="G10" cm="1">
        <f t="array" ref="G10">INDEX(Table1[riBAQ 20], MATCH(1, (Table3[[#This Row],[Gene names]:[Gene names]] = Table1[[Gene names]:[Gene names]])*1, 0))</f>
        <v>7.4400000000000006E-5</v>
      </c>
      <c r="H10" cm="1">
        <f t="array" ref="H10">INDEX(Table1[riBAQ 21], MATCH(1, (Table3[[#This Row],[Gene names]:[Gene names]] = Table1[[Gene names]:[Gene names]])*1, 0))</f>
        <v>3.4400000000000003E-5</v>
      </c>
      <c r="I10" cm="1">
        <f t="array" ref="I10">INDEX(Table1[riBAQ 22], MATCH(1, (Table3[[#This Row],[Gene names]:[Gene names]] = Table1[[Gene names]:[Gene names]])*1, 0))</f>
        <v>3.57E-5</v>
      </c>
      <c r="J10" cm="1">
        <f t="array" ref="J10">INDEX(Table1[riBAQ 23], MATCH(1, (Table3[[#This Row],[Gene names]:[Gene names]] = Table1[[Gene names]:[Gene names]])*1, 0))</f>
        <v>2.5400000000000001E-5</v>
      </c>
      <c r="K10" cm="1">
        <f t="array" ref="K10">INDEX(Table1[riBAQ 37], MATCH(1, (Table3[[#This Row],[Gene names]:[Gene names]] = Table1[[Gene names]:[Gene names]])*1, 0))</f>
        <v>3.1600000000000002E-5</v>
      </c>
      <c r="L10" cm="1">
        <f t="array" ref="L10">INDEX(Table1[riBAQ 38], MATCH(1, (Table3[[#This Row],[Gene names]:[Gene names]] = Table1[[Gene names]:[Gene names]])*1, 0))</f>
        <v>2.05E-5</v>
      </c>
      <c r="M10" cm="1">
        <f t="array" ref="M10">INDEX(Table1[riBAQ 39], MATCH(1, (Table3[[#This Row],[Gene names]:[Gene names]] = Table1[[Gene names]:[Gene names]])*1, 0))</f>
        <v>1.8700000000000001E-5</v>
      </c>
      <c r="N10" cm="1">
        <f t="array" ref="N10">INDEX(Table1[riBAQ 40], MATCH(1, (Table3[[#This Row],[Gene names]:[Gene names]] = Table1[[Gene names]:[Gene names]])*1, 0))</f>
        <v>1.7900000000000001E-5</v>
      </c>
      <c r="O10" cm="1">
        <f t="array" ref="O10">INDEX(Table1[riBAQ 41], MATCH(1, (Table3[[#This Row],[Gene names]:[Gene names]] = Table1[[Gene names]:[Gene names]])*1, 0))</f>
        <v>9.5000000000000005E-6</v>
      </c>
      <c r="P10" cm="1">
        <f t="array" ref="P10">INDEX(Table1[riBAQ 24], MATCH(1, (Table3[[#This Row],[Gene names]:[Gene names]] = Table1[[Gene names]:[Gene names]])*1, 0))</f>
        <v>8.1799999999999996E-5</v>
      </c>
      <c r="Q10" cm="1">
        <f t="array" ref="Q10">INDEX(Table1[riBAQ 25], MATCH(1, (Table3[[#This Row],[Gene names]:[Gene names]] = Table1[[Gene names]:[Gene names]])*1, 0))</f>
        <v>2.8145699999999999E-4</v>
      </c>
      <c r="R10" cm="1">
        <f t="array" ref="R10">INDEX(Table1[riBAQ 26], MATCH(1, (Table3[[#This Row],[Gene names]:[Gene names]] = Table1[[Gene names]:[Gene names]])*1, 0))</f>
        <v>1.90359E-4</v>
      </c>
      <c r="S10" cm="1">
        <f t="array" ref="S10">INDEX(Table1[riBAQ 42], MATCH(1, (Table3[[#This Row],[Gene names]:[Gene names]] = Table1[[Gene names]:[Gene names]])*1, 0))</f>
        <v>1.29939E-4</v>
      </c>
      <c r="T10" cm="1">
        <f t="array" ref="T10">INDEX(Table1[riBAQ 43], MATCH(1, (Table3[[#This Row],[Gene names]:[Gene names]] = Table1[[Gene names]:[Gene names]])*1, 0))</f>
        <v>4.6030300000000001E-4</v>
      </c>
    </row>
    <row r="11" spans="1:20" x14ac:dyDescent="0.25">
      <c r="A11" t="s">
        <v>397</v>
      </c>
      <c r="B11" cm="1">
        <f t="array" ref="B11">INDEX(Table1[riBAQ 17], MATCH(1, (Table3[[#This Row],[Gene names]:[Gene names]] = Table1[[Gene names]:[Gene names]])*1, 0))</f>
        <v>2.39829E-4</v>
      </c>
      <c r="C11" cm="1">
        <f t="array" ref="C11">INDEX(Table1[riBAQ 18], MATCH(1, (Table3[[#This Row],[Gene names]:[Gene names]] = Table1[[Gene names]:[Gene names]])*1, 0))</f>
        <v>7.9499999999999994E-5</v>
      </c>
      <c r="D11" cm="1">
        <f t="array" ref="D11">INDEX(Table1[riBAQ 35], MATCH(1, (Table3[[#This Row],[Gene names]:[Gene names]] = Table1[[Gene names]:[Gene names]])*1, 0))</f>
        <v>7.2299999999999996E-5</v>
      </c>
      <c r="E11" cm="1">
        <f t="array" ref="E11">INDEX(Table1[riBAQ 36], MATCH(1, (Table3[[#This Row],[Gene names]:[Gene names]] = Table1[[Gene names]:[Gene names]])*1, 0))</f>
        <v>1.10715E-4</v>
      </c>
      <c r="F11" cm="1">
        <f t="array" ref="F11">INDEX(Table1[riBAQ 19], MATCH(1, (Table3[[#This Row],[Gene names]:[Gene names]] = Table1[[Gene names]:[Gene names]])*1, 0))</f>
        <v>3.6363500000000001E-4</v>
      </c>
      <c r="G11" cm="1">
        <f t="array" ref="G11">INDEX(Table1[riBAQ 20], MATCH(1, (Table3[[#This Row],[Gene names]:[Gene names]] = Table1[[Gene names]:[Gene names]])*1, 0))</f>
        <v>3.1760700000000002E-4</v>
      </c>
      <c r="H11" cm="1">
        <f t="array" ref="H11">INDEX(Table1[riBAQ 21], MATCH(1, (Table3[[#This Row],[Gene names]:[Gene names]] = Table1[[Gene names]:[Gene names]])*1, 0))</f>
        <v>2.3467299999999999E-4</v>
      </c>
      <c r="I11" cm="1">
        <f t="array" ref="I11">INDEX(Table1[riBAQ 22], MATCH(1, (Table3[[#This Row],[Gene names]:[Gene names]] = Table1[[Gene names]:[Gene names]])*1, 0))</f>
        <v>2.6812E-4</v>
      </c>
      <c r="J11" cm="1">
        <f t="array" ref="J11">INDEX(Table1[riBAQ 23], MATCH(1, (Table3[[#This Row],[Gene names]:[Gene names]] = Table1[[Gene names]:[Gene names]])*1, 0))</f>
        <v>1.93112E-4</v>
      </c>
      <c r="K11" cm="1">
        <f t="array" ref="K11">INDEX(Table1[riBAQ 37], MATCH(1, (Table3[[#This Row],[Gene names]:[Gene names]] = Table1[[Gene names]:[Gene names]])*1, 0))</f>
        <v>2.8391100000000003E-4</v>
      </c>
      <c r="L11" cm="1">
        <f t="array" ref="L11">INDEX(Table1[riBAQ 38], MATCH(1, (Table3[[#This Row],[Gene names]:[Gene names]] = Table1[[Gene names]:[Gene names]])*1, 0))</f>
        <v>1.4068300000000001E-4</v>
      </c>
      <c r="M11" cm="1">
        <f t="array" ref="M11">INDEX(Table1[riBAQ 39], MATCH(1, (Table3[[#This Row],[Gene names]:[Gene names]] = Table1[[Gene names]:[Gene names]])*1, 0))</f>
        <v>1.58491E-4</v>
      </c>
      <c r="N11" cm="1">
        <f t="array" ref="N11">INDEX(Table1[riBAQ 40], MATCH(1, (Table3[[#This Row],[Gene names]:[Gene names]] = Table1[[Gene names]:[Gene names]])*1, 0))</f>
        <v>1.1626899999999999E-4</v>
      </c>
      <c r="O11" cm="1">
        <f t="array" ref="O11">INDEX(Table1[riBAQ 41], MATCH(1, (Table3[[#This Row],[Gene names]:[Gene names]] = Table1[[Gene names]:[Gene names]])*1, 0))</f>
        <v>6.9200000000000002E-5</v>
      </c>
      <c r="P11" cm="1">
        <f t="array" ref="P11">INDEX(Table1[riBAQ 24], MATCH(1, (Table3[[#This Row],[Gene names]:[Gene names]] = Table1[[Gene names]:[Gene names]])*1, 0))</f>
        <v>5.1700699999999999E-4</v>
      </c>
      <c r="Q11" cm="1">
        <f t="array" ref="Q11">INDEX(Table1[riBAQ 25], MATCH(1, (Table3[[#This Row],[Gene names]:[Gene names]] = Table1[[Gene names]:[Gene names]])*1, 0))</f>
        <v>1.4657629999999999E-3</v>
      </c>
      <c r="R11" cm="1">
        <f t="array" ref="R11">INDEX(Table1[riBAQ 26], MATCH(1, (Table3[[#This Row],[Gene names]:[Gene names]] = Table1[[Gene names]:[Gene names]])*1, 0))</f>
        <v>9.0820899999999999E-4</v>
      </c>
      <c r="S11" cm="1">
        <f t="array" ref="S11">INDEX(Table1[riBAQ 42], MATCH(1, (Table3[[#This Row],[Gene names]:[Gene names]] = Table1[[Gene names]:[Gene names]])*1, 0))</f>
        <v>5.1356100000000005E-4</v>
      </c>
      <c r="T11" cm="1">
        <f t="array" ref="T11">INDEX(Table1[riBAQ 43], MATCH(1, (Table3[[#This Row],[Gene names]:[Gene names]] = Table1[[Gene names]:[Gene names]])*1, 0))</f>
        <v>2.1696110000000001E-3</v>
      </c>
    </row>
    <row r="12" spans="1:20" x14ac:dyDescent="0.25">
      <c r="A12" t="s">
        <v>1081</v>
      </c>
      <c r="B12" cm="1">
        <f t="array" ref="B12">INDEX(Table1[riBAQ 17], MATCH(1, (Table3[[#This Row],[Gene names]:[Gene names]] = Table1[[Gene names]:[Gene names]])*1, 0))</f>
        <v>0</v>
      </c>
      <c r="C12" cm="1">
        <f t="array" ref="C12">INDEX(Table1[riBAQ 18], MATCH(1, (Table3[[#This Row],[Gene names]:[Gene names]] = Table1[[Gene names]:[Gene names]])*1, 0))</f>
        <v>0</v>
      </c>
      <c r="D12" cm="1">
        <f t="array" ref="D12">INDEX(Table1[riBAQ 35], MATCH(1, (Table3[[#This Row],[Gene names]:[Gene names]] = Table1[[Gene names]:[Gene names]])*1, 0))</f>
        <v>0</v>
      </c>
      <c r="E12" cm="1">
        <f t="array" ref="E12">INDEX(Table1[riBAQ 36], MATCH(1, (Table3[[#This Row],[Gene names]:[Gene names]] = Table1[[Gene names]:[Gene names]])*1, 0))</f>
        <v>0</v>
      </c>
      <c r="F12" cm="1">
        <f t="array" ref="F12">INDEX(Table1[riBAQ 19], MATCH(1, (Table3[[#This Row],[Gene names]:[Gene names]] = Table1[[Gene names]:[Gene names]])*1, 0))</f>
        <v>0</v>
      </c>
      <c r="G12" cm="1">
        <f t="array" ref="G12">INDEX(Table1[riBAQ 20], MATCH(1, (Table3[[#This Row],[Gene names]:[Gene names]] = Table1[[Gene names]:[Gene names]])*1, 0))</f>
        <v>0</v>
      </c>
      <c r="H12" cm="1">
        <f t="array" ref="H12">INDEX(Table1[riBAQ 21], MATCH(1, (Table3[[#This Row],[Gene names]:[Gene names]] = Table1[[Gene names]:[Gene names]])*1, 0))</f>
        <v>0</v>
      </c>
      <c r="I12" cm="1">
        <f t="array" ref="I12">INDEX(Table1[riBAQ 22], MATCH(1, (Table3[[#This Row],[Gene names]:[Gene names]] = Table1[[Gene names]:[Gene names]])*1, 0))</f>
        <v>0</v>
      </c>
      <c r="J12" cm="1">
        <f t="array" ref="J12">INDEX(Table1[riBAQ 23], MATCH(1, (Table3[[#This Row],[Gene names]:[Gene names]] = Table1[[Gene names]:[Gene names]])*1, 0))</f>
        <v>0</v>
      </c>
      <c r="K12" cm="1">
        <f t="array" ref="K12">INDEX(Table1[riBAQ 37], MATCH(1, (Table3[[#This Row],[Gene names]:[Gene names]] = Table1[[Gene names]:[Gene names]])*1, 0))</f>
        <v>0</v>
      </c>
      <c r="L12" cm="1">
        <f t="array" ref="L12">INDEX(Table1[riBAQ 38], MATCH(1, (Table3[[#This Row],[Gene names]:[Gene names]] = Table1[[Gene names]:[Gene names]])*1, 0))</f>
        <v>0</v>
      </c>
      <c r="M12" cm="1">
        <f t="array" ref="M12">INDEX(Table1[riBAQ 39], MATCH(1, (Table3[[#This Row],[Gene names]:[Gene names]] = Table1[[Gene names]:[Gene names]])*1, 0))</f>
        <v>0</v>
      </c>
      <c r="N12" cm="1">
        <f t="array" ref="N12">INDEX(Table1[riBAQ 40], MATCH(1, (Table3[[#This Row],[Gene names]:[Gene names]] = Table1[[Gene names]:[Gene names]])*1, 0))</f>
        <v>0</v>
      </c>
      <c r="O12" cm="1">
        <f t="array" ref="O12">INDEX(Table1[riBAQ 41], MATCH(1, (Table3[[#This Row],[Gene names]:[Gene names]] = Table1[[Gene names]:[Gene names]])*1, 0))</f>
        <v>0</v>
      </c>
      <c r="P12" cm="1">
        <f t="array" ref="P12">INDEX(Table1[riBAQ 24], MATCH(1, (Table3[[#This Row],[Gene names]:[Gene names]] = Table1[[Gene names]:[Gene names]])*1, 0))</f>
        <v>1.07409E-4</v>
      </c>
      <c r="Q12" cm="1">
        <f t="array" ref="Q12">INDEX(Table1[riBAQ 25], MATCH(1, (Table3[[#This Row],[Gene names]:[Gene names]] = Table1[[Gene names]:[Gene names]])*1, 0))</f>
        <v>3.1278399999999998E-4</v>
      </c>
      <c r="R12" cm="1">
        <f t="array" ref="R12">INDEX(Table1[riBAQ 26], MATCH(1, (Table3[[#This Row],[Gene names]:[Gene names]] = Table1[[Gene names]:[Gene names]])*1, 0))</f>
        <v>1.7790699999999999E-4</v>
      </c>
      <c r="S12" cm="1">
        <f t="array" ref="S12">INDEX(Table1[riBAQ 42], MATCH(1, (Table3[[#This Row],[Gene names]:[Gene names]] = Table1[[Gene names]:[Gene names]])*1, 0))</f>
        <v>0</v>
      </c>
      <c r="T12" cm="1">
        <f t="array" ref="T12">INDEX(Table1[riBAQ 43], MATCH(1, (Table3[[#This Row],[Gene names]:[Gene names]] = Table1[[Gene names]:[Gene names]])*1, 0))</f>
        <v>4.3597800000000001E-4</v>
      </c>
    </row>
    <row r="13" spans="1:20" x14ac:dyDescent="0.25">
      <c r="A13" t="s">
        <v>708</v>
      </c>
      <c r="B13" cm="1">
        <f t="array" ref="B13">INDEX(Table1[riBAQ 17], MATCH(1, (Table3[[#This Row],[Gene names]:[Gene names]] = Table1[[Gene names]:[Gene names]])*1, 0))</f>
        <v>4.1610900000000001E-4</v>
      </c>
      <c r="C13" cm="1">
        <f t="array" ref="C13">INDEX(Table1[riBAQ 18], MATCH(1, (Table3[[#This Row],[Gene names]:[Gene names]] = Table1[[Gene names]:[Gene names]])*1, 0))</f>
        <v>3.0042600000000001E-4</v>
      </c>
      <c r="D13" cm="1">
        <f t="array" ref="D13">INDEX(Table1[riBAQ 35], MATCH(1, (Table3[[#This Row],[Gene names]:[Gene names]] = Table1[[Gene names]:[Gene names]])*1, 0))</f>
        <v>3.9806200000000003E-4</v>
      </c>
      <c r="E13" cm="1">
        <f t="array" ref="E13">INDEX(Table1[riBAQ 36], MATCH(1, (Table3[[#This Row],[Gene names]:[Gene names]] = Table1[[Gene names]:[Gene names]])*1, 0))</f>
        <v>3.2779700000000001E-4</v>
      </c>
      <c r="F13" cm="1">
        <f t="array" ref="F13">INDEX(Table1[riBAQ 19], MATCH(1, (Table3[[#This Row],[Gene names]:[Gene names]] = Table1[[Gene names]:[Gene names]])*1, 0))</f>
        <v>5.4713600000000004E-4</v>
      </c>
      <c r="G13" cm="1">
        <f t="array" ref="G13">INDEX(Table1[riBAQ 20], MATCH(1, (Table3[[#This Row],[Gene names]:[Gene names]] = Table1[[Gene names]:[Gene names]])*1, 0))</f>
        <v>4.7889699999999999E-4</v>
      </c>
      <c r="H13" cm="1">
        <f t="array" ref="H13">INDEX(Table1[riBAQ 21], MATCH(1, (Table3[[#This Row],[Gene names]:[Gene names]] = Table1[[Gene names]:[Gene names]])*1, 0))</f>
        <v>4.4224899999999997E-4</v>
      </c>
      <c r="I13" cm="1">
        <f t="array" ref="I13">INDEX(Table1[riBAQ 22], MATCH(1, (Table3[[#This Row],[Gene names]:[Gene names]] = Table1[[Gene names]:[Gene names]])*1, 0))</f>
        <v>3.4229699999999998E-4</v>
      </c>
      <c r="J13" cm="1">
        <f t="array" ref="J13">INDEX(Table1[riBAQ 23], MATCH(1, (Table3[[#This Row],[Gene names]:[Gene names]] = Table1[[Gene names]:[Gene names]])*1, 0))</f>
        <v>5.3361900000000004E-4</v>
      </c>
      <c r="K13" cm="1">
        <f t="array" ref="K13">INDEX(Table1[riBAQ 37], MATCH(1, (Table3[[#This Row],[Gene names]:[Gene names]] = Table1[[Gene names]:[Gene names]])*1, 0))</f>
        <v>4.3440800000000001E-4</v>
      </c>
      <c r="L13" cm="1">
        <f t="array" ref="L13">INDEX(Table1[riBAQ 38], MATCH(1, (Table3[[#This Row],[Gene names]:[Gene names]] = Table1[[Gene names]:[Gene names]])*1, 0))</f>
        <v>4.9514899999999996E-4</v>
      </c>
      <c r="M13" cm="1">
        <f t="array" ref="M13">INDEX(Table1[riBAQ 39], MATCH(1, (Table3[[#This Row],[Gene names]:[Gene names]] = Table1[[Gene names]:[Gene names]])*1, 0))</f>
        <v>4.6770500000000001E-4</v>
      </c>
      <c r="N13" cm="1">
        <f t="array" ref="N13">INDEX(Table1[riBAQ 40], MATCH(1, (Table3[[#This Row],[Gene names]:[Gene names]] = Table1[[Gene names]:[Gene names]])*1, 0))</f>
        <v>2.5029499999999999E-4</v>
      </c>
      <c r="O13" cm="1">
        <f t="array" ref="O13">INDEX(Table1[riBAQ 41], MATCH(1, (Table3[[#This Row],[Gene names]:[Gene names]] = Table1[[Gene names]:[Gene names]])*1, 0))</f>
        <v>4.98677E-4</v>
      </c>
      <c r="P13" cm="1">
        <f t="array" ref="P13">INDEX(Table1[riBAQ 24], MATCH(1, (Table3[[#This Row],[Gene names]:[Gene names]] = Table1[[Gene names]:[Gene names]])*1, 0))</f>
        <v>5.04069E-4</v>
      </c>
      <c r="Q13" cm="1">
        <f t="array" ref="Q13">INDEX(Table1[riBAQ 25], MATCH(1, (Table3[[#This Row],[Gene names]:[Gene names]] = Table1[[Gene names]:[Gene names]])*1, 0))</f>
        <v>6.1437600000000003E-4</v>
      </c>
      <c r="R13" cm="1">
        <f t="array" ref="R13">INDEX(Table1[riBAQ 26], MATCH(1, (Table3[[#This Row],[Gene names]:[Gene names]] = Table1[[Gene names]:[Gene names]])*1, 0))</f>
        <v>8.1291999999999996E-4</v>
      </c>
      <c r="S13" cm="1">
        <f t="array" ref="S13">INDEX(Table1[riBAQ 42], MATCH(1, (Table3[[#This Row],[Gene names]:[Gene names]] = Table1[[Gene names]:[Gene names]])*1, 0))</f>
        <v>5.8775600000000004E-4</v>
      </c>
      <c r="T13" cm="1">
        <f t="array" ref="T13">INDEX(Table1[riBAQ 43], MATCH(1, (Table3[[#This Row],[Gene names]:[Gene names]] = Table1[[Gene names]:[Gene names]])*1, 0))</f>
        <v>6.71961E-4</v>
      </c>
    </row>
    <row r="14" spans="1:20" x14ac:dyDescent="0.25">
      <c r="A14" t="s">
        <v>399</v>
      </c>
      <c r="B14" cm="1">
        <f t="array" ref="B14">INDEX(Table1[riBAQ 17], MATCH(1, (Table3[[#This Row],[Gene names]:[Gene names]] = Table1[[Gene names]:[Gene names]])*1, 0))</f>
        <v>1.5313100000000001E-4</v>
      </c>
      <c r="C14" cm="1">
        <f t="array" ref="C14">INDEX(Table1[riBAQ 18], MATCH(1, (Table3[[#This Row],[Gene names]:[Gene names]] = Table1[[Gene names]:[Gene names]])*1, 0))</f>
        <v>8.7499999999999999E-5</v>
      </c>
      <c r="D14" cm="1">
        <f t="array" ref="D14">INDEX(Table1[riBAQ 35], MATCH(1, (Table3[[#This Row],[Gene names]:[Gene names]] = Table1[[Gene names]:[Gene names]])*1, 0))</f>
        <v>4.3000000000000002E-5</v>
      </c>
      <c r="E14" cm="1">
        <f t="array" ref="E14">INDEX(Table1[riBAQ 36], MATCH(1, (Table3[[#This Row],[Gene names]:[Gene names]] = Table1[[Gene names]:[Gene names]])*1, 0))</f>
        <v>0</v>
      </c>
      <c r="F14" cm="1">
        <f t="array" ref="F14">INDEX(Table1[riBAQ 19], MATCH(1, (Table3[[#This Row],[Gene names]:[Gene names]] = Table1[[Gene names]:[Gene names]])*1, 0))</f>
        <v>0</v>
      </c>
      <c r="G14" cm="1">
        <f t="array" ref="G14">INDEX(Table1[riBAQ 20], MATCH(1, (Table3[[#This Row],[Gene names]:[Gene names]] = Table1[[Gene names]:[Gene names]])*1, 0))</f>
        <v>2.8580199999999999E-4</v>
      </c>
      <c r="H14" cm="1">
        <f t="array" ref="H14">INDEX(Table1[riBAQ 21], MATCH(1, (Table3[[#This Row],[Gene names]:[Gene names]] = Table1[[Gene names]:[Gene names]])*1, 0))</f>
        <v>2.2594999999999999E-4</v>
      </c>
      <c r="I14" cm="1">
        <f t="array" ref="I14">INDEX(Table1[riBAQ 22], MATCH(1, (Table3[[#This Row],[Gene names]:[Gene names]] = Table1[[Gene names]:[Gene names]])*1, 0))</f>
        <v>2.1905399999999999E-4</v>
      </c>
      <c r="J14" cm="1">
        <f t="array" ref="J14">INDEX(Table1[riBAQ 23], MATCH(1, (Table3[[#This Row],[Gene names]:[Gene names]] = Table1[[Gene names]:[Gene names]])*1, 0))</f>
        <v>1.9523300000000001E-4</v>
      </c>
      <c r="K14" cm="1">
        <f t="array" ref="K14">INDEX(Table1[riBAQ 37], MATCH(1, (Table3[[#This Row],[Gene names]:[Gene names]] = Table1[[Gene names]:[Gene names]])*1, 0))</f>
        <v>1.7922200000000001E-4</v>
      </c>
      <c r="L14" cm="1">
        <f t="array" ref="L14">INDEX(Table1[riBAQ 38], MATCH(1, (Table3[[#This Row],[Gene names]:[Gene names]] = Table1[[Gene names]:[Gene names]])*1, 0))</f>
        <v>1.0439500000000001E-4</v>
      </c>
      <c r="M14" cm="1">
        <f t="array" ref="M14">INDEX(Table1[riBAQ 39], MATCH(1, (Table3[[#This Row],[Gene names]:[Gene names]] = Table1[[Gene names]:[Gene names]])*1, 0))</f>
        <v>1.6071299999999999E-4</v>
      </c>
      <c r="N14" cm="1">
        <f t="array" ref="N14">INDEX(Table1[riBAQ 40], MATCH(1, (Table3[[#This Row],[Gene names]:[Gene names]] = Table1[[Gene names]:[Gene names]])*1, 0))</f>
        <v>1.7257700000000001E-4</v>
      </c>
      <c r="O14" cm="1">
        <f t="array" ref="O14">INDEX(Table1[riBAQ 41], MATCH(1, (Table3[[#This Row],[Gene names]:[Gene names]] = Table1[[Gene names]:[Gene names]])*1, 0))</f>
        <v>0</v>
      </c>
      <c r="P14" cm="1">
        <f t="array" ref="P14">INDEX(Table1[riBAQ 24], MATCH(1, (Table3[[#This Row],[Gene names]:[Gene names]] = Table1[[Gene names]:[Gene names]])*1, 0))</f>
        <v>4.2934000000000001E-4</v>
      </c>
      <c r="Q14" cm="1">
        <f t="array" ref="Q14">INDEX(Table1[riBAQ 25], MATCH(1, (Table3[[#This Row],[Gene names]:[Gene names]] = Table1[[Gene names]:[Gene names]])*1, 0))</f>
        <v>9.4762799999999995E-4</v>
      </c>
      <c r="R14" cm="1">
        <f t="array" ref="R14">INDEX(Table1[riBAQ 26], MATCH(1, (Table3[[#This Row],[Gene names]:[Gene names]] = Table1[[Gene names]:[Gene names]])*1, 0))</f>
        <v>5.72219E-4</v>
      </c>
      <c r="S14" cm="1">
        <f t="array" ref="S14">INDEX(Table1[riBAQ 42], MATCH(1, (Table3[[#This Row],[Gene names]:[Gene names]] = Table1[[Gene names]:[Gene names]])*1, 0))</f>
        <v>3.9039800000000003E-4</v>
      </c>
      <c r="T14" cm="1">
        <f t="array" ref="T14">INDEX(Table1[riBAQ 43], MATCH(1, (Table3[[#This Row],[Gene names]:[Gene names]] = Table1[[Gene names]:[Gene names]])*1, 0))</f>
        <v>1.3751049999999999E-3</v>
      </c>
    </row>
    <row r="15" spans="1:20" x14ac:dyDescent="0.25">
      <c r="A15" t="s">
        <v>1082</v>
      </c>
      <c r="B15" cm="1">
        <f t="array" ref="B15">INDEX(Table1[riBAQ 17], MATCH(1, (Table3[[#This Row],[Gene names]:[Gene names]] = Table1[[Gene names]:[Gene names]])*1, 0))</f>
        <v>0</v>
      </c>
      <c r="C15" cm="1">
        <f t="array" ref="C15">INDEX(Table1[riBAQ 18], MATCH(1, (Table3[[#This Row],[Gene names]:[Gene names]] = Table1[[Gene names]:[Gene names]])*1, 0))</f>
        <v>0</v>
      </c>
      <c r="D15" cm="1">
        <f t="array" ref="D15">INDEX(Table1[riBAQ 35], MATCH(1, (Table3[[#This Row],[Gene names]:[Gene names]] = Table1[[Gene names]:[Gene names]])*1, 0))</f>
        <v>0</v>
      </c>
      <c r="E15" cm="1">
        <f t="array" ref="E15">INDEX(Table1[riBAQ 36], MATCH(1, (Table3[[#This Row],[Gene names]:[Gene names]] = Table1[[Gene names]:[Gene names]])*1, 0))</f>
        <v>0</v>
      </c>
      <c r="F15" cm="1">
        <f t="array" ref="F15">INDEX(Table1[riBAQ 19], MATCH(1, (Table3[[#This Row],[Gene names]:[Gene names]] = Table1[[Gene names]:[Gene names]])*1, 0))</f>
        <v>6.7000000000000002E-5</v>
      </c>
      <c r="G15" cm="1">
        <f t="array" ref="G15">INDEX(Table1[riBAQ 20], MATCH(1, (Table3[[#This Row],[Gene names]:[Gene names]] = Table1[[Gene names]:[Gene names]])*1, 0))</f>
        <v>7.8499999999999997E-5</v>
      </c>
      <c r="H15" cm="1">
        <f t="array" ref="H15">INDEX(Table1[riBAQ 21], MATCH(1, (Table3[[#This Row],[Gene names]:[Gene names]] = Table1[[Gene names]:[Gene names]])*1, 0))</f>
        <v>3.6399999999999997E-5</v>
      </c>
      <c r="I15" cm="1">
        <f t="array" ref="I15">INDEX(Table1[riBAQ 22], MATCH(1, (Table3[[#This Row],[Gene names]:[Gene names]] = Table1[[Gene names]:[Gene names]])*1, 0))</f>
        <v>4.5500000000000001E-5</v>
      </c>
      <c r="J15" cm="1">
        <f t="array" ref="J15">INDEX(Table1[riBAQ 23], MATCH(1, (Table3[[#This Row],[Gene names]:[Gene names]] = Table1[[Gene names]:[Gene names]])*1, 0))</f>
        <v>0</v>
      </c>
      <c r="K15" cm="1">
        <f t="array" ref="K15">INDEX(Table1[riBAQ 37], MATCH(1, (Table3[[#This Row],[Gene names]:[Gene names]] = Table1[[Gene names]:[Gene names]])*1, 0))</f>
        <v>6.7999999999999999E-5</v>
      </c>
      <c r="L15" cm="1">
        <f t="array" ref="L15">INDEX(Table1[riBAQ 38], MATCH(1, (Table3[[#This Row],[Gene names]:[Gene names]] = Table1[[Gene names]:[Gene names]])*1, 0))</f>
        <v>3.1600000000000002E-5</v>
      </c>
      <c r="M15" cm="1">
        <f t="array" ref="M15">INDEX(Table1[riBAQ 39], MATCH(1, (Table3[[#This Row],[Gene names]:[Gene names]] = Table1[[Gene names]:[Gene names]])*1, 0))</f>
        <v>0</v>
      </c>
      <c r="N15" cm="1">
        <f t="array" ref="N15">INDEX(Table1[riBAQ 40], MATCH(1, (Table3[[#This Row],[Gene names]:[Gene names]] = Table1[[Gene names]:[Gene names]])*1, 0))</f>
        <v>0</v>
      </c>
      <c r="O15" cm="1">
        <f t="array" ref="O15">INDEX(Table1[riBAQ 41], MATCH(1, (Table3[[#This Row],[Gene names]:[Gene names]] = Table1[[Gene names]:[Gene names]])*1, 0))</f>
        <v>0</v>
      </c>
      <c r="P15" cm="1">
        <f t="array" ref="P15">INDEX(Table1[riBAQ 24], MATCH(1, (Table3[[#This Row],[Gene names]:[Gene names]] = Table1[[Gene names]:[Gene names]])*1, 0))</f>
        <v>1.06166E-4</v>
      </c>
      <c r="Q15" cm="1">
        <f t="array" ref="Q15">INDEX(Table1[riBAQ 25], MATCH(1, (Table3[[#This Row],[Gene names]:[Gene names]] = Table1[[Gene names]:[Gene names]])*1, 0))</f>
        <v>3.6095799999999998E-4</v>
      </c>
      <c r="R15" cm="1">
        <f t="array" ref="R15">INDEX(Table1[riBAQ 26], MATCH(1, (Table3[[#This Row],[Gene names]:[Gene names]] = Table1[[Gene names]:[Gene names]])*1, 0))</f>
        <v>2.2331900000000001E-4</v>
      </c>
      <c r="S15" cm="1">
        <f t="array" ref="S15">INDEX(Table1[riBAQ 42], MATCH(1, (Table3[[#This Row],[Gene names]:[Gene names]] = Table1[[Gene names]:[Gene names]])*1, 0))</f>
        <v>9.2200000000000005E-5</v>
      </c>
      <c r="T15" cm="1">
        <f t="array" ref="T15">INDEX(Table1[riBAQ 43], MATCH(1, (Table3[[#This Row],[Gene names]:[Gene names]] = Table1[[Gene names]:[Gene names]])*1, 0))</f>
        <v>5.4370899999999997E-4</v>
      </c>
    </row>
    <row r="16" spans="1:20" x14ac:dyDescent="0.25">
      <c r="A16" t="s">
        <v>1109</v>
      </c>
      <c r="B16" cm="1">
        <f t="array" ref="B16">INDEX(Table1[riBAQ 17], MATCH(1, (Table3[[#This Row],[Gene names]:[Gene names]] = Table1[[Gene names]:[Gene names]])*1, 0))</f>
        <v>2.1699999999999999E-5</v>
      </c>
      <c r="C16" cm="1">
        <f t="array" ref="C16">INDEX(Table1[riBAQ 18], MATCH(1, (Table3[[#This Row],[Gene names]:[Gene names]] = Table1[[Gene names]:[Gene names]])*1, 0))</f>
        <v>2.3499999999999999E-5</v>
      </c>
      <c r="D16" cm="1">
        <f t="array" ref="D16">INDEX(Table1[riBAQ 35], MATCH(1, (Table3[[#This Row],[Gene names]:[Gene names]] = Table1[[Gene names]:[Gene names]])*1, 0))</f>
        <v>2.09E-5</v>
      </c>
      <c r="E16" cm="1">
        <f t="array" ref="E16">INDEX(Table1[riBAQ 36], MATCH(1, (Table3[[#This Row],[Gene names]:[Gene names]] = Table1[[Gene names]:[Gene names]])*1, 0))</f>
        <v>2.1699999999999999E-5</v>
      </c>
      <c r="F16" cm="1">
        <f t="array" ref="F16">INDEX(Table1[riBAQ 19], MATCH(1, (Table3[[#This Row],[Gene names]:[Gene names]] = Table1[[Gene names]:[Gene names]])*1, 0))</f>
        <v>2.6400000000000001E-5</v>
      </c>
      <c r="G16" cm="1">
        <f t="array" ref="G16">INDEX(Table1[riBAQ 20], MATCH(1, (Table3[[#This Row],[Gene names]:[Gene names]] = Table1[[Gene names]:[Gene names]])*1, 0))</f>
        <v>2.9E-5</v>
      </c>
      <c r="H16" cm="1">
        <f t="array" ref="H16">INDEX(Table1[riBAQ 21], MATCH(1, (Table3[[#This Row],[Gene names]:[Gene names]] = Table1[[Gene names]:[Gene names]])*1, 0))</f>
        <v>2.4899999999999999E-5</v>
      </c>
      <c r="I16" cm="1">
        <f t="array" ref="I16">INDEX(Table1[riBAQ 22], MATCH(1, (Table3[[#This Row],[Gene names]:[Gene names]] = Table1[[Gene names]:[Gene names]])*1, 0))</f>
        <v>4.0299999999999997E-5</v>
      </c>
      <c r="J16" cm="1">
        <f t="array" ref="J16">INDEX(Table1[riBAQ 23], MATCH(1, (Table3[[#This Row],[Gene names]:[Gene names]] = Table1[[Gene names]:[Gene names]])*1, 0))</f>
        <v>2.5299999999999998E-5</v>
      </c>
      <c r="K16" cm="1">
        <f t="array" ref="K16">INDEX(Table1[riBAQ 37], MATCH(1, (Table3[[#This Row],[Gene names]:[Gene names]] = Table1[[Gene names]:[Gene names]])*1, 0))</f>
        <v>3.1300000000000002E-5</v>
      </c>
      <c r="L16" cm="1">
        <f t="array" ref="L16">INDEX(Table1[riBAQ 38], MATCH(1, (Table3[[#This Row],[Gene names]:[Gene names]] = Table1[[Gene names]:[Gene names]])*1, 0))</f>
        <v>2.0000000000000002E-5</v>
      </c>
      <c r="M16" cm="1">
        <f t="array" ref="M16">INDEX(Table1[riBAQ 39], MATCH(1, (Table3[[#This Row],[Gene names]:[Gene names]] = Table1[[Gene names]:[Gene names]])*1, 0))</f>
        <v>2.37E-5</v>
      </c>
      <c r="N16" cm="1">
        <f t="array" ref="N16">INDEX(Table1[riBAQ 40], MATCH(1, (Table3[[#This Row],[Gene names]:[Gene names]] = Table1[[Gene names]:[Gene names]])*1, 0))</f>
        <v>2.65E-5</v>
      </c>
      <c r="O16" cm="1">
        <f t="array" ref="O16">INDEX(Table1[riBAQ 41], MATCH(1, (Table3[[#This Row],[Gene names]:[Gene names]] = Table1[[Gene names]:[Gene names]])*1, 0))</f>
        <v>1.9599999999999999E-5</v>
      </c>
      <c r="P16" cm="1">
        <f t="array" ref="P16">INDEX(Table1[riBAQ 24], MATCH(1, (Table3[[#This Row],[Gene names]:[Gene names]] = Table1[[Gene names]:[Gene names]])*1, 0))</f>
        <v>1.7E-5</v>
      </c>
      <c r="Q16" cm="1">
        <f t="array" ref="Q16">INDEX(Table1[riBAQ 25], MATCH(1, (Table3[[#This Row],[Gene names]:[Gene names]] = Table1[[Gene names]:[Gene names]])*1, 0))</f>
        <v>1.77E-5</v>
      </c>
      <c r="R16" cm="1">
        <f t="array" ref="R16">INDEX(Table1[riBAQ 26], MATCH(1, (Table3[[#This Row],[Gene names]:[Gene names]] = Table1[[Gene names]:[Gene names]])*1, 0))</f>
        <v>1.26E-5</v>
      </c>
      <c r="S16" cm="1">
        <f t="array" ref="S16">INDEX(Table1[riBAQ 42], MATCH(1, (Table3[[#This Row],[Gene names]:[Gene names]] = Table1[[Gene names]:[Gene names]])*1, 0))</f>
        <v>1.5699999999999999E-5</v>
      </c>
      <c r="T16" cm="1">
        <f t="array" ref="T16">INDEX(Table1[riBAQ 43], MATCH(1, (Table3[[#This Row],[Gene names]:[Gene names]] = Table1[[Gene names]:[Gene names]])*1, 0))</f>
        <v>0</v>
      </c>
    </row>
    <row r="17" spans="1:20" x14ac:dyDescent="0.25">
      <c r="A17" t="s">
        <v>939</v>
      </c>
      <c r="B17" cm="1">
        <f t="array" ref="B17">INDEX(Table1[riBAQ 17], MATCH(1, (Table3[[#This Row],[Gene names]:[Gene names]] = Table1[[Gene names]:[Gene names]])*1, 0))</f>
        <v>0</v>
      </c>
      <c r="C17" cm="1">
        <f t="array" ref="C17">INDEX(Table1[riBAQ 18], MATCH(1, (Table3[[#This Row],[Gene names]:[Gene names]] = Table1[[Gene names]:[Gene names]])*1, 0))</f>
        <v>0</v>
      </c>
      <c r="D17" cm="1">
        <f t="array" ref="D17">INDEX(Table1[riBAQ 35], MATCH(1, (Table3[[#This Row],[Gene names]:[Gene names]] = Table1[[Gene names]:[Gene names]])*1, 0))</f>
        <v>0</v>
      </c>
      <c r="E17" cm="1">
        <f t="array" ref="E17">INDEX(Table1[riBAQ 36], MATCH(1, (Table3[[#This Row],[Gene names]:[Gene names]] = Table1[[Gene names]:[Gene names]])*1, 0))</f>
        <v>1.59E-5</v>
      </c>
      <c r="F17" cm="1">
        <f t="array" ref="F17">INDEX(Table1[riBAQ 19], MATCH(1, (Table3[[#This Row],[Gene names]:[Gene names]] = Table1[[Gene names]:[Gene names]])*1, 0))</f>
        <v>0</v>
      </c>
      <c r="G17" cm="1">
        <f t="array" ref="G17">INDEX(Table1[riBAQ 20], MATCH(1, (Table3[[#This Row],[Gene names]:[Gene names]] = Table1[[Gene names]:[Gene names]])*1, 0))</f>
        <v>0</v>
      </c>
      <c r="H17" cm="1">
        <f t="array" ref="H17">INDEX(Table1[riBAQ 21], MATCH(1, (Table3[[#This Row],[Gene names]:[Gene names]] = Table1[[Gene names]:[Gene names]])*1, 0))</f>
        <v>0</v>
      </c>
      <c r="I17" cm="1">
        <f t="array" ref="I17">INDEX(Table1[riBAQ 22], MATCH(1, (Table3[[#This Row],[Gene names]:[Gene names]] = Table1[[Gene names]:[Gene names]])*1, 0))</f>
        <v>0</v>
      </c>
      <c r="J17" cm="1">
        <f t="array" ref="J17">INDEX(Table1[riBAQ 23], MATCH(1, (Table3[[#This Row],[Gene names]:[Gene names]] = Table1[[Gene names]:[Gene names]])*1, 0))</f>
        <v>0</v>
      </c>
      <c r="K17" cm="1">
        <f t="array" ref="K17">INDEX(Table1[riBAQ 37], MATCH(1, (Table3[[#This Row],[Gene names]:[Gene names]] = Table1[[Gene names]:[Gene names]])*1, 0))</f>
        <v>0</v>
      </c>
      <c r="L17" cm="1">
        <f t="array" ref="L17">INDEX(Table1[riBAQ 38], MATCH(1, (Table3[[#This Row],[Gene names]:[Gene names]] = Table1[[Gene names]:[Gene names]])*1, 0))</f>
        <v>0</v>
      </c>
      <c r="M17" cm="1">
        <f t="array" ref="M17">INDEX(Table1[riBAQ 39], MATCH(1, (Table3[[#This Row],[Gene names]:[Gene names]] = Table1[[Gene names]:[Gene names]])*1, 0))</f>
        <v>0</v>
      </c>
      <c r="N17" cm="1">
        <f t="array" ref="N17">INDEX(Table1[riBAQ 40], MATCH(1, (Table3[[#This Row],[Gene names]:[Gene names]] = Table1[[Gene names]:[Gene names]])*1, 0))</f>
        <v>0</v>
      </c>
      <c r="O17" cm="1">
        <f t="array" ref="O17">INDEX(Table1[riBAQ 41], MATCH(1, (Table3[[#This Row],[Gene names]:[Gene names]] = Table1[[Gene names]:[Gene names]])*1, 0))</f>
        <v>0</v>
      </c>
      <c r="P17" cm="1">
        <f t="array" ref="P17">INDEX(Table1[riBAQ 24], MATCH(1, (Table3[[#This Row],[Gene names]:[Gene names]] = Table1[[Gene names]:[Gene names]])*1, 0))</f>
        <v>0</v>
      </c>
      <c r="Q17" cm="1">
        <f t="array" ref="Q17">INDEX(Table1[riBAQ 25], MATCH(1, (Table3[[#This Row],[Gene names]:[Gene names]] = Table1[[Gene names]:[Gene names]])*1, 0))</f>
        <v>2.8500000000000002E-5</v>
      </c>
      <c r="R17" cm="1">
        <f t="array" ref="R17">INDEX(Table1[riBAQ 26], MATCH(1, (Table3[[#This Row],[Gene names]:[Gene names]] = Table1[[Gene names]:[Gene names]])*1, 0))</f>
        <v>2.7699999999999999E-5</v>
      </c>
      <c r="S17" cm="1">
        <f t="array" ref="S17">INDEX(Table1[riBAQ 42], MATCH(1, (Table3[[#This Row],[Gene names]:[Gene names]] = Table1[[Gene names]:[Gene names]])*1, 0))</f>
        <v>3.3500000000000001E-5</v>
      </c>
      <c r="T17" cm="1">
        <f t="array" ref="T17">INDEX(Table1[riBAQ 43], MATCH(1, (Table3[[#This Row],[Gene names]:[Gene names]] = Table1[[Gene names]:[Gene names]])*1, 0))</f>
        <v>2.27E-5</v>
      </c>
    </row>
    <row r="18" spans="1:20" x14ac:dyDescent="0.25">
      <c r="A18" t="s">
        <v>589</v>
      </c>
      <c r="B18" cm="1">
        <f t="array" ref="B18">INDEX(Table1[riBAQ 17], MATCH(1, (Table3[[#This Row],[Gene names]:[Gene names]] = Table1[[Gene names]:[Gene names]])*1, 0))</f>
        <v>0</v>
      </c>
      <c r="C18" cm="1">
        <f t="array" ref="C18">INDEX(Table1[riBAQ 18], MATCH(1, (Table3[[#This Row],[Gene names]:[Gene names]] = Table1[[Gene names]:[Gene names]])*1, 0))</f>
        <v>0</v>
      </c>
      <c r="D18" cm="1">
        <f t="array" ref="D18">INDEX(Table1[riBAQ 35], MATCH(1, (Table3[[#This Row],[Gene names]:[Gene names]] = Table1[[Gene names]:[Gene names]])*1, 0))</f>
        <v>0</v>
      </c>
      <c r="E18" cm="1">
        <f t="array" ref="E18">INDEX(Table1[riBAQ 36], MATCH(1, (Table3[[#This Row],[Gene names]:[Gene names]] = Table1[[Gene names]:[Gene names]])*1, 0))</f>
        <v>0</v>
      </c>
      <c r="F18" cm="1">
        <f t="array" ref="F18">INDEX(Table1[riBAQ 19], MATCH(1, (Table3[[#This Row],[Gene names]:[Gene names]] = Table1[[Gene names]:[Gene names]])*1, 0))</f>
        <v>0</v>
      </c>
      <c r="G18" cm="1">
        <f t="array" ref="G18">INDEX(Table1[riBAQ 20], MATCH(1, (Table3[[#This Row],[Gene names]:[Gene names]] = Table1[[Gene names]:[Gene names]])*1, 0))</f>
        <v>7.4900000000000003E-6</v>
      </c>
      <c r="H18" cm="1">
        <f t="array" ref="H18">INDEX(Table1[riBAQ 21], MATCH(1, (Table3[[#This Row],[Gene names]:[Gene names]] = Table1[[Gene names]:[Gene names]])*1, 0))</f>
        <v>0</v>
      </c>
      <c r="I18" cm="1">
        <f t="array" ref="I18">INDEX(Table1[riBAQ 22], MATCH(1, (Table3[[#This Row],[Gene names]:[Gene names]] = Table1[[Gene names]:[Gene names]])*1, 0))</f>
        <v>0</v>
      </c>
      <c r="J18" cm="1">
        <f t="array" ref="J18">INDEX(Table1[riBAQ 23], MATCH(1, (Table3[[#This Row],[Gene names]:[Gene names]] = Table1[[Gene names]:[Gene names]])*1, 0))</f>
        <v>0</v>
      </c>
      <c r="K18" cm="1">
        <f t="array" ref="K18">INDEX(Table1[riBAQ 37], MATCH(1, (Table3[[#This Row],[Gene names]:[Gene names]] = Table1[[Gene names]:[Gene names]])*1, 0))</f>
        <v>0</v>
      </c>
      <c r="L18" cm="1">
        <f t="array" ref="L18">INDEX(Table1[riBAQ 38], MATCH(1, (Table3[[#This Row],[Gene names]:[Gene names]] = Table1[[Gene names]:[Gene names]])*1, 0))</f>
        <v>0</v>
      </c>
      <c r="M18" cm="1">
        <f t="array" ref="M18">INDEX(Table1[riBAQ 39], MATCH(1, (Table3[[#This Row],[Gene names]:[Gene names]] = Table1[[Gene names]:[Gene names]])*1, 0))</f>
        <v>0</v>
      </c>
      <c r="N18" cm="1">
        <f t="array" ref="N18">INDEX(Table1[riBAQ 40], MATCH(1, (Table3[[#This Row],[Gene names]:[Gene names]] = Table1[[Gene names]:[Gene names]])*1, 0))</f>
        <v>0</v>
      </c>
      <c r="O18" cm="1">
        <f t="array" ref="O18">INDEX(Table1[riBAQ 41], MATCH(1, (Table3[[#This Row],[Gene names]:[Gene names]] = Table1[[Gene names]:[Gene names]])*1, 0))</f>
        <v>0</v>
      </c>
      <c r="P18" cm="1">
        <f t="array" ref="P18">INDEX(Table1[riBAQ 24], MATCH(1, (Table3[[#This Row],[Gene names]:[Gene names]] = Table1[[Gene names]:[Gene names]])*1, 0))</f>
        <v>9.2799999999999992E-6</v>
      </c>
      <c r="Q18" cm="1">
        <f t="array" ref="Q18">INDEX(Table1[riBAQ 25], MATCH(1, (Table3[[#This Row],[Gene names]:[Gene names]] = Table1[[Gene names]:[Gene names]])*1, 0))</f>
        <v>2.3900000000000002E-5</v>
      </c>
      <c r="R18" cm="1">
        <f t="array" ref="R18">INDEX(Table1[riBAQ 26], MATCH(1, (Table3[[#This Row],[Gene names]:[Gene names]] = Table1[[Gene names]:[Gene names]])*1, 0))</f>
        <v>1.7E-5</v>
      </c>
      <c r="S18" cm="1">
        <f t="array" ref="S18">INDEX(Table1[riBAQ 42], MATCH(1, (Table3[[#This Row],[Gene names]:[Gene names]] = Table1[[Gene names]:[Gene names]])*1, 0))</f>
        <v>2.3300000000000001E-5</v>
      </c>
      <c r="T18" cm="1">
        <f t="array" ref="T18">INDEX(Table1[riBAQ 43], MATCH(1, (Table3[[#This Row],[Gene names]:[Gene names]] = Table1[[Gene names]:[Gene names]])*1, 0))</f>
        <v>1.1199999999999999E-5</v>
      </c>
    </row>
    <row r="19" spans="1:20" x14ac:dyDescent="0.25">
      <c r="A19" t="s">
        <v>887</v>
      </c>
      <c r="B19" cm="1">
        <f t="array" ref="B19">INDEX(Table1[riBAQ 17], MATCH(1, (Table3[[#This Row],[Gene names]:[Gene names]] = Table1[[Gene names]:[Gene names]])*1, 0))</f>
        <v>8.14E-5</v>
      </c>
      <c r="C19" cm="1">
        <f t="array" ref="C19">INDEX(Table1[riBAQ 18], MATCH(1, (Table3[[#This Row],[Gene names]:[Gene names]] = Table1[[Gene names]:[Gene names]])*1, 0))</f>
        <v>7.2200000000000007E-5</v>
      </c>
      <c r="D19" cm="1">
        <f t="array" ref="D19">INDEX(Table1[riBAQ 35], MATCH(1, (Table3[[#This Row],[Gene names]:[Gene names]] = Table1[[Gene names]:[Gene names]])*1, 0))</f>
        <v>1.5950799999999999E-4</v>
      </c>
      <c r="E19" cm="1">
        <f t="array" ref="E19">INDEX(Table1[riBAQ 36], MATCH(1, (Table3[[#This Row],[Gene names]:[Gene names]] = Table1[[Gene names]:[Gene names]])*1, 0))</f>
        <v>6.0399999999999998E-5</v>
      </c>
      <c r="F19" cm="1">
        <f t="array" ref="F19">INDEX(Table1[riBAQ 19], MATCH(1, (Table3[[#This Row],[Gene names]:[Gene names]] = Table1[[Gene names]:[Gene names]])*1, 0))</f>
        <v>6.2299999999999996E-5</v>
      </c>
      <c r="G19" cm="1">
        <f t="array" ref="G19">INDEX(Table1[riBAQ 20], MATCH(1, (Table3[[#This Row],[Gene names]:[Gene names]] = Table1[[Gene names]:[Gene names]])*1, 0))</f>
        <v>1.0935200000000001E-4</v>
      </c>
      <c r="H19" cm="1">
        <f t="array" ref="H19">INDEX(Table1[riBAQ 21], MATCH(1, (Table3[[#This Row],[Gene names]:[Gene names]] = Table1[[Gene names]:[Gene names]])*1, 0))</f>
        <v>4.6300000000000001E-5</v>
      </c>
      <c r="I19" cm="1">
        <f t="array" ref="I19">INDEX(Table1[riBAQ 22], MATCH(1, (Table3[[#This Row],[Gene names]:[Gene names]] = Table1[[Gene names]:[Gene names]])*1, 0))</f>
        <v>6.4200000000000002E-5</v>
      </c>
      <c r="J19" cm="1">
        <f t="array" ref="J19">INDEX(Table1[riBAQ 23], MATCH(1, (Table3[[#This Row],[Gene names]:[Gene names]] = Table1[[Gene names]:[Gene names]])*1, 0))</f>
        <v>7.2399999999999998E-5</v>
      </c>
      <c r="K19" cm="1">
        <f t="array" ref="K19">INDEX(Table1[riBAQ 37], MATCH(1, (Table3[[#This Row],[Gene names]:[Gene names]] = Table1[[Gene names]:[Gene names]])*1, 0))</f>
        <v>8.4400000000000005E-5</v>
      </c>
      <c r="L19" cm="1">
        <f t="array" ref="L19">INDEX(Table1[riBAQ 38], MATCH(1, (Table3[[#This Row],[Gene names]:[Gene names]] = Table1[[Gene names]:[Gene names]])*1, 0))</f>
        <v>8.1299999999999997E-5</v>
      </c>
      <c r="M19" cm="1">
        <f t="array" ref="M19">INDEX(Table1[riBAQ 39], MATCH(1, (Table3[[#This Row],[Gene names]:[Gene names]] = Table1[[Gene names]:[Gene names]])*1, 0))</f>
        <v>1.03026E-4</v>
      </c>
      <c r="N19" cm="1">
        <f t="array" ref="N19">INDEX(Table1[riBAQ 40], MATCH(1, (Table3[[#This Row],[Gene names]:[Gene names]] = Table1[[Gene names]:[Gene names]])*1, 0))</f>
        <v>5.7599999999999997E-5</v>
      </c>
      <c r="O19" cm="1">
        <f t="array" ref="O19">INDEX(Table1[riBAQ 41], MATCH(1, (Table3[[#This Row],[Gene names]:[Gene names]] = Table1[[Gene names]:[Gene names]])*1, 0))</f>
        <v>5.3399999999999997E-5</v>
      </c>
      <c r="P19" cm="1">
        <f t="array" ref="P19">INDEX(Table1[riBAQ 24], MATCH(1, (Table3[[#This Row],[Gene names]:[Gene names]] = Table1[[Gene names]:[Gene names]])*1, 0))</f>
        <v>7.5099999999999996E-5</v>
      </c>
      <c r="Q19" cm="1">
        <f t="array" ref="Q19">INDEX(Table1[riBAQ 25], MATCH(1, (Table3[[#This Row],[Gene names]:[Gene names]] = Table1[[Gene names]:[Gene names]])*1, 0))</f>
        <v>1.2239600000000001E-4</v>
      </c>
      <c r="R19" cm="1">
        <f t="array" ref="R19">INDEX(Table1[riBAQ 26], MATCH(1, (Table3[[#This Row],[Gene names]:[Gene names]] = Table1[[Gene names]:[Gene names]])*1, 0))</f>
        <v>1.8021399999999999E-4</v>
      </c>
      <c r="S19" cm="1">
        <f t="array" ref="S19">INDEX(Table1[riBAQ 42], MATCH(1, (Table3[[#This Row],[Gene names]:[Gene names]] = Table1[[Gene names]:[Gene names]])*1, 0))</f>
        <v>2.0606199999999999E-4</v>
      </c>
      <c r="T19" cm="1">
        <f t="array" ref="T19">INDEX(Table1[riBAQ 43], MATCH(1, (Table3[[#This Row],[Gene names]:[Gene names]] = Table1[[Gene names]:[Gene names]])*1, 0))</f>
        <v>1.8091400000000001E-4</v>
      </c>
    </row>
    <row r="20" spans="1:20" x14ac:dyDescent="0.25">
      <c r="A20" t="s">
        <v>425</v>
      </c>
      <c r="B20" cm="1">
        <f t="array" ref="B20">INDEX(Table1[riBAQ 17], MATCH(1, (Table3[[#This Row],[Gene names]:[Gene names]] = Table1[[Gene names]:[Gene names]])*1, 0))</f>
        <v>1.8138799999999999E-4</v>
      </c>
      <c r="C20" cm="1">
        <f t="array" ref="C20">INDEX(Table1[riBAQ 18], MATCH(1, (Table3[[#This Row],[Gene names]:[Gene names]] = Table1[[Gene names]:[Gene names]])*1, 0))</f>
        <v>3.3500000000000001E-5</v>
      </c>
      <c r="D20" cm="1">
        <f t="array" ref="D20">INDEX(Table1[riBAQ 35], MATCH(1, (Table3[[#This Row],[Gene names]:[Gene names]] = Table1[[Gene names]:[Gene names]])*1, 0))</f>
        <v>4.4499999999999997E-5</v>
      </c>
      <c r="E20" cm="1">
        <f t="array" ref="E20">INDEX(Table1[riBAQ 36], MATCH(1, (Table3[[#This Row],[Gene names]:[Gene names]] = Table1[[Gene names]:[Gene names]])*1, 0))</f>
        <v>4.7200000000000002E-5</v>
      </c>
      <c r="F20" cm="1">
        <f t="array" ref="F20">INDEX(Table1[riBAQ 19], MATCH(1, (Table3[[#This Row],[Gene names]:[Gene names]] = Table1[[Gene names]:[Gene names]])*1, 0))</f>
        <v>1.07199E-4</v>
      </c>
      <c r="G20" cm="1">
        <f t="array" ref="G20">INDEX(Table1[riBAQ 20], MATCH(1, (Table3[[#This Row],[Gene names]:[Gene names]] = Table1[[Gene names]:[Gene names]])*1, 0))</f>
        <v>6.6000000000000005E-5</v>
      </c>
      <c r="H20" cm="1">
        <f t="array" ref="H20">INDEX(Table1[riBAQ 21], MATCH(1, (Table3[[#This Row],[Gene names]:[Gene names]] = Table1[[Gene names]:[Gene names]])*1, 0))</f>
        <v>1.9163599999999999E-4</v>
      </c>
      <c r="I20" cm="1">
        <f t="array" ref="I20">INDEX(Table1[riBAQ 22], MATCH(1, (Table3[[#This Row],[Gene names]:[Gene names]] = Table1[[Gene names]:[Gene names]])*1, 0))</f>
        <v>1.04924E-4</v>
      </c>
      <c r="J20" cm="1">
        <f t="array" ref="J20">INDEX(Table1[riBAQ 23], MATCH(1, (Table3[[#This Row],[Gene names]:[Gene names]] = Table1[[Gene names]:[Gene names]])*1, 0))</f>
        <v>1.3716999999999999E-4</v>
      </c>
      <c r="K20" cm="1">
        <f t="array" ref="K20">INDEX(Table1[riBAQ 37], MATCH(1, (Table3[[#This Row],[Gene names]:[Gene names]] = Table1[[Gene names]:[Gene names]])*1, 0))</f>
        <v>7.2000000000000002E-5</v>
      </c>
      <c r="L20" cm="1">
        <f t="array" ref="L20">INDEX(Table1[riBAQ 38], MATCH(1, (Table3[[#This Row],[Gene names]:[Gene names]] = Table1[[Gene names]:[Gene names]])*1, 0))</f>
        <v>3.8699999999999999E-5</v>
      </c>
      <c r="M20" cm="1">
        <f t="array" ref="M20">INDEX(Table1[riBAQ 39], MATCH(1, (Table3[[#This Row],[Gene names]:[Gene names]] = Table1[[Gene names]:[Gene names]])*1, 0))</f>
        <v>6.3999999999999997E-5</v>
      </c>
      <c r="N20" cm="1">
        <f t="array" ref="N20">INDEX(Table1[riBAQ 40], MATCH(1, (Table3[[#This Row],[Gene names]:[Gene names]] = Table1[[Gene names]:[Gene names]])*1, 0))</f>
        <v>8.6500000000000002E-5</v>
      </c>
      <c r="O20" cm="1">
        <f t="array" ref="O20">INDEX(Table1[riBAQ 41], MATCH(1, (Table3[[#This Row],[Gene names]:[Gene names]] = Table1[[Gene names]:[Gene names]])*1, 0))</f>
        <v>5.6799999999999998E-5</v>
      </c>
      <c r="P20" cm="1">
        <f t="array" ref="P20">INDEX(Table1[riBAQ 24], MATCH(1, (Table3[[#This Row],[Gene names]:[Gene names]] = Table1[[Gene names]:[Gene names]])*1, 0))</f>
        <v>1.5221399999999999E-4</v>
      </c>
      <c r="Q20" cm="1">
        <f t="array" ref="Q20">INDEX(Table1[riBAQ 25], MATCH(1, (Table3[[#This Row],[Gene names]:[Gene names]] = Table1[[Gene names]:[Gene names]])*1, 0))</f>
        <v>2.3127400000000001E-4</v>
      </c>
      <c r="R20" cm="1">
        <f t="array" ref="R20">INDEX(Table1[riBAQ 26], MATCH(1, (Table3[[#This Row],[Gene names]:[Gene names]] = Table1[[Gene names]:[Gene names]])*1, 0))</f>
        <v>2.8411799999999998E-4</v>
      </c>
      <c r="S20" cm="1">
        <f t="array" ref="S20">INDEX(Table1[riBAQ 42], MATCH(1, (Table3[[#This Row],[Gene names]:[Gene names]] = Table1[[Gene names]:[Gene names]])*1, 0))</f>
        <v>5.8499999999999999E-5</v>
      </c>
      <c r="T20" cm="1">
        <f t="array" ref="T20">INDEX(Table1[riBAQ 43], MATCH(1, (Table3[[#This Row],[Gene names]:[Gene names]] = Table1[[Gene names]:[Gene names]])*1, 0))</f>
        <v>1.6115300000000001E-4</v>
      </c>
    </row>
    <row r="21" spans="1:20" x14ac:dyDescent="0.25">
      <c r="A21" t="s">
        <v>854</v>
      </c>
      <c r="B21" cm="1">
        <f t="array" ref="B21">INDEX(Table1[riBAQ 17], MATCH(1, (Table3[[#This Row],[Gene names]:[Gene names]] = Table1[[Gene names]:[Gene names]])*1, 0))</f>
        <v>0</v>
      </c>
      <c r="C21" cm="1">
        <f t="array" ref="C21">INDEX(Table1[riBAQ 18], MATCH(1, (Table3[[#This Row],[Gene names]:[Gene names]] = Table1[[Gene names]:[Gene names]])*1, 0))</f>
        <v>0</v>
      </c>
      <c r="D21" cm="1">
        <f t="array" ref="D21">INDEX(Table1[riBAQ 35], MATCH(1, (Table3[[#This Row],[Gene names]:[Gene names]] = Table1[[Gene names]:[Gene names]])*1, 0))</f>
        <v>0</v>
      </c>
      <c r="E21" cm="1">
        <f t="array" ref="E21">INDEX(Table1[riBAQ 36], MATCH(1, (Table3[[#This Row],[Gene names]:[Gene names]] = Table1[[Gene names]:[Gene names]])*1, 0))</f>
        <v>1.2E-5</v>
      </c>
      <c r="F21" cm="1">
        <f t="array" ref="F21">INDEX(Table1[riBAQ 19], MATCH(1, (Table3[[#This Row],[Gene names]:[Gene names]] = Table1[[Gene names]:[Gene names]])*1, 0))</f>
        <v>0</v>
      </c>
      <c r="G21" cm="1">
        <f t="array" ref="G21">INDEX(Table1[riBAQ 20], MATCH(1, (Table3[[#This Row],[Gene names]:[Gene names]] = Table1[[Gene names]:[Gene names]])*1, 0))</f>
        <v>0</v>
      </c>
      <c r="H21" cm="1">
        <f t="array" ref="H21">INDEX(Table1[riBAQ 21], MATCH(1, (Table3[[#This Row],[Gene names]:[Gene names]] = Table1[[Gene names]:[Gene names]])*1, 0))</f>
        <v>1.66E-5</v>
      </c>
      <c r="I21" cm="1">
        <f t="array" ref="I21">INDEX(Table1[riBAQ 22], MATCH(1, (Table3[[#This Row],[Gene names]:[Gene names]] = Table1[[Gene names]:[Gene names]])*1, 0))</f>
        <v>1.43E-5</v>
      </c>
      <c r="J21" cm="1">
        <f t="array" ref="J21">INDEX(Table1[riBAQ 23], MATCH(1, (Table3[[#This Row],[Gene names]:[Gene names]] = Table1[[Gene names]:[Gene names]])*1, 0))</f>
        <v>0</v>
      </c>
      <c r="K21" cm="1">
        <f t="array" ref="K21">INDEX(Table1[riBAQ 37], MATCH(1, (Table3[[#This Row],[Gene names]:[Gene names]] = Table1[[Gene names]:[Gene names]])*1, 0))</f>
        <v>0</v>
      </c>
      <c r="L21" cm="1">
        <f t="array" ref="L21">INDEX(Table1[riBAQ 38], MATCH(1, (Table3[[#This Row],[Gene names]:[Gene names]] = Table1[[Gene names]:[Gene names]])*1, 0))</f>
        <v>1.27E-5</v>
      </c>
      <c r="M21" cm="1">
        <f t="array" ref="M21">INDEX(Table1[riBAQ 39], MATCH(1, (Table3[[#This Row],[Gene names]:[Gene names]] = Table1[[Gene names]:[Gene names]])*1, 0))</f>
        <v>0</v>
      </c>
      <c r="N21" cm="1">
        <f t="array" ref="N21">INDEX(Table1[riBAQ 40], MATCH(1, (Table3[[#This Row],[Gene names]:[Gene names]] = Table1[[Gene names]:[Gene names]])*1, 0))</f>
        <v>0</v>
      </c>
      <c r="O21" cm="1">
        <f t="array" ref="O21">INDEX(Table1[riBAQ 41], MATCH(1, (Table3[[#This Row],[Gene names]:[Gene names]] = Table1[[Gene names]:[Gene names]])*1, 0))</f>
        <v>0</v>
      </c>
      <c r="P21" cm="1">
        <f t="array" ref="P21">INDEX(Table1[riBAQ 24], MATCH(1, (Table3[[#This Row],[Gene names]:[Gene names]] = Table1[[Gene names]:[Gene names]])*1, 0))</f>
        <v>0</v>
      </c>
      <c r="Q21" cm="1">
        <f t="array" ref="Q21">INDEX(Table1[riBAQ 25], MATCH(1, (Table3[[#This Row],[Gene names]:[Gene names]] = Table1[[Gene names]:[Gene names]])*1, 0))</f>
        <v>2.7800000000000001E-5</v>
      </c>
      <c r="R21" cm="1">
        <f t="array" ref="R21">INDEX(Table1[riBAQ 26], MATCH(1, (Table3[[#This Row],[Gene names]:[Gene names]] = Table1[[Gene names]:[Gene names]])*1, 0))</f>
        <v>2.09E-5</v>
      </c>
      <c r="S21" cm="1">
        <f t="array" ref="S21">INDEX(Table1[riBAQ 42], MATCH(1, (Table3[[#This Row],[Gene names]:[Gene names]] = Table1[[Gene names]:[Gene names]])*1, 0))</f>
        <v>3.1900000000000003E-5</v>
      </c>
      <c r="T21" cm="1">
        <f t="array" ref="T21">INDEX(Table1[riBAQ 43], MATCH(1, (Table3[[#This Row],[Gene names]:[Gene names]] = Table1[[Gene names]:[Gene names]])*1, 0))</f>
        <v>3.6699999999999998E-5</v>
      </c>
    </row>
    <row r="22" spans="1:20" x14ac:dyDescent="0.25">
      <c r="A22" t="s">
        <v>713</v>
      </c>
      <c r="B22" cm="1">
        <f t="array" ref="B22">INDEX(Table1[riBAQ 17], MATCH(1, (Table3[[#This Row],[Gene names]:[Gene names]] = Table1[[Gene names]:[Gene names]])*1, 0))</f>
        <v>4.1083800000000001E-4</v>
      </c>
      <c r="C22" cm="1">
        <f t="array" ref="C22">INDEX(Table1[riBAQ 18], MATCH(1, (Table3[[#This Row],[Gene names]:[Gene names]] = Table1[[Gene names]:[Gene names]])*1, 0))</f>
        <v>4.3710100000000002E-4</v>
      </c>
      <c r="D22" cm="1">
        <f t="array" ref="D22">INDEX(Table1[riBAQ 35], MATCH(1, (Table3[[#This Row],[Gene names]:[Gene names]] = Table1[[Gene names]:[Gene names]])*1, 0))</f>
        <v>6.3536300000000001E-4</v>
      </c>
      <c r="E22" cm="1">
        <f t="array" ref="E22">INDEX(Table1[riBAQ 36], MATCH(1, (Table3[[#This Row],[Gene names]:[Gene names]] = Table1[[Gene names]:[Gene names]])*1, 0))</f>
        <v>5.8825399999999997E-4</v>
      </c>
      <c r="F22" cm="1">
        <f t="array" ref="F22">INDEX(Table1[riBAQ 19], MATCH(1, (Table3[[#This Row],[Gene names]:[Gene names]] = Table1[[Gene names]:[Gene names]])*1, 0))</f>
        <v>8.0700499999999996E-4</v>
      </c>
      <c r="G22" cm="1">
        <f t="array" ref="G22">INDEX(Table1[riBAQ 20], MATCH(1, (Table3[[#This Row],[Gene names]:[Gene names]] = Table1[[Gene names]:[Gene names]])*1, 0))</f>
        <v>4.4606700000000002E-4</v>
      </c>
      <c r="H22" cm="1">
        <f t="array" ref="H22">INDEX(Table1[riBAQ 21], MATCH(1, (Table3[[#This Row],[Gene names]:[Gene names]] = Table1[[Gene names]:[Gene names]])*1, 0))</f>
        <v>4.5771800000000002E-4</v>
      </c>
      <c r="I22" cm="1">
        <f t="array" ref="I22">INDEX(Table1[riBAQ 22], MATCH(1, (Table3[[#This Row],[Gene names]:[Gene names]] = Table1[[Gene names]:[Gene names]])*1, 0))</f>
        <v>2.3521499999999999E-4</v>
      </c>
      <c r="J22" cm="1">
        <f t="array" ref="J22">INDEX(Table1[riBAQ 23], MATCH(1, (Table3[[#This Row],[Gene names]:[Gene names]] = Table1[[Gene names]:[Gene names]])*1, 0))</f>
        <v>4.3287000000000002E-4</v>
      </c>
      <c r="K22" cm="1">
        <f t="array" ref="K22">INDEX(Table1[riBAQ 37], MATCH(1, (Table3[[#This Row],[Gene names]:[Gene names]] = Table1[[Gene names]:[Gene names]])*1, 0))</f>
        <v>4.7587900000000002E-4</v>
      </c>
      <c r="L22" cm="1">
        <f t="array" ref="L22">INDEX(Table1[riBAQ 38], MATCH(1, (Table3[[#This Row],[Gene names]:[Gene names]] = Table1[[Gene names]:[Gene names]])*1, 0))</f>
        <v>4.0703199999999999E-4</v>
      </c>
      <c r="M22" cm="1">
        <f t="array" ref="M22">INDEX(Table1[riBAQ 39], MATCH(1, (Table3[[#This Row],[Gene names]:[Gene names]] = Table1[[Gene names]:[Gene names]])*1, 0))</f>
        <v>4.1248400000000002E-4</v>
      </c>
      <c r="N22" cm="1">
        <f t="array" ref="N22">INDEX(Table1[riBAQ 40], MATCH(1, (Table3[[#This Row],[Gene names]:[Gene names]] = Table1[[Gene names]:[Gene names]])*1, 0))</f>
        <v>3.2162899999999998E-4</v>
      </c>
      <c r="O22" cm="1">
        <f t="array" ref="O22">INDEX(Table1[riBAQ 41], MATCH(1, (Table3[[#This Row],[Gene names]:[Gene names]] = Table1[[Gene names]:[Gene names]])*1, 0))</f>
        <v>5.7039899999999997E-4</v>
      </c>
      <c r="P22" cm="1">
        <f t="array" ref="P22">INDEX(Table1[riBAQ 24], MATCH(1, (Table3[[#This Row],[Gene names]:[Gene names]] = Table1[[Gene names]:[Gene names]])*1, 0))</f>
        <v>6.1275399999999997E-4</v>
      </c>
      <c r="Q22" cm="1">
        <f t="array" ref="Q22">INDEX(Table1[riBAQ 25], MATCH(1, (Table3[[#This Row],[Gene names]:[Gene names]] = Table1[[Gene names]:[Gene names]])*1, 0))</f>
        <v>6.3135800000000005E-4</v>
      </c>
      <c r="R22" cm="1">
        <f t="array" ref="R22">INDEX(Table1[riBAQ 26], MATCH(1, (Table3[[#This Row],[Gene names]:[Gene names]] = Table1[[Gene names]:[Gene names]])*1, 0))</f>
        <v>7.1466300000000004E-4</v>
      </c>
      <c r="S22" cm="1">
        <f t="array" ref="S22">INDEX(Table1[riBAQ 42], MATCH(1, (Table3[[#This Row],[Gene names]:[Gene names]] = Table1[[Gene names]:[Gene names]])*1, 0))</f>
        <v>9.9016699999999991E-4</v>
      </c>
      <c r="T22" cm="1">
        <f t="array" ref="T22">INDEX(Table1[riBAQ 43], MATCH(1, (Table3[[#This Row],[Gene names]:[Gene names]] = Table1[[Gene names]:[Gene names]])*1, 0))</f>
        <v>6.9388299999999996E-4</v>
      </c>
    </row>
    <row r="23" spans="1:20" x14ac:dyDescent="0.25">
      <c r="A23" t="s">
        <v>382</v>
      </c>
      <c r="B23" cm="1">
        <f t="array" ref="B23">INDEX(Table1[riBAQ 17], MATCH(1, (Table3[[#This Row],[Gene names]:[Gene names]] = Table1[[Gene names]:[Gene names]])*1, 0))</f>
        <v>0</v>
      </c>
      <c r="C23" cm="1">
        <f t="array" ref="C23">INDEX(Table1[riBAQ 18], MATCH(1, (Table3[[#This Row],[Gene names]:[Gene names]] = Table1[[Gene names]:[Gene names]])*1, 0))</f>
        <v>0</v>
      </c>
      <c r="D23" cm="1">
        <f t="array" ref="D23">INDEX(Table1[riBAQ 35], MATCH(1, (Table3[[#This Row],[Gene names]:[Gene names]] = Table1[[Gene names]:[Gene names]])*1, 0))</f>
        <v>0</v>
      </c>
      <c r="E23" cm="1">
        <f t="array" ref="E23">INDEX(Table1[riBAQ 36], MATCH(1, (Table3[[#This Row],[Gene names]:[Gene names]] = Table1[[Gene names]:[Gene names]])*1, 0))</f>
        <v>0</v>
      </c>
      <c r="F23" cm="1">
        <f t="array" ref="F23">INDEX(Table1[riBAQ 19], MATCH(1, (Table3[[#This Row],[Gene names]:[Gene names]] = Table1[[Gene names]:[Gene names]])*1, 0))</f>
        <v>0</v>
      </c>
      <c r="G23" cm="1">
        <f t="array" ref="G23">INDEX(Table1[riBAQ 20], MATCH(1, (Table3[[#This Row],[Gene names]:[Gene names]] = Table1[[Gene names]:[Gene names]])*1, 0))</f>
        <v>0</v>
      </c>
      <c r="H23" cm="1">
        <f t="array" ref="H23">INDEX(Table1[riBAQ 21], MATCH(1, (Table3[[#This Row],[Gene names]:[Gene names]] = Table1[[Gene names]:[Gene names]])*1, 0))</f>
        <v>0</v>
      </c>
      <c r="I23" cm="1">
        <f t="array" ref="I23">INDEX(Table1[riBAQ 22], MATCH(1, (Table3[[#This Row],[Gene names]:[Gene names]] = Table1[[Gene names]:[Gene names]])*1, 0))</f>
        <v>0</v>
      </c>
      <c r="J23" cm="1">
        <f t="array" ref="J23">INDEX(Table1[riBAQ 23], MATCH(1, (Table3[[#This Row],[Gene names]:[Gene names]] = Table1[[Gene names]:[Gene names]])*1, 0))</f>
        <v>0</v>
      </c>
      <c r="K23" cm="1">
        <f t="array" ref="K23">INDEX(Table1[riBAQ 37], MATCH(1, (Table3[[#This Row],[Gene names]:[Gene names]] = Table1[[Gene names]:[Gene names]])*1, 0))</f>
        <v>0</v>
      </c>
      <c r="L23" cm="1">
        <f t="array" ref="L23">INDEX(Table1[riBAQ 38], MATCH(1, (Table3[[#This Row],[Gene names]:[Gene names]] = Table1[[Gene names]:[Gene names]])*1, 0))</f>
        <v>0</v>
      </c>
      <c r="M23" cm="1">
        <f t="array" ref="M23">INDEX(Table1[riBAQ 39], MATCH(1, (Table3[[#This Row],[Gene names]:[Gene names]] = Table1[[Gene names]:[Gene names]])*1, 0))</f>
        <v>0</v>
      </c>
      <c r="N23" cm="1">
        <f t="array" ref="N23">INDEX(Table1[riBAQ 40], MATCH(1, (Table3[[#This Row],[Gene names]:[Gene names]] = Table1[[Gene names]:[Gene names]])*1, 0))</f>
        <v>0</v>
      </c>
      <c r="O23" cm="1">
        <f t="array" ref="O23">INDEX(Table1[riBAQ 41], MATCH(1, (Table3[[#This Row],[Gene names]:[Gene names]] = Table1[[Gene names]:[Gene names]])*1, 0))</f>
        <v>0</v>
      </c>
      <c r="P23" cm="1">
        <f t="array" ref="P23">INDEX(Table1[riBAQ 24], MATCH(1, (Table3[[#This Row],[Gene names]:[Gene names]] = Table1[[Gene names]:[Gene names]])*1, 0))</f>
        <v>1.22E-5</v>
      </c>
      <c r="Q23" cm="1">
        <f t="array" ref="Q23">INDEX(Table1[riBAQ 25], MATCH(1, (Table3[[#This Row],[Gene names]:[Gene names]] = Table1[[Gene names]:[Gene names]])*1, 0))</f>
        <v>2.3E-5</v>
      </c>
      <c r="R23" cm="1">
        <f t="array" ref="R23">INDEX(Table1[riBAQ 26], MATCH(1, (Table3[[#This Row],[Gene names]:[Gene names]] = Table1[[Gene names]:[Gene names]])*1, 0))</f>
        <v>1.77E-5</v>
      </c>
      <c r="S23" cm="1">
        <f t="array" ref="S23">INDEX(Table1[riBAQ 42], MATCH(1, (Table3[[#This Row],[Gene names]:[Gene names]] = Table1[[Gene names]:[Gene names]])*1, 0))</f>
        <v>1.8199999999999999E-5</v>
      </c>
      <c r="T23" cm="1">
        <f t="array" ref="T23">INDEX(Table1[riBAQ 43], MATCH(1, (Table3[[#This Row],[Gene names]:[Gene names]] = Table1[[Gene names]:[Gene names]])*1, 0))</f>
        <v>1.9899999999999999E-5</v>
      </c>
    </row>
    <row r="24" spans="1:20" x14ac:dyDescent="0.25">
      <c r="A24" t="s">
        <v>698</v>
      </c>
      <c r="B24" cm="1">
        <f t="array" ref="B24">INDEX(Table1[riBAQ 17], MATCH(1, (Table3[[#This Row],[Gene names]:[Gene names]] = Table1[[Gene names]:[Gene names]])*1, 0))</f>
        <v>0</v>
      </c>
      <c r="C24" cm="1">
        <f t="array" ref="C24">INDEX(Table1[riBAQ 18], MATCH(1, (Table3[[#This Row],[Gene names]:[Gene names]] = Table1[[Gene names]:[Gene names]])*1, 0))</f>
        <v>0</v>
      </c>
      <c r="D24" cm="1">
        <f t="array" ref="D24">INDEX(Table1[riBAQ 35], MATCH(1, (Table3[[#This Row],[Gene names]:[Gene names]] = Table1[[Gene names]:[Gene names]])*1, 0))</f>
        <v>0</v>
      </c>
      <c r="E24" cm="1">
        <f t="array" ref="E24">INDEX(Table1[riBAQ 36], MATCH(1, (Table3[[#This Row],[Gene names]:[Gene names]] = Table1[[Gene names]:[Gene names]])*1, 0))</f>
        <v>0</v>
      </c>
      <c r="F24" cm="1">
        <f t="array" ref="F24">INDEX(Table1[riBAQ 19], MATCH(1, (Table3[[#This Row],[Gene names]:[Gene names]] = Table1[[Gene names]:[Gene names]])*1, 0))</f>
        <v>3.9900000000000001E-5</v>
      </c>
      <c r="G24" cm="1">
        <f t="array" ref="G24">INDEX(Table1[riBAQ 20], MATCH(1, (Table3[[#This Row],[Gene names]:[Gene names]] = Table1[[Gene names]:[Gene names]])*1, 0))</f>
        <v>1.95E-5</v>
      </c>
      <c r="H24" cm="1">
        <f t="array" ref="H24">INDEX(Table1[riBAQ 21], MATCH(1, (Table3[[#This Row],[Gene names]:[Gene names]] = Table1[[Gene names]:[Gene names]])*1, 0))</f>
        <v>0</v>
      </c>
      <c r="I24" cm="1">
        <f t="array" ref="I24">INDEX(Table1[riBAQ 22], MATCH(1, (Table3[[#This Row],[Gene names]:[Gene names]] = Table1[[Gene names]:[Gene names]])*1, 0))</f>
        <v>0</v>
      </c>
      <c r="J24" cm="1">
        <f t="array" ref="J24">INDEX(Table1[riBAQ 23], MATCH(1, (Table3[[#This Row],[Gene names]:[Gene names]] = Table1[[Gene names]:[Gene names]])*1, 0))</f>
        <v>0</v>
      </c>
      <c r="K24" cm="1">
        <f t="array" ref="K24">INDEX(Table1[riBAQ 37], MATCH(1, (Table3[[#This Row],[Gene names]:[Gene names]] = Table1[[Gene names]:[Gene names]])*1, 0))</f>
        <v>0</v>
      </c>
      <c r="L24" cm="1">
        <f t="array" ref="L24">INDEX(Table1[riBAQ 38], MATCH(1, (Table3[[#This Row],[Gene names]:[Gene names]] = Table1[[Gene names]:[Gene names]])*1, 0))</f>
        <v>0</v>
      </c>
      <c r="M24" cm="1">
        <f t="array" ref="M24">INDEX(Table1[riBAQ 39], MATCH(1, (Table3[[#This Row],[Gene names]:[Gene names]] = Table1[[Gene names]:[Gene names]])*1, 0))</f>
        <v>0</v>
      </c>
      <c r="N24" cm="1">
        <f t="array" ref="N24">INDEX(Table1[riBAQ 40], MATCH(1, (Table3[[#This Row],[Gene names]:[Gene names]] = Table1[[Gene names]:[Gene names]])*1, 0))</f>
        <v>2.1500000000000001E-5</v>
      </c>
      <c r="O24" cm="1">
        <f t="array" ref="O24">INDEX(Table1[riBAQ 41], MATCH(1, (Table3[[#This Row],[Gene names]:[Gene names]] = Table1[[Gene names]:[Gene names]])*1, 0))</f>
        <v>0</v>
      </c>
      <c r="P24" cm="1">
        <f t="array" ref="P24">INDEX(Table1[riBAQ 24], MATCH(1, (Table3[[#This Row],[Gene names]:[Gene names]] = Table1[[Gene names]:[Gene names]])*1, 0))</f>
        <v>5.6400000000000002E-5</v>
      </c>
      <c r="Q24" cm="1">
        <f t="array" ref="Q24">INDEX(Table1[riBAQ 25], MATCH(1, (Table3[[#This Row],[Gene names]:[Gene names]] = Table1[[Gene names]:[Gene names]])*1, 0))</f>
        <v>1.4198600000000001E-4</v>
      </c>
      <c r="R24" cm="1">
        <f t="array" ref="R24">INDEX(Table1[riBAQ 26], MATCH(1, (Table3[[#This Row],[Gene names]:[Gene names]] = Table1[[Gene names]:[Gene names]])*1, 0))</f>
        <v>8.7000000000000001E-5</v>
      </c>
      <c r="S24" cm="1">
        <f t="array" ref="S24">INDEX(Table1[riBAQ 42], MATCH(1, (Table3[[#This Row],[Gene names]:[Gene names]] = Table1[[Gene names]:[Gene names]])*1, 0))</f>
        <v>1.7109800000000001E-4</v>
      </c>
      <c r="T24" cm="1">
        <f t="array" ref="T24">INDEX(Table1[riBAQ 43], MATCH(1, (Table3[[#This Row],[Gene names]:[Gene names]] = Table1[[Gene names]:[Gene names]])*1, 0))</f>
        <v>1.7174000000000001E-4</v>
      </c>
    </row>
    <row r="25" spans="1:20" x14ac:dyDescent="0.25">
      <c r="A25" t="s">
        <v>893</v>
      </c>
      <c r="B25" cm="1">
        <f t="array" ref="B25">INDEX(Table1[riBAQ 17], MATCH(1, (Table3[[#This Row],[Gene names]:[Gene names]] = Table1[[Gene names]:[Gene names]])*1, 0))</f>
        <v>8.7899999999999995E-5</v>
      </c>
      <c r="C25" cm="1">
        <f t="array" ref="C25">INDEX(Table1[riBAQ 18], MATCH(1, (Table3[[#This Row],[Gene names]:[Gene names]] = Table1[[Gene names]:[Gene names]])*1, 0))</f>
        <v>9.8800000000000003E-5</v>
      </c>
      <c r="D25" cm="1">
        <f t="array" ref="D25">INDEX(Table1[riBAQ 35], MATCH(1, (Table3[[#This Row],[Gene names]:[Gene names]] = Table1[[Gene names]:[Gene names]])*1, 0))</f>
        <v>9.1299999999999997E-5</v>
      </c>
      <c r="E25" cm="1">
        <f t="array" ref="E25">INDEX(Table1[riBAQ 36], MATCH(1, (Table3[[#This Row],[Gene names]:[Gene names]] = Table1[[Gene names]:[Gene names]])*1, 0))</f>
        <v>5.5600000000000003E-5</v>
      </c>
      <c r="F25" cm="1">
        <f t="array" ref="F25">INDEX(Table1[riBAQ 19], MATCH(1, (Table3[[#This Row],[Gene names]:[Gene names]] = Table1[[Gene names]:[Gene names]])*1, 0))</f>
        <v>4.9400000000000001E-5</v>
      </c>
      <c r="G25" cm="1">
        <f t="array" ref="G25">INDEX(Table1[riBAQ 20], MATCH(1, (Table3[[#This Row],[Gene names]:[Gene names]] = Table1[[Gene names]:[Gene names]])*1, 0))</f>
        <v>7.2999999999999999E-5</v>
      </c>
      <c r="H25" cm="1">
        <f t="array" ref="H25">INDEX(Table1[riBAQ 21], MATCH(1, (Table3[[#This Row],[Gene names]:[Gene names]] = Table1[[Gene names]:[Gene names]])*1, 0))</f>
        <v>5.77E-5</v>
      </c>
      <c r="I25" cm="1">
        <f t="array" ref="I25">INDEX(Table1[riBAQ 22], MATCH(1, (Table3[[#This Row],[Gene names]:[Gene names]] = Table1[[Gene names]:[Gene names]])*1, 0))</f>
        <v>6.5699999999999998E-5</v>
      </c>
      <c r="J25" cm="1">
        <f t="array" ref="J25">INDEX(Table1[riBAQ 23], MATCH(1, (Table3[[#This Row],[Gene names]:[Gene names]] = Table1[[Gene names]:[Gene names]])*1, 0))</f>
        <v>7.0300000000000001E-5</v>
      </c>
      <c r="K25" cm="1">
        <f t="array" ref="K25">INDEX(Table1[riBAQ 37], MATCH(1, (Table3[[#This Row],[Gene names]:[Gene names]] = Table1[[Gene names]:[Gene names]])*1, 0))</f>
        <v>9.8400000000000007E-5</v>
      </c>
      <c r="L25" cm="1">
        <f t="array" ref="L25">INDEX(Table1[riBAQ 38], MATCH(1, (Table3[[#This Row],[Gene names]:[Gene names]] = Table1[[Gene names]:[Gene names]])*1, 0))</f>
        <v>1.12564E-4</v>
      </c>
      <c r="M25" cm="1">
        <f t="array" ref="M25">INDEX(Table1[riBAQ 39], MATCH(1, (Table3[[#This Row],[Gene names]:[Gene names]] = Table1[[Gene names]:[Gene names]])*1, 0))</f>
        <v>5.2800000000000003E-5</v>
      </c>
      <c r="N25" cm="1">
        <f t="array" ref="N25">INDEX(Table1[riBAQ 40], MATCH(1, (Table3[[#This Row],[Gene names]:[Gene names]] = Table1[[Gene names]:[Gene names]])*1, 0))</f>
        <v>5.0300000000000003E-5</v>
      </c>
      <c r="O25" cm="1">
        <f t="array" ref="O25">INDEX(Table1[riBAQ 41], MATCH(1, (Table3[[#This Row],[Gene names]:[Gene names]] = Table1[[Gene names]:[Gene names]])*1, 0))</f>
        <v>3.4E-5</v>
      </c>
      <c r="P25" cm="1">
        <f t="array" ref="P25">INDEX(Table1[riBAQ 24], MATCH(1, (Table3[[#This Row],[Gene names]:[Gene names]] = Table1[[Gene names]:[Gene names]])*1, 0))</f>
        <v>7.2600000000000003E-5</v>
      </c>
      <c r="Q25" cm="1">
        <f t="array" ref="Q25">INDEX(Table1[riBAQ 25], MATCH(1, (Table3[[#This Row],[Gene names]:[Gene names]] = Table1[[Gene names]:[Gene names]])*1, 0))</f>
        <v>3.54E-5</v>
      </c>
      <c r="R25" cm="1">
        <f t="array" ref="R25">INDEX(Table1[riBAQ 26], MATCH(1, (Table3[[#This Row],[Gene names]:[Gene names]] = Table1[[Gene names]:[Gene names]])*1, 0))</f>
        <v>3.2799999999999998E-5</v>
      </c>
      <c r="S25" cm="1">
        <f t="array" ref="S25">INDEX(Table1[riBAQ 42], MATCH(1, (Table3[[#This Row],[Gene names]:[Gene names]] = Table1[[Gene names]:[Gene names]])*1, 0))</f>
        <v>0</v>
      </c>
      <c r="T25" cm="1">
        <f t="array" ref="T25">INDEX(Table1[riBAQ 43], MATCH(1, (Table3[[#This Row],[Gene names]:[Gene names]] = Table1[[Gene names]:[Gene names]])*1, 0))</f>
        <v>1.6200000000000001E-5</v>
      </c>
    </row>
    <row r="26" spans="1:20" x14ac:dyDescent="0.25">
      <c r="A26" t="s">
        <v>1075</v>
      </c>
      <c r="B26" cm="1">
        <f t="array" ref="B26">INDEX(Table1[riBAQ 17], MATCH(1, (Table3[[#This Row],[Gene names]:[Gene names]] = Table1[[Gene names]:[Gene names]])*1, 0))</f>
        <v>0</v>
      </c>
      <c r="C26" cm="1">
        <f t="array" ref="C26">INDEX(Table1[riBAQ 18], MATCH(1, (Table3[[#This Row],[Gene names]:[Gene names]] = Table1[[Gene names]:[Gene names]])*1, 0))</f>
        <v>0</v>
      </c>
      <c r="D26" cm="1">
        <f t="array" ref="D26">INDEX(Table1[riBAQ 35], MATCH(1, (Table3[[#This Row],[Gene names]:[Gene names]] = Table1[[Gene names]:[Gene names]])*1, 0))</f>
        <v>0</v>
      </c>
      <c r="E26" cm="1">
        <f t="array" ref="E26">INDEX(Table1[riBAQ 36], MATCH(1, (Table3[[#This Row],[Gene names]:[Gene names]] = Table1[[Gene names]:[Gene names]])*1, 0))</f>
        <v>0</v>
      </c>
      <c r="F26" cm="1">
        <f t="array" ref="F26">INDEX(Table1[riBAQ 19], MATCH(1, (Table3[[#This Row],[Gene names]:[Gene names]] = Table1[[Gene names]:[Gene names]])*1, 0))</f>
        <v>0</v>
      </c>
      <c r="G26" cm="1">
        <f t="array" ref="G26">INDEX(Table1[riBAQ 20], MATCH(1, (Table3[[#This Row],[Gene names]:[Gene names]] = Table1[[Gene names]:[Gene names]])*1, 0))</f>
        <v>4.5000000000000003E-5</v>
      </c>
      <c r="H26" cm="1">
        <f t="array" ref="H26">INDEX(Table1[riBAQ 21], MATCH(1, (Table3[[#This Row],[Gene names]:[Gene names]] = Table1[[Gene names]:[Gene names]])*1, 0))</f>
        <v>2.12E-5</v>
      </c>
      <c r="I26" cm="1">
        <f t="array" ref="I26">INDEX(Table1[riBAQ 22], MATCH(1, (Table3[[#This Row],[Gene names]:[Gene names]] = Table1[[Gene names]:[Gene names]])*1, 0))</f>
        <v>0</v>
      </c>
      <c r="J26" cm="1">
        <f t="array" ref="J26">INDEX(Table1[riBAQ 23], MATCH(1, (Table3[[#This Row],[Gene names]:[Gene names]] = Table1[[Gene names]:[Gene names]])*1, 0))</f>
        <v>0</v>
      </c>
      <c r="K26" cm="1">
        <f t="array" ref="K26">INDEX(Table1[riBAQ 37], MATCH(1, (Table3[[#This Row],[Gene names]:[Gene names]] = Table1[[Gene names]:[Gene names]])*1, 0))</f>
        <v>1.8300000000000001E-5</v>
      </c>
      <c r="L26" cm="1">
        <f t="array" ref="L26">INDEX(Table1[riBAQ 38], MATCH(1, (Table3[[#This Row],[Gene names]:[Gene names]] = Table1[[Gene names]:[Gene names]])*1, 0))</f>
        <v>0</v>
      </c>
      <c r="M26" cm="1">
        <f t="array" ref="M26">INDEX(Table1[riBAQ 39], MATCH(1, (Table3[[#This Row],[Gene names]:[Gene names]] = Table1[[Gene names]:[Gene names]])*1, 0))</f>
        <v>0</v>
      </c>
      <c r="N26" cm="1">
        <f t="array" ref="N26">INDEX(Table1[riBAQ 40], MATCH(1, (Table3[[#This Row],[Gene names]:[Gene names]] = Table1[[Gene names]:[Gene names]])*1, 0))</f>
        <v>0</v>
      </c>
      <c r="O26" cm="1">
        <f t="array" ref="O26">INDEX(Table1[riBAQ 41], MATCH(1, (Table3[[#This Row],[Gene names]:[Gene names]] = Table1[[Gene names]:[Gene names]])*1, 0))</f>
        <v>0</v>
      </c>
      <c r="P26" cm="1">
        <f t="array" ref="P26">INDEX(Table1[riBAQ 24], MATCH(1, (Table3[[#This Row],[Gene names]:[Gene names]] = Table1[[Gene names]:[Gene names]])*1, 0))</f>
        <v>3.8099999999999998E-5</v>
      </c>
      <c r="Q26" cm="1">
        <f t="array" ref="Q26">INDEX(Table1[riBAQ 25], MATCH(1, (Table3[[#This Row],[Gene names]:[Gene names]] = Table1[[Gene names]:[Gene names]])*1, 0))</f>
        <v>1.1356700000000001E-4</v>
      </c>
      <c r="R26" cm="1">
        <f t="array" ref="R26">INDEX(Table1[riBAQ 26], MATCH(1, (Table3[[#This Row],[Gene names]:[Gene names]] = Table1[[Gene names]:[Gene names]])*1, 0))</f>
        <v>6.9900000000000005E-5</v>
      </c>
      <c r="S26" cm="1">
        <f t="array" ref="S26">INDEX(Table1[riBAQ 42], MATCH(1, (Table3[[#This Row],[Gene names]:[Gene names]] = Table1[[Gene names]:[Gene names]])*1, 0))</f>
        <v>4.5500000000000001E-5</v>
      </c>
      <c r="T26" cm="1">
        <f t="array" ref="T26">INDEX(Table1[riBAQ 43], MATCH(1, (Table3[[#This Row],[Gene names]:[Gene names]] = Table1[[Gene names]:[Gene names]])*1, 0))</f>
        <v>2.6526399999999997E-4</v>
      </c>
    </row>
    <row r="27" spans="1:20" x14ac:dyDescent="0.25">
      <c r="A27" t="s">
        <v>385</v>
      </c>
      <c r="B27" cm="1">
        <f t="array" ref="B27">INDEX(Table1[riBAQ 17], MATCH(1, (Table3[[#This Row],[Gene names]:[Gene names]] = Table1[[Gene names]:[Gene names]])*1, 0))</f>
        <v>0</v>
      </c>
      <c r="C27" cm="1">
        <f t="array" ref="C27">INDEX(Table1[riBAQ 18], MATCH(1, (Table3[[#This Row],[Gene names]:[Gene names]] = Table1[[Gene names]:[Gene names]])*1, 0))</f>
        <v>0</v>
      </c>
      <c r="D27" cm="1">
        <f t="array" ref="D27">INDEX(Table1[riBAQ 35], MATCH(1, (Table3[[#This Row],[Gene names]:[Gene names]] = Table1[[Gene names]:[Gene names]])*1, 0))</f>
        <v>0</v>
      </c>
      <c r="E27" cm="1">
        <f t="array" ref="E27">INDEX(Table1[riBAQ 36], MATCH(1, (Table3[[#This Row],[Gene names]:[Gene names]] = Table1[[Gene names]:[Gene names]])*1, 0))</f>
        <v>0</v>
      </c>
      <c r="F27" cm="1">
        <f t="array" ref="F27">INDEX(Table1[riBAQ 19], MATCH(1, (Table3[[#This Row],[Gene names]:[Gene names]] = Table1[[Gene names]:[Gene names]])*1, 0))</f>
        <v>0</v>
      </c>
      <c r="G27" cm="1">
        <f t="array" ref="G27">INDEX(Table1[riBAQ 20], MATCH(1, (Table3[[#This Row],[Gene names]:[Gene names]] = Table1[[Gene names]:[Gene names]])*1, 0))</f>
        <v>0</v>
      </c>
      <c r="H27" cm="1">
        <f t="array" ref="H27">INDEX(Table1[riBAQ 21], MATCH(1, (Table3[[#This Row],[Gene names]:[Gene names]] = Table1[[Gene names]:[Gene names]])*1, 0))</f>
        <v>1.2500000000000001E-5</v>
      </c>
      <c r="I27" cm="1">
        <f t="array" ref="I27">INDEX(Table1[riBAQ 22], MATCH(1, (Table3[[#This Row],[Gene names]:[Gene names]] = Table1[[Gene names]:[Gene names]])*1, 0))</f>
        <v>0</v>
      </c>
      <c r="J27" cm="1">
        <f t="array" ref="J27">INDEX(Table1[riBAQ 23], MATCH(1, (Table3[[#This Row],[Gene names]:[Gene names]] = Table1[[Gene names]:[Gene names]])*1, 0))</f>
        <v>0</v>
      </c>
      <c r="K27" cm="1">
        <f t="array" ref="K27">INDEX(Table1[riBAQ 37], MATCH(1, (Table3[[#This Row],[Gene names]:[Gene names]] = Table1[[Gene names]:[Gene names]])*1, 0))</f>
        <v>8.8599999999999999E-6</v>
      </c>
      <c r="L27" cm="1">
        <f t="array" ref="L27">INDEX(Table1[riBAQ 38], MATCH(1, (Table3[[#This Row],[Gene names]:[Gene names]] = Table1[[Gene names]:[Gene names]])*1, 0))</f>
        <v>0</v>
      </c>
      <c r="M27" cm="1">
        <f t="array" ref="M27">INDEX(Table1[riBAQ 39], MATCH(1, (Table3[[#This Row],[Gene names]:[Gene names]] = Table1[[Gene names]:[Gene names]])*1, 0))</f>
        <v>0</v>
      </c>
      <c r="N27" cm="1">
        <f t="array" ref="N27">INDEX(Table1[riBAQ 40], MATCH(1, (Table3[[#This Row],[Gene names]:[Gene names]] = Table1[[Gene names]:[Gene names]])*1, 0))</f>
        <v>0</v>
      </c>
      <c r="O27" cm="1">
        <f t="array" ref="O27">INDEX(Table1[riBAQ 41], MATCH(1, (Table3[[#This Row],[Gene names]:[Gene names]] = Table1[[Gene names]:[Gene names]])*1, 0))</f>
        <v>0</v>
      </c>
      <c r="P27" cm="1">
        <f t="array" ref="P27">INDEX(Table1[riBAQ 24], MATCH(1, (Table3[[#This Row],[Gene names]:[Gene names]] = Table1[[Gene names]:[Gene names]])*1, 0))</f>
        <v>9.6399999999999992E-6</v>
      </c>
      <c r="Q27" cm="1">
        <f t="array" ref="Q27">INDEX(Table1[riBAQ 25], MATCH(1, (Table3[[#This Row],[Gene names]:[Gene names]] = Table1[[Gene names]:[Gene names]])*1, 0))</f>
        <v>2.02E-5</v>
      </c>
      <c r="R27" cm="1">
        <f t="array" ref="R27">INDEX(Table1[riBAQ 26], MATCH(1, (Table3[[#This Row],[Gene names]:[Gene names]] = Table1[[Gene names]:[Gene names]])*1, 0))</f>
        <v>1.6500000000000001E-5</v>
      </c>
      <c r="S27" cm="1">
        <f t="array" ref="S27">INDEX(Table1[riBAQ 42], MATCH(1, (Table3[[#This Row],[Gene names]:[Gene names]] = Table1[[Gene names]:[Gene names]])*1, 0))</f>
        <v>2.48E-5</v>
      </c>
      <c r="T27" cm="1">
        <f t="array" ref="T27">INDEX(Table1[riBAQ 43], MATCH(1, (Table3[[#This Row],[Gene names]:[Gene names]] = Table1[[Gene names]:[Gene names]])*1, 0))</f>
        <v>1.7600000000000001E-5</v>
      </c>
    </row>
    <row r="28" spans="1:20" x14ac:dyDescent="0.25">
      <c r="A28" t="s">
        <v>1080</v>
      </c>
      <c r="B28" cm="1">
        <f t="array" ref="B28">INDEX(Table1[riBAQ 17], MATCH(1, (Table3[[#This Row],[Gene names]:[Gene names]] = Table1[[Gene names]:[Gene names]])*1, 0))</f>
        <v>1.6099999999999998E-5</v>
      </c>
      <c r="C28" cm="1">
        <f t="array" ref="C28">INDEX(Table1[riBAQ 18], MATCH(1, (Table3[[#This Row],[Gene names]:[Gene names]] = Table1[[Gene names]:[Gene names]])*1, 0))</f>
        <v>0</v>
      </c>
      <c r="D28" cm="1">
        <f t="array" ref="D28">INDEX(Table1[riBAQ 35], MATCH(1, (Table3[[#This Row],[Gene names]:[Gene names]] = Table1[[Gene names]:[Gene names]])*1, 0))</f>
        <v>0</v>
      </c>
      <c r="E28" cm="1">
        <f t="array" ref="E28">INDEX(Table1[riBAQ 36], MATCH(1, (Table3[[#This Row],[Gene names]:[Gene names]] = Table1[[Gene names]:[Gene names]])*1, 0))</f>
        <v>0</v>
      </c>
      <c r="F28" cm="1">
        <f t="array" ref="F28">INDEX(Table1[riBAQ 19], MATCH(1, (Table3[[#This Row],[Gene names]:[Gene names]] = Table1[[Gene names]:[Gene names]])*1, 0))</f>
        <v>4.2799999999999997E-5</v>
      </c>
      <c r="G28" cm="1">
        <f t="array" ref="G28">INDEX(Table1[riBAQ 20], MATCH(1, (Table3[[#This Row],[Gene names]:[Gene names]] = Table1[[Gene names]:[Gene names]])*1, 0))</f>
        <v>5.1499999999999998E-5</v>
      </c>
      <c r="H28" cm="1">
        <f t="array" ref="H28">INDEX(Table1[riBAQ 21], MATCH(1, (Table3[[#This Row],[Gene names]:[Gene names]] = Table1[[Gene names]:[Gene names]])*1, 0))</f>
        <v>2.6800000000000001E-5</v>
      </c>
      <c r="I28" cm="1">
        <f t="array" ref="I28">INDEX(Table1[riBAQ 22], MATCH(1, (Table3[[#This Row],[Gene names]:[Gene names]] = Table1[[Gene names]:[Gene names]])*1, 0))</f>
        <v>3.3099999999999998E-5</v>
      </c>
      <c r="J28" cm="1">
        <f t="array" ref="J28">INDEX(Table1[riBAQ 23], MATCH(1, (Table3[[#This Row],[Gene names]:[Gene names]] = Table1[[Gene names]:[Gene names]])*1, 0))</f>
        <v>2.3900000000000002E-5</v>
      </c>
      <c r="K28" cm="1">
        <f t="array" ref="K28">INDEX(Table1[riBAQ 37], MATCH(1, (Table3[[#This Row],[Gene names]:[Gene names]] = Table1[[Gene names]:[Gene names]])*1, 0))</f>
        <v>2.3099999999999999E-5</v>
      </c>
      <c r="L28" cm="1">
        <f t="array" ref="L28">INDEX(Table1[riBAQ 38], MATCH(1, (Table3[[#This Row],[Gene names]:[Gene names]] = Table1[[Gene names]:[Gene names]])*1, 0))</f>
        <v>0</v>
      </c>
      <c r="M28" cm="1">
        <f t="array" ref="M28">INDEX(Table1[riBAQ 39], MATCH(1, (Table3[[#This Row],[Gene names]:[Gene names]] = Table1[[Gene names]:[Gene names]])*1, 0))</f>
        <v>1.56E-5</v>
      </c>
      <c r="N28" cm="1">
        <f t="array" ref="N28">INDEX(Table1[riBAQ 40], MATCH(1, (Table3[[#This Row],[Gene names]:[Gene names]] = Table1[[Gene names]:[Gene names]])*1, 0))</f>
        <v>0</v>
      </c>
      <c r="O28" cm="1">
        <f t="array" ref="O28">INDEX(Table1[riBAQ 41], MATCH(1, (Table3[[#This Row],[Gene names]:[Gene names]] = Table1[[Gene names]:[Gene names]])*1, 0))</f>
        <v>0</v>
      </c>
      <c r="P28" cm="1">
        <f t="array" ref="P28">INDEX(Table1[riBAQ 24], MATCH(1, (Table3[[#This Row],[Gene names]:[Gene names]] = Table1[[Gene names]:[Gene names]])*1, 0))</f>
        <v>7.7700000000000005E-5</v>
      </c>
      <c r="Q28" cm="1">
        <f t="array" ref="Q28">INDEX(Table1[riBAQ 25], MATCH(1, (Table3[[#This Row],[Gene names]:[Gene names]] = Table1[[Gene names]:[Gene names]])*1, 0))</f>
        <v>2.10146E-4</v>
      </c>
      <c r="R28" cm="1">
        <f t="array" ref="R28">INDEX(Table1[riBAQ 26], MATCH(1, (Table3[[#This Row],[Gene names]:[Gene names]] = Table1[[Gene names]:[Gene names]])*1, 0))</f>
        <v>1.3701100000000001E-4</v>
      </c>
      <c r="S28" cm="1">
        <f t="array" ref="S28">INDEX(Table1[riBAQ 42], MATCH(1, (Table3[[#This Row],[Gene names]:[Gene names]] = Table1[[Gene names]:[Gene names]])*1, 0))</f>
        <v>5.7500000000000002E-5</v>
      </c>
      <c r="T28" cm="1">
        <f t="array" ref="T28">INDEX(Table1[riBAQ 43], MATCH(1, (Table3[[#This Row],[Gene names]:[Gene names]] = Table1[[Gene names]:[Gene names]])*1, 0))</f>
        <v>2.9418100000000002E-4</v>
      </c>
    </row>
    <row r="29" spans="1:20" x14ac:dyDescent="0.25">
      <c r="A29" t="s">
        <v>1419</v>
      </c>
      <c r="B29" cm="1">
        <f t="array" ref="B29">INDEX(Table1[riBAQ 17], MATCH(1, (Table3[[#This Row],[Gene names]:[Gene names]] = Table1[[Gene names]:[Gene names]])*1, 0))</f>
        <v>1.0754219999999999E-3</v>
      </c>
      <c r="C29" cm="1">
        <f t="array" ref="C29">INDEX(Table1[riBAQ 18], MATCH(1, (Table3[[#This Row],[Gene names]:[Gene names]] = Table1[[Gene names]:[Gene names]])*1, 0))</f>
        <v>1.138624E-3</v>
      </c>
      <c r="D29" cm="1">
        <f t="array" ref="D29">INDEX(Table1[riBAQ 35], MATCH(1, (Table3[[#This Row],[Gene names]:[Gene names]] = Table1[[Gene names]:[Gene names]])*1, 0))</f>
        <v>7.1213400000000001E-4</v>
      </c>
      <c r="E29" cm="1">
        <f t="array" ref="E29">INDEX(Table1[riBAQ 36], MATCH(1, (Table3[[#This Row],[Gene names]:[Gene names]] = Table1[[Gene names]:[Gene names]])*1, 0))</f>
        <v>6.6827399999999995E-4</v>
      </c>
      <c r="F29" cm="1">
        <f t="array" ref="F29">INDEX(Table1[riBAQ 19], MATCH(1, (Table3[[#This Row],[Gene names]:[Gene names]] = Table1[[Gene names]:[Gene names]])*1, 0))</f>
        <v>1.2340680000000001E-3</v>
      </c>
      <c r="G29" cm="1">
        <f t="array" ref="G29">INDEX(Table1[riBAQ 20], MATCH(1, (Table3[[#This Row],[Gene names]:[Gene names]] = Table1[[Gene names]:[Gene names]])*1, 0))</f>
        <v>1.0248760000000001E-3</v>
      </c>
      <c r="H29" cm="1">
        <f t="array" ref="H29">INDEX(Table1[riBAQ 21], MATCH(1, (Table3[[#This Row],[Gene names]:[Gene names]] = Table1[[Gene names]:[Gene names]])*1, 0))</f>
        <v>1.1634659999999999E-3</v>
      </c>
      <c r="I29" cm="1">
        <f t="array" ref="I29">INDEX(Table1[riBAQ 22], MATCH(1, (Table3[[#This Row],[Gene names]:[Gene names]] = Table1[[Gene names]:[Gene names]])*1, 0))</f>
        <v>9.9386099999999996E-4</v>
      </c>
      <c r="J29" cm="1">
        <f t="array" ref="J29">INDEX(Table1[riBAQ 23], MATCH(1, (Table3[[#This Row],[Gene names]:[Gene names]] = Table1[[Gene names]:[Gene names]])*1, 0))</f>
        <v>1.0156779999999999E-3</v>
      </c>
      <c r="K29" cm="1">
        <f t="array" ref="K29">INDEX(Table1[riBAQ 37], MATCH(1, (Table3[[#This Row],[Gene names]:[Gene names]] = Table1[[Gene names]:[Gene names]])*1, 0))</f>
        <v>6.8764399999999995E-4</v>
      </c>
      <c r="L29" cm="1">
        <f t="array" ref="L29">INDEX(Table1[riBAQ 38], MATCH(1, (Table3[[#This Row],[Gene names]:[Gene names]] = Table1[[Gene names]:[Gene names]])*1, 0))</f>
        <v>6.0722100000000002E-4</v>
      </c>
      <c r="M29" cm="1">
        <f t="array" ref="M29">INDEX(Table1[riBAQ 39], MATCH(1, (Table3[[#This Row],[Gene names]:[Gene names]] = Table1[[Gene names]:[Gene names]])*1, 0))</f>
        <v>1.0424379999999999E-3</v>
      </c>
      <c r="N29" cm="1">
        <f t="array" ref="N29">INDEX(Table1[riBAQ 40], MATCH(1, (Table3[[#This Row],[Gene names]:[Gene names]] = Table1[[Gene names]:[Gene names]])*1, 0))</f>
        <v>4.6184399999999999E-4</v>
      </c>
      <c r="O29" cm="1">
        <f t="array" ref="O29">INDEX(Table1[riBAQ 41], MATCH(1, (Table3[[#This Row],[Gene names]:[Gene names]] = Table1[[Gene names]:[Gene names]])*1, 0))</f>
        <v>7.44153E-4</v>
      </c>
      <c r="P29" cm="1">
        <f t="array" ref="P29">INDEX(Table1[riBAQ 24], MATCH(1, (Table3[[#This Row],[Gene names]:[Gene names]] = Table1[[Gene names]:[Gene names]])*1, 0))</f>
        <v>6.5563800000000005E-4</v>
      </c>
      <c r="Q29" cm="1">
        <f t="array" ref="Q29">INDEX(Table1[riBAQ 25], MATCH(1, (Table3[[#This Row],[Gene names]:[Gene names]] = Table1[[Gene names]:[Gene names]])*1, 0))</f>
        <v>2.8098400000000002E-4</v>
      </c>
      <c r="R29" cm="1">
        <f t="array" ref="R29">INDEX(Table1[riBAQ 26], MATCH(1, (Table3[[#This Row],[Gene names]:[Gene names]] = Table1[[Gene names]:[Gene names]])*1, 0))</f>
        <v>4.3345699999999999E-4</v>
      </c>
      <c r="S29" cm="1">
        <f t="array" ref="S29">INDEX(Table1[riBAQ 42], MATCH(1, (Table3[[#This Row],[Gene names]:[Gene names]] = Table1[[Gene names]:[Gene names]])*1, 0))</f>
        <v>3.57905E-4</v>
      </c>
      <c r="T29" cm="1">
        <f t="array" ref="T29">INDEX(Table1[riBAQ 43], MATCH(1, (Table3[[#This Row],[Gene names]:[Gene names]] = Table1[[Gene names]:[Gene names]])*1, 0))</f>
        <v>3.71708E-4</v>
      </c>
    </row>
    <row r="30" spans="1:20" x14ac:dyDescent="0.25">
      <c r="A30" t="s">
        <v>1079</v>
      </c>
      <c r="B30" cm="1">
        <f t="array" ref="B30">INDEX(Table1[riBAQ 17], MATCH(1, (Table3[[#This Row],[Gene names]:[Gene names]] = Table1[[Gene names]:[Gene names]])*1, 0))</f>
        <v>0</v>
      </c>
      <c r="C30" cm="1">
        <f t="array" ref="C30">INDEX(Table1[riBAQ 18], MATCH(1, (Table3[[#This Row],[Gene names]:[Gene names]] = Table1[[Gene names]:[Gene names]])*1, 0))</f>
        <v>0</v>
      </c>
      <c r="D30" cm="1">
        <f t="array" ref="D30">INDEX(Table1[riBAQ 35], MATCH(1, (Table3[[#This Row],[Gene names]:[Gene names]] = Table1[[Gene names]:[Gene names]])*1, 0))</f>
        <v>0</v>
      </c>
      <c r="E30" cm="1">
        <f t="array" ref="E30">INDEX(Table1[riBAQ 36], MATCH(1, (Table3[[#This Row],[Gene names]:[Gene names]] = Table1[[Gene names]:[Gene names]])*1, 0))</f>
        <v>0</v>
      </c>
      <c r="F30" cm="1">
        <f t="array" ref="F30">INDEX(Table1[riBAQ 19], MATCH(1, (Table3[[#This Row],[Gene names]:[Gene names]] = Table1[[Gene names]:[Gene names]])*1, 0))</f>
        <v>8.7999999999999998E-5</v>
      </c>
      <c r="G30" cm="1">
        <f t="array" ref="G30">INDEX(Table1[riBAQ 20], MATCH(1, (Table3[[#This Row],[Gene names]:[Gene names]] = Table1[[Gene names]:[Gene names]])*1, 0))</f>
        <v>1.6461899999999999E-4</v>
      </c>
      <c r="H30" cm="1">
        <f t="array" ref="H30">INDEX(Table1[riBAQ 21], MATCH(1, (Table3[[#This Row],[Gene names]:[Gene names]] = Table1[[Gene names]:[Gene names]])*1, 0))</f>
        <v>0</v>
      </c>
      <c r="I30" cm="1">
        <f t="array" ref="I30">INDEX(Table1[riBAQ 22], MATCH(1, (Table3[[#This Row],[Gene names]:[Gene names]] = Table1[[Gene names]:[Gene names]])*1, 0))</f>
        <v>0</v>
      </c>
      <c r="J30" cm="1">
        <f t="array" ref="J30">INDEX(Table1[riBAQ 23], MATCH(1, (Table3[[#This Row],[Gene names]:[Gene names]] = Table1[[Gene names]:[Gene names]])*1, 0))</f>
        <v>7.5300000000000001E-5</v>
      </c>
      <c r="K30" cm="1">
        <f t="array" ref="K30">INDEX(Table1[riBAQ 37], MATCH(1, (Table3[[#This Row],[Gene names]:[Gene names]] = Table1[[Gene names]:[Gene names]])*1, 0))</f>
        <v>9.6600000000000003E-5</v>
      </c>
      <c r="L30" cm="1">
        <f t="array" ref="L30">INDEX(Table1[riBAQ 38], MATCH(1, (Table3[[#This Row],[Gene names]:[Gene names]] = Table1[[Gene names]:[Gene names]])*1, 0))</f>
        <v>0</v>
      </c>
      <c r="M30" cm="1">
        <f t="array" ref="M30">INDEX(Table1[riBAQ 39], MATCH(1, (Table3[[#This Row],[Gene names]:[Gene names]] = Table1[[Gene names]:[Gene names]])*1, 0))</f>
        <v>0</v>
      </c>
      <c r="N30" cm="1">
        <f t="array" ref="N30">INDEX(Table1[riBAQ 40], MATCH(1, (Table3[[#This Row],[Gene names]:[Gene names]] = Table1[[Gene names]:[Gene names]])*1, 0))</f>
        <v>0</v>
      </c>
      <c r="O30" cm="1">
        <f t="array" ref="O30">INDEX(Table1[riBAQ 41], MATCH(1, (Table3[[#This Row],[Gene names]:[Gene names]] = Table1[[Gene names]:[Gene names]])*1, 0))</f>
        <v>0</v>
      </c>
      <c r="P30" cm="1">
        <f t="array" ref="P30">INDEX(Table1[riBAQ 24], MATCH(1, (Table3[[#This Row],[Gene names]:[Gene names]] = Table1[[Gene names]:[Gene names]])*1, 0))</f>
        <v>1.6843000000000001E-4</v>
      </c>
      <c r="Q30" cm="1">
        <f t="array" ref="Q30">INDEX(Table1[riBAQ 25], MATCH(1, (Table3[[#This Row],[Gene names]:[Gene names]] = Table1[[Gene names]:[Gene names]])*1, 0))</f>
        <v>5.0211099999999996E-4</v>
      </c>
      <c r="R30" cm="1">
        <f t="array" ref="R30">INDEX(Table1[riBAQ 26], MATCH(1, (Table3[[#This Row],[Gene names]:[Gene names]] = Table1[[Gene names]:[Gene names]])*1, 0))</f>
        <v>3.8370899999999998E-4</v>
      </c>
      <c r="S30" cm="1">
        <f t="array" ref="S30">INDEX(Table1[riBAQ 42], MATCH(1, (Table3[[#This Row],[Gene names]:[Gene names]] = Table1[[Gene names]:[Gene names]])*1, 0))</f>
        <v>1.5765199999999999E-4</v>
      </c>
      <c r="T30" cm="1">
        <f t="array" ref="T30">INDEX(Table1[riBAQ 43], MATCH(1, (Table3[[#This Row],[Gene names]:[Gene names]] = Table1[[Gene names]:[Gene names]])*1, 0))</f>
        <v>6.8902199999999996E-4</v>
      </c>
    </row>
    <row r="31" spans="1:20" x14ac:dyDescent="0.25">
      <c r="A31" t="s">
        <v>1646</v>
      </c>
      <c r="B31" cm="1">
        <f t="array" ref="B31">INDEX(Table1[riBAQ 17], MATCH(1, (Table3[[#This Row],[Gene names]:[Gene names]] = Table1[[Gene names]:[Gene names]])*1, 0))</f>
        <v>0</v>
      </c>
      <c r="C31" cm="1">
        <f t="array" ref="C31">INDEX(Table1[riBAQ 18], MATCH(1, (Table3[[#This Row],[Gene names]:[Gene names]] = Table1[[Gene names]:[Gene names]])*1, 0))</f>
        <v>0</v>
      </c>
      <c r="D31" cm="1">
        <f t="array" ref="D31">INDEX(Table1[riBAQ 35], MATCH(1, (Table3[[#This Row],[Gene names]:[Gene names]] = Table1[[Gene names]:[Gene names]])*1, 0))</f>
        <v>0</v>
      </c>
      <c r="E31" cm="1">
        <f t="array" ref="E31">INDEX(Table1[riBAQ 36], MATCH(1, (Table3[[#This Row],[Gene names]:[Gene names]] = Table1[[Gene names]:[Gene names]])*1, 0))</f>
        <v>0</v>
      </c>
      <c r="F31" cm="1">
        <f t="array" ref="F31">INDEX(Table1[riBAQ 19], MATCH(1, (Table3[[#This Row],[Gene names]:[Gene names]] = Table1[[Gene names]:[Gene names]])*1, 0))</f>
        <v>0</v>
      </c>
      <c r="G31" cm="1">
        <f t="array" ref="G31">INDEX(Table1[riBAQ 20], MATCH(1, (Table3[[#This Row],[Gene names]:[Gene names]] = Table1[[Gene names]:[Gene names]])*1, 0))</f>
        <v>0</v>
      </c>
      <c r="H31" cm="1">
        <f t="array" ref="H31">INDEX(Table1[riBAQ 21], MATCH(1, (Table3[[#This Row],[Gene names]:[Gene names]] = Table1[[Gene names]:[Gene names]])*1, 0))</f>
        <v>0</v>
      </c>
      <c r="I31" cm="1">
        <f t="array" ref="I31">INDEX(Table1[riBAQ 22], MATCH(1, (Table3[[#This Row],[Gene names]:[Gene names]] = Table1[[Gene names]:[Gene names]])*1, 0))</f>
        <v>0</v>
      </c>
      <c r="J31" cm="1">
        <f t="array" ref="J31">INDEX(Table1[riBAQ 23], MATCH(1, (Table3[[#This Row],[Gene names]:[Gene names]] = Table1[[Gene names]:[Gene names]])*1, 0))</f>
        <v>0</v>
      </c>
      <c r="K31" cm="1">
        <f t="array" ref="K31">INDEX(Table1[riBAQ 37], MATCH(1, (Table3[[#This Row],[Gene names]:[Gene names]] = Table1[[Gene names]:[Gene names]])*1, 0))</f>
        <v>0</v>
      </c>
      <c r="L31" cm="1">
        <f t="array" ref="L31">INDEX(Table1[riBAQ 38], MATCH(1, (Table3[[#This Row],[Gene names]:[Gene names]] = Table1[[Gene names]:[Gene names]])*1, 0))</f>
        <v>0</v>
      </c>
      <c r="M31" cm="1">
        <f t="array" ref="M31">INDEX(Table1[riBAQ 39], MATCH(1, (Table3[[#This Row],[Gene names]:[Gene names]] = Table1[[Gene names]:[Gene names]])*1, 0))</f>
        <v>0</v>
      </c>
      <c r="N31" cm="1">
        <f t="array" ref="N31">INDEX(Table1[riBAQ 40], MATCH(1, (Table3[[#This Row],[Gene names]:[Gene names]] = Table1[[Gene names]:[Gene names]])*1, 0))</f>
        <v>0</v>
      </c>
      <c r="O31" cm="1">
        <f t="array" ref="O31">INDEX(Table1[riBAQ 41], MATCH(1, (Table3[[#This Row],[Gene names]:[Gene names]] = Table1[[Gene names]:[Gene names]])*1, 0))</f>
        <v>0</v>
      </c>
      <c r="P31" cm="1">
        <f t="array" ref="P31">INDEX(Table1[riBAQ 24], MATCH(1, (Table3[[#This Row],[Gene names]:[Gene names]] = Table1[[Gene names]:[Gene names]])*1, 0))</f>
        <v>1.5699999999999999E-5</v>
      </c>
      <c r="Q31" cm="1">
        <f t="array" ref="Q31">INDEX(Table1[riBAQ 25], MATCH(1, (Table3[[#This Row],[Gene names]:[Gene names]] = Table1[[Gene names]:[Gene names]])*1, 0))</f>
        <v>4.07E-5</v>
      </c>
      <c r="R31" cm="1">
        <f t="array" ref="R31">INDEX(Table1[riBAQ 26], MATCH(1, (Table3[[#This Row],[Gene names]:[Gene names]] = Table1[[Gene names]:[Gene names]])*1, 0))</f>
        <v>3.1000000000000001E-5</v>
      </c>
      <c r="S31" cm="1">
        <f t="array" ref="S31">INDEX(Table1[riBAQ 42], MATCH(1, (Table3[[#This Row],[Gene names]:[Gene names]] = Table1[[Gene names]:[Gene names]])*1, 0))</f>
        <v>3.3500000000000001E-5</v>
      </c>
      <c r="T31" cm="1">
        <f t="array" ref="T31">INDEX(Table1[riBAQ 43], MATCH(1, (Table3[[#This Row],[Gene names]:[Gene names]] = Table1[[Gene names]:[Gene names]])*1, 0))</f>
        <v>9.0799999999999998E-5</v>
      </c>
    </row>
    <row r="32" spans="1:20" x14ac:dyDescent="0.25">
      <c r="A32" t="s">
        <v>549</v>
      </c>
      <c r="B32" cm="1">
        <f t="array" ref="B32">INDEX(Table1[riBAQ 17], MATCH(1, (Table3[[#This Row],[Gene names]:[Gene names]] = Table1[[Gene names]:[Gene names]])*1, 0))</f>
        <v>4.4299999999999999E-5</v>
      </c>
      <c r="C32" cm="1">
        <f t="array" ref="C32">INDEX(Table1[riBAQ 18], MATCH(1, (Table3[[#This Row],[Gene names]:[Gene names]] = Table1[[Gene names]:[Gene names]])*1, 0))</f>
        <v>3.2199999999999997E-5</v>
      </c>
      <c r="D32" cm="1">
        <f t="array" ref="D32">INDEX(Table1[riBAQ 35], MATCH(1, (Table3[[#This Row],[Gene names]:[Gene names]] = Table1[[Gene names]:[Gene names]])*1, 0))</f>
        <v>3.5099999999999999E-5</v>
      </c>
      <c r="E32" cm="1">
        <f t="array" ref="E32">INDEX(Table1[riBAQ 36], MATCH(1, (Table3[[#This Row],[Gene names]:[Gene names]] = Table1[[Gene names]:[Gene names]])*1, 0))</f>
        <v>5.6199999999999997E-5</v>
      </c>
      <c r="F32" cm="1">
        <f t="array" ref="F32">INDEX(Table1[riBAQ 19], MATCH(1, (Table3[[#This Row],[Gene names]:[Gene names]] = Table1[[Gene names]:[Gene names]])*1, 0))</f>
        <v>0</v>
      </c>
      <c r="G32" cm="1">
        <f t="array" ref="G32">INDEX(Table1[riBAQ 20], MATCH(1, (Table3[[#This Row],[Gene names]:[Gene names]] = Table1[[Gene names]:[Gene names]])*1, 0))</f>
        <v>4.8000000000000001E-5</v>
      </c>
      <c r="H32" cm="1">
        <f t="array" ref="H32">INDEX(Table1[riBAQ 21], MATCH(1, (Table3[[#This Row],[Gene names]:[Gene names]] = Table1[[Gene names]:[Gene names]])*1, 0))</f>
        <v>6.6199999999999996E-5</v>
      </c>
      <c r="I32" cm="1">
        <f t="array" ref="I32">INDEX(Table1[riBAQ 22], MATCH(1, (Table3[[#This Row],[Gene names]:[Gene names]] = Table1[[Gene names]:[Gene names]])*1, 0))</f>
        <v>0</v>
      </c>
      <c r="J32" cm="1">
        <f t="array" ref="J32">INDEX(Table1[riBAQ 23], MATCH(1, (Table3[[#This Row],[Gene names]:[Gene names]] = Table1[[Gene names]:[Gene names]])*1, 0))</f>
        <v>0</v>
      </c>
      <c r="K32" cm="1">
        <f t="array" ref="K32">INDEX(Table1[riBAQ 37], MATCH(1, (Table3[[#This Row],[Gene names]:[Gene names]] = Table1[[Gene names]:[Gene names]])*1, 0))</f>
        <v>3.8899999999999997E-5</v>
      </c>
      <c r="L32" cm="1">
        <f t="array" ref="L32">INDEX(Table1[riBAQ 38], MATCH(1, (Table3[[#This Row],[Gene names]:[Gene names]] = Table1[[Gene names]:[Gene names]])*1, 0))</f>
        <v>0</v>
      </c>
      <c r="M32" cm="1">
        <f t="array" ref="M32">INDEX(Table1[riBAQ 39], MATCH(1, (Table3[[#This Row],[Gene names]:[Gene names]] = Table1[[Gene names]:[Gene names]])*1, 0))</f>
        <v>2.83E-5</v>
      </c>
      <c r="N32" cm="1">
        <f t="array" ref="N32">INDEX(Table1[riBAQ 40], MATCH(1, (Table3[[#This Row],[Gene names]:[Gene names]] = Table1[[Gene names]:[Gene names]])*1, 0))</f>
        <v>0</v>
      </c>
      <c r="O32" cm="1">
        <f t="array" ref="O32">INDEX(Table1[riBAQ 41], MATCH(1, (Table3[[#This Row],[Gene names]:[Gene names]] = Table1[[Gene names]:[Gene names]])*1, 0))</f>
        <v>0</v>
      </c>
      <c r="P32" cm="1">
        <f t="array" ref="P32">INDEX(Table1[riBAQ 24], MATCH(1, (Table3[[#This Row],[Gene names]:[Gene names]] = Table1[[Gene names]:[Gene names]])*1, 0))</f>
        <v>8.8999999999999995E-5</v>
      </c>
      <c r="Q32" cm="1">
        <f t="array" ref="Q32">INDEX(Table1[riBAQ 25], MATCH(1, (Table3[[#This Row],[Gene names]:[Gene names]] = Table1[[Gene names]:[Gene names]])*1, 0))</f>
        <v>8.5000000000000006E-5</v>
      </c>
      <c r="R32" cm="1">
        <f t="array" ref="R32">INDEX(Table1[riBAQ 26], MATCH(1, (Table3[[#This Row],[Gene names]:[Gene names]] = Table1[[Gene names]:[Gene names]])*1, 0))</f>
        <v>2.34E-5</v>
      </c>
      <c r="S32" cm="1">
        <f t="array" ref="S32">INDEX(Table1[riBAQ 42], MATCH(1, (Table3[[#This Row],[Gene names]:[Gene names]] = Table1[[Gene names]:[Gene names]])*1, 0))</f>
        <v>7.1199999999999996E-5</v>
      </c>
      <c r="T32" cm="1">
        <f t="array" ref="T32">INDEX(Table1[riBAQ 43], MATCH(1, (Table3[[#This Row],[Gene names]:[Gene names]] = Table1[[Gene names]:[Gene names]])*1, 0))</f>
        <v>1.3350999999999999E-4</v>
      </c>
    </row>
    <row r="33" spans="1:20" x14ac:dyDescent="0.25">
      <c r="A33" t="s">
        <v>1527</v>
      </c>
      <c r="B33" cm="1">
        <f t="array" ref="B33">INDEX(Table1[riBAQ 17], MATCH(1, (Table3[[#This Row],[Gene names]:[Gene names]] = Table1[[Gene names]:[Gene names]])*1, 0))</f>
        <v>0</v>
      </c>
      <c r="C33" cm="1">
        <f t="array" ref="C33">INDEX(Table1[riBAQ 18], MATCH(1, (Table3[[#This Row],[Gene names]:[Gene names]] = Table1[[Gene names]:[Gene names]])*1, 0))</f>
        <v>0</v>
      </c>
      <c r="D33" cm="1">
        <f t="array" ref="D33">INDEX(Table1[riBAQ 35], MATCH(1, (Table3[[#This Row],[Gene names]:[Gene names]] = Table1[[Gene names]:[Gene names]])*1, 0))</f>
        <v>0</v>
      </c>
      <c r="E33" cm="1">
        <f t="array" ref="E33">INDEX(Table1[riBAQ 36], MATCH(1, (Table3[[#This Row],[Gene names]:[Gene names]] = Table1[[Gene names]:[Gene names]])*1, 0))</f>
        <v>0</v>
      </c>
      <c r="F33" cm="1">
        <f t="array" ref="F33">INDEX(Table1[riBAQ 19], MATCH(1, (Table3[[#This Row],[Gene names]:[Gene names]] = Table1[[Gene names]:[Gene names]])*1, 0))</f>
        <v>0</v>
      </c>
      <c r="G33" cm="1">
        <f t="array" ref="G33">INDEX(Table1[riBAQ 20], MATCH(1, (Table3[[#This Row],[Gene names]:[Gene names]] = Table1[[Gene names]:[Gene names]])*1, 0))</f>
        <v>0</v>
      </c>
      <c r="H33" cm="1">
        <f t="array" ref="H33">INDEX(Table1[riBAQ 21], MATCH(1, (Table3[[#This Row],[Gene names]:[Gene names]] = Table1[[Gene names]:[Gene names]])*1, 0))</f>
        <v>0</v>
      </c>
      <c r="I33" cm="1">
        <f t="array" ref="I33">INDEX(Table1[riBAQ 22], MATCH(1, (Table3[[#This Row],[Gene names]:[Gene names]] = Table1[[Gene names]:[Gene names]])*1, 0))</f>
        <v>0</v>
      </c>
      <c r="J33" cm="1">
        <f t="array" ref="J33">INDEX(Table1[riBAQ 23], MATCH(1, (Table3[[#This Row],[Gene names]:[Gene names]] = Table1[[Gene names]:[Gene names]])*1, 0))</f>
        <v>0</v>
      </c>
      <c r="K33" cm="1">
        <f t="array" ref="K33">INDEX(Table1[riBAQ 37], MATCH(1, (Table3[[#This Row],[Gene names]:[Gene names]] = Table1[[Gene names]:[Gene names]])*1, 0))</f>
        <v>0</v>
      </c>
      <c r="L33" cm="1">
        <f t="array" ref="L33">INDEX(Table1[riBAQ 38], MATCH(1, (Table3[[#This Row],[Gene names]:[Gene names]] = Table1[[Gene names]:[Gene names]])*1, 0))</f>
        <v>0</v>
      </c>
      <c r="M33" cm="1">
        <f t="array" ref="M33">INDEX(Table1[riBAQ 39], MATCH(1, (Table3[[#This Row],[Gene names]:[Gene names]] = Table1[[Gene names]:[Gene names]])*1, 0))</f>
        <v>0</v>
      </c>
      <c r="N33" cm="1">
        <f t="array" ref="N33">INDEX(Table1[riBAQ 40], MATCH(1, (Table3[[#This Row],[Gene names]:[Gene names]] = Table1[[Gene names]:[Gene names]])*1, 0))</f>
        <v>0</v>
      </c>
      <c r="O33" cm="1">
        <f t="array" ref="O33">INDEX(Table1[riBAQ 41], MATCH(1, (Table3[[#This Row],[Gene names]:[Gene names]] = Table1[[Gene names]:[Gene names]])*1, 0))</f>
        <v>0</v>
      </c>
      <c r="P33" cm="1">
        <f t="array" ref="P33">INDEX(Table1[riBAQ 24], MATCH(1, (Table3[[#This Row],[Gene names]:[Gene names]] = Table1[[Gene names]:[Gene names]])*1, 0))</f>
        <v>0</v>
      </c>
      <c r="Q33" cm="1">
        <f t="array" ref="Q33">INDEX(Table1[riBAQ 25], MATCH(1, (Table3[[#This Row],[Gene names]:[Gene names]] = Table1[[Gene names]:[Gene names]])*1, 0))</f>
        <v>2.37E-5</v>
      </c>
      <c r="R33" cm="1">
        <f t="array" ref="R33">INDEX(Table1[riBAQ 26], MATCH(1, (Table3[[#This Row],[Gene names]:[Gene names]] = Table1[[Gene names]:[Gene names]])*1, 0))</f>
        <v>2.2399999999999999E-5</v>
      </c>
      <c r="S33" cm="1">
        <f t="array" ref="S33">INDEX(Table1[riBAQ 42], MATCH(1, (Table3[[#This Row],[Gene names]:[Gene names]] = Table1[[Gene names]:[Gene names]])*1, 0))</f>
        <v>2.2200000000000001E-5</v>
      </c>
      <c r="T33" cm="1">
        <f t="array" ref="T33">INDEX(Table1[riBAQ 43], MATCH(1, (Table3[[#This Row],[Gene names]:[Gene names]] = Table1[[Gene names]:[Gene names]])*1, 0))</f>
        <v>1.03E-5</v>
      </c>
    </row>
    <row r="34" spans="1:20" x14ac:dyDescent="0.25">
      <c r="A34" t="s">
        <v>1701</v>
      </c>
      <c r="B34" cm="1">
        <f t="array" ref="B34">INDEX(Table1[riBAQ 17], MATCH(1, (Table3[[#This Row],[Gene names]:[Gene names]] = Table1[[Gene names]:[Gene names]])*1, 0))</f>
        <v>1.6200000000000001E-5</v>
      </c>
      <c r="C34" cm="1">
        <f t="array" ref="C34">INDEX(Table1[riBAQ 18], MATCH(1, (Table3[[#This Row],[Gene names]:[Gene names]] = Table1[[Gene names]:[Gene names]])*1, 0))</f>
        <v>1.5400000000000002E-5</v>
      </c>
      <c r="D34" cm="1">
        <f t="array" ref="D34">INDEX(Table1[riBAQ 35], MATCH(1, (Table3[[#This Row],[Gene names]:[Gene names]] = Table1[[Gene names]:[Gene names]])*1, 0))</f>
        <v>1.24E-5</v>
      </c>
      <c r="E34" cm="1">
        <f t="array" ref="E34">INDEX(Table1[riBAQ 36], MATCH(1, (Table3[[#This Row],[Gene names]:[Gene names]] = Table1[[Gene names]:[Gene names]])*1, 0))</f>
        <v>1.2099999999999999E-5</v>
      </c>
      <c r="F34" cm="1">
        <f t="array" ref="F34">INDEX(Table1[riBAQ 19], MATCH(1, (Table3[[#This Row],[Gene names]:[Gene names]] = Table1[[Gene names]:[Gene names]])*1, 0))</f>
        <v>2.4000000000000001E-5</v>
      </c>
      <c r="G34" cm="1">
        <f t="array" ref="G34">INDEX(Table1[riBAQ 20], MATCH(1, (Table3[[#This Row],[Gene names]:[Gene names]] = Table1[[Gene names]:[Gene names]])*1, 0))</f>
        <v>2.1800000000000001E-5</v>
      </c>
      <c r="H34" cm="1">
        <f t="array" ref="H34">INDEX(Table1[riBAQ 21], MATCH(1, (Table3[[#This Row],[Gene names]:[Gene names]] = Table1[[Gene names]:[Gene names]])*1, 0))</f>
        <v>2.09E-5</v>
      </c>
      <c r="I34" cm="1">
        <f t="array" ref="I34">INDEX(Table1[riBAQ 22], MATCH(1, (Table3[[#This Row],[Gene names]:[Gene names]] = Table1[[Gene names]:[Gene names]])*1, 0))</f>
        <v>2.3200000000000001E-5</v>
      </c>
      <c r="J34" cm="1">
        <f t="array" ref="J34">INDEX(Table1[riBAQ 23], MATCH(1, (Table3[[#This Row],[Gene names]:[Gene names]] = Table1[[Gene names]:[Gene names]])*1, 0))</f>
        <v>2.0299999999999999E-5</v>
      </c>
      <c r="K34" cm="1">
        <f t="array" ref="K34">INDEX(Table1[riBAQ 37], MATCH(1, (Table3[[#This Row],[Gene names]:[Gene names]] = Table1[[Gene names]:[Gene names]])*1, 0))</f>
        <v>2.19E-5</v>
      </c>
      <c r="L34" cm="1">
        <f t="array" ref="L34">INDEX(Table1[riBAQ 38], MATCH(1, (Table3[[#This Row],[Gene names]:[Gene names]] = Table1[[Gene names]:[Gene names]])*1, 0))</f>
        <v>1.98E-5</v>
      </c>
      <c r="M34" cm="1">
        <f t="array" ref="M34">INDEX(Table1[riBAQ 39], MATCH(1, (Table3[[#This Row],[Gene names]:[Gene names]] = Table1[[Gene names]:[Gene names]])*1, 0))</f>
        <v>1.5400000000000002E-5</v>
      </c>
      <c r="N34" cm="1">
        <f t="array" ref="N34">INDEX(Table1[riBAQ 40], MATCH(1, (Table3[[#This Row],[Gene names]:[Gene names]] = Table1[[Gene names]:[Gene names]])*1, 0))</f>
        <v>2.27E-5</v>
      </c>
      <c r="O34" cm="1">
        <f t="array" ref="O34">INDEX(Table1[riBAQ 41], MATCH(1, (Table3[[#This Row],[Gene names]:[Gene names]] = Table1[[Gene names]:[Gene names]])*1, 0))</f>
        <v>1.95E-5</v>
      </c>
      <c r="P34" cm="1">
        <f t="array" ref="P34">INDEX(Table1[riBAQ 24], MATCH(1, (Table3[[#This Row],[Gene names]:[Gene names]] = Table1[[Gene names]:[Gene names]])*1, 0))</f>
        <v>3.7400000000000001E-5</v>
      </c>
      <c r="Q34" cm="1">
        <f t="array" ref="Q34">INDEX(Table1[riBAQ 25], MATCH(1, (Table3[[#This Row],[Gene names]:[Gene names]] = Table1[[Gene names]:[Gene names]])*1, 0))</f>
        <v>5.4299999999999998E-5</v>
      </c>
      <c r="R34" cm="1">
        <f t="array" ref="R34">INDEX(Table1[riBAQ 26], MATCH(1, (Table3[[#This Row],[Gene names]:[Gene names]] = Table1[[Gene names]:[Gene names]])*1, 0))</f>
        <v>3.9100000000000002E-5</v>
      </c>
      <c r="S34" cm="1">
        <f t="array" ref="S34">INDEX(Table1[riBAQ 42], MATCH(1, (Table3[[#This Row],[Gene names]:[Gene names]] = Table1[[Gene names]:[Gene names]])*1, 0))</f>
        <v>5.4700000000000001E-5</v>
      </c>
      <c r="T34" cm="1">
        <f t="array" ref="T34">INDEX(Table1[riBAQ 43], MATCH(1, (Table3[[#This Row],[Gene names]:[Gene names]] = Table1[[Gene names]:[Gene names]])*1, 0))</f>
        <v>4.35E-5</v>
      </c>
    </row>
    <row r="35" spans="1:20" x14ac:dyDescent="0.25">
      <c r="A35" t="s">
        <v>1583</v>
      </c>
      <c r="B35" cm="1">
        <f t="array" ref="B35">INDEX(Table1[riBAQ 17], MATCH(1, (Table3[[#This Row],[Gene names]:[Gene names]] = Table1[[Gene names]:[Gene names]])*1, 0))</f>
        <v>4.7893499999999999E-4</v>
      </c>
      <c r="C35" cm="1">
        <f t="array" ref="C35">INDEX(Table1[riBAQ 18], MATCH(1, (Table3[[#This Row],[Gene names]:[Gene names]] = Table1[[Gene names]:[Gene names]])*1, 0))</f>
        <v>4.2218799999999999E-4</v>
      </c>
      <c r="D35" cm="1">
        <f t="array" ref="D35">INDEX(Table1[riBAQ 35], MATCH(1, (Table3[[#This Row],[Gene names]:[Gene names]] = Table1[[Gene names]:[Gene names]])*1, 0))</f>
        <v>3.1134000000000001E-4</v>
      </c>
      <c r="E35" cm="1">
        <f t="array" ref="E35">INDEX(Table1[riBAQ 36], MATCH(1, (Table3[[#This Row],[Gene names]:[Gene names]] = Table1[[Gene names]:[Gene names]])*1, 0))</f>
        <v>4.5541599999999999E-4</v>
      </c>
      <c r="F35" cm="1">
        <f t="array" ref="F35">INDEX(Table1[riBAQ 19], MATCH(1, (Table3[[#This Row],[Gene names]:[Gene names]] = Table1[[Gene names]:[Gene names]])*1, 0))</f>
        <v>6.3576699999999997E-4</v>
      </c>
      <c r="G35" cm="1">
        <f t="array" ref="G35">INDEX(Table1[riBAQ 20], MATCH(1, (Table3[[#This Row],[Gene names]:[Gene names]] = Table1[[Gene names]:[Gene names]])*1, 0))</f>
        <v>4.0873400000000001E-4</v>
      </c>
      <c r="H35" cm="1">
        <f t="array" ref="H35">INDEX(Table1[riBAQ 21], MATCH(1, (Table3[[#This Row],[Gene names]:[Gene names]] = Table1[[Gene names]:[Gene names]])*1, 0))</f>
        <v>5.56271E-4</v>
      </c>
      <c r="I35" cm="1">
        <f t="array" ref="I35">INDEX(Table1[riBAQ 22], MATCH(1, (Table3[[#This Row],[Gene names]:[Gene names]] = Table1[[Gene names]:[Gene names]])*1, 0))</f>
        <v>5.0643900000000002E-4</v>
      </c>
      <c r="J35" cm="1">
        <f t="array" ref="J35">INDEX(Table1[riBAQ 23], MATCH(1, (Table3[[#This Row],[Gene names]:[Gene names]] = Table1[[Gene names]:[Gene names]])*1, 0))</f>
        <v>4.26079E-4</v>
      </c>
      <c r="K35" cm="1">
        <f t="array" ref="K35">INDEX(Table1[riBAQ 37], MATCH(1, (Table3[[#This Row],[Gene names]:[Gene names]] = Table1[[Gene names]:[Gene names]])*1, 0))</f>
        <v>3.9356299999999999E-4</v>
      </c>
      <c r="L35" cm="1">
        <f t="array" ref="L35">INDEX(Table1[riBAQ 38], MATCH(1, (Table3[[#This Row],[Gene names]:[Gene names]] = Table1[[Gene names]:[Gene names]])*1, 0))</f>
        <v>3.7165800000000003E-4</v>
      </c>
      <c r="M35" cm="1">
        <f t="array" ref="M35">INDEX(Table1[riBAQ 39], MATCH(1, (Table3[[#This Row],[Gene names]:[Gene names]] = Table1[[Gene names]:[Gene names]])*1, 0))</f>
        <v>5.8001500000000002E-4</v>
      </c>
      <c r="N35" cm="1">
        <f t="array" ref="N35">INDEX(Table1[riBAQ 40], MATCH(1, (Table3[[#This Row],[Gene names]:[Gene names]] = Table1[[Gene names]:[Gene names]])*1, 0))</f>
        <v>5.6349000000000004E-4</v>
      </c>
      <c r="O35" cm="1">
        <f t="array" ref="O35">INDEX(Table1[riBAQ 41], MATCH(1, (Table3[[#This Row],[Gene names]:[Gene names]] = Table1[[Gene names]:[Gene names]])*1, 0))</f>
        <v>3.7510400000000002E-4</v>
      </c>
      <c r="P35" cm="1">
        <f t="array" ref="P35">INDEX(Table1[riBAQ 24], MATCH(1, (Table3[[#This Row],[Gene names]:[Gene names]] = Table1[[Gene names]:[Gene names]])*1, 0))</f>
        <v>5.7585899999999996E-4</v>
      </c>
      <c r="Q35" cm="1">
        <f t="array" ref="Q35">INDEX(Table1[riBAQ 25], MATCH(1, (Table3[[#This Row],[Gene names]:[Gene names]] = Table1[[Gene names]:[Gene names]])*1, 0))</f>
        <v>1.251767E-3</v>
      </c>
      <c r="R35" cm="1">
        <f t="array" ref="R35">INDEX(Table1[riBAQ 26], MATCH(1, (Table3[[#This Row],[Gene names]:[Gene names]] = Table1[[Gene names]:[Gene names]])*1, 0))</f>
        <v>1.402574E-3</v>
      </c>
      <c r="S35" cm="1">
        <f t="array" ref="S35">INDEX(Table1[riBAQ 42], MATCH(1, (Table3[[#This Row],[Gene names]:[Gene names]] = Table1[[Gene names]:[Gene names]])*1, 0))</f>
        <v>1.0597289999999999E-3</v>
      </c>
      <c r="T35" cm="1">
        <f t="array" ref="T35">INDEX(Table1[riBAQ 43], MATCH(1, (Table3[[#This Row],[Gene names]:[Gene names]] = Table1[[Gene names]:[Gene names]])*1, 0))</f>
        <v>1.1507659999999999E-3</v>
      </c>
    </row>
    <row r="36" spans="1:20" x14ac:dyDescent="0.25">
      <c r="A36" t="s">
        <v>1013</v>
      </c>
      <c r="B36" cm="1">
        <f t="array" ref="B36">INDEX(Table1[riBAQ 17], MATCH(1, (Table3[[#This Row],[Gene names]:[Gene names]] = Table1[[Gene names]:[Gene names]])*1, 0))</f>
        <v>0</v>
      </c>
      <c r="C36" cm="1">
        <f t="array" ref="C36">INDEX(Table1[riBAQ 18], MATCH(1, (Table3[[#This Row],[Gene names]:[Gene names]] = Table1[[Gene names]:[Gene names]])*1, 0))</f>
        <v>0</v>
      </c>
      <c r="D36" cm="1">
        <f t="array" ref="D36">INDEX(Table1[riBAQ 35], MATCH(1, (Table3[[#This Row],[Gene names]:[Gene names]] = Table1[[Gene names]:[Gene names]])*1, 0))</f>
        <v>0</v>
      </c>
      <c r="E36" cm="1">
        <f t="array" ref="E36">INDEX(Table1[riBAQ 36], MATCH(1, (Table3[[#This Row],[Gene names]:[Gene names]] = Table1[[Gene names]:[Gene names]])*1, 0))</f>
        <v>0</v>
      </c>
      <c r="F36" cm="1">
        <f t="array" ref="F36">INDEX(Table1[riBAQ 19], MATCH(1, (Table3[[#This Row],[Gene names]:[Gene names]] = Table1[[Gene names]:[Gene names]])*1, 0))</f>
        <v>0</v>
      </c>
      <c r="G36" cm="1">
        <f t="array" ref="G36">INDEX(Table1[riBAQ 20], MATCH(1, (Table3[[#This Row],[Gene names]:[Gene names]] = Table1[[Gene names]:[Gene names]])*1, 0))</f>
        <v>3.7100000000000001E-5</v>
      </c>
      <c r="H36" cm="1">
        <f t="array" ref="H36">INDEX(Table1[riBAQ 21], MATCH(1, (Table3[[#This Row],[Gene names]:[Gene names]] = Table1[[Gene names]:[Gene names]])*1, 0))</f>
        <v>1.17E-5</v>
      </c>
      <c r="I36" cm="1">
        <f t="array" ref="I36">INDEX(Table1[riBAQ 22], MATCH(1, (Table3[[#This Row],[Gene names]:[Gene names]] = Table1[[Gene names]:[Gene names]])*1, 0))</f>
        <v>0</v>
      </c>
      <c r="J36" cm="1">
        <f t="array" ref="J36">INDEX(Table1[riBAQ 23], MATCH(1, (Table3[[#This Row],[Gene names]:[Gene names]] = Table1[[Gene names]:[Gene names]])*1, 0))</f>
        <v>0</v>
      </c>
      <c r="K36" cm="1">
        <f t="array" ref="K36">INDEX(Table1[riBAQ 37], MATCH(1, (Table3[[#This Row],[Gene names]:[Gene names]] = Table1[[Gene names]:[Gene names]])*1, 0))</f>
        <v>0</v>
      </c>
      <c r="L36" cm="1">
        <f t="array" ref="L36">INDEX(Table1[riBAQ 38], MATCH(1, (Table3[[#This Row],[Gene names]:[Gene names]] = Table1[[Gene names]:[Gene names]])*1, 0))</f>
        <v>1.49E-5</v>
      </c>
      <c r="M36" cm="1">
        <f t="array" ref="M36">INDEX(Table1[riBAQ 39], MATCH(1, (Table3[[#This Row],[Gene names]:[Gene names]] = Table1[[Gene names]:[Gene names]])*1, 0))</f>
        <v>0</v>
      </c>
      <c r="N36" cm="1">
        <f t="array" ref="N36">INDEX(Table1[riBAQ 40], MATCH(1, (Table3[[#This Row],[Gene names]:[Gene names]] = Table1[[Gene names]:[Gene names]])*1, 0))</f>
        <v>0</v>
      </c>
      <c r="O36" cm="1">
        <f t="array" ref="O36">INDEX(Table1[riBAQ 41], MATCH(1, (Table3[[#This Row],[Gene names]:[Gene names]] = Table1[[Gene names]:[Gene names]])*1, 0))</f>
        <v>7.0999999999999998E-6</v>
      </c>
      <c r="P36" cm="1">
        <f t="array" ref="P36">INDEX(Table1[riBAQ 24], MATCH(1, (Table3[[#This Row],[Gene names]:[Gene names]] = Table1[[Gene names]:[Gene names]])*1, 0))</f>
        <v>2.12E-5</v>
      </c>
      <c r="Q36" cm="1">
        <f t="array" ref="Q36">INDEX(Table1[riBAQ 25], MATCH(1, (Table3[[#This Row],[Gene names]:[Gene names]] = Table1[[Gene names]:[Gene names]])*1, 0))</f>
        <v>7.9200000000000001E-5</v>
      </c>
      <c r="R36" cm="1">
        <f t="array" ref="R36">INDEX(Table1[riBAQ 26], MATCH(1, (Table3[[#This Row],[Gene names]:[Gene names]] = Table1[[Gene names]:[Gene names]])*1, 0))</f>
        <v>2.2200000000000001E-5</v>
      </c>
      <c r="S36" cm="1">
        <f t="array" ref="S36">INDEX(Table1[riBAQ 42], MATCH(1, (Table3[[#This Row],[Gene names]:[Gene names]] = Table1[[Gene names]:[Gene names]])*1, 0))</f>
        <v>2.7500000000000001E-5</v>
      </c>
      <c r="T36" cm="1">
        <f t="array" ref="T36">INDEX(Table1[riBAQ 43], MATCH(1, (Table3[[#This Row],[Gene names]:[Gene names]] = Table1[[Gene names]:[Gene names]])*1, 0))</f>
        <v>5.1199999999999998E-5</v>
      </c>
    </row>
    <row r="37" spans="1:20" x14ac:dyDescent="0.25">
      <c r="A37" t="s">
        <v>758</v>
      </c>
      <c r="B37" cm="1">
        <f t="array" ref="B37">INDEX(Table1[riBAQ 17], MATCH(1, (Table3[[#This Row],[Gene names]:[Gene names]] = Table1[[Gene names]:[Gene names]])*1, 0))</f>
        <v>4.32E-5</v>
      </c>
      <c r="C37" cm="1">
        <f t="array" ref="C37">INDEX(Table1[riBAQ 18], MATCH(1, (Table3[[#This Row],[Gene names]:[Gene names]] = Table1[[Gene names]:[Gene names]])*1, 0))</f>
        <v>0</v>
      </c>
      <c r="D37" cm="1">
        <f t="array" ref="D37">INDEX(Table1[riBAQ 35], MATCH(1, (Table3[[#This Row],[Gene names]:[Gene names]] = Table1[[Gene names]:[Gene names]])*1, 0))</f>
        <v>0</v>
      </c>
      <c r="E37" cm="1">
        <f t="array" ref="E37">INDEX(Table1[riBAQ 36], MATCH(1, (Table3[[#This Row],[Gene names]:[Gene names]] = Table1[[Gene names]:[Gene names]])*1, 0))</f>
        <v>2.0000000000000002E-5</v>
      </c>
      <c r="F37" cm="1">
        <f t="array" ref="F37">INDEX(Table1[riBAQ 19], MATCH(1, (Table3[[#This Row],[Gene names]:[Gene names]] = Table1[[Gene names]:[Gene names]])*1, 0))</f>
        <v>0</v>
      </c>
      <c r="G37" cm="1">
        <f t="array" ref="G37">INDEX(Table1[riBAQ 20], MATCH(1, (Table3[[#This Row],[Gene names]:[Gene names]] = Table1[[Gene names]:[Gene names]])*1, 0))</f>
        <v>0</v>
      </c>
      <c r="H37" cm="1">
        <f t="array" ref="H37">INDEX(Table1[riBAQ 21], MATCH(1, (Table3[[#This Row],[Gene names]:[Gene names]] = Table1[[Gene names]:[Gene names]])*1, 0))</f>
        <v>4.1900000000000002E-5</v>
      </c>
      <c r="I37" cm="1">
        <f t="array" ref="I37">INDEX(Table1[riBAQ 22], MATCH(1, (Table3[[#This Row],[Gene names]:[Gene names]] = Table1[[Gene names]:[Gene names]])*1, 0))</f>
        <v>5.4599999999999999E-5</v>
      </c>
      <c r="J37" cm="1">
        <f t="array" ref="J37">INDEX(Table1[riBAQ 23], MATCH(1, (Table3[[#This Row],[Gene names]:[Gene names]] = Table1[[Gene names]:[Gene names]])*1, 0))</f>
        <v>5.1499999999999998E-5</v>
      </c>
      <c r="K37" cm="1">
        <f t="array" ref="K37">INDEX(Table1[riBAQ 37], MATCH(1, (Table3[[#This Row],[Gene names]:[Gene names]] = Table1[[Gene names]:[Gene names]])*1, 0))</f>
        <v>0</v>
      </c>
      <c r="L37" cm="1">
        <f t="array" ref="L37">INDEX(Table1[riBAQ 38], MATCH(1, (Table3[[#This Row],[Gene names]:[Gene names]] = Table1[[Gene names]:[Gene names]])*1, 0))</f>
        <v>0</v>
      </c>
      <c r="M37" cm="1">
        <f t="array" ref="M37">INDEX(Table1[riBAQ 39], MATCH(1, (Table3[[#This Row],[Gene names]:[Gene names]] = Table1[[Gene names]:[Gene names]])*1, 0))</f>
        <v>9.7E-5</v>
      </c>
      <c r="N37" cm="1">
        <f t="array" ref="N37">INDEX(Table1[riBAQ 40], MATCH(1, (Table3[[#This Row],[Gene names]:[Gene names]] = Table1[[Gene names]:[Gene names]])*1, 0))</f>
        <v>5.0399999999999999E-5</v>
      </c>
      <c r="O37" cm="1">
        <f t="array" ref="O37">INDEX(Table1[riBAQ 41], MATCH(1, (Table3[[#This Row],[Gene names]:[Gene names]] = Table1[[Gene names]:[Gene names]])*1, 0))</f>
        <v>5.1799999999999999E-5</v>
      </c>
      <c r="P37" cm="1">
        <f t="array" ref="P37">INDEX(Table1[riBAQ 24], MATCH(1, (Table3[[#This Row],[Gene names]:[Gene names]] = Table1[[Gene names]:[Gene names]])*1, 0))</f>
        <v>6.6799999999999997E-5</v>
      </c>
      <c r="Q37" cm="1">
        <f t="array" ref="Q37">INDEX(Table1[riBAQ 25], MATCH(1, (Table3[[#This Row],[Gene names]:[Gene names]] = Table1[[Gene names]:[Gene names]])*1, 0))</f>
        <v>8.0199999999999998E-5</v>
      </c>
      <c r="R37" cm="1">
        <f t="array" ref="R37">INDEX(Table1[riBAQ 26], MATCH(1, (Table3[[#This Row],[Gene names]:[Gene names]] = Table1[[Gene names]:[Gene names]])*1, 0))</f>
        <v>6.8399999999999996E-5</v>
      </c>
      <c r="S37" cm="1">
        <f t="array" ref="S37">INDEX(Table1[riBAQ 42], MATCH(1, (Table3[[#This Row],[Gene names]:[Gene names]] = Table1[[Gene names]:[Gene names]])*1, 0))</f>
        <v>4.9700000000000002E-5</v>
      </c>
      <c r="T37" cm="1">
        <f t="array" ref="T37">INDEX(Table1[riBAQ 43], MATCH(1, (Table3[[#This Row],[Gene names]:[Gene names]] = Table1[[Gene names]:[Gene names]])*1, 0))</f>
        <v>2.5969200000000001E-4</v>
      </c>
    </row>
    <row r="38" spans="1:20" x14ac:dyDescent="0.25">
      <c r="A38" t="s">
        <v>722</v>
      </c>
      <c r="B38" cm="1">
        <f t="array" ref="B38">INDEX(Table1[riBAQ 17], MATCH(1, (Table3[[#This Row],[Gene names]:[Gene names]] = Table1[[Gene names]:[Gene names]])*1, 0))</f>
        <v>0</v>
      </c>
      <c r="C38" cm="1">
        <f t="array" ref="C38">INDEX(Table1[riBAQ 18], MATCH(1, (Table3[[#This Row],[Gene names]:[Gene names]] = Table1[[Gene names]:[Gene names]])*1, 0))</f>
        <v>0</v>
      </c>
      <c r="D38" cm="1">
        <f t="array" ref="D38">INDEX(Table1[riBAQ 35], MATCH(1, (Table3[[#This Row],[Gene names]:[Gene names]] = Table1[[Gene names]:[Gene names]])*1, 0))</f>
        <v>0</v>
      </c>
      <c r="E38" cm="1">
        <f t="array" ref="E38">INDEX(Table1[riBAQ 36], MATCH(1, (Table3[[#This Row],[Gene names]:[Gene names]] = Table1[[Gene names]:[Gene names]])*1, 0))</f>
        <v>0</v>
      </c>
      <c r="F38" cm="1">
        <f t="array" ref="F38">INDEX(Table1[riBAQ 19], MATCH(1, (Table3[[#This Row],[Gene names]:[Gene names]] = Table1[[Gene names]:[Gene names]])*1, 0))</f>
        <v>0</v>
      </c>
      <c r="G38" cm="1">
        <f t="array" ref="G38">INDEX(Table1[riBAQ 20], MATCH(1, (Table3[[#This Row],[Gene names]:[Gene names]] = Table1[[Gene names]:[Gene names]])*1, 0))</f>
        <v>0</v>
      </c>
      <c r="H38" cm="1">
        <f t="array" ref="H38">INDEX(Table1[riBAQ 21], MATCH(1, (Table3[[#This Row],[Gene names]:[Gene names]] = Table1[[Gene names]:[Gene names]])*1, 0))</f>
        <v>0</v>
      </c>
      <c r="I38" cm="1">
        <f t="array" ref="I38">INDEX(Table1[riBAQ 22], MATCH(1, (Table3[[#This Row],[Gene names]:[Gene names]] = Table1[[Gene names]:[Gene names]])*1, 0))</f>
        <v>0</v>
      </c>
      <c r="J38" cm="1">
        <f t="array" ref="J38">INDEX(Table1[riBAQ 23], MATCH(1, (Table3[[#This Row],[Gene names]:[Gene names]] = Table1[[Gene names]:[Gene names]])*1, 0))</f>
        <v>0</v>
      </c>
      <c r="K38" cm="1">
        <f t="array" ref="K38">INDEX(Table1[riBAQ 37], MATCH(1, (Table3[[#This Row],[Gene names]:[Gene names]] = Table1[[Gene names]:[Gene names]])*1, 0))</f>
        <v>0</v>
      </c>
      <c r="L38" cm="1">
        <f t="array" ref="L38">INDEX(Table1[riBAQ 38], MATCH(1, (Table3[[#This Row],[Gene names]:[Gene names]] = Table1[[Gene names]:[Gene names]])*1, 0))</f>
        <v>0</v>
      </c>
      <c r="M38" cm="1">
        <f t="array" ref="M38">INDEX(Table1[riBAQ 39], MATCH(1, (Table3[[#This Row],[Gene names]:[Gene names]] = Table1[[Gene names]:[Gene names]])*1, 0))</f>
        <v>0</v>
      </c>
      <c r="N38" cm="1">
        <f t="array" ref="N38">INDEX(Table1[riBAQ 40], MATCH(1, (Table3[[#This Row],[Gene names]:[Gene names]] = Table1[[Gene names]:[Gene names]])*1, 0))</f>
        <v>0</v>
      </c>
      <c r="O38" cm="1">
        <f t="array" ref="O38">INDEX(Table1[riBAQ 41], MATCH(1, (Table3[[#This Row],[Gene names]:[Gene names]] = Table1[[Gene names]:[Gene names]])*1, 0))</f>
        <v>0</v>
      </c>
      <c r="P38" cm="1">
        <f t="array" ref="P38">INDEX(Table1[riBAQ 24], MATCH(1, (Table3[[#This Row],[Gene names]:[Gene names]] = Table1[[Gene names]:[Gene names]])*1, 0))</f>
        <v>0</v>
      </c>
      <c r="Q38" cm="1">
        <f t="array" ref="Q38">INDEX(Table1[riBAQ 25], MATCH(1, (Table3[[#This Row],[Gene names]:[Gene names]] = Table1[[Gene names]:[Gene names]])*1, 0))</f>
        <v>1.06653E-4</v>
      </c>
      <c r="R38" cm="1">
        <f t="array" ref="R38">INDEX(Table1[riBAQ 26], MATCH(1, (Table3[[#This Row],[Gene names]:[Gene names]] = Table1[[Gene names]:[Gene names]])*1, 0))</f>
        <v>5.0500000000000001E-5</v>
      </c>
      <c r="S38" cm="1">
        <f t="array" ref="S38">INDEX(Table1[riBAQ 42], MATCH(1, (Table3[[#This Row],[Gene names]:[Gene names]] = Table1[[Gene names]:[Gene names]])*1, 0))</f>
        <v>3.15E-5</v>
      </c>
      <c r="T38" cm="1">
        <f t="array" ref="T38">INDEX(Table1[riBAQ 43], MATCH(1, (Table3[[#This Row],[Gene names]:[Gene names]] = Table1[[Gene names]:[Gene names]])*1, 0))</f>
        <v>4.4700000000000002E-5</v>
      </c>
    </row>
    <row r="39" spans="1:20" x14ac:dyDescent="0.25">
      <c r="A39" t="s">
        <v>1415</v>
      </c>
      <c r="B39" cm="1">
        <f t="array" ref="B39">INDEX(Table1[riBAQ 17], MATCH(1, (Table3[[#This Row],[Gene names]:[Gene names]] = Table1[[Gene names]:[Gene names]])*1, 0))</f>
        <v>1.9905399999999998E-3</v>
      </c>
      <c r="C39" cm="1">
        <f t="array" ref="C39">INDEX(Table1[riBAQ 18], MATCH(1, (Table3[[#This Row],[Gene names]:[Gene names]] = Table1[[Gene names]:[Gene names]])*1, 0))</f>
        <v>1.606456E-3</v>
      </c>
      <c r="D39" cm="1">
        <f t="array" ref="D39">INDEX(Table1[riBAQ 35], MATCH(1, (Table3[[#This Row],[Gene names]:[Gene names]] = Table1[[Gene names]:[Gene names]])*1, 0))</f>
        <v>1.4402429999999999E-3</v>
      </c>
      <c r="E39" cm="1">
        <f t="array" ref="E39">INDEX(Table1[riBAQ 36], MATCH(1, (Table3[[#This Row],[Gene names]:[Gene names]] = Table1[[Gene names]:[Gene names]])*1, 0))</f>
        <v>1.466834E-3</v>
      </c>
      <c r="F39" cm="1">
        <f t="array" ref="F39">INDEX(Table1[riBAQ 19], MATCH(1, (Table3[[#This Row],[Gene names]:[Gene names]] = Table1[[Gene names]:[Gene names]])*1, 0))</f>
        <v>2.0949200000000001E-3</v>
      </c>
      <c r="G39" cm="1">
        <f t="array" ref="G39">INDEX(Table1[riBAQ 20], MATCH(1, (Table3[[#This Row],[Gene names]:[Gene names]] = Table1[[Gene names]:[Gene names]])*1, 0))</f>
        <v>1.7198179999999999E-3</v>
      </c>
      <c r="H39" cm="1">
        <f t="array" ref="H39">INDEX(Table1[riBAQ 21], MATCH(1, (Table3[[#This Row],[Gene names]:[Gene names]] = Table1[[Gene names]:[Gene names]])*1, 0))</f>
        <v>2.114356E-3</v>
      </c>
      <c r="I39" cm="1">
        <f t="array" ref="I39">INDEX(Table1[riBAQ 22], MATCH(1, (Table3[[#This Row],[Gene names]:[Gene names]] = Table1[[Gene names]:[Gene names]])*1, 0))</f>
        <v>1.824586E-3</v>
      </c>
      <c r="J39" cm="1">
        <f t="array" ref="J39">INDEX(Table1[riBAQ 23], MATCH(1, (Table3[[#This Row],[Gene names]:[Gene names]] = Table1[[Gene names]:[Gene names]])*1, 0))</f>
        <v>2.127847E-3</v>
      </c>
      <c r="K39" cm="1">
        <f t="array" ref="K39">INDEX(Table1[riBAQ 37], MATCH(1, (Table3[[#This Row],[Gene names]:[Gene names]] = Table1[[Gene names]:[Gene names]])*1, 0))</f>
        <v>1.9493119999999999E-3</v>
      </c>
      <c r="L39" cm="1">
        <f t="array" ref="L39">INDEX(Table1[riBAQ 38], MATCH(1, (Table3[[#This Row],[Gene names]:[Gene names]] = Table1[[Gene names]:[Gene names]])*1, 0))</f>
        <v>1.5926409999999999E-3</v>
      </c>
      <c r="M39" cm="1">
        <f t="array" ref="M39">INDEX(Table1[riBAQ 39], MATCH(1, (Table3[[#This Row],[Gene names]:[Gene names]] = Table1[[Gene names]:[Gene names]])*1, 0))</f>
        <v>2.16519E-3</v>
      </c>
      <c r="N39" cm="1">
        <f t="array" ref="N39">INDEX(Table1[riBAQ 40], MATCH(1, (Table3[[#This Row],[Gene names]:[Gene names]] = Table1[[Gene names]:[Gene names]])*1, 0))</f>
        <v>1.4652230000000001E-3</v>
      </c>
      <c r="O39" cm="1">
        <f t="array" ref="O39">INDEX(Table1[riBAQ 41], MATCH(1, (Table3[[#This Row],[Gene names]:[Gene names]] = Table1[[Gene names]:[Gene names]])*1, 0))</f>
        <v>1.659504E-3</v>
      </c>
      <c r="P39" cm="1">
        <f t="array" ref="P39">INDEX(Table1[riBAQ 24], MATCH(1, (Table3[[#This Row],[Gene names]:[Gene names]] = Table1[[Gene names]:[Gene names]])*1, 0))</f>
        <v>2.6796200000000002E-3</v>
      </c>
      <c r="Q39" cm="1">
        <f t="array" ref="Q39">INDEX(Table1[riBAQ 25], MATCH(1, (Table3[[#This Row],[Gene names]:[Gene names]] = Table1[[Gene names]:[Gene names]])*1, 0))</f>
        <v>2.6536250000000002E-3</v>
      </c>
      <c r="R39" cm="1">
        <f t="array" ref="R39">INDEX(Table1[riBAQ 26], MATCH(1, (Table3[[#This Row],[Gene names]:[Gene names]] = Table1[[Gene names]:[Gene names]])*1, 0))</f>
        <v>2.8807479999999998E-3</v>
      </c>
      <c r="S39" cm="1">
        <f t="array" ref="S39">INDEX(Table1[riBAQ 42], MATCH(1, (Table3[[#This Row],[Gene names]:[Gene names]] = Table1[[Gene names]:[Gene names]])*1, 0))</f>
        <v>1.96137E-3</v>
      </c>
      <c r="T39" cm="1">
        <f t="array" ref="T39">INDEX(Table1[riBAQ 43], MATCH(1, (Table3[[#This Row],[Gene names]:[Gene names]] = Table1[[Gene names]:[Gene names]])*1, 0))</f>
        <v>2.5264089999999999E-3</v>
      </c>
    </row>
    <row r="40" spans="1:20" x14ac:dyDescent="0.25">
      <c r="A40" t="s">
        <v>695</v>
      </c>
      <c r="B40" cm="1">
        <f t="array" ref="B40">INDEX(Table1[riBAQ 17], MATCH(1, (Table3[[#This Row],[Gene names]:[Gene names]] = Table1[[Gene names]:[Gene names]])*1, 0))</f>
        <v>2.435586E-3</v>
      </c>
      <c r="C40" cm="1">
        <f t="array" ref="C40">INDEX(Table1[riBAQ 18], MATCH(1, (Table3[[#This Row],[Gene names]:[Gene names]] = Table1[[Gene names]:[Gene names]])*1, 0))</f>
        <v>2.0897659999999998E-3</v>
      </c>
      <c r="D40" cm="1">
        <f t="array" ref="D40">INDEX(Table1[riBAQ 35], MATCH(1, (Table3[[#This Row],[Gene names]:[Gene names]] = Table1[[Gene names]:[Gene names]])*1, 0))</f>
        <v>3.061242E-3</v>
      </c>
      <c r="E40" cm="1">
        <f t="array" ref="E40">INDEX(Table1[riBAQ 36], MATCH(1, (Table3[[#This Row],[Gene names]:[Gene names]] = Table1[[Gene names]:[Gene names]])*1, 0))</f>
        <v>3.1820970000000001E-3</v>
      </c>
      <c r="F40" cm="1">
        <f t="array" ref="F40">INDEX(Table1[riBAQ 19], MATCH(1, (Table3[[#This Row],[Gene names]:[Gene names]] = Table1[[Gene names]:[Gene names]])*1, 0))</f>
        <v>1.4036140000000001E-3</v>
      </c>
      <c r="G40" cm="1">
        <f t="array" ref="G40">INDEX(Table1[riBAQ 20], MATCH(1, (Table3[[#This Row],[Gene names]:[Gene names]] = Table1[[Gene names]:[Gene names]])*1, 0))</f>
        <v>1.745143E-3</v>
      </c>
      <c r="H40" cm="1">
        <f t="array" ref="H40">INDEX(Table1[riBAQ 21], MATCH(1, (Table3[[#This Row],[Gene names]:[Gene names]] = Table1[[Gene names]:[Gene names]])*1, 0))</f>
        <v>2.3507279999999998E-3</v>
      </c>
      <c r="I40" cm="1">
        <f t="array" ref="I40">INDEX(Table1[riBAQ 22], MATCH(1, (Table3[[#This Row],[Gene names]:[Gene names]] = Table1[[Gene names]:[Gene names]])*1, 0))</f>
        <v>2.813257E-3</v>
      </c>
      <c r="J40" cm="1">
        <f t="array" ref="J40">INDEX(Table1[riBAQ 23], MATCH(1, (Table3[[#This Row],[Gene names]:[Gene names]] = Table1[[Gene names]:[Gene names]])*1, 0))</f>
        <v>1.3135040000000001E-3</v>
      </c>
      <c r="K40" cm="1">
        <f t="array" ref="K40">INDEX(Table1[riBAQ 37], MATCH(1, (Table3[[#This Row],[Gene names]:[Gene names]] = Table1[[Gene names]:[Gene names]])*1, 0))</f>
        <v>1.8550089999999999E-3</v>
      </c>
      <c r="L40" cm="1">
        <f t="array" ref="L40">INDEX(Table1[riBAQ 38], MATCH(1, (Table3[[#This Row],[Gene names]:[Gene names]] = Table1[[Gene names]:[Gene names]])*1, 0))</f>
        <v>2.193731E-3</v>
      </c>
      <c r="M40" cm="1">
        <f t="array" ref="M40">INDEX(Table1[riBAQ 39], MATCH(1, (Table3[[#This Row],[Gene names]:[Gene names]] = Table1[[Gene names]:[Gene names]])*1, 0))</f>
        <v>2.465194E-3</v>
      </c>
      <c r="N40" cm="1">
        <f t="array" ref="N40">INDEX(Table1[riBAQ 40], MATCH(1, (Table3[[#This Row],[Gene names]:[Gene names]] = Table1[[Gene names]:[Gene names]])*1, 0))</f>
        <v>3.4238290000000002E-3</v>
      </c>
      <c r="O40" cm="1">
        <f t="array" ref="O40">INDEX(Table1[riBAQ 41], MATCH(1, (Table3[[#This Row],[Gene names]:[Gene names]] = Table1[[Gene names]:[Gene names]])*1, 0))</f>
        <v>1.2405280000000001E-3</v>
      </c>
      <c r="P40" cm="1">
        <f t="array" ref="P40">INDEX(Table1[riBAQ 24], MATCH(1, (Table3[[#This Row],[Gene names]:[Gene names]] = Table1[[Gene names]:[Gene names]])*1, 0))</f>
        <v>1.7137910000000001E-3</v>
      </c>
      <c r="Q40" cm="1">
        <f t="array" ref="Q40">INDEX(Table1[riBAQ 25], MATCH(1, (Table3[[#This Row],[Gene names]:[Gene names]] = Table1[[Gene names]:[Gene names]])*1, 0))</f>
        <v>6.0460899999999998E-4</v>
      </c>
      <c r="R40" cm="1">
        <f t="array" ref="R40">INDEX(Table1[riBAQ 26], MATCH(1, (Table3[[#This Row],[Gene names]:[Gene names]] = Table1[[Gene names]:[Gene names]])*1, 0))</f>
        <v>6.8708400000000002E-4</v>
      </c>
      <c r="S40" cm="1">
        <f t="array" ref="S40">INDEX(Table1[riBAQ 42], MATCH(1, (Table3[[#This Row],[Gene names]:[Gene names]] = Table1[[Gene names]:[Gene names]])*1, 0))</f>
        <v>6.07578E-4</v>
      </c>
      <c r="T40" cm="1">
        <f t="array" ref="T40">INDEX(Table1[riBAQ 43], MATCH(1, (Table3[[#This Row],[Gene names]:[Gene names]] = Table1[[Gene names]:[Gene names]])*1, 0))</f>
        <v>5.7151100000000002E-4</v>
      </c>
    </row>
    <row r="41" spans="1:20" x14ac:dyDescent="0.25">
      <c r="A41" t="s">
        <v>484</v>
      </c>
      <c r="B41" cm="1">
        <f t="array" ref="B41">INDEX(Table1[riBAQ 17], MATCH(1, (Table3[[#This Row],[Gene names]:[Gene names]] = Table1[[Gene names]:[Gene names]])*1, 0))</f>
        <v>9.0199999999999997E-5</v>
      </c>
      <c r="C41" cm="1">
        <f t="array" ref="C41">INDEX(Table1[riBAQ 18], MATCH(1, (Table3[[#This Row],[Gene names]:[Gene names]] = Table1[[Gene names]:[Gene names]])*1, 0))</f>
        <v>1.8600000000000001E-5</v>
      </c>
      <c r="D41" cm="1">
        <f t="array" ref="D41">INDEX(Table1[riBAQ 35], MATCH(1, (Table3[[#This Row],[Gene names]:[Gene names]] = Table1[[Gene names]:[Gene names]])*1, 0))</f>
        <v>4.0599999999999998E-5</v>
      </c>
      <c r="E41" cm="1">
        <f t="array" ref="E41">INDEX(Table1[riBAQ 36], MATCH(1, (Table3[[#This Row],[Gene names]:[Gene names]] = Table1[[Gene names]:[Gene names]])*1, 0))</f>
        <v>3.0499999999999999E-5</v>
      </c>
      <c r="F41" cm="1">
        <f t="array" ref="F41">INDEX(Table1[riBAQ 19], MATCH(1, (Table3[[#This Row],[Gene names]:[Gene names]] = Table1[[Gene names]:[Gene names]])*1, 0))</f>
        <v>4.2299999999999998E-5</v>
      </c>
      <c r="G41" cm="1">
        <f t="array" ref="G41">INDEX(Table1[riBAQ 20], MATCH(1, (Table3[[#This Row],[Gene names]:[Gene names]] = Table1[[Gene names]:[Gene names]])*1, 0))</f>
        <v>2.7500000000000001E-5</v>
      </c>
      <c r="H41" cm="1">
        <f t="array" ref="H41">INDEX(Table1[riBAQ 21], MATCH(1, (Table3[[#This Row],[Gene names]:[Gene names]] = Table1[[Gene names]:[Gene names]])*1, 0))</f>
        <v>7.1000000000000005E-5</v>
      </c>
      <c r="I41" cm="1">
        <f t="array" ref="I41">INDEX(Table1[riBAQ 22], MATCH(1, (Table3[[#This Row],[Gene names]:[Gene names]] = Table1[[Gene names]:[Gene names]])*1, 0))</f>
        <v>3.9100000000000002E-5</v>
      </c>
      <c r="J41" cm="1">
        <f t="array" ref="J41">INDEX(Table1[riBAQ 23], MATCH(1, (Table3[[#This Row],[Gene names]:[Gene names]] = Table1[[Gene names]:[Gene names]])*1, 0))</f>
        <v>5.9599999999999999E-5</v>
      </c>
      <c r="K41" cm="1">
        <f t="array" ref="K41">INDEX(Table1[riBAQ 37], MATCH(1, (Table3[[#This Row],[Gene names]:[Gene names]] = Table1[[Gene names]:[Gene names]])*1, 0))</f>
        <v>2.3799999999999999E-5</v>
      </c>
      <c r="L41" cm="1">
        <f t="array" ref="L41">INDEX(Table1[riBAQ 38], MATCH(1, (Table3[[#This Row],[Gene names]:[Gene names]] = Table1[[Gene names]:[Gene names]])*1, 0))</f>
        <v>2.4000000000000001E-5</v>
      </c>
      <c r="M41" cm="1">
        <f t="array" ref="M41">INDEX(Table1[riBAQ 39], MATCH(1, (Table3[[#This Row],[Gene names]:[Gene names]] = Table1[[Gene names]:[Gene names]])*1, 0))</f>
        <v>6.3899999999999995E-5</v>
      </c>
      <c r="N41" cm="1">
        <f t="array" ref="N41">INDEX(Table1[riBAQ 40], MATCH(1, (Table3[[#This Row],[Gene names]:[Gene names]] = Table1[[Gene names]:[Gene names]])*1, 0))</f>
        <v>1.3966200000000001E-4</v>
      </c>
      <c r="O41" cm="1">
        <f t="array" ref="O41">INDEX(Table1[riBAQ 41], MATCH(1, (Table3[[#This Row],[Gene names]:[Gene names]] = Table1[[Gene names]:[Gene names]])*1, 0))</f>
        <v>3.6199999999999999E-5</v>
      </c>
      <c r="P41" cm="1">
        <f t="array" ref="P41">INDEX(Table1[riBAQ 24], MATCH(1, (Table3[[#This Row],[Gene names]:[Gene names]] = Table1[[Gene names]:[Gene names]])*1, 0))</f>
        <v>1.09567E-4</v>
      </c>
      <c r="Q41" cm="1">
        <f t="array" ref="Q41">INDEX(Table1[riBAQ 25], MATCH(1, (Table3[[#This Row],[Gene names]:[Gene names]] = Table1[[Gene names]:[Gene names]])*1, 0))</f>
        <v>1.5675300000000001E-4</v>
      </c>
      <c r="R41" cm="1">
        <f t="array" ref="R41">INDEX(Table1[riBAQ 26], MATCH(1, (Table3[[#This Row],[Gene names]:[Gene names]] = Table1[[Gene names]:[Gene names]])*1, 0))</f>
        <v>1.2501E-4</v>
      </c>
      <c r="S41" cm="1">
        <f t="array" ref="S41">INDEX(Table1[riBAQ 42], MATCH(1, (Table3[[#This Row],[Gene names]:[Gene names]] = Table1[[Gene names]:[Gene names]])*1, 0))</f>
        <v>8.9400000000000005E-5</v>
      </c>
      <c r="T41" cm="1">
        <f t="array" ref="T41">INDEX(Table1[riBAQ 43], MATCH(1, (Table3[[#This Row],[Gene names]:[Gene names]] = Table1[[Gene names]:[Gene names]])*1, 0))</f>
        <v>2.2107299999999999E-4</v>
      </c>
    </row>
    <row r="42" spans="1:20" x14ac:dyDescent="0.25">
      <c r="A42" t="s">
        <v>656</v>
      </c>
      <c r="B42" cm="1">
        <f t="array" ref="B42">INDEX(Table1[riBAQ 17], MATCH(1, (Table3[[#This Row],[Gene names]:[Gene names]] = Table1[[Gene names]:[Gene names]])*1, 0))</f>
        <v>3.1989229999999998E-3</v>
      </c>
      <c r="C42" cm="1">
        <f t="array" ref="C42">INDEX(Table1[riBAQ 18], MATCH(1, (Table3[[#This Row],[Gene names]:[Gene names]] = Table1[[Gene names]:[Gene names]])*1, 0))</f>
        <v>3.4207410000000001E-3</v>
      </c>
      <c r="D42" cm="1">
        <f t="array" ref="D42">INDEX(Table1[riBAQ 35], MATCH(1, (Table3[[#This Row],[Gene names]:[Gene names]] = Table1[[Gene names]:[Gene names]])*1, 0))</f>
        <v>2.6595820000000002E-3</v>
      </c>
      <c r="E42" cm="1">
        <f t="array" ref="E42">INDEX(Table1[riBAQ 36], MATCH(1, (Table3[[#This Row],[Gene names]:[Gene names]] = Table1[[Gene names]:[Gene names]])*1, 0))</f>
        <v>3.1489090000000001E-3</v>
      </c>
      <c r="F42" cm="1">
        <f t="array" ref="F42">INDEX(Table1[riBAQ 19], MATCH(1, (Table3[[#This Row],[Gene names]:[Gene names]] = Table1[[Gene names]:[Gene names]])*1, 0))</f>
        <v>8.1315290000000002E-3</v>
      </c>
      <c r="G42" cm="1">
        <f t="array" ref="G42">INDEX(Table1[riBAQ 20], MATCH(1, (Table3[[#This Row],[Gene names]:[Gene names]] = Table1[[Gene names]:[Gene names]])*1, 0))</f>
        <v>4.748848E-3</v>
      </c>
      <c r="H42" cm="1">
        <f t="array" ref="H42">INDEX(Table1[riBAQ 21], MATCH(1, (Table3[[#This Row],[Gene names]:[Gene names]] = Table1[[Gene names]:[Gene names]])*1, 0))</f>
        <v>7.1910760000000002E-3</v>
      </c>
      <c r="I42" cm="1">
        <f t="array" ref="I42">INDEX(Table1[riBAQ 22], MATCH(1, (Table3[[#This Row],[Gene names]:[Gene names]] = Table1[[Gene names]:[Gene names]])*1, 0))</f>
        <v>5.1462060000000004E-3</v>
      </c>
      <c r="J42" cm="1">
        <f t="array" ref="J42">INDEX(Table1[riBAQ 23], MATCH(1, (Table3[[#This Row],[Gene names]:[Gene names]] = Table1[[Gene names]:[Gene names]])*1, 0))</f>
        <v>6.368734E-3</v>
      </c>
      <c r="K42" cm="1">
        <f t="array" ref="K42">INDEX(Table1[riBAQ 37], MATCH(1, (Table3[[#This Row],[Gene names]:[Gene names]] = Table1[[Gene names]:[Gene names]])*1, 0))</f>
        <v>3.8662979999999998E-3</v>
      </c>
      <c r="L42" cm="1">
        <f t="array" ref="L42">INDEX(Table1[riBAQ 38], MATCH(1, (Table3[[#This Row],[Gene names]:[Gene names]] = Table1[[Gene names]:[Gene names]])*1, 0))</f>
        <v>3.3881380000000002E-3</v>
      </c>
      <c r="M42" cm="1">
        <f t="array" ref="M42">INDEX(Table1[riBAQ 39], MATCH(1, (Table3[[#This Row],[Gene names]:[Gene names]] = Table1[[Gene names]:[Gene names]])*1, 0))</f>
        <v>4.5814530000000001E-3</v>
      </c>
      <c r="N42" cm="1">
        <f t="array" ref="N42">INDEX(Table1[riBAQ 40], MATCH(1, (Table3[[#This Row],[Gene names]:[Gene names]] = Table1[[Gene names]:[Gene names]])*1, 0))</f>
        <v>6.3380190000000003E-3</v>
      </c>
      <c r="O42" cm="1">
        <f t="array" ref="O42">INDEX(Table1[riBAQ 41], MATCH(1, (Table3[[#This Row],[Gene names]:[Gene names]] = Table1[[Gene names]:[Gene names]])*1, 0))</f>
        <v>3.7967740000000002E-3</v>
      </c>
      <c r="P42" cm="1">
        <f t="array" ref="P42">INDEX(Table1[riBAQ 24], MATCH(1, (Table3[[#This Row],[Gene names]:[Gene names]] = Table1[[Gene names]:[Gene names]])*1, 0))</f>
        <v>1.2418370999999999E-2</v>
      </c>
      <c r="Q42" cm="1">
        <f t="array" ref="Q42">INDEX(Table1[riBAQ 25], MATCH(1, (Table3[[#This Row],[Gene names]:[Gene names]] = Table1[[Gene names]:[Gene names]])*1, 0))</f>
        <v>1.8979363999999999E-2</v>
      </c>
      <c r="R42" cm="1">
        <f t="array" ref="R42">INDEX(Table1[riBAQ 26], MATCH(1, (Table3[[#This Row],[Gene names]:[Gene names]] = Table1[[Gene names]:[Gene names]])*1, 0))</f>
        <v>1.3820961E-2</v>
      </c>
      <c r="S42" cm="1">
        <f t="array" ref="S42">INDEX(Table1[riBAQ 42], MATCH(1, (Table3[[#This Row],[Gene names]:[Gene names]] = Table1[[Gene names]:[Gene names]])*1, 0))</f>
        <v>1.518458E-2</v>
      </c>
      <c r="T42" cm="1">
        <f t="array" ref="T42">INDEX(Table1[riBAQ 43], MATCH(1, (Table3[[#This Row],[Gene names]:[Gene names]] = Table1[[Gene names]:[Gene names]])*1, 0))</f>
        <v>1.3801582999999999E-2</v>
      </c>
    </row>
    <row r="43" spans="1:20" x14ac:dyDescent="0.25">
      <c r="A43" t="s">
        <v>675</v>
      </c>
      <c r="B43" cm="1">
        <f t="array" ref="B43">INDEX(Table1[riBAQ 17], MATCH(1, (Table3[[#This Row],[Gene names]:[Gene names]] = Table1[[Gene names]:[Gene names]])*1, 0))</f>
        <v>0</v>
      </c>
      <c r="C43" cm="1">
        <f t="array" ref="C43">INDEX(Table1[riBAQ 18], MATCH(1, (Table3[[#This Row],[Gene names]:[Gene names]] = Table1[[Gene names]:[Gene names]])*1, 0))</f>
        <v>0</v>
      </c>
      <c r="D43" cm="1">
        <f t="array" ref="D43">INDEX(Table1[riBAQ 35], MATCH(1, (Table3[[#This Row],[Gene names]:[Gene names]] = Table1[[Gene names]:[Gene names]])*1, 0))</f>
        <v>0</v>
      </c>
      <c r="E43" cm="1">
        <f t="array" ref="E43">INDEX(Table1[riBAQ 36], MATCH(1, (Table3[[#This Row],[Gene names]:[Gene names]] = Table1[[Gene names]:[Gene names]])*1, 0))</f>
        <v>0</v>
      </c>
      <c r="F43" cm="1">
        <f t="array" ref="F43">INDEX(Table1[riBAQ 19], MATCH(1, (Table3[[#This Row],[Gene names]:[Gene names]] = Table1[[Gene names]:[Gene names]])*1, 0))</f>
        <v>0</v>
      </c>
      <c r="G43" cm="1">
        <f t="array" ref="G43">INDEX(Table1[riBAQ 20], MATCH(1, (Table3[[#This Row],[Gene names]:[Gene names]] = Table1[[Gene names]:[Gene names]])*1, 0))</f>
        <v>0</v>
      </c>
      <c r="H43" cm="1">
        <f t="array" ref="H43">INDEX(Table1[riBAQ 21], MATCH(1, (Table3[[#This Row],[Gene names]:[Gene names]] = Table1[[Gene names]:[Gene names]])*1, 0))</f>
        <v>0</v>
      </c>
      <c r="I43" cm="1">
        <f t="array" ref="I43">INDEX(Table1[riBAQ 22], MATCH(1, (Table3[[#This Row],[Gene names]:[Gene names]] = Table1[[Gene names]:[Gene names]])*1, 0))</f>
        <v>0</v>
      </c>
      <c r="J43" cm="1">
        <f t="array" ref="J43">INDEX(Table1[riBAQ 23], MATCH(1, (Table3[[#This Row],[Gene names]:[Gene names]] = Table1[[Gene names]:[Gene names]])*1, 0))</f>
        <v>0</v>
      </c>
      <c r="K43" cm="1">
        <f t="array" ref="K43">INDEX(Table1[riBAQ 37], MATCH(1, (Table3[[#This Row],[Gene names]:[Gene names]] = Table1[[Gene names]:[Gene names]])*1, 0))</f>
        <v>0</v>
      </c>
      <c r="L43" cm="1">
        <f t="array" ref="L43">INDEX(Table1[riBAQ 38], MATCH(1, (Table3[[#This Row],[Gene names]:[Gene names]] = Table1[[Gene names]:[Gene names]])*1, 0))</f>
        <v>0</v>
      </c>
      <c r="M43" cm="1">
        <f t="array" ref="M43">INDEX(Table1[riBAQ 39], MATCH(1, (Table3[[#This Row],[Gene names]:[Gene names]] = Table1[[Gene names]:[Gene names]])*1, 0))</f>
        <v>0</v>
      </c>
      <c r="N43" cm="1">
        <f t="array" ref="N43">INDEX(Table1[riBAQ 40], MATCH(1, (Table3[[#This Row],[Gene names]:[Gene names]] = Table1[[Gene names]:[Gene names]])*1, 0))</f>
        <v>0</v>
      </c>
      <c r="O43" cm="1">
        <f t="array" ref="O43">INDEX(Table1[riBAQ 41], MATCH(1, (Table3[[#This Row],[Gene names]:[Gene names]] = Table1[[Gene names]:[Gene names]])*1, 0))</f>
        <v>0</v>
      </c>
      <c r="P43" cm="1">
        <f t="array" ref="P43">INDEX(Table1[riBAQ 24], MATCH(1, (Table3[[#This Row],[Gene names]:[Gene names]] = Table1[[Gene names]:[Gene names]])*1, 0))</f>
        <v>1.6699999999999999E-5</v>
      </c>
      <c r="Q43" cm="1">
        <f t="array" ref="Q43">INDEX(Table1[riBAQ 25], MATCH(1, (Table3[[#This Row],[Gene names]:[Gene names]] = Table1[[Gene names]:[Gene names]])*1, 0))</f>
        <v>2.5199999999999999E-5</v>
      </c>
      <c r="R43" cm="1">
        <f t="array" ref="R43">INDEX(Table1[riBAQ 26], MATCH(1, (Table3[[#This Row],[Gene names]:[Gene names]] = Table1[[Gene names]:[Gene names]])*1, 0))</f>
        <v>2.2500000000000001E-5</v>
      </c>
      <c r="S43" cm="1">
        <f t="array" ref="S43">INDEX(Table1[riBAQ 42], MATCH(1, (Table3[[#This Row],[Gene names]:[Gene names]] = Table1[[Gene names]:[Gene names]])*1, 0))</f>
        <v>2.4199999999999999E-5</v>
      </c>
      <c r="T43" cm="1">
        <f t="array" ref="T43">INDEX(Table1[riBAQ 43], MATCH(1, (Table3[[#This Row],[Gene names]:[Gene names]] = Table1[[Gene names]:[Gene names]])*1, 0))</f>
        <v>2.12E-5</v>
      </c>
    </row>
    <row r="44" spans="1:20" x14ac:dyDescent="0.25">
      <c r="A44" t="s">
        <v>737</v>
      </c>
      <c r="B44" cm="1">
        <f t="array" ref="B44">INDEX(Table1[riBAQ 17], MATCH(1, (Table3[[#This Row],[Gene names]:[Gene names]] = Table1[[Gene names]:[Gene names]])*1, 0))</f>
        <v>4.6304199999999999E-4</v>
      </c>
      <c r="C44" cm="1">
        <f t="array" ref="C44">INDEX(Table1[riBAQ 18], MATCH(1, (Table3[[#This Row],[Gene names]:[Gene names]] = Table1[[Gene names]:[Gene names]])*1, 0))</f>
        <v>3.60384E-4</v>
      </c>
      <c r="D44" cm="1">
        <f t="array" ref="D44">INDEX(Table1[riBAQ 35], MATCH(1, (Table3[[#This Row],[Gene names]:[Gene names]] = Table1[[Gene names]:[Gene names]])*1, 0))</f>
        <v>2.6437999999999999E-4</v>
      </c>
      <c r="E44" cm="1">
        <f t="array" ref="E44">INDEX(Table1[riBAQ 36], MATCH(1, (Table3[[#This Row],[Gene names]:[Gene names]] = Table1[[Gene names]:[Gene names]])*1, 0))</f>
        <v>2.17235E-4</v>
      </c>
      <c r="F44" cm="1">
        <f t="array" ref="F44">INDEX(Table1[riBAQ 19], MATCH(1, (Table3[[#This Row],[Gene names]:[Gene names]] = Table1[[Gene names]:[Gene names]])*1, 0))</f>
        <v>4.2297800000000001E-4</v>
      </c>
      <c r="G44" cm="1">
        <f t="array" ref="G44">INDEX(Table1[riBAQ 20], MATCH(1, (Table3[[#This Row],[Gene names]:[Gene names]] = Table1[[Gene names]:[Gene names]])*1, 0))</f>
        <v>2.8824900000000002E-4</v>
      </c>
      <c r="H44" cm="1">
        <f t="array" ref="H44">INDEX(Table1[riBAQ 21], MATCH(1, (Table3[[#This Row],[Gene names]:[Gene names]] = Table1[[Gene names]:[Gene names]])*1, 0))</f>
        <v>3.5444300000000002E-4</v>
      </c>
      <c r="I44" cm="1">
        <f t="array" ref="I44">INDEX(Table1[riBAQ 22], MATCH(1, (Table3[[#This Row],[Gene names]:[Gene names]] = Table1[[Gene names]:[Gene names]])*1, 0))</f>
        <v>3.2547700000000001E-4</v>
      </c>
      <c r="J44" cm="1">
        <f t="array" ref="J44">INDEX(Table1[riBAQ 23], MATCH(1, (Table3[[#This Row],[Gene names]:[Gene names]] = Table1[[Gene names]:[Gene names]])*1, 0))</f>
        <v>4.3649900000000002E-4</v>
      </c>
      <c r="K44" cm="1">
        <f t="array" ref="K44">INDEX(Table1[riBAQ 37], MATCH(1, (Table3[[#This Row],[Gene names]:[Gene names]] = Table1[[Gene names]:[Gene names]])*1, 0))</f>
        <v>3.1366800000000002E-4</v>
      </c>
      <c r="L44" cm="1">
        <f t="array" ref="L44">INDEX(Table1[riBAQ 38], MATCH(1, (Table3[[#This Row],[Gene names]:[Gene names]] = Table1[[Gene names]:[Gene names]])*1, 0))</f>
        <v>2.7127899999999998E-4</v>
      </c>
      <c r="M44" cm="1">
        <f t="array" ref="M44">INDEX(Table1[riBAQ 39], MATCH(1, (Table3[[#This Row],[Gene names]:[Gene names]] = Table1[[Gene names]:[Gene names]])*1, 0))</f>
        <v>2.4636699999999999E-4</v>
      </c>
      <c r="N44" cm="1">
        <f t="array" ref="N44">INDEX(Table1[riBAQ 40], MATCH(1, (Table3[[#This Row],[Gene names]:[Gene names]] = Table1[[Gene names]:[Gene names]])*1, 0))</f>
        <v>3.62319E-4</v>
      </c>
      <c r="O44" cm="1">
        <f t="array" ref="O44">INDEX(Table1[riBAQ 41], MATCH(1, (Table3[[#This Row],[Gene names]:[Gene names]] = Table1[[Gene names]:[Gene names]])*1, 0))</f>
        <v>3.0981999999999998E-4</v>
      </c>
      <c r="P44" cm="1">
        <f t="array" ref="P44">INDEX(Table1[riBAQ 24], MATCH(1, (Table3[[#This Row],[Gene names]:[Gene names]] = Table1[[Gene names]:[Gene names]])*1, 0))</f>
        <v>4.6368199999999998E-4</v>
      </c>
      <c r="Q44" cm="1">
        <f t="array" ref="Q44">INDEX(Table1[riBAQ 25], MATCH(1, (Table3[[#This Row],[Gene names]:[Gene names]] = Table1[[Gene names]:[Gene names]])*1, 0))</f>
        <v>5.3221300000000002E-4</v>
      </c>
      <c r="R44" cm="1">
        <f t="array" ref="R44">INDEX(Table1[riBAQ 26], MATCH(1, (Table3[[#This Row],[Gene names]:[Gene names]] = Table1[[Gene names]:[Gene names]])*1, 0))</f>
        <v>3.6171700000000001E-4</v>
      </c>
      <c r="S44" cm="1">
        <f t="array" ref="S44">INDEX(Table1[riBAQ 42], MATCH(1, (Table3[[#This Row],[Gene names]:[Gene names]] = Table1[[Gene names]:[Gene names]])*1, 0))</f>
        <v>3.7029000000000001E-4</v>
      </c>
      <c r="T44" cm="1">
        <f t="array" ref="T44">INDEX(Table1[riBAQ 43], MATCH(1, (Table3[[#This Row],[Gene names]:[Gene names]] = Table1[[Gene names]:[Gene names]])*1, 0))</f>
        <v>5.0781800000000005E-4</v>
      </c>
    </row>
    <row r="45" spans="1:20" x14ac:dyDescent="0.25">
      <c r="A45" t="s">
        <v>1184</v>
      </c>
      <c r="B45" cm="1">
        <f t="array" ref="B45">INDEX(Table1[riBAQ 17], MATCH(1, (Table3[[#This Row],[Gene names]:[Gene names]] = Table1[[Gene names]:[Gene names]])*1, 0))</f>
        <v>1.2924799999999999E-4</v>
      </c>
      <c r="C45" cm="1">
        <f t="array" ref="C45">INDEX(Table1[riBAQ 18], MATCH(1, (Table3[[#This Row],[Gene names]:[Gene names]] = Table1[[Gene names]:[Gene names]])*1, 0))</f>
        <v>1.46317E-4</v>
      </c>
      <c r="D45" cm="1">
        <f t="array" ref="D45">INDEX(Table1[riBAQ 35], MATCH(1, (Table3[[#This Row],[Gene names]:[Gene names]] = Table1[[Gene names]:[Gene names]])*1, 0))</f>
        <v>1.5598599999999999E-4</v>
      </c>
      <c r="E45" cm="1">
        <f t="array" ref="E45">INDEX(Table1[riBAQ 36], MATCH(1, (Table3[[#This Row],[Gene names]:[Gene names]] = Table1[[Gene names]:[Gene names]])*1, 0))</f>
        <v>1.71211E-4</v>
      </c>
      <c r="F45" cm="1">
        <f t="array" ref="F45">INDEX(Table1[riBAQ 19], MATCH(1, (Table3[[#This Row],[Gene names]:[Gene names]] = Table1[[Gene names]:[Gene names]])*1, 0))</f>
        <v>1.21203E-4</v>
      </c>
      <c r="G45" cm="1">
        <f t="array" ref="G45">INDEX(Table1[riBAQ 20], MATCH(1, (Table3[[#This Row],[Gene names]:[Gene names]] = Table1[[Gene names]:[Gene names]])*1, 0))</f>
        <v>1.32244E-4</v>
      </c>
      <c r="H45" cm="1">
        <f t="array" ref="H45">INDEX(Table1[riBAQ 21], MATCH(1, (Table3[[#This Row],[Gene names]:[Gene names]] = Table1[[Gene names]:[Gene names]])*1, 0))</f>
        <v>9.1600000000000004E-5</v>
      </c>
      <c r="I45" cm="1">
        <f t="array" ref="I45">INDEX(Table1[riBAQ 22], MATCH(1, (Table3[[#This Row],[Gene names]:[Gene names]] = Table1[[Gene names]:[Gene names]])*1, 0))</f>
        <v>1.6697500000000001E-4</v>
      </c>
      <c r="J45" cm="1">
        <f t="array" ref="J45">INDEX(Table1[riBAQ 23], MATCH(1, (Table3[[#This Row],[Gene names]:[Gene names]] = Table1[[Gene names]:[Gene names]])*1, 0))</f>
        <v>1.57033E-4</v>
      </c>
      <c r="K45" cm="1">
        <f t="array" ref="K45">INDEX(Table1[riBAQ 37], MATCH(1, (Table3[[#This Row],[Gene names]:[Gene names]] = Table1[[Gene names]:[Gene names]])*1, 0))</f>
        <v>1.3420399999999999E-4</v>
      </c>
      <c r="L45" cm="1">
        <f t="array" ref="L45">INDEX(Table1[riBAQ 38], MATCH(1, (Table3[[#This Row],[Gene names]:[Gene names]] = Table1[[Gene names]:[Gene names]])*1, 0))</f>
        <v>1.54015E-4</v>
      </c>
      <c r="M45" cm="1">
        <f t="array" ref="M45">INDEX(Table1[riBAQ 39], MATCH(1, (Table3[[#This Row],[Gene names]:[Gene names]] = Table1[[Gene names]:[Gene names]])*1, 0))</f>
        <v>1.1469299999999999E-4</v>
      </c>
      <c r="N45" cm="1">
        <f t="array" ref="N45">INDEX(Table1[riBAQ 40], MATCH(1, (Table3[[#This Row],[Gene names]:[Gene names]] = Table1[[Gene names]:[Gene names]])*1, 0))</f>
        <v>1.7848300000000001E-4</v>
      </c>
      <c r="O45" cm="1">
        <f t="array" ref="O45">INDEX(Table1[riBAQ 41], MATCH(1, (Table3[[#This Row],[Gene names]:[Gene names]] = Table1[[Gene names]:[Gene names]])*1, 0))</f>
        <v>1.53363E-4</v>
      </c>
      <c r="P45" cm="1">
        <f t="array" ref="P45">INDEX(Table1[riBAQ 24], MATCH(1, (Table3[[#This Row],[Gene names]:[Gene names]] = Table1[[Gene names]:[Gene names]])*1, 0))</f>
        <v>7.64E-5</v>
      </c>
      <c r="Q45" cm="1">
        <f t="array" ref="Q45">INDEX(Table1[riBAQ 25], MATCH(1, (Table3[[#This Row],[Gene names]:[Gene names]] = Table1[[Gene names]:[Gene names]])*1, 0))</f>
        <v>3.9199999999999997E-5</v>
      </c>
      <c r="R45" cm="1">
        <f t="array" ref="R45">INDEX(Table1[riBAQ 26], MATCH(1, (Table3[[#This Row],[Gene names]:[Gene names]] = Table1[[Gene names]:[Gene names]])*1, 0))</f>
        <v>5.9700000000000001E-5</v>
      </c>
      <c r="S45" cm="1">
        <f t="array" ref="S45">INDEX(Table1[riBAQ 42], MATCH(1, (Table3[[#This Row],[Gene names]:[Gene names]] = Table1[[Gene names]:[Gene names]])*1, 0))</f>
        <v>6.3600000000000001E-5</v>
      </c>
      <c r="T45" cm="1">
        <f t="array" ref="T45">INDEX(Table1[riBAQ 43], MATCH(1, (Table3[[#This Row],[Gene names]:[Gene names]] = Table1[[Gene names]:[Gene names]])*1, 0))</f>
        <v>3.8899999999999997E-5</v>
      </c>
    </row>
    <row r="46" spans="1:20" x14ac:dyDescent="0.25">
      <c r="A46" t="s">
        <v>1698</v>
      </c>
      <c r="B46" cm="1">
        <f t="array" ref="B46">INDEX(Table1[riBAQ 17], MATCH(1, (Table3[[#This Row],[Gene names]:[Gene names]] = Table1[[Gene names]:[Gene names]])*1, 0))</f>
        <v>5.4500000000000003E-6</v>
      </c>
      <c r="C46" cm="1">
        <f t="array" ref="C46">INDEX(Table1[riBAQ 18], MATCH(1, (Table3[[#This Row],[Gene names]:[Gene names]] = Table1[[Gene names]:[Gene names]])*1, 0))</f>
        <v>5.3900000000000001E-6</v>
      </c>
      <c r="D46" cm="1">
        <f t="array" ref="D46">INDEX(Table1[riBAQ 35], MATCH(1, (Table3[[#This Row],[Gene names]:[Gene names]] = Table1[[Gene names]:[Gene names]])*1, 0))</f>
        <v>2.65E-6</v>
      </c>
      <c r="E46" cm="1">
        <f t="array" ref="E46">INDEX(Table1[riBAQ 36], MATCH(1, (Table3[[#This Row],[Gene names]:[Gene names]] = Table1[[Gene names]:[Gene names]])*1, 0))</f>
        <v>2.1399999999999998E-6</v>
      </c>
      <c r="F46" cm="1">
        <f t="array" ref="F46">INDEX(Table1[riBAQ 19], MATCH(1, (Table3[[#This Row],[Gene names]:[Gene names]] = Table1[[Gene names]:[Gene names]])*1, 0))</f>
        <v>7.52E-6</v>
      </c>
      <c r="G46" cm="1">
        <f t="array" ref="G46">INDEX(Table1[riBAQ 20], MATCH(1, (Table3[[#This Row],[Gene names]:[Gene names]] = Table1[[Gene names]:[Gene names]])*1, 0))</f>
        <v>5.66E-6</v>
      </c>
      <c r="H46" cm="1">
        <f t="array" ref="H46">INDEX(Table1[riBAQ 21], MATCH(1, (Table3[[#This Row],[Gene names]:[Gene names]] = Table1[[Gene names]:[Gene names]])*1, 0))</f>
        <v>7.1600000000000001E-6</v>
      </c>
      <c r="I46" cm="1">
        <f t="array" ref="I46">INDEX(Table1[riBAQ 22], MATCH(1, (Table3[[#This Row],[Gene names]:[Gene names]] = Table1[[Gene names]:[Gene names]])*1, 0))</f>
        <v>5.2599999999999996E-6</v>
      </c>
      <c r="J46" cm="1">
        <f t="array" ref="J46">INDEX(Table1[riBAQ 23], MATCH(1, (Table3[[#This Row],[Gene names]:[Gene names]] = Table1[[Gene names]:[Gene names]])*1, 0))</f>
        <v>5.2100000000000001E-6</v>
      </c>
      <c r="K46" cm="1">
        <f t="array" ref="K46">INDEX(Table1[riBAQ 37], MATCH(1, (Table3[[#This Row],[Gene names]:[Gene names]] = Table1[[Gene names]:[Gene names]])*1, 0))</f>
        <v>5.3600000000000004E-6</v>
      </c>
      <c r="L46" cm="1">
        <f t="array" ref="L46">INDEX(Table1[riBAQ 38], MATCH(1, (Table3[[#This Row],[Gene names]:[Gene names]] = Table1[[Gene names]:[Gene names]])*1, 0))</f>
        <v>5.9399999999999999E-6</v>
      </c>
      <c r="M46" cm="1">
        <f t="array" ref="M46">INDEX(Table1[riBAQ 39], MATCH(1, (Table3[[#This Row],[Gene names]:[Gene names]] = Table1[[Gene names]:[Gene names]])*1, 0))</f>
        <v>4.4800000000000003E-6</v>
      </c>
      <c r="N46" cm="1">
        <f t="array" ref="N46">INDEX(Table1[riBAQ 40], MATCH(1, (Table3[[#This Row],[Gene names]:[Gene names]] = Table1[[Gene names]:[Gene names]])*1, 0))</f>
        <v>9.3100000000000006E-6</v>
      </c>
      <c r="O46" cm="1">
        <f t="array" ref="O46">INDEX(Table1[riBAQ 41], MATCH(1, (Table3[[#This Row],[Gene names]:[Gene names]] = Table1[[Gene names]:[Gene names]])*1, 0))</f>
        <v>4.2200000000000003E-6</v>
      </c>
      <c r="P46" cm="1">
        <f t="array" ref="P46">INDEX(Table1[riBAQ 24], MATCH(1, (Table3[[#This Row],[Gene names]:[Gene names]] = Table1[[Gene names]:[Gene names]])*1, 0))</f>
        <v>9.6399999999999992E-6</v>
      </c>
      <c r="Q46" cm="1">
        <f t="array" ref="Q46">INDEX(Table1[riBAQ 25], MATCH(1, (Table3[[#This Row],[Gene names]:[Gene names]] = Table1[[Gene names]:[Gene names]])*1, 0))</f>
        <v>1.4399999999999999E-5</v>
      </c>
      <c r="R46" cm="1">
        <f t="array" ref="R46">INDEX(Table1[riBAQ 26], MATCH(1, (Table3[[#This Row],[Gene names]:[Gene names]] = Table1[[Gene names]:[Gene names]])*1, 0))</f>
        <v>1.73E-5</v>
      </c>
      <c r="S46" cm="1">
        <f t="array" ref="S46">INDEX(Table1[riBAQ 42], MATCH(1, (Table3[[#This Row],[Gene names]:[Gene names]] = Table1[[Gene names]:[Gene names]])*1, 0))</f>
        <v>1.1800000000000001E-5</v>
      </c>
      <c r="T46" cm="1">
        <f t="array" ref="T46">INDEX(Table1[riBAQ 43], MATCH(1, (Table3[[#This Row],[Gene names]:[Gene names]] = Table1[[Gene names]:[Gene names]])*1, 0))</f>
        <v>1.1E-5</v>
      </c>
    </row>
    <row r="47" spans="1:20" x14ac:dyDescent="0.25">
      <c r="A47" t="s">
        <v>479</v>
      </c>
      <c r="B47" cm="1">
        <f t="array" ref="B47">INDEX(Table1[riBAQ 17], MATCH(1, (Table3[[#This Row],[Gene names]:[Gene names]] = Table1[[Gene names]:[Gene names]])*1, 0))</f>
        <v>0</v>
      </c>
      <c r="C47" cm="1">
        <f t="array" ref="C47">INDEX(Table1[riBAQ 18], MATCH(1, (Table3[[#This Row],[Gene names]:[Gene names]] = Table1[[Gene names]:[Gene names]])*1, 0))</f>
        <v>0</v>
      </c>
      <c r="D47" cm="1">
        <f t="array" ref="D47">INDEX(Table1[riBAQ 35], MATCH(1, (Table3[[#This Row],[Gene names]:[Gene names]] = Table1[[Gene names]:[Gene names]])*1, 0))</f>
        <v>0</v>
      </c>
      <c r="E47" cm="1">
        <f t="array" ref="E47">INDEX(Table1[riBAQ 36], MATCH(1, (Table3[[#This Row],[Gene names]:[Gene names]] = Table1[[Gene names]:[Gene names]])*1, 0))</f>
        <v>0</v>
      </c>
      <c r="F47" cm="1">
        <f t="array" ref="F47">INDEX(Table1[riBAQ 19], MATCH(1, (Table3[[#This Row],[Gene names]:[Gene names]] = Table1[[Gene names]:[Gene names]])*1, 0))</f>
        <v>0</v>
      </c>
      <c r="G47" cm="1">
        <f t="array" ref="G47">INDEX(Table1[riBAQ 20], MATCH(1, (Table3[[#This Row],[Gene names]:[Gene names]] = Table1[[Gene names]:[Gene names]])*1, 0))</f>
        <v>0</v>
      </c>
      <c r="H47" cm="1">
        <f t="array" ref="H47">INDEX(Table1[riBAQ 21], MATCH(1, (Table3[[#This Row],[Gene names]:[Gene names]] = Table1[[Gene names]:[Gene names]])*1, 0))</f>
        <v>0</v>
      </c>
      <c r="I47" cm="1">
        <f t="array" ref="I47">INDEX(Table1[riBAQ 22], MATCH(1, (Table3[[#This Row],[Gene names]:[Gene names]] = Table1[[Gene names]:[Gene names]])*1, 0))</f>
        <v>0</v>
      </c>
      <c r="J47" cm="1">
        <f t="array" ref="J47">INDEX(Table1[riBAQ 23], MATCH(1, (Table3[[#This Row],[Gene names]:[Gene names]] = Table1[[Gene names]:[Gene names]])*1, 0))</f>
        <v>0</v>
      </c>
      <c r="K47" cm="1">
        <f t="array" ref="K47">INDEX(Table1[riBAQ 37], MATCH(1, (Table3[[#This Row],[Gene names]:[Gene names]] = Table1[[Gene names]:[Gene names]])*1, 0))</f>
        <v>0</v>
      </c>
      <c r="L47" cm="1">
        <f t="array" ref="L47">INDEX(Table1[riBAQ 38], MATCH(1, (Table3[[#This Row],[Gene names]:[Gene names]] = Table1[[Gene names]:[Gene names]])*1, 0))</f>
        <v>0</v>
      </c>
      <c r="M47" cm="1">
        <f t="array" ref="M47">INDEX(Table1[riBAQ 39], MATCH(1, (Table3[[#This Row],[Gene names]:[Gene names]] = Table1[[Gene names]:[Gene names]])*1, 0))</f>
        <v>0</v>
      </c>
      <c r="N47" cm="1">
        <f t="array" ref="N47">INDEX(Table1[riBAQ 40], MATCH(1, (Table3[[#This Row],[Gene names]:[Gene names]] = Table1[[Gene names]:[Gene names]])*1, 0))</f>
        <v>0</v>
      </c>
      <c r="O47" cm="1">
        <f t="array" ref="O47">INDEX(Table1[riBAQ 41], MATCH(1, (Table3[[#This Row],[Gene names]:[Gene names]] = Table1[[Gene names]:[Gene names]])*1, 0))</f>
        <v>0</v>
      </c>
      <c r="P47" cm="1">
        <f t="array" ref="P47">INDEX(Table1[riBAQ 24], MATCH(1, (Table3[[#This Row],[Gene names]:[Gene names]] = Table1[[Gene names]:[Gene names]])*1, 0))</f>
        <v>0</v>
      </c>
      <c r="Q47" cm="1">
        <f t="array" ref="Q47">INDEX(Table1[riBAQ 25], MATCH(1, (Table3[[#This Row],[Gene names]:[Gene names]] = Table1[[Gene names]:[Gene names]])*1, 0))</f>
        <v>4.9599999999999999E-5</v>
      </c>
      <c r="R47" cm="1">
        <f t="array" ref="R47">INDEX(Table1[riBAQ 26], MATCH(1, (Table3[[#This Row],[Gene names]:[Gene names]] = Table1[[Gene names]:[Gene names]])*1, 0))</f>
        <v>2.5400000000000001E-5</v>
      </c>
      <c r="S47" cm="1">
        <f t="array" ref="S47">INDEX(Table1[riBAQ 42], MATCH(1, (Table3[[#This Row],[Gene names]:[Gene names]] = Table1[[Gene names]:[Gene names]])*1, 0))</f>
        <v>8.6199999999999995E-5</v>
      </c>
      <c r="T47" cm="1">
        <f t="array" ref="T47">INDEX(Table1[riBAQ 43], MATCH(1, (Table3[[#This Row],[Gene names]:[Gene names]] = Table1[[Gene names]:[Gene names]])*1, 0))</f>
        <v>6.69E-5</v>
      </c>
    </row>
    <row r="48" spans="1:20" x14ac:dyDescent="0.25">
      <c r="A48" t="s">
        <v>536</v>
      </c>
      <c r="B48" cm="1">
        <f t="array" ref="B48">INDEX(Table1[riBAQ 17], MATCH(1, (Table3[[#This Row],[Gene names]:[Gene names]] = Table1[[Gene names]:[Gene names]])*1, 0))</f>
        <v>9.0299999999999999E-5</v>
      </c>
      <c r="C48" cm="1">
        <f t="array" ref="C48">INDEX(Table1[riBAQ 18], MATCH(1, (Table3[[#This Row],[Gene names]:[Gene names]] = Table1[[Gene names]:[Gene names]])*1, 0))</f>
        <v>2.7800000000000001E-5</v>
      </c>
      <c r="D48" cm="1">
        <f t="array" ref="D48">INDEX(Table1[riBAQ 35], MATCH(1, (Table3[[#This Row],[Gene names]:[Gene names]] = Table1[[Gene names]:[Gene names]])*1, 0))</f>
        <v>4.71E-5</v>
      </c>
      <c r="E48" cm="1">
        <f t="array" ref="E48">INDEX(Table1[riBAQ 36], MATCH(1, (Table3[[#This Row],[Gene names]:[Gene names]] = Table1[[Gene names]:[Gene names]])*1, 0))</f>
        <v>3.4499999999999998E-5</v>
      </c>
      <c r="F48" cm="1">
        <f t="array" ref="F48">INDEX(Table1[riBAQ 19], MATCH(1, (Table3[[#This Row],[Gene names]:[Gene names]] = Table1[[Gene names]:[Gene names]])*1, 0))</f>
        <v>5.8499999999999999E-5</v>
      </c>
      <c r="G48" cm="1">
        <f t="array" ref="G48">INDEX(Table1[riBAQ 20], MATCH(1, (Table3[[#This Row],[Gene names]:[Gene names]] = Table1[[Gene names]:[Gene names]])*1, 0))</f>
        <v>4.49E-5</v>
      </c>
      <c r="H48" cm="1">
        <f t="array" ref="H48">INDEX(Table1[riBAQ 21], MATCH(1, (Table3[[#This Row],[Gene names]:[Gene names]] = Table1[[Gene names]:[Gene names]])*1, 0))</f>
        <v>1.0517400000000001E-4</v>
      </c>
      <c r="I48" cm="1">
        <f t="array" ref="I48">INDEX(Table1[riBAQ 22], MATCH(1, (Table3[[#This Row],[Gene names]:[Gene names]] = Table1[[Gene names]:[Gene names]])*1, 0))</f>
        <v>3.9700000000000003E-5</v>
      </c>
      <c r="J48" cm="1">
        <f t="array" ref="J48">INDEX(Table1[riBAQ 23], MATCH(1, (Table3[[#This Row],[Gene names]:[Gene names]] = Table1[[Gene names]:[Gene names]])*1, 0))</f>
        <v>8.4800000000000001E-5</v>
      </c>
      <c r="K48" cm="1">
        <f t="array" ref="K48">INDEX(Table1[riBAQ 37], MATCH(1, (Table3[[#This Row],[Gene names]:[Gene names]] = Table1[[Gene names]:[Gene names]])*1, 0))</f>
        <v>5.2299999999999997E-5</v>
      </c>
      <c r="L48" cm="1">
        <f t="array" ref="L48">INDEX(Table1[riBAQ 38], MATCH(1, (Table3[[#This Row],[Gene names]:[Gene names]] = Table1[[Gene names]:[Gene names]])*1, 0))</f>
        <v>1.9700000000000001E-5</v>
      </c>
      <c r="M48" cm="1">
        <f t="array" ref="M48">INDEX(Table1[riBAQ 39], MATCH(1, (Table3[[#This Row],[Gene names]:[Gene names]] = Table1[[Gene names]:[Gene names]])*1, 0))</f>
        <v>5.1E-5</v>
      </c>
      <c r="N48" cm="1">
        <f t="array" ref="N48">INDEX(Table1[riBAQ 40], MATCH(1, (Table3[[#This Row],[Gene names]:[Gene names]] = Table1[[Gene names]:[Gene names]])*1, 0))</f>
        <v>7.8300000000000006E-5</v>
      </c>
      <c r="O48" cm="1">
        <f t="array" ref="O48">INDEX(Table1[riBAQ 41], MATCH(1, (Table3[[#This Row],[Gene names]:[Gene names]] = Table1[[Gene names]:[Gene names]])*1, 0))</f>
        <v>5.9799999999999997E-5</v>
      </c>
      <c r="P48" cm="1">
        <f t="array" ref="P48">INDEX(Table1[riBAQ 24], MATCH(1, (Table3[[#This Row],[Gene names]:[Gene names]] = Table1[[Gene names]:[Gene names]])*1, 0))</f>
        <v>1.28116E-4</v>
      </c>
      <c r="Q48" cm="1">
        <f t="array" ref="Q48">INDEX(Table1[riBAQ 25], MATCH(1, (Table3[[#This Row],[Gene names]:[Gene names]] = Table1[[Gene names]:[Gene names]])*1, 0))</f>
        <v>1.40562E-4</v>
      </c>
      <c r="R48" cm="1">
        <f t="array" ref="R48">INDEX(Table1[riBAQ 26], MATCH(1, (Table3[[#This Row],[Gene names]:[Gene names]] = Table1[[Gene names]:[Gene names]])*1, 0))</f>
        <v>1.1293E-4</v>
      </c>
      <c r="S48" cm="1">
        <f t="array" ref="S48">INDEX(Table1[riBAQ 42], MATCH(1, (Table3[[#This Row],[Gene names]:[Gene names]] = Table1[[Gene names]:[Gene names]])*1, 0))</f>
        <v>6.4300000000000004E-5</v>
      </c>
      <c r="T48" cm="1">
        <f t="array" ref="T48">INDEX(Table1[riBAQ 43], MATCH(1, (Table3[[#This Row],[Gene names]:[Gene names]] = Table1[[Gene names]:[Gene names]])*1, 0))</f>
        <v>1.40402E-4</v>
      </c>
    </row>
    <row r="49" spans="1:20" x14ac:dyDescent="0.25">
      <c r="A49" t="s">
        <v>570</v>
      </c>
      <c r="B49" cm="1">
        <f t="array" ref="B49">INDEX(Table1[riBAQ 17], MATCH(1, (Table3[[#This Row],[Gene names]:[Gene names]] = Table1[[Gene names]:[Gene names]])*1, 0))</f>
        <v>2.6051500000000001E-4</v>
      </c>
      <c r="C49" cm="1">
        <f t="array" ref="C49">INDEX(Table1[riBAQ 18], MATCH(1, (Table3[[#This Row],[Gene names]:[Gene names]] = Table1[[Gene names]:[Gene names]])*1, 0))</f>
        <v>2.8221300000000002E-4</v>
      </c>
      <c r="D49" cm="1">
        <f t="array" ref="D49">INDEX(Table1[riBAQ 35], MATCH(1, (Table3[[#This Row],[Gene names]:[Gene names]] = Table1[[Gene names]:[Gene names]])*1, 0))</f>
        <v>2.6711299999999998E-4</v>
      </c>
      <c r="E49" cm="1">
        <f t="array" ref="E49">INDEX(Table1[riBAQ 36], MATCH(1, (Table3[[#This Row],[Gene names]:[Gene names]] = Table1[[Gene names]:[Gene names]])*1, 0))</f>
        <v>2.1860799999999999E-4</v>
      </c>
      <c r="F49" cm="1">
        <f t="array" ref="F49">INDEX(Table1[riBAQ 19], MATCH(1, (Table3[[#This Row],[Gene names]:[Gene names]] = Table1[[Gene names]:[Gene names]])*1, 0))</f>
        <v>3.0250900000000001E-4</v>
      </c>
      <c r="G49" cm="1">
        <f t="array" ref="G49">INDEX(Table1[riBAQ 20], MATCH(1, (Table3[[#This Row],[Gene names]:[Gene names]] = Table1[[Gene names]:[Gene names]])*1, 0))</f>
        <v>3.2505499999999998E-4</v>
      </c>
      <c r="H49" cm="1">
        <f t="array" ref="H49">INDEX(Table1[riBAQ 21], MATCH(1, (Table3[[#This Row],[Gene names]:[Gene names]] = Table1[[Gene names]:[Gene names]])*1, 0))</f>
        <v>2.7242899999999998E-4</v>
      </c>
      <c r="I49" cm="1">
        <f t="array" ref="I49">INDEX(Table1[riBAQ 22], MATCH(1, (Table3[[#This Row],[Gene names]:[Gene names]] = Table1[[Gene names]:[Gene names]])*1, 0))</f>
        <v>3.39885E-4</v>
      </c>
      <c r="J49" cm="1">
        <f t="array" ref="J49">INDEX(Table1[riBAQ 23], MATCH(1, (Table3[[#This Row],[Gene names]:[Gene names]] = Table1[[Gene names]:[Gene names]])*1, 0))</f>
        <v>3.1627800000000002E-4</v>
      </c>
      <c r="K49" cm="1">
        <f t="array" ref="K49">INDEX(Table1[riBAQ 37], MATCH(1, (Table3[[#This Row],[Gene names]:[Gene names]] = Table1[[Gene names]:[Gene names]])*1, 0))</f>
        <v>2.7633099999999999E-4</v>
      </c>
      <c r="L49" cm="1">
        <f t="array" ref="L49">INDEX(Table1[riBAQ 38], MATCH(1, (Table3[[#This Row],[Gene names]:[Gene names]] = Table1[[Gene names]:[Gene names]])*1, 0))</f>
        <v>3.2851100000000003E-4</v>
      </c>
      <c r="M49" cm="1">
        <f t="array" ref="M49">INDEX(Table1[riBAQ 39], MATCH(1, (Table3[[#This Row],[Gene names]:[Gene names]] = Table1[[Gene names]:[Gene names]])*1, 0))</f>
        <v>2.0739200000000001E-4</v>
      </c>
      <c r="N49" cm="1">
        <f t="array" ref="N49">INDEX(Table1[riBAQ 40], MATCH(1, (Table3[[#This Row],[Gene names]:[Gene names]] = Table1[[Gene names]:[Gene names]])*1, 0))</f>
        <v>2.7769399999999999E-4</v>
      </c>
      <c r="O49" cm="1">
        <f t="array" ref="O49">INDEX(Table1[riBAQ 41], MATCH(1, (Table3[[#This Row],[Gene names]:[Gene names]] = Table1[[Gene names]:[Gene names]])*1, 0))</f>
        <v>3.0100400000000001E-4</v>
      </c>
      <c r="P49" cm="1">
        <f t="array" ref="P49">INDEX(Table1[riBAQ 24], MATCH(1, (Table3[[#This Row],[Gene names]:[Gene names]] = Table1[[Gene names]:[Gene names]])*1, 0))</f>
        <v>2.8025100000000002E-4</v>
      </c>
      <c r="Q49" cm="1">
        <f t="array" ref="Q49">INDEX(Table1[riBAQ 25], MATCH(1, (Table3[[#This Row],[Gene names]:[Gene names]] = Table1[[Gene names]:[Gene names]])*1, 0))</f>
        <v>2.0501300000000001E-4</v>
      </c>
      <c r="R49" cm="1">
        <f t="array" ref="R49">INDEX(Table1[riBAQ 26], MATCH(1, (Table3[[#This Row],[Gene names]:[Gene names]] = Table1[[Gene names]:[Gene names]])*1, 0))</f>
        <v>2.4744900000000001E-4</v>
      </c>
      <c r="S49" cm="1">
        <f t="array" ref="S49">INDEX(Table1[riBAQ 42], MATCH(1, (Table3[[#This Row],[Gene names]:[Gene names]] = Table1[[Gene names]:[Gene names]])*1, 0))</f>
        <v>2.51043E-4</v>
      </c>
      <c r="T49" cm="1">
        <f t="array" ref="T49">INDEX(Table1[riBAQ 43], MATCH(1, (Table3[[#This Row],[Gene names]:[Gene names]] = Table1[[Gene names]:[Gene names]])*1, 0))</f>
        <v>1.5498700000000001E-4</v>
      </c>
    </row>
    <row r="50" spans="1:20" x14ac:dyDescent="0.25">
      <c r="A50" t="s">
        <v>1108</v>
      </c>
      <c r="B50" cm="1">
        <f t="array" ref="B50">INDEX(Table1[riBAQ 17], MATCH(1, (Table3[[#This Row],[Gene names]:[Gene names]] = Table1[[Gene names]:[Gene names]])*1, 0))</f>
        <v>1.5267239999999999E-3</v>
      </c>
      <c r="C50" cm="1">
        <f t="array" ref="C50">INDEX(Table1[riBAQ 18], MATCH(1, (Table3[[#This Row],[Gene names]:[Gene names]] = Table1[[Gene names]:[Gene names]])*1, 0))</f>
        <v>1.3248419999999999E-3</v>
      </c>
      <c r="D50" cm="1">
        <f t="array" ref="D50">INDEX(Table1[riBAQ 35], MATCH(1, (Table3[[#This Row],[Gene names]:[Gene names]] = Table1[[Gene names]:[Gene names]])*1, 0))</f>
        <v>1.277827E-3</v>
      </c>
      <c r="E50" cm="1">
        <f t="array" ref="E50">INDEX(Table1[riBAQ 36], MATCH(1, (Table3[[#This Row],[Gene names]:[Gene names]] = Table1[[Gene names]:[Gene names]])*1, 0))</f>
        <v>1.301403E-3</v>
      </c>
      <c r="F50" cm="1">
        <f t="array" ref="F50">INDEX(Table1[riBAQ 19], MATCH(1, (Table3[[#This Row],[Gene names]:[Gene names]] = Table1[[Gene names]:[Gene names]])*1, 0))</f>
        <v>1.358267E-3</v>
      </c>
      <c r="G50" cm="1">
        <f t="array" ref="G50">INDEX(Table1[riBAQ 20], MATCH(1, (Table3[[#This Row],[Gene names]:[Gene names]] = Table1[[Gene names]:[Gene names]])*1, 0))</f>
        <v>1.1653729999999999E-3</v>
      </c>
      <c r="H50" cm="1">
        <f t="array" ref="H50">INDEX(Table1[riBAQ 21], MATCH(1, (Table3[[#This Row],[Gene names]:[Gene names]] = Table1[[Gene names]:[Gene names]])*1, 0))</f>
        <v>9.812E-4</v>
      </c>
      <c r="I50" cm="1">
        <f t="array" ref="I50">INDEX(Table1[riBAQ 22], MATCH(1, (Table3[[#This Row],[Gene names]:[Gene names]] = Table1[[Gene names]:[Gene names]])*1, 0))</f>
        <v>1.3747430000000001E-3</v>
      </c>
      <c r="J50" cm="1">
        <f t="array" ref="J50">INDEX(Table1[riBAQ 23], MATCH(1, (Table3[[#This Row],[Gene names]:[Gene names]] = Table1[[Gene names]:[Gene names]])*1, 0))</f>
        <v>1.317789E-3</v>
      </c>
      <c r="K50" cm="1">
        <f t="array" ref="K50">INDEX(Table1[riBAQ 37], MATCH(1, (Table3[[#This Row],[Gene names]:[Gene names]] = Table1[[Gene names]:[Gene names]])*1, 0))</f>
        <v>1.1696E-3</v>
      </c>
      <c r="L50" cm="1">
        <f t="array" ref="L50">INDEX(Table1[riBAQ 38], MATCH(1, (Table3[[#This Row],[Gene names]:[Gene names]] = Table1[[Gene names]:[Gene names]])*1, 0))</f>
        <v>1.260939E-3</v>
      </c>
      <c r="M50" cm="1">
        <f t="array" ref="M50">INDEX(Table1[riBAQ 39], MATCH(1, (Table3[[#This Row],[Gene names]:[Gene names]] = Table1[[Gene names]:[Gene names]])*1, 0))</f>
        <v>1.248376E-3</v>
      </c>
      <c r="N50" cm="1">
        <f t="array" ref="N50">INDEX(Table1[riBAQ 40], MATCH(1, (Table3[[#This Row],[Gene names]:[Gene names]] = Table1[[Gene names]:[Gene names]])*1, 0))</f>
        <v>1.639302E-3</v>
      </c>
      <c r="O50" cm="1">
        <f t="array" ref="O50">INDEX(Table1[riBAQ 41], MATCH(1, (Table3[[#This Row],[Gene names]:[Gene names]] = Table1[[Gene names]:[Gene names]])*1, 0))</f>
        <v>1.2034999999999999E-3</v>
      </c>
      <c r="P50" cm="1">
        <f t="array" ref="P50">INDEX(Table1[riBAQ 24], MATCH(1, (Table3[[#This Row],[Gene names]:[Gene names]] = Table1[[Gene names]:[Gene names]])*1, 0))</f>
        <v>1.1507010000000001E-3</v>
      </c>
      <c r="Q50" cm="1">
        <f t="array" ref="Q50">INDEX(Table1[riBAQ 25], MATCH(1, (Table3[[#This Row],[Gene names]:[Gene names]] = Table1[[Gene names]:[Gene names]])*1, 0))</f>
        <v>8.6562300000000004E-4</v>
      </c>
      <c r="R50" cm="1">
        <f t="array" ref="R50">INDEX(Table1[riBAQ 26], MATCH(1, (Table3[[#This Row],[Gene names]:[Gene names]] = Table1[[Gene names]:[Gene names]])*1, 0))</f>
        <v>8.7912600000000004E-4</v>
      </c>
      <c r="S50" cm="1">
        <f t="array" ref="S50">INDEX(Table1[riBAQ 42], MATCH(1, (Table3[[#This Row],[Gene names]:[Gene names]] = Table1[[Gene names]:[Gene names]])*1, 0))</f>
        <v>8.2341300000000005E-4</v>
      </c>
      <c r="T50" cm="1">
        <f t="array" ref="T50">INDEX(Table1[riBAQ 43], MATCH(1, (Table3[[#This Row],[Gene names]:[Gene names]] = Table1[[Gene names]:[Gene names]])*1, 0))</f>
        <v>1.021419E-3</v>
      </c>
    </row>
    <row r="51" spans="1:20" x14ac:dyDescent="0.25">
      <c r="A51" t="s">
        <v>483</v>
      </c>
      <c r="B51" cm="1">
        <f t="array" ref="B51">INDEX(Table1[riBAQ 17], MATCH(1, (Table3[[#This Row],[Gene names]:[Gene names]] = Table1[[Gene names]:[Gene names]])*1, 0))</f>
        <v>0</v>
      </c>
      <c r="C51" cm="1">
        <f t="array" ref="C51">INDEX(Table1[riBAQ 18], MATCH(1, (Table3[[#This Row],[Gene names]:[Gene names]] = Table1[[Gene names]:[Gene names]])*1, 0))</f>
        <v>0</v>
      </c>
      <c r="D51" cm="1">
        <f t="array" ref="D51">INDEX(Table1[riBAQ 35], MATCH(1, (Table3[[#This Row],[Gene names]:[Gene names]] = Table1[[Gene names]:[Gene names]])*1, 0))</f>
        <v>0</v>
      </c>
      <c r="E51" cm="1">
        <f t="array" ref="E51">INDEX(Table1[riBAQ 36], MATCH(1, (Table3[[#This Row],[Gene names]:[Gene names]] = Table1[[Gene names]:[Gene names]])*1, 0))</f>
        <v>0</v>
      </c>
      <c r="F51" cm="1">
        <f t="array" ref="F51">INDEX(Table1[riBAQ 19], MATCH(1, (Table3[[#This Row],[Gene names]:[Gene names]] = Table1[[Gene names]:[Gene names]])*1, 0))</f>
        <v>0</v>
      </c>
      <c r="G51" cm="1">
        <f t="array" ref="G51">INDEX(Table1[riBAQ 20], MATCH(1, (Table3[[#This Row],[Gene names]:[Gene names]] = Table1[[Gene names]:[Gene names]])*1, 0))</f>
        <v>0</v>
      </c>
      <c r="H51" cm="1">
        <f t="array" ref="H51">INDEX(Table1[riBAQ 21], MATCH(1, (Table3[[#This Row],[Gene names]:[Gene names]] = Table1[[Gene names]:[Gene names]])*1, 0))</f>
        <v>1.26E-5</v>
      </c>
      <c r="I51" cm="1">
        <f t="array" ref="I51">INDEX(Table1[riBAQ 22], MATCH(1, (Table3[[#This Row],[Gene names]:[Gene names]] = Table1[[Gene names]:[Gene names]])*1, 0))</f>
        <v>1.1399999999999999E-5</v>
      </c>
      <c r="J51" cm="1">
        <f t="array" ref="J51">INDEX(Table1[riBAQ 23], MATCH(1, (Table3[[#This Row],[Gene names]:[Gene names]] = Table1[[Gene names]:[Gene names]])*1, 0))</f>
        <v>0</v>
      </c>
      <c r="K51" cm="1">
        <f t="array" ref="K51">INDEX(Table1[riBAQ 37], MATCH(1, (Table3[[#This Row],[Gene names]:[Gene names]] = Table1[[Gene names]:[Gene names]])*1, 0))</f>
        <v>0</v>
      </c>
      <c r="L51" cm="1">
        <f t="array" ref="L51">INDEX(Table1[riBAQ 38], MATCH(1, (Table3[[#This Row],[Gene names]:[Gene names]] = Table1[[Gene names]:[Gene names]])*1, 0))</f>
        <v>1.17E-5</v>
      </c>
      <c r="M51" cm="1">
        <f t="array" ref="M51">INDEX(Table1[riBAQ 39], MATCH(1, (Table3[[#This Row],[Gene names]:[Gene names]] = Table1[[Gene names]:[Gene names]])*1, 0))</f>
        <v>0</v>
      </c>
      <c r="N51" cm="1">
        <f t="array" ref="N51">INDEX(Table1[riBAQ 40], MATCH(1, (Table3[[#This Row],[Gene names]:[Gene names]] = Table1[[Gene names]:[Gene names]])*1, 0))</f>
        <v>5.5799999999999999E-6</v>
      </c>
      <c r="O51" cm="1">
        <f t="array" ref="O51">INDEX(Table1[riBAQ 41], MATCH(1, (Table3[[#This Row],[Gene names]:[Gene names]] = Table1[[Gene names]:[Gene names]])*1, 0))</f>
        <v>6.2199999999999997E-6</v>
      </c>
      <c r="P51" cm="1">
        <f t="array" ref="P51">INDEX(Table1[riBAQ 24], MATCH(1, (Table3[[#This Row],[Gene names]:[Gene names]] = Table1[[Gene names]:[Gene names]])*1, 0))</f>
        <v>7.1300000000000003E-6</v>
      </c>
      <c r="Q51" cm="1">
        <f t="array" ref="Q51">INDEX(Table1[riBAQ 25], MATCH(1, (Table3[[#This Row],[Gene names]:[Gene names]] = Table1[[Gene names]:[Gene names]])*1, 0))</f>
        <v>2.4600000000000002E-5</v>
      </c>
      <c r="R51" cm="1">
        <f t="array" ref="R51">INDEX(Table1[riBAQ 26], MATCH(1, (Table3[[#This Row],[Gene names]:[Gene names]] = Table1[[Gene names]:[Gene names]])*1, 0))</f>
        <v>1.24E-5</v>
      </c>
      <c r="S51" cm="1">
        <f t="array" ref="S51">INDEX(Table1[riBAQ 42], MATCH(1, (Table3[[#This Row],[Gene names]:[Gene names]] = Table1[[Gene names]:[Gene names]])*1, 0))</f>
        <v>1.52E-5</v>
      </c>
      <c r="T51" cm="1">
        <f t="array" ref="T51">INDEX(Table1[riBAQ 43], MATCH(1, (Table3[[#This Row],[Gene names]:[Gene names]] = Table1[[Gene names]:[Gene names]])*1, 0))</f>
        <v>1.7399999999999999E-5</v>
      </c>
    </row>
    <row r="52" spans="1:20" x14ac:dyDescent="0.25">
      <c r="A52" t="s">
        <v>453</v>
      </c>
      <c r="B52" cm="1">
        <f t="array" ref="B52">INDEX(Table1[riBAQ 17], MATCH(1, (Table3[[#This Row],[Gene names]:[Gene names]] = Table1[[Gene names]:[Gene names]])*1, 0))</f>
        <v>3.4100000000000002E-5</v>
      </c>
      <c r="C52" cm="1">
        <f t="array" ref="C52">INDEX(Table1[riBAQ 18], MATCH(1, (Table3[[#This Row],[Gene names]:[Gene names]] = Table1[[Gene names]:[Gene names]])*1, 0))</f>
        <v>2.5400000000000001E-5</v>
      </c>
      <c r="D52" cm="1">
        <f t="array" ref="D52">INDEX(Table1[riBAQ 35], MATCH(1, (Table3[[#This Row],[Gene names]:[Gene names]] = Table1[[Gene names]:[Gene names]])*1, 0))</f>
        <v>2.16E-5</v>
      </c>
      <c r="E52" cm="1">
        <f t="array" ref="E52">INDEX(Table1[riBAQ 36], MATCH(1, (Table3[[#This Row],[Gene names]:[Gene names]] = Table1[[Gene names]:[Gene names]])*1, 0))</f>
        <v>2.0999999999999999E-5</v>
      </c>
      <c r="F52" cm="1">
        <f t="array" ref="F52">INDEX(Table1[riBAQ 19], MATCH(1, (Table3[[#This Row],[Gene names]:[Gene names]] = Table1[[Gene names]:[Gene names]])*1, 0))</f>
        <v>3.2299999999999999E-5</v>
      </c>
      <c r="G52" cm="1">
        <f t="array" ref="G52">INDEX(Table1[riBAQ 20], MATCH(1, (Table3[[#This Row],[Gene names]:[Gene names]] = Table1[[Gene names]:[Gene names]])*1, 0))</f>
        <v>6.8499999999999998E-5</v>
      </c>
      <c r="H52" cm="1">
        <f t="array" ref="H52">INDEX(Table1[riBAQ 21], MATCH(1, (Table3[[#This Row],[Gene names]:[Gene names]] = Table1[[Gene names]:[Gene names]])*1, 0))</f>
        <v>5.6100000000000002E-5</v>
      </c>
      <c r="I52" cm="1">
        <f t="array" ref="I52">INDEX(Table1[riBAQ 22], MATCH(1, (Table3[[#This Row],[Gene names]:[Gene names]] = Table1[[Gene names]:[Gene names]])*1, 0))</f>
        <v>8.7100000000000003E-5</v>
      </c>
      <c r="J52" cm="1">
        <f t="array" ref="J52">INDEX(Table1[riBAQ 23], MATCH(1, (Table3[[#This Row],[Gene names]:[Gene names]] = Table1[[Gene names]:[Gene names]])*1, 0))</f>
        <v>4.6900000000000002E-5</v>
      </c>
      <c r="K52" cm="1">
        <f t="array" ref="K52">INDEX(Table1[riBAQ 37], MATCH(1, (Table3[[#This Row],[Gene names]:[Gene names]] = Table1[[Gene names]:[Gene names]])*1, 0))</f>
        <v>4.5500000000000001E-5</v>
      </c>
      <c r="L52" cm="1">
        <f t="array" ref="L52">INDEX(Table1[riBAQ 38], MATCH(1, (Table3[[#This Row],[Gene names]:[Gene names]] = Table1[[Gene names]:[Gene names]])*1, 0))</f>
        <v>3.2799999999999998E-5</v>
      </c>
      <c r="M52" cm="1">
        <f t="array" ref="M52">INDEX(Table1[riBAQ 39], MATCH(1, (Table3[[#This Row],[Gene names]:[Gene names]] = Table1[[Gene names]:[Gene names]])*1, 0))</f>
        <v>3.4700000000000003E-5</v>
      </c>
      <c r="N52" cm="1">
        <f t="array" ref="N52">INDEX(Table1[riBAQ 40], MATCH(1, (Table3[[#This Row],[Gene names]:[Gene names]] = Table1[[Gene names]:[Gene names]])*1, 0))</f>
        <v>1.8199999999999999E-5</v>
      </c>
      <c r="O52" cm="1">
        <f t="array" ref="O52">INDEX(Table1[riBAQ 41], MATCH(1, (Table3[[#This Row],[Gene names]:[Gene names]] = Table1[[Gene names]:[Gene names]])*1, 0))</f>
        <v>2.7800000000000001E-5</v>
      </c>
      <c r="P52" cm="1">
        <f t="array" ref="P52">INDEX(Table1[riBAQ 24], MATCH(1, (Table3[[#This Row],[Gene names]:[Gene names]] = Table1[[Gene names]:[Gene names]])*1, 0))</f>
        <v>1.05052E-4</v>
      </c>
      <c r="Q52" cm="1">
        <f t="array" ref="Q52">INDEX(Table1[riBAQ 25], MATCH(1, (Table3[[#This Row],[Gene names]:[Gene names]] = Table1[[Gene names]:[Gene names]])*1, 0))</f>
        <v>1.17123E-4</v>
      </c>
      <c r="R52" cm="1">
        <f t="array" ref="R52">INDEX(Table1[riBAQ 26], MATCH(1, (Table3[[#This Row],[Gene names]:[Gene names]] = Table1[[Gene names]:[Gene names]])*1, 0))</f>
        <v>8.7999999999999998E-5</v>
      </c>
      <c r="S52" cm="1">
        <f t="array" ref="S52">INDEX(Table1[riBAQ 42], MATCH(1, (Table3[[#This Row],[Gene names]:[Gene names]] = Table1[[Gene names]:[Gene names]])*1, 0))</f>
        <v>9.7899999999999994E-5</v>
      </c>
      <c r="T52" cm="1">
        <f t="array" ref="T52">INDEX(Table1[riBAQ 43], MATCH(1, (Table3[[#This Row],[Gene names]:[Gene names]] = Table1[[Gene names]:[Gene names]])*1, 0))</f>
        <v>8.1799999999999996E-5</v>
      </c>
    </row>
    <row r="53" spans="1:20" x14ac:dyDescent="0.25">
      <c r="A53" t="s">
        <v>934</v>
      </c>
      <c r="B53" cm="1">
        <f t="array" ref="B53">INDEX(Table1[riBAQ 17], MATCH(1, (Table3[[#This Row],[Gene names]:[Gene names]] = Table1[[Gene names]:[Gene names]])*1, 0))</f>
        <v>2.3254800000000001E-4</v>
      </c>
      <c r="C53" cm="1">
        <f t="array" ref="C53">INDEX(Table1[riBAQ 18], MATCH(1, (Table3[[#This Row],[Gene names]:[Gene names]] = Table1[[Gene names]:[Gene names]])*1, 0))</f>
        <v>2.2531100000000001E-4</v>
      </c>
      <c r="D53" cm="1">
        <f t="array" ref="D53">INDEX(Table1[riBAQ 35], MATCH(1, (Table3[[#This Row],[Gene names]:[Gene names]] = Table1[[Gene names]:[Gene names]])*1, 0))</f>
        <v>1.87033E-4</v>
      </c>
      <c r="E53" cm="1">
        <f t="array" ref="E53">INDEX(Table1[riBAQ 36], MATCH(1, (Table3[[#This Row],[Gene names]:[Gene names]] = Table1[[Gene names]:[Gene names]])*1, 0))</f>
        <v>3.5846100000000002E-4</v>
      </c>
      <c r="F53" cm="1">
        <f t="array" ref="F53">INDEX(Table1[riBAQ 19], MATCH(1, (Table3[[#This Row],[Gene names]:[Gene names]] = Table1[[Gene names]:[Gene names]])*1, 0))</f>
        <v>2.7276699999999999E-4</v>
      </c>
      <c r="G53" cm="1">
        <f t="array" ref="G53">INDEX(Table1[riBAQ 20], MATCH(1, (Table3[[#This Row],[Gene names]:[Gene names]] = Table1[[Gene names]:[Gene names]])*1, 0))</f>
        <v>2.7792700000000002E-4</v>
      </c>
      <c r="H53" cm="1">
        <f t="array" ref="H53">INDEX(Table1[riBAQ 21], MATCH(1, (Table3[[#This Row],[Gene names]:[Gene names]] = Table1[[Gene names]:[Gene names]])*1, 0))</f>
        <v>3.4601599999999999E-4</v>
      </c>
      <c r="I53" cm="1">
        <f t="array" ref="I53">INDEX(Table1[riBAQ 22], MATCH(1, (Table3[[#This Row],[Gene names]:[Gene names]] = Table1[[Gene names]:[Gene names]])*1, 0))</f>
        <v>2.3058700000000001E-4</v>
      </c>
      <c r="J53" cm="1">
        <f t="array" ref="J53">INDEX(Table1[riBAQ 23], MATCH(1, (Table3[[#This Row],[Gene names]:[Gene names]] = Table1[[Gene names]:[Gene names]])*1, 0))</f>
        <v>1.95038E-4</v>
      </c>
      <c r="K53" cm="1">
        <f t="array" ref="K53">INDEX(Table1[riBAQ 37], MATCH(1, (Table3[[#This Row],[Gene names]:[Gene names]] = Table1[[Gene names]:[Gene names]])*1, 0))</f>
        <v>2.83765E-4</v>
      </c>
      <c r="L53" cm="1">
        <f t="array" ref="L53">INDEX(Table1[riBAQ 38], MATCH(1, (Table3[[#This Row],[Gene names]:[Gene names]] = Table1[[Gene names]:[Gene names]])*1, 0))</f>
        <v>1.9118800000000001E-4</v>
      </c>
      <c r="M53" cm="1">
        <f t="array" ref="M53">INDEX(Table1[riBAQ 39], MATCH(1, (Table3[[#This Row],[Gene names]:[Gene names]] = Table1[[Gene names]:[Gene names]])*1, 0))</f>
        <v>3.0685199999999998E-4</v>
      </c>
      <c r="N53" cm="1">
        <f t="array" ref="N53">INDEX(Table1[riBAQ 40], MATCH(1, (Table3[[#This Row],[Gene names]:[Gene names]] = Table1[[Gene names]:[Gene names]])*1, 0))</f>
        <v>1.99853E-4</v>
      </c>
      <c r="O53" cm="1">
        <f t="array" ref="O53">INDEX(Table1[riBAQ 41], MATCH(1, (Table3[[#This Row],[Gene names]:[Gene names]] = Table1[[Gene names]:[Gene names]])*1, 0))</f>
        <v>2.6790000000000001E-4</v>
      </c>
      <c r="P53" cm="1">
        <f t="array" ref="P53">INDEX(Table1[riBAQ 24], MATCH(1, (Table3[[#This Row],[Gene names]:[Gene names]] = Table1[[Gene names]:[Gene names]])*1, 0))</f>
        <v>6.6366199999999998E-4</v>
      </c>
      <c r="Q53" cm="1">
        <f t="array" ref="Q53">INDEX(Table1[riBAQ 25], MATCH(1, (Table3[[#This Row],[Gene names]:[Gene names]] = Table1[[Gene names]:[Gene names]])*1, 0))</f>
        <v>4.3348200000000001E-4</v>
      </c>
      <c r="R53" cm="1">
        <f t="array" ref="R53">INDEX(Table1[riBAQ 26], MATCH(1, (Table3[[#This Row],[Gene names]:[Gene names]] = Table1[[Gene names]:[Gene names]])*1, 0))</f>
        <v>8.00521E-4</v>
      </c>
      <c r="S53" cm="1">
        <f t="array" ref="S53">INDEX(Table1[riBAQ 42], MATCH(1, (Table3[[#This Row],[Gene names]:[Gene names]] = Table1[[Gene names]:[Gene names]])*1, 0))</f>
        <v>1.0471429999999999E-3</v>
      </c>
      <c r="T53" cm="1">
        <f t="array" ref="T53">INDEX(Table1[riBAQ 43], MATCH(1, (Table3[[#This Row],[Gene names]:[Gene names]] = Table1[[Gene names]:[Gene names]])*1, 0))</f>
        <v>9.9211799999999995E-4</v>
      </c>
    </row>
    <row r="54" spans="1:20" x14ac:dyDescent="0.25">
      <c r="A54" t="s">
        <v>454</v>
      </c>
      <c r="B54" cm="1">
        <f t="array" ref="B54">INDEX(Table1[riBAQ 17], MATCH(1, (Table3[[#This Row],[Gene names]:[Gene names]] = Table1[[Gene names]:[Gene names]])*1, 0))</f>
        <v>5.41E-5</v>
      </c>
      <c r="C54" cm="1">
        <f t="array" ref="C54">INDEX(Table1[riBAQ 18], MATCH(1, (Table3[[#This Row],[Gene names]:[Gene names]] = Table1[[Gene names]:[Gene names]])*1, 0))</f>
        <v>0</v>
      </c>
      <c r="D54" cm="1">
        <f t="array" ref="D54">INDEX(Table1[riBAQ 35], MATCH(1, (Table3[[#This Row],[Gene names]:[Gene names]] = Table1[[Gene names]:[Gene names]])*1, 0))</f>
        <v>0</v>
      </c>
      <c r="E54" cm="1">
        <f t="array" ref="E54">INDEX(Table1[riBAQ 36], MATCH(1, (Table3[[#This Row],[Gene names]:[Gene names]] = Table1[[Gene names]:[Gene names]])*1, 0))</f>
        <v>0</v>
      </c>
      <c r="F54" cm="1">
        <f t="array" ref="F54">INDEX(Table1[riBAQ 19], MATCH(1, (Table3[[#This Row],[Gene names]:[Gene names]] = Table1[[Gene names]:[Gene names]])*1, 0))</f>
        <v>1.5195200000000001E-4</v>
      </c>
      <c r="G54" cm="1">
        <f t="array" ref="G54">INDEX(Table1[riBAQ 20], MATCH(1, (Table3[[#This Row],[Gene names]:[Gene names]] = Table1[[Gene names]:[Gene names]])*1, 0))</f>
        <v>1.6148900000000001E-4</v>
      </c>
      <c r="H54" cm="1">
        <f t="array" ref="H54">INDEX(Table1[riBAQ 21], MATCH(1, (Table3[[#This Row],[Gene names]:[Gene names]] = Table1[[Gene names]:[Gene names]])*1, 0))</f>
        <v>7.8800000000000004E-5</v>
      </c>
      <c r="I54" cm="1">
        <f t="array" ref="I54">INDEX(Table1[riBAQ 22], MATCH(1, (Table3[[#This Row],[Gene names]:[Gene names]] = Table1[[Gene names]:[Gene names]])*1, 0))</f>
        <v>8.8499999999999996E-5</v>
      </c>
      <c r="J54" cm="1">
        <f t="array" ref="J54">INDEX(Table1[riBAQ 23], MATCH(1, (Table3[[#This Row],[Gene names]:[Gene names]] = Table1[[Gene names]:[Gene names]])*1, 0))</f>
        <v>0</v>
      </c>
      <c r="K54" cm="1">
        <f t="array" ref="K54">INDEX(Table1[riBAQ 37], MATCH(1, (Table3[[#This Row],[Gene names]:[Gene names]] = Table1[[Gene names]:[Gene names]])*1, 0))</f>
        <v>9.4900000000000003E-5</v>
      </c>
      <c r="L54" cm="1">
        <f t="array" ref="L54">INDEX(Table1[riBAQ 38], MATCH(1, (Table3[[#This Row],[Gene names]:[Gene names]] = Table1[[Gene names]:[Gene names]])*1, 0))</f>
        <v>3.6999999999999998E-5</v>
      </c>
      <c r="M54" cm="1">
        <f t="array" ref="M54">INDEX(Table1[riBAQ 39], MATCH(1, (Table3[[#This Row],[Gene names]:[Gene names]] = Table1[[Gene names]:[Gene names]])*1, 0))</f>
        <v>5.0699999999999999E-5</v>
      </c>
      <c r="N54" cm="1">
        <f t="array" ref="N54">INDEX(Table1[riBAQ 40], MATCH(1, (Table3[[#This Row],[Gene names]:[Gene names]] = Table1[[Gene names]:[Gene names]])*1, 0))</f>
        <v>4.6600000000000001E-5</v>
      </c>
      <c r="O54" cm="1">
        <f t="array" ref="O54">INDEX(Table1[riBAQ 41], MATCH(1, (Table3[[#This Row],[Gene names]:[Gene names]] = Table1[[Gene names]:[Gene names]])*1, 0))</f>
        <v>0</v>
      </c>
      <c r="P54" cm="1">
        <f t="array" ref="P54">INDEX(Table1[riBAQ 24], MATCH(1, (Table3[[#This Row],[Gene names]:[Gene names]] = Table1[[Gene names]:[Gene names]])*1, 0))</f>
        <v>2.51418E-4</v>
      </c>
      <c r="Q54" cm="1">
        <f t="array" ref="Q54">INDEX(Table1[riBAQ 25], MATCH(1, (Table3[[#This Row],[Gene names]:[Gene names]] = Table1[[Gene names]:[Gene names]])*1, 0))</f>
        <v>6.7690899999999995E-4</v>
      </c>
      <c r="R54" cm="1">
        <f t="array" ref="R54">INDEX(Table1[riBAQ 26], MATCH(1, (Table3[[#This Row],[Gene names]:[Gene names]] = Table1[[Gene names]:[Gene names]])*1, 0))</f>
        <v>3.2237999999999999E-4</v>
      </c>
      <c r="S54" cm="1">
        <f t="array" ref="S54">INDEX(Table1[riBAQ 42], MATCH(1, (Table3[[#This Row],[Gene names]:[Gene names]] = Table1[[Gene names]:[Gene names]])*1, 0))</f>
        <v>2.0899699999999999E-4</v>
      </c>
      <c r="T54" cm="1">
        <f t="array" ref="T54">INDEX(Table1[riBAQ 43], MATCH(1, (Table3[[#This Row],[Gene names]:[Gene names]] = Table1[[Gene names]:[Gene names]])*1, 0))</f>
        <v>1.00282E-3</v>
      </c>
    </row>
    <row r="55" spans="1:20" x14ac:dyDescent="0.25">
      <c r="A55" t="s">
        <v>933</v>
      </c>
      <c r="B55" cm="1">
        <f t="array" ref="B55">INDEX(Table1[riBAQ 17], MATCH(1, (Table3[[#This Row],[Gene names]:[Gene names]] = Table1[[Gene names]:[Gene names]])*1, 0))</f>
        <v>2.6005199999999998E-3</v>
      </c>
      <c r="C55" cm="1">
        <f t="array" ref="C55">INDEX(Table1[riBAQ 18], MATCH(1, (Table3[[#This Row],[Gene names]:[Gene names]] = Table1[[Gene names]:[Gene names]])*1, 0))</f>
        <v>3.015841E-3</v>
      </c>
      <c r="D55" cm="1">
        <f t="array" ref="D55">INDEX(Table1[riBAQ 35], MATCH(1, (Table3[[#This Row],[Gene names]:[Gene names]] = Table1[[Gene names]:[Gene names]])*1, 0))</f>
        <v>2.7182819999999998E-3</v>
      </c>
      <c r="E55" cm="1">
        <f t="array" ref="E55">INDEX(Table1[riBAQ 36], MATCH(1, (Table3[[#This Row],[Gene names]:[Gene names]] = Table1[[Gene names]:[Gene names]])*1, 0))</f>
        <v>2.0246800000000001E-3</v>
      </c>
      <c r="F55" cm="1">
        <f t="array" ref="F55">INDEX(Table1[riBAQ 19], MATCH(1, (Table3[[#This Row],[Gene names]:[Gene names]] = Table1[[Gene names]:[Gene names]])*1, 0))</f>
        <v>2.104575E-3</v>
      </c>
      <c r="G55" cm="1">
        <f t="array" ref="G55">INDEX(Table1[riBAQ 20], MATCH(1, (Table3[[#This Row],[Gene names]:[Gene names]] = Table1[[Gene names]:[Gene names]])*1, 0))</f>
        <v>3.7943260000000002E-3</v>
      </c>
      <c r="H55" cm="1">
        <f t="array" ref="H55">INDEX(Table1[riBAQ 21], MATCH(1, (Table3[[#This Row],[Gene names]:[Gene names]] = Table1[[Gene names]:[Gene names]])*1, 0))</f>
        <v>2.5275900000000001E-3</v>
      </c>
      <c r="I55" cm="1">
        <f t="array" ref="I55">INDEX(Table1[riBAQ 22], MATCH(1, (Table3[[#This Row],[Gene names]:[Gene names]] = Table1[[Gene names]:[Gene names]])*1, 0))</f>
        <v>2.1511920000000001E-3</v>
      </c>
      <c r="J55" cm="1">
        <f t="array" ref="J55">INDEX(Table1[riBAQ 23], MATCH(1, (Table3[[#This Row],[Gene names]:[Gene names]] = Table1[[Gene names]:[Gene names]])*1, 0))</f>
        <v>2.517011E-3</v>
      </c>
      <c r="K55" cm="1">
        <f t="array" ref="K55">INDEX(Table1[riBAQ 37], MATCH(1, (Table3[[#This Row],[Gene names]:[Gene names]] = Table1[[Gene names]:[Gene names]])*1, 0))</f>
        <v>2.9548E-3</v>
      </c>
      <c r="L55" cm="1">
        <f t="array" ref="L55">INDEX(Table1[riBAQ 38], MATCH(1, (Table3[[#This Row],[Gene names]:[Gene names]] = Table1[[Gene names]:[Gene names]])*1, 0))</f>
        <v>3.0375860000000001E-3</v>
      </c>
      <c r="M55" cm="1">
        <f t="array" ref="M55">INDEX(Table1[riBAQ 39], MATCH(1, (Table3[[#This Row],[Gene names]:[Gene names]] = Table1[[Gene names]:[Gene names]])*1, 0))</f>
        <v>2.919236E-3</v>
      </c>
      <c r="N55" cm="1">
        <f t="array" ref="N55">INDEX(Table1[riBAQ 40], MATCH(1, (Table3[[#This Row],[Gene names]:[Gene names]] = Table1[[Gene names]:[Gene names]])*1, 0))</f>
        <v>3.285301E-3</v>
      </c>
      <c r="O55" cm="1">
        <f t="array" ref="O55">INDEX(Table1[riBAQ 41], MATCH(1, (Table3[[#This Row],[Gene names]:[Gene names]] = Table1[[Gene names]:[Gene names]])*1, 0))</f>
        <v>2.2670569999999998E-3</v>
      </c>
      <c r="P55" cm="1">
        <f t="array" ref="P55">INDEX(Table1[riBAQ 24], MATCH(1, (Table3[[#This Row],[Gene names]:[Gene names]] = Table1[[Gene names]:[Gene names]])*1, 0))</f>
        <v>4.7956420000000001E-3</v>
      </c>
      <c r="Q55" cm="1">
        <f t="array" ref="Q55">INDEX(Table1[riBAQ 25], MATCH(1, (Table3[[#This Row],[Gene names]:[Gene names]] = Table1[[Gene names]:[Gene names]])*1, 0))</f>
        <v>7.2265100000000002E-3</v>
      </c>
      <c r="R55" cm="1">
        <f t="array" ref="R55">INDEX(Table1[riBAQ 26], MATCH(1, (Table3[[#This Row],[Gene names]:[Gene names]] = Table1[[Gene names]:[Gene names]])*1, 0))</f>
        <v>3.2577309999999998E-3</v>
      </c>
      <c r="S55" cm="1">
        <f t="array" ref="S55">INDEX(Table1[riBAQ 42], MATCH(1, (Table3[[#This Row],[Gene names]:[Gene names]] = Table1[[Gene names]:[Gene names]])*1, 0))</f>
        <v>7.4372639999999999E-3</v>
      </c>
      <c r="T55" cm="1">
        <f t="array" ref="T55">INDEX(Table1[riBAQ 43], MATCH(1, (Table3[[#This Row],[Gene names]:[Gene names]] = Table1[[Gene names]:[Gene names]])*1, 0))</f>
        <v>8.2774530000000006E-3</v>
      </c>
    </row>
    <row r="56" spans="1:20" x14ac:dyDescent="0.25">
      <c r="A56" t="s">
        <v>1842</v>
      </c>
      <c r="B56" t="e" cm="1">
        <f t="array" ref="B56">INDEX(Table1[riBAQ 17], MATCH(1, (Table3[[#This Row],[Gene names]:[Gene names]] = Table1[[Gene names]:[Gene names]])*1, 0))</f>
        <v>#N/A</v>
      </c>
      <c r="C56" t="e" cm="1">
        <f t="array" ref="C56">INDEX(Table1[riBAQ 18], MATCH(1, (Table3[[#This Row],[Gene names]:[Gene names]] = Table1[[Gene names]:[Gene names]])*1, 0))</f>
        <v>#N/A</v>
      </c>
      <c r="D56" t="e" cm="1">
        <f t="array" ref="D56">INDEX(Table1[riBAQ 35], MATCH(1, (Table3[[#This Row],[Gene names]:[Gene names]] = Table1[[Gene names]:[Gene names]])*1, 0))</f>
        <v>#N/A</v>
      </c>
      <c r="E56" t="e" cm="1">
        <f t="array" ref="E56">INDEX(Table1[riBAQ 36], MATCH(1, (Table3[[#This Row],[Gene names]:[Gene names]] = Table1[[Gene names]:[Gene names]])*1, 0))</f>
        <v>#N/A</v>
      </c>
      <c r="F56" t="e" cm="1">
        <f t="array" ref="F56">INDEX(Table1[riBAQ 19], MATCH(1, (Table3[[#This Row],[Gene names]:[Gene names]] = Table1[[Gene names]:[Gene names]])*1, 0))</f>
        <v>#N/A</v>
      </c>
      <c r="G56" t="e" cm="1">
        <f t="array" ref="G56">INDEX(Table1[riBAQ 20], MATCH(1, (Table3[[#This Row],[Gene names]:[Gene names]] = Table1[[Gene names]:[Gene names]])*1, 0))</f>
        <v>#N/A</v>
      </c>
      <c r="H56" t="e" cm="1">
        <f t="array" ref="H56">INDEX(Table1[riBAQ 21], MATCH(1, (Table3[[#This Row],[Gene names]:[Gene names]] = Table1[[Gene names]:[Gene names]])*1, 0))</f>
        <v>#N/A</v>
      </c>
      <c r="I56" t="e" cm="1">
        <f t="array" ref="I56">INDEX(Table1[riBAQ 22], MATCH(1, (Table3[[#This Row],[Gene names]:[Gene names]] = Table1[[Gene names]:[Gene names]])*1, 0))</f>
        <v>#N/A</v>
      </c>
      <c r="J56" t="e" cm="1">
        <f t="array" ref="J56">INDEX(Table1[riBAQ 23], MATCH(1, (Table3[[#This Row],[Gene names]:[Gene names]] = Table1[[Gene names]:[Gene names]])*1, 0))</f>
        <v>#N/A</v>
      </c>
      <c r="K56" t="e" cm="1">
        <f t="array" ref="K56">INDEX(Table1[riBAQ 37], MATCH(1, (Table3[[#This Row],[Gene names]:[Gene names]] = Table1[[Gene names]:[Gene names]])*1, 0))</f>
        <v>#N/A</v>
      </c>
      <c r="L56" t="e" cm="1">
        <f t="array" ref="L56">INDEX(Table1[riBAQ 38], MATCH(1, (Table3[[#This Row],[Gene names]:[Gene names]] = Table1[[Gene names]:[Gene names]])*1, 0))</f>
        <v>#N/A</v>
      </c>
      <c r="M56" t="e" cm="1">
        <f t="array" ref="M56">INDEX(Table1[riBAQ 39], MATCH(1, (Table3[[#This Row],[Gene names]:[Gene names]] = Table1[[Gene names]:[Gene names]])*1, 0))</f>
        <v>#N/A</v>
      </c>
      <c r="N56" t="e" cm="1">
        <f t="array" ref="N56">INDEX(Table1[riBAQ 40], MATCH(1, (Table3[[#This Row],[Gene names]:[Gene names]] = Table1[[Gene names]:[Gene names]])*1, 0))</f>
        <v>#N/A</v>
      </c>
      <c r="O56" t="e" cm="1">
        <f t="array" ref="O56">INDEX(Table1[riBAQ 41], MATCH(1, (Table3[[#This Row],[Gene names]:[Gene names]] = Table1[[Gene names]:[Gene names]])*1, 0))</f>
        <v>#N/A</v>
      </c>
      <c r="P56" t="e" cm="1">
        <f t="array" ref="P56">INDEX(Table1[riBAQ 24], MATCH(1, (Table3[[#This Row],[Gene names]:[Gene names]] = Table1[[Gene names]:[Gene names]])*1, 0))</f>
        <v>#N/A</v>
      </c>
      <c r="Q56" t="e" cm="1">
        <f t="array" ref="Q56">INDEX(Table1[riBAQ 25], MATCH(1, (Table3[[#This Row],[Gene names]:[Gene names]] = Table1[[Gene names]:[Gene names]])*1, 0))</f>
        <v>#N/A</v>
      </c>
      <c r="R56" t="e" cm="1">
        <f t="array" ref="R56">INDEX(Table1[riBAQ 26], MATCH(1, (Table3[[#This Row],[Gene names]:[Gene names]] = Table1[[Gene names]:[Gene names]])*1, 0))</f>
        <v>#N/A</v>
      </c>
      <c r="S56" t="e" cm="1">
        <f t="array" ref="S56">INDEX(Table1[riBAQ 42], MATCH(1, (Table3[[#This Row],[Gene names]:[Gene names]] = Table1[[Gene names]:[Gene names]])*1, 0))</f>
        <v>#N/A</v>
      </c>
      <c r="T56" t="e" cm="1">
        <f t="array" ref="T56">INDEX(Table1[riBAQ 43], MATCH(1, (Table3[[#This Row],[Gene names]:[Gene names]] = Table1[[Gene names]:[Gene names]])*1, 0))</f>
        <v>#N/A</v>
      </c>
    </row>
    <row r="57" spans="1:20" x14ac:dyDescent="0.25">
      <c r="A57" t="s">
        <v>672</v>
      </c>
      <c r="B57" cm="1">
        <f t="array" ref="B57">INDEX(Table1[riBAQ 17], MATCH(1, (Table3[[#This Row],[Gene names]:[Gene names]] = Table1[[Gene names]:[Gene names]])*1, 0))</f>
        <v>0</v>
      </c>
      <c r="C57" cm="1">
        <f t="array" ref="C57">INDEX(Table1[riBAQ 18], MATCH(1, (Table3[[#This Row],[Gene names]:[Gene names]] = Table1[[Gene names]:[Gene names]])*1, 0))</f>
        <v>0</v>
      </c>
      <c r="D57" cm="1">
        <f t="array" ref="D57">INDEX(Table1[riBAQ 35], MATCH(1, (Table3[[#This Row],[Gene names]:[Gene names]] = Table1[[Gene names]:[Gene names]])*1, 0))</f>
        <v>0</v>
      </c>
      <c r="E57" cm="1">
        <f t="array" ref="E57">INDEX(Table1[riBAQ 36], MATCH(1, (Table3[[#This Row],[Gene names]:[Gene names]] = Table1[[Gene names]:[Gene names]])*1, 0))</f>
        <v>0</v>
      </c>
      <c r="F57" cm="1">
        <f t="array" ref="F57">INDEX(Table1[riBAQ 19], MATCH(1, (Table3[[#This Row],[Gene names]:[Gene names]] = Table1[[Gene names]:[Gene names]])*1, 0))</f>
        <v>0</v>
      </c>
      <c r="G57" cm="1">
        <f t="array" ref="G57">INDEX(Table1[riBAQ 20], MATCH(1, (Table3[[#This Row],[Gene names]:[Gene names]] = Table1[[Gene names]:[Gene names]])*1, 0))</f>
        <v>0</v>
      </c>
      <c r="H57" cm="1">
        <f t="array" ref="H57">INDEX(Table1[riBAQ 21], MATCH(1, (Table3[[#This Row],[Gene names]:[Gene names]] = Table1[[Gene names]:[Gene names]])*1, 0))</f>
        <v>0</v>
      </c>
      <c r="I57" cm="1">
        <f t="array" ref="I57">INDEX(Table1[riBAQ 22], MATCH(1, (Table3[[#This Row],[Gene names]:[Gene names]] = Table1[[Gene names]:[Gene names]])*1, 0))</f>
        <v>0</v>
      </c>
      <c r="J57" cm="1">
        <f t="array" ref="J57">INDEX(Table1[riBAQ 23], MATCH(1, (Table3[[#This Row],[Gene names]:[Gene names]] = Table1[[Gene names]:[Gene names]])*1, 0))</f>
        <v>0</v>
      </c>
      <c r="K57" cm="1">
        <f t="array" ref="K57">INDEX(Table1[riBAQ 37], MATCH(1, (Table3[[#This Row],[Gene names]:[Gene names]] = Table1[[Gene names]:[Gene names]])*1, 0))</f>
        <v>0</v>
      </c>
      <c r="L57" cm="1">
        <f t="array" ref="L57">INDEX(Table1[riBAQ 38], MATCH(1, (Table3[[#This Row],[Gene names]:[Gene names]] = Table1[[Gene names]:[Gene names]])*1, 0))</f>
        <v>0</v>
      </c>
      <c r="M57" cm="1">
        <f t="array" ref="M57">INDEX(Table1[riBAQ 39], MATCH(1, (Table3[[#This Row],[Gene names]:[Gene names]] = Table1[[Gene names]:[Gene names]])*1, 0))</f>
        <v>0</v>
      </c>
      <c r="N57" cm="1">
        <f t="array" ref="N57">INDEX(Table1[riBAQ 40], MATCH(1, (Table3[[#This Row],[Gene names]:[Gene names]] = Table1[[Gene names]:[Gene names]])*1, 0))</f>
        <v>1.7499999999999998E-5</v>
      </c>
      <c r="O57" cm="1">
        <f t="array" ref="O57">INDEX(Table1[riBAQ 41], MATCH(1, (Table3[[#This Row],[Gene names]:[Gene names]] = Table1[[Gene names]:[Gene names]])*1, 0))</f>
        <v>0</v>
      </c>
      <c r="P57" cm="1">
        <f t="array" ref="P57">INDEX(Table1[riBAQ 24], MATCH(1, (Table3[[#This Row],[Gene names]:[Gene names]] = Table1[[Gene names]:[Gene names]])*1, 0))</f>
        <v>2.4899999999999999E-5</v>
      </c>
      <c r="Q57" cm="1">
        <f t="array" ref="Q57">INDEX(Table1[riBAQ 25], MATCH(1, (Table3[[#This Row],[Gene names]:[Gene names]] = Table1[[Gene names]:[Gene names]])*1, 0))</f>
        <v>4.1199999999999999E-5</v>
      </c>
      <c r="R57" cm="1">
        <f t="array" ref="R57">INDEX(Table1[riBAQ 26], MATCH(1, (Table3[[#This Row],[Gene names]:[Gene names]] = Table1[[Gene names]:[Gene names]])*1, 0))</f>
        <v>3.0000000000000001E-5</v>
      </c>
      <c r="S57" cm="1">
        <f t="array" ref="S57">INDEX(Table1[riBAQ 42], MATCH(1, (Table3[[#This Row],[Gene names]:[Gene names]] = Table1[[Gene names]:[Gene names]])*1, 0))</f>
        <v>2.8E-5</v>
      </c>
      <c r="T57" cm="1">
        <f t="array" ref="T57">INDEX(Table1[riBAQ 43], MATCH(1, (Table3[[#This Row],[Gene names]:[Gene names]] = Table1[[Gene names]:[Gene names]])*1, 0))</f>
        <v>4.8699999999999998E-5</v>
      </c>
    </row>
    <row r="58" spans="1:20" x14ac:dyDescent="0.25">
      <c r="A58" t="s">
        <v>92</v>
      </c>
      <c r="B58" cm="1">
        <f t="array" ref="B58">INDEX(Table1[riBAQ 17], MATCH(1, (Table3[[#This Row],[Gene names]:[Gene names]] = Table1[[Gene names]:[Gene names]])*1, 0))</f>
        <v>2.2099999999999998E-5</v>
      </c>
      <c r="C58" cm="1">
        <f t="array" ref="C58">INDEX(Table1[riBAQ 18], MATCH(1, (Table3[[#This Row],[Gene names]:[Gene names]] = Table1[[Gene names]:[Gene names]])*1, 0))</f>
        <v>2.4199999999999999E-5</v>
      </c>
      <c r="D58" cm="1">
        <f t="array" ref="D58">INDEX(Table1[riBAQ 35], MATCH(1, (Table3[[#This Row],[Gene names]:[Gene names]] = Table1[[Gene names]:[Gene names]])*1, 0))</f>
        <v>0</v>
      </c>
      <c r="E58" cm="1">
        <f t="array" ref="E58">INDEX(Table1[riBAQ 36], MATCH(1, (Table3[[#This Row],[Gene names]:[Gene names]] = Table1[[Gene names]:[Gene names]])*1, 0))</f>
        <v>0</v>
      </c>
      <c r="F58" cm="1">
        <f t="array" ref="F58">INDEX(Table1[riBAQ 19], MATCH(1, (Table3[[#This Row],[Gene names]:[Gene names]] = Table1[[Gene names]:[Gene names]])*1, 0))</f>
        <v>0</v>
      </c>
      <c r="G58" cm="1">
        <f t="array" ref="G58">INDEX(Table1[riBAQ 20], MATCH(1, (Table3[[#This Row],[Gene names]:[Gene names]] = Table1[[Gene names]:[Gene names]])*1, 0))</f>
        <v>0</v>
      </c>
      <c r="H58" cm="1">
        <f t="array" ref="H58">INDEX(Table1[riBAQ 21], MATCH(1, (Table3[[#This Row],[Gene names]:[Gene names]] = Table1[[Gene names]:[Gene names]])*1, 0))</f>
        <v>0</v>
      </c>
      <c r="I58" cm="1">
        <f t="array" ref="I58">INDEX(Table1[riBAQ 22], MATCH(1, (Table3[[#This Row],[Gene names]:[Gene names]] = Table1[[Gene names]:[Gene names]])*1, 0))</f>
        <v>0</v>
      </c>
      <c r="J58" cm="1">
        <f t="array" ref="J58">INDEX(Table1[riBAQ 23], MATCH(1, (Table3[[#This Row],[Gene names]:[Gene names]] = Table1[[Gene names]:[Gene names]])*1, 0))</f>
        <v>0</v>
      </c>
      <c r="K58" cm="1">
        <f t="array" ref="K58">INDEX(Table1[riBAQ 37], MATCH(1, (Table3[[#This Row],[Gene names]:[Gene names]] = Table1[[Gene names]:[Gene names]])*1, 0))</f>
        <v>0</v>
      </c>
      <c r="L58" cm="1">
        <f t="array" ref="L58">INDEX(Table1[riBAQ 38], MATCH(1, (Table3[[#This Row],[Gene names]:[Gene names]] = Table1[[Gene names]:[Gene names]])*1, 0))</f>
        <v>0</v>
      </c>
      <c r="M58" cm="1">
        <f t="array" ref="M58">INDEX(Table1[riBAQ 39], MATCH(1, (Table3[[#This Row],[Gene names]:[Gene names]] = Table1[[Gene names]:[Gene names]])*1, 0))</f>
        <v>0</v>
      </c>
      <c r="N58" cm="1">
        <f t="array" ref="N58">INDEX(Table1[riBAQ 40], MATCH(1, (Table3[[#This Row],[Gene names]:[Gene names]] = Table1[[Gene names]:[Gene names]])*1, 0))</f>
        <v>1.56E-5</v>
      </c>
      <c r="O58" cm="1">
        <f t="array" ref="O58">INDEX(Table1[riBAQ 41], MATCH(1, (Table3[[#This Row],[Gene names]:[Gene names]] = Table1[[Gene names]:[Gene names]])*1, 0))</f>
        <v>0</v>
      </c>
      <c r="P58" cm="1">
        <f t="array" ref="P58">INDEX(Table1[riBAQ 24], MATCH(1, (Table3[[#This Row],[Gene names]:[Gene names]] = Table1[[Gene names]:[Gene names]])*1, 0))</f>
        <v>2.76E-5</v>
      </c>
      <c r="Q58" cm="1">
        <f t="array" ref="Q58">INDEX(Table1[riBAQ 25], MATCH(1, (Table3[[#This Row],[Gene names]:[Gene names]] = Table1[[Gene names]:[Gene names]])*1, 0))</f>
        <v>2.6100000000000001E-5</v>
      </c>
      <c r="R58" cm="1">
        <f t="array" ref="R58">INDEX(Table1[riBAQ 26], MATCH(1, (Table3[[#This Row],[Gene names]:[Gene names]] = Table1[[Gene names]:[Gene names]])*1, 0))</f>
        <v>1.6500000000000001E-5</v>
      </c>
      <c r="S58" cm="1">
        <f t="array" ref="S58">INDEX(Table1[riBAQ 42], MATCH(1, (Table3[[#This Row],[Gene names]:[Gene names]] = Table1[[Gene names]:[Gene names]])*1, 0))</f>
        <v>3.0700000000000001E-5</v>
      </c>
      <c r="T58" cm="1">
        <f t="array" ref="T58">INDEX(Table1[riBAQ 43], MATCH(1, (Table3[[#This Row],[Gene names]:[Gene names]] = Table1[[Gene names]:[Gene names]])*1, 0))</f>
        <v>3.7400000000000001E-5</v>
      </c>
    </row>
    <row r="59" spans="1:20" x14ac:dyDescent="0.25">
      <c r="A59" t="s">
        <v>450</v>
      </c>
      <c r="B59" cm="1">
        <f t="array" ref="B59">INDEX(Table1[riBAQ 17], MATCH(1, (Table3[[#This Row],[Gene names]:[Gene names]] = Table1[[Gene names]:[Gene names]])*1, 0))</f>
        <v>0</v>
      </c>
      <c r="C59" cm="1">
        <f t="array" ref="C59">INDEX(Table1[riBAQ 18], MATCH(1, (Table3[[#This Row],[Gene names]:[Gene names]] = Table1[[Gene names]:[Gene names]])*1, 0))</f>
        <v>0</v>
      </c>
      <c r="D59" cm="1">
        <f t="array" ref="D59">INDEX(Table1[riBAQ 35], MATCH(1, (Table3[[#This Row],[Gene names]:[Gene names]] = Table1[[Gene names]:[Gene names]])*1, 0))</f>
        <v>0</v>
      </c>
      <c r="E59" cm="1">
        <f t="array" ref="E59">INDEX(Table1[riBAQ 36], MATCH(1, (Table3[[#This Row],[Gene names]:[Gene names]] = Table1[[Gene names]:[Gene names]])*1, 0))</f>
        <v>0</v>
      </c>
      <c r="F59" cm="1">
        <f t="array" ref="F59">INDEX(Table1[riBAQ 19], MATCH(1, (Table3[[#This Row],[Gene names]:[Gene names]] = Table1[[Gene names]:[Gene names]])*1, 0))</f>
        <v>1.7903600000000001E-4</v>
      </c>
      <c r="G59" cm="1">
        <f t="array" ref="G59">INDEX(Table1[riBAQ 20], MATCH(1, (Table3[[#This Row],[Gene names]:[Gene names]] = Table1[[Gene names]:[Gene names]])*1, 0))</f>
        <v>4.8699999999999998E-5</v>
      </c>
      <c r="H59" cm="1">
        <f t="array" ref="H59">INDEX(Table1[riBAQ 21], MATCH(1, (Table3[[#This Row],[Gene names]:[Gene names]] = Table1[[Gene names]:[Gene names]])*1, 0))</f>
        <v>4.5099999999999998E-5</v>
      </c>
      <c r="I59" cm="1">
        <f t="array" ref="I59">INDEX(Table1[riBAQ 22], MATCH(1, (Table3[[#This Row],[Gene names]:[Gene names]] = Table1[[Gene names]:[Gene names]])*1, 0))</f>
        <v>0</v>
      </c>
      <c r="J59" cm="1">
        <f t="array" ref="J59">INDEX(Table1[riBAQ 23], MATCH(1, (Table3[[#This Row],[Gene names]:[Gene names]] = Table1[[Gene names]:[Gene names]])*1, 0))</f>
        <v>0</v>
      </c>
      <c r="K59" cm="1">
        <f t="array" ref="K59">INDEX(Table1[riBAQ 37], MATCH(1, (Table3[[#This Row],[Gene names]:[Gene names]] = Table1[[Gene names]:[Gene names]])*1, 0))</f>
        <v>0</v>
      </c>
      <c r="L59" cm="1">
        <f t="array" ref="L59">INDEX(Table1[riBAQ 38], MATCH(1, (Table3[[#This Row],[Gene names]:[Gene names]] = Table1[[Gene names]:[Gene names]])*1, 0))</f>
        <v>0</v>
      </c>
      <c r="M59" cm="1">
        <f t="array" ref="M59">INDEX(Table1[riBAQ 39], MATCH(1, (Table3[[#This Row],[Gene names]:[Gene names]] = Table1[[Gene names]:[Gene names]])*1, 0))</f>
        <v>0</v>
      </c>
      <c r="N59" cm="1">
        <f t="array" ref="N59">INDEX(Table1[riBAQ 40], MATCH(1, (Table3[[#This Row],[Gene names]:[Gene names]] = Table1[[Gene names]:[Gene names]])*1, 0))</f>
        <v>0</v>
      </c>
      <c r="O59" cm="1">
        <f t="array" ref="O59">INDEX(Table1[riBAQ 41], MATCH(1, (Table3[[#This Row],[Gene names]:[Gene names]] = Table1[[Gene names]:[Gene names]])*1, 0))</f>
        <v>2.1699999999999999E-5</v>
      </c>
      <c r="P59" cm="1">
        <f t="array" ref="P59">INDEX(Table1[riBAQ 24], MATCH(1, (Table3[[#This Row],[Gene names]:[Gene names]] = Table1[[Gene names]:[Gene names]])*1, 0))</f>
        <v>1.3035400000000001E-4</v>
      </c>
      <c r="Q59" cm="1">
        <f t="array" ref="Q59">INDEX(Table1[riBAQ 25], MATCH(1, (Table3[[#This Row],[Gene names]:[Gene names]] = Table1[[Gene names]:[Gene names]])*1, 0))</f>
        <v>9.6399999999999999E-5</v>
      </c>
      <c r="R59" cm="1">
        <f t="array" ref="R59">INDEX(Table1[riBAQ 26], MATCH(1, (Table3[[#This Row],[Gene names]:[Gene names]] = Table1[[Gene names]:[Gene names]])*1, 0))</f>
        <v>6.1699999999999995E-5</v>
      </c>
      <c r="S59" cm="1">
        <f t="array" ref="S59">INDEX(Table1[riBAQ 42], MATCH(1, (Table3[[#This Row],[Gene names]:[Gene names]] = Table1[[Gene names]:[Gene names]])*1, 0))</f>
        <v>1.7179000000000001E-4</v>
      </c>
      <c r="T59" cm="1">
        <f t="array" ref="T59">INDEX(Table1[riBAQ 43], MATCH(1, (Table3[[#This Row],[Gene names]:[Gene names]] = Table1[[Gene names]:[Gene names]])*1, 0))</f>
        <v>2.6649399999999999E-4</v>
      </c>
    </row>
    <row r="60" spans="1:20" x14ac:dyDescent="0.25">
      <c r="A60" t="s">
        <v>398</v>
      </c>
      <c r="B60" cm="1">
        <f t="array" ref="B60">INDEX(Table1[riBAQ 17], MATCH(1, (Table3[[#This Row],[Gene names]:[Gene names]] = Table1[[Gene names]:[Gene names]])*1, 0))</f>
        <v>1.7886599999999999E-4</v>
      </c>
      <c r="C60" cm="1">
        <f t="array" ref="C60">INDEX(Table1[riBAQ 18], MATCH(1, (Table3[[#This Row],[Gene names]:[Gene names]] = Table1[[Gene names]:[Gene names]])*1, 0))</f>
        <v>7.6699999999999994E-5</v>
      </c>
      <c r="D60" cm="1">
        <f t="array" ref="D60">INDEX(Table1[riBAQ 35], MATCH(1, (Table3[[#This Row],[Gene names]:[Gene names]] = Table1[[Gene names]:[Gene names]])*1, 0))</f>
        <v>0</v>
      </c>
      <c r="E60" cm="1">
        <f t="array" ref="E60">INDEX(Table1[riBAQ 36], MATCH(1, (Table3[[#This Row],[Gene names]:[Gene names]] = Table1[[Gene names]:[Gene names]])*1, 0))</f>
        <v>0</v>
      </c>
      <c r="F60" cm="1">
        <f t="array" ref="F60">INDEX(Table1[riBAQ 19], MATCH(1, (Table3[[#This Row],[Gene names]:[Gene names]] = Table1[[Gene names]:[Gene names]])*1, 0))</f>
        <v>2.8683799999999998E-4</v>
      </c>
      <c r="G60" cm="1">
        <f t="array" ref="G60">INDEX(Table1[riBAQ 20], MATCH(1, (Table3[[#This Row],[Gene names]:[Gene names]] = Table1[[Gene names]:[Gene names]])*1, 0))</f>
        <v>3.5103499999999998E-4</v>
      </c>
      <c r="H60" cm="1">
        <f t="array" ref="H60">INDEX(Table1[riBAQ 21], MATCH(1, (Table3[[#This Row],[Gene names]:[Gene names]] = Table1[[Gene names]:[Gene names]])*1, 0))</f>
        <v>1.6365800000000001E-4</v>
      </c>
      <c r="I60" cm="1">
        <f t="array" ref="I60">INDEX(Table1[riBAQ 22], MATCH(1, (Table3[[#This Row],[Gene names]:[Gene names]] = Table1[[Gene names]:[Gene names]])*1, 0))</f>
        <v>2.5308200000000001E-4</v>
      </c>
      <c r="J60" cm="1">
        <f t="array" ref="J60">INDEX(Table1[riBAQ 23], MATCH(1, (Table3[[#This Row],[Gene names]:[Gene names]] = Table1[[Gene names]:[Gene names]])*1, 0))</f>
        <v>1.6419699999999999E-4</v>
      </c>
      <c r="K60" cm="1">
        <f t="array" ref="K60">INDEX(Table1[riBAQ 37], MATCH(1, (Table3[[#This Row],[Gene names]:[Gene names]] = Table1[[Gene names]:[Gene names]])*1, 0))</f>
        <v>2.2224699999999999E-4</v>
      </c>
      <c r="L60" cm="1">
        <f t="array" ref="L60">INDEX(Table1[riBAQ 38], MATCH(1, (Table3[[#This Row],[Gene names]:[Gene names]] = Table1[[Gene names]:[Gene names]])*1, 0))</f>
        <v>1.2213299999999999E-4</v>
      </c>
      <c r="M60" cm="1">
        <f t="array" ref="M60">INDEX(Table1[riBAQ 39], MATCH(1, (Table3[[#This Row],[Gene names]:[Gene names]] = Table1[[Gene names]:[Gene names]])*1, 0))</f>
        <v>1.34654E-4</v>
      </c>
      <c r="N60" cm="1">
        <f t="array" ref="N60">INDEX(Table1[riBAQ 40], MATCH(1, (Table3[[#This Row],[Gene names]:[Gene names]] = Table1[[Gene names]:[Gene names]])*1, 0))</f>
        <v>1.93716E-4</v>
      </c>
      <c r="O60" cm="1">
        <f t="array" ref="O60">INDEX(Table1[riBAQ 41], MATCH(1, (Table3[[#This Row],[Gene names]:[Gene names]] = Table1[[Gene names]:[Gene names]])*1, 0))</f>
        <v>6.4499999999999996E-5</v>
      </c>
      <c r="P60" cm="1">
        <f t="array" ref="P60">INDEX(Table1[riBAQ 24], MATCH(1, (Table3[[#This Row],[Gene names]:[Gene names]] = Table1[[Gene names]:[Gene names]])*1, 0))</f>
        <v>4.6336000000000001E-4</v>
      </c>
      <c r="Q60" cm="1">
        <f t="array" ref="Q60">INDEX(Table1[riBAQ 25], MATCH(1, (Table3[[#This Row],[Gene names]:[Gene names]] = Table1[[Gene names]:[Gene names]])*1, 0))</f>
        <v>1.1840640000000001E-3</v>
      </c>
      <c r="R60" cm="1">
        <f t="array" ref="R60">INDEX(Table1[riBAQ 26], MATCH(1, (Table3[[#This Row],[Gene names]:[Gene names]] = Table1[[Gene names]:[Gene names]])*1, 0))</f>
        <v>5.6879999999999995E-4</v>
      </c>
      <c r="S60" cm="1">
        <f t="array" ref="S60">INDEX(Table1[riBAQ 42], MATCH(1, (Table3[[#This Row],[Gene names]:[Gene names]] = Table1[[Gene names]:[Gene names]])*1, 0))</f>
        <v>4.2929699999999998E-4</v>
      </c>
      <c r="T60" cm="1">
        <f t="array" ref="T60">INDEX(Table1[riBAQ 43], MATCH(1, (Table3[[#This Row],[Gene names]:[Gene names]] = Table1[[Gene names]:[Gene names]])*1, 0))</f>
        <v>1.7293289999999999E-3</v>
      </c>
    </row>
    <row r="61" spans="1:20" x14ac:dyDescent="0.25">
      <c r="A61" t="s">
        <v>91</v>
      </c>
      <c r="B61" cm="1">
        <f t="array" ref="B61">INDEX(Table1[riBAQ 17], MATCH(1, (Table3[[#This Row],[Gene names]:[Gene names]] = Table1[[Gene names]:[Gene names]])*1, 0))</f>
        <v>1.7499999999999998E-5</v>
      </c>
      <c r="C61" cm="1">
        <f t="array" ref="C61">INDEX(Table1[riBAQ 18], MATCH(1, (Table3[[#This Row],[Gene names]:[Gene names]] = Table1[[Gene names]:[Gene names]])*1, 0))</f>
        <v>0</v>
      </c>
      <c r="D61" cm="1">
        <f t="array" ref="D61">INDEX(Table1[riBAQ 35], MATCH(1, (Table3[[#This Row],[Gene names]:[Gene names]] = Table1[[Gene names]:[Gene names]])*1, 0))</f>
        <v>0</v>
      </c>
      <c r="E61" cm="1">
        <f t="array" ref="E61">INDEX(Table1[riBAQ 36], MATCH(1, (Table3[[#This Row],[Gene names]:[Gene names]] = Table1[[Gene names]:[Gene names]])*1, 0))</f>
        <v>0</v>
      </c>
      <c r="F61" cm="1">
        <f t="array" ref="F61">INDEX(Table1[riBAQ 19], MATCH(1, (Table3[[#This Row],[Gene names]:[Gene names]] = Table1[[Gene names]:[Gene names]])*1, 0))</f>
        <v>0</v>
      </c>
      <c r="G61" cm="1">
        <f t="array" ref="G61">INDEX(Table1[riBAQ 20], MATCH(1, (Table3[[#This Row],[Gene names]:[Gene names]] = Table1[[Gene names]:[Gene names]])*1, 0))</f>
        <v>0</v>
      </c>
      <c r="H61" cm="1">
        <f t="array" ref="H61">INDEX(Table1[riBAQ 21], MATCH(1, (Table3[[#This Row],[Gene names]:[Gene names]] = Table1[[Gene names]:[Gene names]])*1, 0))</f>
        <v>0</v>
      </c>
      <c r="I61" cm="1">
        <f t="array" ref="I61">INDEX(Table1[riBAQ 22], MATCH(1, (Table3[[#This Row],[Gene names]:[Gene names]] = Table1[[Gene names]:[Gene names]])*1, 0))</f>
        <v>0</v>
      </c>
      <c r="J61" cm="1">
        <f t="array" ref="J61">INDEX(Table1[riBAQ 23], MATCH(1, (Table3[[#This Row],[Gene names]:[Gene names]] = Table1[[Gene names]:[Gene names]])*1, 0))</f>
        <v>0</v>
      </c>
      <c r="K61" cm="1">
        <f t="array" ref="K61">INDEX(Table1[riBAQ 37], MATCH(1, (Table3[[#This Row],[Gene names]:[Gene names]] = Table1[[Gene names]:[Gene names]])*1, 0))</f>
        <v>0</v>
      </c>
      <c r="L61" cm="1">
        <f t="array" ref="L61">INDEX(Table1[riBAQ 38], MATCH(1, (Table3[[#This Row],[Gene names]:[Gene names]] = Table1[[Gene names]:[Gene names]])*1, 0))</f>
        <v>0</v>
      </c>
      <c r="M61" cm="1">
        <f t="array" ref="M61">INDEX(Table1[riBAQ 39], MATCH(1, (Table3[[#This Row],[Gene names]:[Gene names]] = Table1[[Gene names]:[Gene names]])*1, 0))</f>
        <v>0</v>
      </c>
      <c r="N61" cm="1">
        <f t="array" ref="N61">INDEX(Table1[riBAQ 40], MATCH(1, (Table3[[#This Row],[Gene names]:[Gene names]] = Table1[[Gene names]:[Gene names]])*1, 0))</f>
        <v>0</v>
      </c>
      <c r="O61" cm="1">
        <f t="array" ref="O61">INDEX(Table1[riBAQ 41], MATCH(1, (Table3[[#This Row],[Gene names]:[Gene names]] = Table1[[Gene names]:[Gene names]])*1, 0))</f>
        <v>0</v>
      </c>
      <c r="P61" cm="1">
        <f t="array" ref="P61">INDEX(Table1[riBAQ 24], MATCH(1, (Table3[[#This Row],[Gene names]:[Gene names]] = Table1[[Gene names]:[Gene names]])*1, 0))</f>
        <v>8.3899999999999993E-6</v>
      </c>
      <c r="Q61" cm="1">
        <f t="array" ref="Q61">INDEX(Table1[riBAQ 25], MATCH(1, (Table3[[#This Row],[Gene names]:[Gene names]] = Table1[[Gene names]:[Gene names]])*1, 0))</f>
        <v>4.46E-5</v>
      </c>
      <c r="R61" cm="1">
        <f t="array" ref="R61">INDEX(Table1[riBAQ 26], MATCH(1, (Table3[[#This Row],[Gene names]:[Gene names]] = Table1[[Gene names]:[Gene names]])*1, 0))</f>
        <v>2.7800000000000001E-5</v>
      </c>
      <c r="S61" cm="1">
        <f t="array" ref="S61">INDEX(Table1[riBAQ 42], MATCH(1, (Table3[[#This Row],[Gene names]:[Gene names]] = Table1[[Gene names]:[Gene names]])*1, 0))</f>
        <v>3.26E-5</v>
      </c>
      <c r="T61" cm="1">
        <f t="array" ref="T61">INDEX(Table1[riBAQ 43], MATCH(1, (Table3[[#This Row],[Gene names]:[Gene names]] = Table1[[Gene names]:[Gene names]])*1, 0))</f>
        <v>4.21E-5</v>
      </c>
    </row>
    <row r="62" spans="1:20" x14ac:dyDescent="0.25">
      <c r="A62" t="s">
        <v>477</v>
      </c>
      <c r="B62" cm="1">
        <f t="array" ref="B62">INDEX(Table1[riBAQ 17], MATCH(1, (Table3[[#This Row],[Gene names]:[Gene names]] = Table1[[Gene names]:[Gene names]])*1, 0))</f>
        <v>7.7700000000000005E-5</v>
      </c>
      <c r="C62" cm="1">
        <f t="array" ref="C62">INDEX(Table1[riBAQ 18], MATCH(1, (Table3[[#This Row],[Gene names]:[Gene names]] = Table1[[Gene names]:[Gene names]])*1, 0))</f>
        <v>7.6100000000000007E-5</v>
      </c>
      <c r="D62" cm="1">
        <f t="array" ref="D62">INDEX(Table1[riBAQ 35], MATCH(1, (Table3[[#This Row],[Gene names]:[Gene names]] = Table1[[Gene names]:[Gene names]])*1, 0))</f>
        <v>7.2999999999999999E-5</v>
      </c>
      <c r="E62" cm="1">
        <f t="array" ref="E62">INDEX(Table1[riBAQ 36], MATCH(1, (Table3[[#This Row],[Gene names]:[Gene names]] = Table1[[Gene names]:[Gene names]])*1, 0))</f>
        <v>6.3200000000000005E-5</v>
      </c>
      <c r="F62" cm="1">
        <f t="array" ref="F62">INDEX(Table1[riBAQ 19], MATCH(1, (Table3[[#This Row],[Gene names]:[Gene names]] = Table1[[Gene names]:[Gene names]])*1, 0))</f>
        <v>6.1099999999999994E-5</v>
      </c>
      <c r="G62" cm="1">
        <f t="array" ref="G62">INDEX(Table1[riBAQ 20], MATCH(1, (Table3[[#This Row],[Gene names]:[Gene names]] = Table1[[Gene names]:[Gene names]])*1, 0))</f>
        <v>7.25E-5</v>
      </c>
      <c r="H62" cm="1">
        <f t="array" ref="H62">INDEX(Table1[riBAQ 21], MATCH(1, (Table3[[#This Row],[Gene names]:[Gene names]] = Table1[[Gene names]:[Gene names]])*1, 0))</f>
        <v>5.94E-5</v>
      </c>
      <c r="I62" cm="1">
        <f t="array" ref="I62">INDEX(Table1[riBAQ 22], MATCH(1, (Table3[[#This Row],[Gene names]:[Gene names]] = Table1[[Gene names]:[Gene names]])*1, 0))</f>
        <v>7.5199999999999998E-5</v>
      </c>
      <c r="J62" cm="1">
        <f t="array" ref="J62">INDEX(Table1[riBAQ 23], MATCH(1, (Table3[[#This Row],[Gene names]:[Gene names]] = Table1[[Gene names]:[Gene names]])*1, 0))</f>
        <v>7.1199999999999996E-5</v>
      </c>
      <c r="K62" cm="1">
        <f t="array" ref="K62">INDEX(Table1[riBAQ 37], MATCH(1, (Table3[[#This Row],[Gene names]:[Gene names]] = Table1[[Gene names]:[Gene names]])*1, 0))</f>
        <v>6.41E-5</v>
      </c>
      <c r="L62" cm="1">
        <f t="array" ref="L62">INDEX(Table1[riBAQ 38], MATCH(1, (Table3[[#This Row],[Gene names]:[Gene names]] = Table1[[Gene names]:[Gene names]])*1, 0))</f>
        <v>6.3100000000000002E-5</v>
      </c>
      <c r="M62" cm="1">
        <f t="array" ref="M62">INDEX(Table1[riBAQ 39], MATCH(1, (Table3[[#This Row],[Gene names]:[Gene names]] = Table1[[Gene names]:[Gene names]])*1, 0))</f>
        <v>7.4099999999999999E-5</v>
      </c>
      <c r="N62" cm="1">
        <f t="array" ref="N62">INDEX(Table1[riBAQ 40], MATCH(1, (Table3[[#This Row],[Gene names]:[Gene names]] = Table1[[Gene names]:[Gene names]])*1, 0))</f>
        <v>1.07942E-4</v>
      </c>
      <c r="O62" cm="1">
        <f t="array" ref="O62">INDEX(Table1[riBAQ 41], MATCH(1, (Table3[[#This Row],[Gene names]:[Gene names]] = Table1[[Gene names]:[Gene names]])*1, 0))</f>
        <v>7.4099999999999999E-5</v>
      </c>
      <c r="P62" cm="1">
        <f t="array" ref="P62">INDEX(Table1[riBAQ 24], MATCH(1, (Table3[[#This Row],[Gene names]:[Gene names]] = Table1[[Gene names]:[Gene names]])*1, 0))</f>
        <v>6.7600000000000003E-5</v>
      </c>
      <c r="Q62" cm="1">
        <f t="array" ref="Q62">INDEX(Table1[riBAQ 25], MATCH(1, (Table3[[#This Row],[Gene names]:[Gene names]] = Table1[[Gene names]:[Gene names]])*1, 0))</f>
        <v>3.9700000000000003E-5</v>
      </c>
      <c r="R62" cm="1">
        <f t="array" ref="R62">INDEX(Table1[riBAQ 26], MATCH(1, (Table3[[#This Row],[Gene names]:[Gene names]] = Table1[[Gene names]:[Gene names]])*1, 0))</f>
        <v>5.0000000000000002E-5</v>
      </c>
      <c r="S62" cm="1">
        <f t="array" ref="S62">INDEX(Table1[riBAQ 42], MATCH(1, (Table3[[#This Row],[Gene names]:[Gene names]] = Table1[[Gene names]:[Gene names]])*1, 0))</f>
        <v>3.0800000000000003E-5</v>
      </c>
      <c r="T62" cm="1">
        <f t="array" ref="T62">INDEX(Table1[riBAQ 43], MATCH(1, (Table3[[#This Row],[Gene names]:[Gene names]] = Table1[[Gene names]:[Gene names]])*1, 0))</f>
        <v>4.1300000000000001E-5</v>
      </c>
    </row>
    <row r="63" spans="1:20" x14ac:dyDescent="0.25">
      <c r="A63" t="s">
        <v>407</v>
      </c>
      <c r="B63" cm="1">
        <f t="array" ref="B63">INDEX(Table1[riBAQ 17], MATCH(1, (Table3[[#This Row],[Gene names]:[Gene names]] = Table1[[Gene names]:[Gene names]])*1, 0))</f>
        <v>3.4499999999999998E-5</v>
      </c>
      <c r="C63" cm="1">
        <f t="array" ref="C63">INDEX(Table1[riBAQ 18], MATCH(1, (Table3[[#This Row],[Gene names]:[Gene names]] = Table1[[Gene names]:[Gene names]])*1, 0))</f>
        <v>3.4400000000000003E-5</v>
      </c>
      <c r="D63" cm="1">
        <f t="array" ref="D63">INDEX(Table1[riBAQ 35], MATCH(1, (Table3[[#This Row],[Gene names]:[Gene names]] = Table1[[Gene names]:[Gene names]])*1, 0))</f>
        <v>1.19E-5</v>
      </c>
      <c r="E63" cm="1">
        <f t="array" ref="E63">INDEX(Table1[riBAQ 36], MATCH(1, (Table3[[#This Row],[Gene names]:[Gene names]] = Table1[[Gene names]:[Gene names]])*1, 0))</f>
        <v>2.26E-5</v>
      </c>
      <c r="F63" cm="1">
        <f t="array" ref="F63">INDEX(Table1[riBAQ 19], MATCH(1, (Table3[[#This Row],[Gene names]:[Gene names]] = Table1[[Gene names]:[Gene names]])*1, 0))</f>
        <v>4.6199999999999998E-5</v>
      </c>
      <c r="G63" cm="1">
        <f t="array" ref="G63">INDEX(Table1[riBAQ 20], MATCH(1, (Table3[[#This Row],[Gene names]:[Gene names]] = Table1[[Gene names]:[Gene names]])*1, 0))</f>
        <v>4.2799999999999997E-5</v>
      </c>
      <c r="H63" cm="1">
        <f t="array" ref="H63">INDEX(Table1[riBAQ 21], MATCH(1, (Table3[[#This Row],[Gene names]:[Gene names]] = Table1[[Gene names]:[Gene names]])*1, 0))</f>
        <v>3.7499999999999997E-5</v>
      </c>
      <c r="I63" cm="1">
        <f t="array" ref="I63">INDEX(Table1[riBAQ 22], MATCH(1, (Table3[[#This Row],[Gene names]:[Gene names]] = Table1[[Gene names]:[Gene names]])*1, 0))</f>
        <v>2.27E-5</v>
      </c>
      <c r="J63" cm="1">
        <f t="array" ref="J63">INDEX(Table1[riBAQ 23], MATCH(1, (Table3[[#This Row],[Gene names]:[Gene names]] = Table1[[Gene names]:[Gene names]])*1, 0))</f>
        <v>3.01E-5</v>
      </c>
      <c r="K63" cm="1">
        <f t="array" ref="K63">INDEX(Table1[riBAQ 37], MATCH(1, (Table3[[#This Row],[Gene names]:[Gene names]] = Table1[[Gene names]:[Gene names]])*1, 0))</f>
        <v>2.4899999999999999E-5</v>
      </c>
      <c r="L63" cm="1">
        <f t="array" ref="L63">INDEX(Table1[riBAQ 38], MATCH(1, (Table3[[#This Row],[Gene names]:[Gene names]] = Table1[[Gene names]:[Gene names]])*1, 0))</f>
        <v>2.9799999999999999E-5</v>
      </c>
      <c r="M63" cm="1">
        <f t="array" ref="M63">INDEX(Table1[riBAQ 39], MATCH(1, (Table3[[#This Row],[Gene names]:[Gene names]] = Table1[[Gene names]:[Gene names]])*1, 0))</f>
        <v>2.69E-5</v>
      </c>
      <c r="N63" cm="1">
        <f t="array" ref="N63">INDEX(Table1[riBAQ 40], MATCH(1, (Table3[[#This Row],[Gene names]:[Gene names]] = Table1[[Gene names]:[Gene names]])*1, 0))</f>
        <v>2.0100000000000001E-5</v>
      </c>
      <c r="O63" cm="1">
        <f t="array" ref="O63">INDEX(Table1[riBAQ 41], MATCH(1, (Table3[[#This Row],[Gene names]:[Gene names]] = Table1[[Gene names]:[Gene names]])*1, 0))</f>
        <v>2.02E-5</v>
      </c>
      <c r="P63" cm="1">
        <f t="array" ref="P63">INDEX(Table1[riBAQ 24], MATCH(1, (Table3[[#This Row],[Gene names]:[Gene names]] = Table1[[Gene names]:[Gene names]])*1, 0))</f>
        <v>2.9499999999999999E-5</v>
      </c>
      <c r="Q63" cm="1">
        <f t="array" ref="Q63">INDEX(Table1[riBAQ 25], MATCH(1, (Table3[[#This Row],[Gene names]:[Gene names]] = Table1[[Gene names]:[Gene names]])*1, 0))</f>
        <v>7.7100000000000004E-5</v>
      </c>
      <c r="R63" cm="1">
        <f t="array" ref="R63">INDEX(Table1[riBAQ 26], MATCH(1, (Table3[[#This Row],[Gene names]:[Gene names]] = Table1[[Gene names]:[Gene names]])*1, 0))</f>
        <v>5.3999999999999998E-5</v>
      </c>
      <c r="S63" cm="1">
        <f t="array" ref="S63">INDEX(Table1[riBAQ 42], MATCH(1, (Table3[[#This Row],[Gene names]:[Gene names]] = Table1[[Gene names]:[Gene names]])*1, 0))</f>
        <v>7.2000000000000002E-5</v>
      </c>
      <c r="T63" cm="1">
        <f t="array" ref="T63">INDEX(Table1[riBAQ 43], MATCH(1, (Table3[[#This Row],[Gene names]:[Gene names]] = Table1[[Gene names]:[Gene names]])*1, 0))</f>
        <v>7.3399999999999995E-5</v>
      </c>
    </row>
    <row r="64" spans="1:20" x14ac:dyDescent="0.25">
      <c r="A64" t="s">
        <v>613</v>
      </c>
      <c r="B64" cm="1">
        <f t="array" ref="B64">INDEX(Table1[riBAQ 17], MATCH(1, (Table3[[#This Row],[Gene names]:[Gene names]] = Table1[[Gene names]:[Gene names]])*1, 0))</f>
        <v>1.52E-5</v>
      </c>
      <c r="C64" cm="1">
        <f t="array" ref="C64">INDEX(Table1[riBAQ 18], MATCH(1, (Table3[[#This Row],[Gene names]:[Gene names]] = Table1[[Gene names]:[Gene names]])*1, 0))</f>
        <v>1.7E-5</v>
      </c>
      <c r="D64" cm="1">
        <f t="array" ref="D64">INDEX(Table1[riBAQ 35], MATCH(1, (Table3[[#This Row],[Gene names]:[Gene names]] = Table1[[Gene names]:[Gene names]])*1, 0))</f>
        <v>1.2099999999999999E-5</v>
      </c>
      <c r="E64" cm="1">
        <f t="array" ref="E64">INDEX(Table1[riBAQ 36], MATCH(1, (Table3[[#This Row],[Gene names]:[Gene names]] = Table1[[Gene names]:[Gene names]])*1, 0))</f>
        <v>1.9300000000000002E-5</v>
      </c>
      <c r="F64" cm="1">
        <f t="array" ref="F64">INDEX(Table1[riBAQ 19], MATCH(1, (Table3[[#This Row],[Gene names]:[Gene names]] = Table1[[Gene names]:[Gene names]])*1, 0))</f>
        <v>1.38E-5</v>
      </c>
      <c r="G64" cm="1">
        <f t="array" ref="G64">INDEX(Table1[riBAQ 20], MATCH(1, (Table3[[#This Row],[Gene names]:[Gene names]] = Table1[[Gene names]:[Gene names]])*1, 0))</f>
        <v>2.1500000000000001E-5</v>
      </c>
      <c r="H64" cm="1">
        <f t="array" ref="H64">INDEX(Table1[riBAQ 21], MATCH(1, (Table3[[#This Row],[Gene names]:[Gene names]] = Table1[[Gene names]:[Gene names]])*1, 0))</f>
        <v>2.9200000000000002E-5</v>
      </c>
      <c r="I64" cm="1">
        <f t="array" ref="I64">INDEX(Table1[riBAQ 22], MATCH(1, (Table3[[#This Row],[Gene names]:[Gene names]] = Table1[[Gene names]:[Gene names]])*1, 0))</f>
        <v>2.1800000000000001E-5</v>
      </c>
      <c r="J64" cm="1">
        <f t="array" ref="J64">INDEX(Table1[riBAQ 23], MATCH(1, (Table3[[#This Row],[Gene names]:[Gene names]] = Table1[[Gene names]:[Gene names]])*1, 0))</f>
        <v>2.05E-5</v>
      </c>
      <c r="K64" cm="1">
        <f t="array" ref="K64">INDEX(Table1[riBAQ 37], MATCH(1, (Table3[[#This Row],[Gene names]:[Gene names]] = Table1[[Gene names]:[Gene names]])*1, 0))</f>
        <v>1.0900000000000001E-5</v>
      </c>
      <c r="L64" cm="1">
        <f t="array" ref="L64">INDEX(Table1[riBAQ 38], MATCH(1, (Table3[[#This Row],[Gene names]:[Gene names]] = Table1[[Gene names]:[Gene names]])*1, 0))</f>
        <v>2.0000000000000002E-5</v>
      </c>
      <c r="M64" cm="1">
        <f t="array" ref="M64">INDEX(Table1[riBAQ 39], MATCH(1, (Table3[[#This Row],[Gene names]:[Gene names]] = Table1[[Gene names]:[Gene names]])*1, 0))</f>
        <v>2.5700000000000001E-5</v>
      </c>
      <c r="N64" cm="1">
        <f t="array" ref="N64">INDEX(Table1[riBAQ 40], MATCH(1, (Table3[[#This Row],[Gene names]:[Gene names]] = Table1[[Gene names]:[Gene names]])*1, 0))</f>
        <v>2.0100000000000001E-5</v>
      </c>
      <c r="O64" cm="1">
        <f t="array" ref="O64">INDEX(Table1[riBAQ 41], MATCH(1, (Table3[[#This Row],[Gene names]:[Gene names]] = Table1[[Gene names]:[Gene names]])*1, 0))</f>
        <v>2.1100000000000001E-5</v>
      </c>
      <c r="P64" cm="1">
        <f t="array" ref="P64">INDEX(Table1[riBAQ 24], MATCH(1, (Table3[[#This Row],[Gene names]:[Gene names]] = Table1[[Gene names]:[Gene names]])*1, 0))</f>
        <v>1.5299999999999999E-5</v>
      </c>
      <c r="Q64" cm="1">
        <f t="array" ref="Q64">INDEX(Table1[riBAQ 25], MATCH(1, (Table3[[#This Row],[Gene names]:[Gene names]] = Table1[[Gene names]:[Gene names]])*1, 0))</f>
        <v>3.6699999999999998E-5</v>
      </c>
      <c r="R64" cm="1">
        <f t="array" ref="R64">INDEX(Table1[riBAQ 26], MATCH(1, (Table3[[#This Row],[Gene names]:[Gene names]] = Table1[[Gene names]:[Gene names]])*1, 0))</f>
        <v>4.0299999999999997E-5</v>
      </c>
      <c r="S64" cm="1">
        <f t="array" ref="S64">INDEX(Table1[riBAQ 42], MATCH(1, (Table3[[#This Row],[Gene names]:[Gene names]] = Table1[[Gene names]:[Gene names]])*1, 0))</f>
        <v>1.95E-5</v>
      </c>
      <c r="T64" cm="1">
        <f t="array" ref="T64">INDEX(Table1[riBAQ 43], MATCH(1, (Table3[[#This Row],[Gene names]:[Gene names]] = Table1[[Gene names]:[Gene names]])*1, 0))</f>
        <v>2.7900000000000001E-5</v>
      </c>
    </row>
    <row r="65" spans="1:20" x14ac:dyDescent="0.25">
      <c r="A65" t="s">
        <v>885</v>
      </c>
      <c r="B65" cm="1">
        <f t="array" ref="B65">INDEX(Table1[riBAQ 17], MATCH(1, (Table3[[#This Row],[Gene names]:[Gene names]] = Table1[[Gene names]:[Gene names]])*1, 0))</f>
        <v>0</v>
      </c>
      <c r="C65" cm="1">
        <f t="array" ref="C65">INDEX(Table1[riBAQ 18], MATCH(1, (Table3[[#This Row],[Gene names]:[Gene names]] = Table1[[Gene names]:[Gene names]])*1, 0))</f>
        <v>0</v>
      </c>
      <c r="D65" cm="1">
        <f t="array" ref="D65">INDEX(Table1[riBAQ 35], MATCH(1, (Table3[[#This Row],[Gene names]:[Gene names]] = Table1[[Gene names]:[Gene names]])*1, 0))</f>
        <v>0</v>
      </c>
      <c r="E65" cm="1">
        <f t="array" ref="E65">INDEX(Table1[riBAQ 36], MATCH(1, (Table3[[#This Row],[Gene names]:[Gene names]] = Table1[[Gene names]:[Gene names]])*1, 0))</f>
        <v>0</v>
      </c>
      <c r="F65" cm="1">
        <f t="array" ref="F65">INDEX(Table1[riBAQ 19], MATCH(1, (Table3[[#This Row],[Gene names]:[Gene names]] = Table1[[Gene names]:[Gene names]])*1, 0))</f>
        <v>0</v>
      </c>
      <c r="G65" cm="1">
        <f t="array" ref="G65">INDEX(Table1[riBAQ 20], MATCH(1, (Table3[[#This Row],[Gene names]:[Gene names]] = Table1[[Gene names]:[Gene names]])*1, 0))</f>
        <v>0</v>
      </c>
      <c r="H65" cm="1">
        <f t="array" ref="H65">INDEX(Table1[riBAQ 21], MATCH(1, (Table3[[#This Row],[Gene names]:[Gene names]] = Table1[[Gene names]:[Gene names]])*1, 0))</f>
        <v>0</v>
      </c>
      <c r="I65" cm="1">
        <f t="array" ref="I65">INDEX(Table1[riBAQ 22], MATCH(1, (Table3[[#This Row],[Gene names]:[Gene names]] = Table1[[Gene names]:[Gene names]])*1, 0))</f>
        <v>0</v>
      </c>
      <c r="J65" cm="1">
        <f t="array" ref="J65">INDEX(Table1[riBAQ 23], MATCH(1, (Table3[[#This Row],[Gene names]:[Gene names]] = Table1[[Gene names]:[Gene names]])*1, 0))</f>
        <v>0</v>
      </c>
      <c r="K65" cm="1">
        <f t="array" ref="K65">INDEX(Table1[riBAQ 37], MATCH(1, (Table3[[#This Row],[Gene names]:[Gene names]] = Table1[[Gene names]:[Gene names]])*1, 0))</f>
        <v>0</v>
      </c>
      <c r="L65" cm="1">
        <f t="array" ref="L65">INDEX(Table1[riBAQ 38], MATCH(1, (Table3[[#This Row],[Gene names]:[Gene names]] = Table1[[Gene names]:[Gene names]])*1, 0))</f>
        <v>0</v>
      </c>
      <c r="M65" cm="1">
        <f t="array" ref="M65">INDEX(Table1[riBAQ 39], MATCH(1, (Table3[[#This Row],[Gene names]:[Gene names]] = Table1[[Gene names]:[Gene names]])*1, 0))</f>
        <v>0</v>
      </c>
      <c r="N65" cm="1">
        <f t="array" ref="N65">INDEX(Table1[riBAQ 40], MATCH(1, (Table3[[#This Row],[Gene names]:[Gene names]] = Table1[[Gene names]:[Gene names]])*1, 0))</f>
        <v>0</v>
      </c>
      <c r="O65" cm="1">
        <f t="array" ref="O65">INDEX(Table1[riBAQ 41], MATCH(1, (Table3[[#This Row],[Gene names]:[Gene names]] = Table1[[Gene names]:[Gene names]])*1, 0))</f>
        <v>0</v>
      </c>
      <c r="P65" cm="1">
        <f t="array" ref="P65">INDEX(Table1[riBAQ 24], MATCH(1, (Table3[[#This Row],[Gene names]:[Gene names]] = Table1[[Gene names]:[Gene names]])*1, 0))</f>
        <v>0</v>
      </c>
      <c r="Q65" cm="1">
        <f t="array" ref="Q65">INDEX(Table1[riBAQ 25], MATCH(1, (Table3[[#This Row],[Gene names]:[Gene names]] = Table1[[Gene names]:[Gene names]])*1, 0))</f>
        <v>6.7900000000000002E-6</v>
      </c>
      <c r="R65" cm="1">
        <f t="array" ref="R65">INDEX(Table1[riBAQ 26], MATCH(1, (Table3[[#This Row],[Gene names]:[Gene names]] = Table1[[Gene names]:[Gene names]])*1, 0))</f>
        <v>8.0700000000000007E-6</v>
      </c>
      <c r="S65" cm="1">
        <f t="array" ref="S65">INDEX(Table1[riBAQ 42], MATCH(1, (Table3[[#This Row],[Gene names]:[Gene names]] = Table1[[Gene names]:[Gene names]])*1, 0))</f>
        <v>4.6399999999999996E-6</v>
      </c>
      <c r="T65" cm="1">
        <f t="array" ref="T65">INDEX(Table1[riBAQ 43], MATCH(1, (Table3[[#This Row],[Gene names]:[Gene names]] = Table1[[Gene names]:[Gene names]])*1, 0))</f>
        <v>7.4499999999999998E-6</v>
      </c>
    </row>
    <row r="66" spans="1:20" x14ac:dyDescent="0.25">
      <c r="A66" t="s">
        <v>154</v>
      </c>
      <c r="B66" cm="1">
        <f t="array" ref="B66">INDEX(Table1[riBAQ 17], MATCH(1, (Table3[[#This Row],[Gene names]:[Gene names]] = Table1[[Gene names]:[Gene names]])*1, 0))</f>
        <v>1.2E-5</v>
      </c>
      <c r="C66" cm="1">
        <f t="array" ref="C66">INDEX(Table1[riBAQ 18], MATCH(1, (Table3[[#This Row],[Gene names]:[Gene names]] = Table1[[Gene names]:[Gene names]])*1, 0))</f>
        <v>0</v>
      </c>
      <c r="D66" cm="1">
        <f t="array" ref="D66">INDEX(Table1[riBAQ 35], MATCH(1, (Table3[[#This Row],[Gene names]:[Gene names]] = Table1[[Gene names]:[Gene names]])*1, 0))</f>
        <v>8.3100000000000001E-6</v>
      </c>
      <c r="E66" cm="1">
        <f t="array" ref="E66">INDEX(Table1[riBAQ 36], MATCH(1, (Table3[[#This Row],[Gene names]:[Gene names]] = Table1[[Gene names]:[Gene names]])*1, 0))</f>
        <v>0</v>
      </c>
      <c r="F66" cm="1">
        <f t="array" ref="F66">INDEX(Table1[riBAQ 19], MATCH(1, (Table3[[#This Row],[Gene names]:[Gene names]] = Table1[[Gene names]:[Gene names]])*1, 0))</f>
        <v>0</v>
      </c>
      <c r="G66" cm="1">
        <f t="array" ref="G66">INDEX(Table1[riBAQ 20], MATCH(1, (Table3[[#This Row],[Gene names]:[Gene names]] = Table1[[Gene names]:[Gene names]])*1, 0))</f>
        <v>0</v>
      </c>
      <c r="H66" cm="1">
        <f t="array" ref="H66">INDEX(Table1[riBAQ 21], MATCH(1, (Table3[[#This Row],[Gene names]:[Gene names]] = Table1[[Gene names]:[Gene names]])*1, 0))</f>
        <v>8.4300000000000006E-6</v>
      </c>
      <c r="I66" cm="1">
        <f t="array" ref="I66">INDEX(Table1[riBAQ 22], MATCH(1, (Table3[[#This Row],[Gene names]:[Gene names]] = Table1[[Gene names]:[Gene names]])*1, 0))</f>
        <v>0</v>
      </c>
      <c r="J66" cm="1">
        <f t="array" ref="J66">INDEX(Table1[riBAQ 23], MATCH(1, (Table3[[#This Row],[Gene names]:[Gene names]] = Table1[[Gene names]:[Gene names]])*1, 0))</f>
        <v>9.0000000000000002E-6</v>
      </c>
      <c r="K66" cm="1">
        <f t="array" ref="K66">INDEX(Table1[riBAQ 37], MATCH(1, (Table3[[#This Row],[Gene names]:[Gene names]] = Table1[[Gene names]:[Gene names]])*1, 0))</f>
        <v>0</v>
      </c>
      <c r="L66" cm="1">
        <f t="array" ref="L66">INDEX(Table1[riBAQ 38], MATCH(1, (Table3[[#This Row],[Gene names]:[Gene names]] = Table1[[Gene names]:[Gene names]])*1, 0))</f>
        <v>0</v>
      </c>
      <c r="M66" cm="1">
        <f t="array" ref="M66">INDEX(Table1[riBAQ 39], MATCH(1, (Table3[[#This Row],[Gene names]:[Gene names]] = Table1[[Gene names]:[Gene names]])*1, 0))</f>
        <v>0</v>
      </c>
      <c r="N66" cm="1">
        <f t="array" ref="N66">INDEX(Table1[riBAQ 40], MATCH(1, (Table3[[#This Row],[Gene names]:[Gene names]] = Table1[[Gene names]:[Gene names]])*1, 0))</f>
        <v>0</v>
      </c>
      <c r="O66" cm="1">
        <f t="array" ref="O66">INDEX(Table1[riBAQ 41], MATCH(1, (Table3[[#This Row],[Gene names]:[Gene names]] = Table1[[Gene names]:[Gene names]])*1, 0))</f>
        <v>0</v>
      </c>
      <c r="P66" cm="1">
        <f t="array" ref="P66">INDEX(Table1[riBAQ 24], MATCH(1, (Table3[[#This Row],[Gene names]:[Gene names]] = Table1[[Gene names]:[Gene names]])*1, 0))</f>
        <v>0</v>
      </c>
      <c r="Q66" cm="1">
        <f t="array" ref="Q66">INDEX(Table1[riBAQ 25], MATCH(1, (Table3[[#This Row],[Gene names]:[Gene names]] = Table1[[Gene names]:[Gene names]])*1, 0))</f>
        <v>1.2099999999999999E-5</v>
      </c>
      <c r="R66" cm="1">
        <f t="array" ref="R66">INDEX(Table1[riBAQ 26], MATCH(1, (Table3[[#This Row],[Gene names]:[Gene names]] = Table1[[Gene names]:[Gene names]])*1, 0))</f>
        <v>1.33E-5</v>
      </c>
      <c r="S66" cm="1">
        <f t="array" ref="S66">INDEX(Table1[riBAQ 42], MATCH(1, (Table3[[#This Row],[Gene names]:[Gene names]] = Table1[[Gene names]:[Gene names]])*1, 0))</f>
        <v>1.3200000000000001E-5</v>
      </c>
      <c r="T66" cm="1">
        <f t="array" ref="T66">INDEX(Table1[riBAQ 43], MATCH(1, (Table3[[#This Row],[Gene names]:[Gene names]] = Table1[[Gene names]:[Gene names]])*1, 0))</f>
        <v>1.88E-5</v>
      </c>
    </row>
    <row r="67" spans="1:20" x14ac:dyDescent="0.25">
      <c r="A67" t="s">
        <v>88</v>
      </c>
      <c r="B67" cm="1">
        <f t="array" ref="B67">INDEX(Table1[riBAQ 17], MATCH(1, (Table3[[#This Row],[Gene names]:[Gene names]] = Table1[[Gene names]:[Gene names]])*1, 0))</f>
        <v>6.9200000000000002E-5</v>
      </c>
      <c r="C67" cm="1">
        <f t="array" ref="C67">INDEX(Table1[riBAQ 18], MATCH(1, (Table3[[#This Row],[Gene names]:[Gene names]] = Table1[[Gene names]:[Gene names]])*1, 0))</f>
        <v>2.41E-5</v>
      </c>
      <c r="D67" cm="1">
        <f t="array" ref="D67">INDEX(Table1[riBAQ 35], MATCH(1, (Table3[[#This Row],[Gene names]:[Gene names]] = Table1[[Gene names]:[Gene names]])*1, 0))</f>
        <v>1.9300000000000002E-5</v>
      </c>
      <c r="E67" cm="1">
        <f t="array" ref="E67">INDEX(Table1[riBAQ 36], MATCH(1, (Table3[[#This Row],[Gene names]:[Gene names]] = Table1[[Gene names]:[Gene names]])*1, 0))</f>
        <v>2.23E-5</v>
      </c>
      <c r="F67" cm="1">
        <f t="array" ref="F67">INDEX(Table1[riBAQ 19], MATCH(1, (Table3[[#This Row],[Gene names]:[Gene names]] = Table1[[Gene names]:[Gene names]])*1, 0))</f>
        <v>6.97E-5</v>
      </c>
      <c r="G67" cm="1">
        <f t="array" ref="G67">INDEX(Table1[riBAQ 20], MATCH(1, (Table3[[#This Row],[Gene names]:[Gene names]] = Table1[[Gene names]:[Gene names]])*1, 0))</f>
        <v>1.0798699999999999E-4</v>
      </c>
      <c r="H67" cm="1">
        <f t="array" ref="H67">INDEX(Table1[riBAQ 21], MATCH(1, (Table3[[#This Row],[Gene names]:[Gene names]] = Table1[[Gene names]:[Gene names]])*1, 0))</f>
        <v>5.5500000000000001E-5</v>
      </c>
      <c r="I67" cm="1">
        <f t="array" ref="I67">INDEX(Table1[riBAQ 22], MATCH(1, (Table3[[#This Row],[Gene names]:[Gene names]] = Table1[[Gene names]:[Gene names]])*1, 0))</f>
        <v>6.2100000000000005E-5</v>
      </c>
      <c r="J67" cm="1">
        <f t="array" ref="J67">INDEX(Table1[riBAQ 23], MATCH(1, (Table3[[#This Row],[Gene names]:[Gene names]] = Table1[[Gene names]:[Gene names]])*1, 0))</f>
        <v>1.2846999999999999E-4</v>
      </c>
      <c r="K67" cm="1">
        <f t="array" ref="K67">INDEX(Table1[riBAQ 37], MATCH(1, (Table3[[#This Row],[Gene names]:[Gene names]] = Table1[[Gene names]:[Gene names]])*1, 0))</f>
        <v>7.1500000000000003E-5</v>
      </c>
      <c r="L67" cm="1">
        <f t="array" ref="L67">INDEX(Table1[riBAQ 38], MATCH(1, (Table3[[#This Row],[Gene names]:[Gene names]] = Table1[[Gene names]:[Gene names]])*1, 0))</f>
        <v>4.6799999999999999E-5</v>
      </c>
      <c r="M67" cm="1">
        <f t="array" ref="M67">INDEX(Table1[riBAQ 39], MATCH(1, (Table3[[#This Row],[Gene names]:[Gene names]] = Table1[[Gene names]:[Gene names]])*1, 0))</f>
        <v>1.53502E-4</v>
      </c>
      <c r="N67" cm="1">
        <f t="array" ref="N67">INDEX(Table1[riBAQ 40], MATCH(1, (Table3[[#This Row],[Gene names]:[Gene names]] = Table1[[Gene names]:[Gene names]])*1, 0))</f>
        <v>8.2200000000000006E-5</v>
      </c>
      <c r="O67" cm="1">
        <f t="array" ref="O67">INDEX(Table1[riBAQ 41], MATCH(1, (Table3[[#This Row],[Gene names]:[Gene names]] = Table1[[Gene names]:[Gene names]])*1, 0))</f>
        <v>7.2600000000000003E-5</v>
      </c>
      <c r="P67" cm="1">
        <f t="array" ref="P67">INDEX(Table1[riBAQ 24], MATCH(1, (Table3[[#This Row],[Gene names]:[Gene names]] = Table1[[Gene names]:[Gene names]])*1, 0))</f>
        <v>2.31468E-4</v>
      </c>
      <c r="Q67" cm="1">
        <f t="array" ref="Q67">INDEX(Table1[riBAQ 25], MATCH(1, (Table3[[#This Row],[Gene names]:[Gene names]] = Table1[[Gene names]:[Gene names]])*1, 0))</f>
        <v>2.0351000000000001E-4</v>
      </c>
      <c r="R67" cm="1">
        <f t="array" ref="R67">INDEX(Table1[riBAQ 26], MATCH(1, (Table3[[#This Row],[Gene names]:[Gene names]] = Table1[[Gene names]:[Gene names]])*1, 0))</f>
        <v>3.3279199999999999E-4</v>
      </c>
      <c r="S67" cm="1">
        <f t="array" ref="S67">INDEX(Table1[riBAQ 42], MATCH(1, (Table3[[#This Row],[Gene names]:[Gene names]] = Table1[[Gene names]:[Gene names]])*1, 0))</f>
        <v>4.70514E-4</v>
      </c>
      <c r="T67" cm="1">
        <f t="array" ref="T67">INDEX(Table1[riBAQ 43], MATCH(1, (Table3[[#This Row],[Gene names]:[Gene names]] = Table1[[Gene names]:[Gene names]])*1, 0))</f>
        <v>2.37328E-4</v>
      </c>
    </row>
    <row r="68" spans="1:20" x14ac:dyDescent="0.25">
      <c r="A68" t="s">
        <v>651</v>
      </c>
      <c r="B68" cm="1">
        <f t="array" ref="B68">INDEX(Table1[riBAQ 17], MATCH(1, (Table3[[#This Row],[Gene names]:[Gene names]] = Table1[[Gene names]:[Gene names]])*1, 0))</f>
        <v>0</v>
      </c>
      <c r="C68" cm="1">
        <f t="array" ref="C68">INDEX(Table1[riBAQ 18], MATCH(1, (Table3[[#This Row],[Gene names]:[Gene names]] = Table1[[Gene names]:[Gene names]])*1, 0))</f>
        <v>0</v>
      </c>
      <c r="D68" cm="1">
        <f t="array" ref="D68">INDEX(Table1[riBAQ 35], MATCH(1, (Table3[[#This Row],[Gene names]:[Gene names]] = Table1[[Gene names]:[Gene names]])*1, 0))</f>
        <v>0</v>
      </c>
      <c r="E68" cm="1">
        <f t="array" ref="E68">INDEX(Table1[riBAQ 36], MATCH(1, (Table3[[#This Row],[Gene names]:[Gene names]] = Table1[[Gene names]:[Gene names]])*1, 0))</f>
        <v>0</v>
      </c>
      <c r="F68" cm="1">
        <f t="array" ref="F68">INDEX(Table1[riBAQ 19], MATCH(1, (Table3[[#This Row],[Gene names]:[Gene names]] = Table1[[Gene names]:[Gene names]])*1, 0))</f>
        <v>0</v>
      </c>
      <c r="G68" cm="1">
        <f t="array" ref="G68">INDEX(Table1[riBAQ 20], MATCH(1, (Table3[[#This Row],[Gene names]:[Gene names]] = Table1[[Gene names]:[Gene names]])*1, 0))</f>
        <v>0</v>
      </c>
      <c r="H68" cm="1">
        <f t="array" ref="H68">INDEX(Table1[riBAQ 21], MATCH(1, (Table3[[#This Row],[Gene names]:[Gene names]] = Table1[[Gene names]:[Gene names]])*1, 0))</f>
        <v>0</v>
      </c>
      <c r="I68" cm="1">
        <f t="array" ref="I68">INDEX(Table1[riBAQ 22], MATCH(1, (Table3[[#This Row],[Gene names]:[Gene names]] = Table1[[Gene names]:[Gene names]])*1, 0))</f>
        <v>1.36E-5</v>
      </c>
      <c r="J68" cm="1">
        <f t="array" ref="J68">INDEX(Table1[riBAQ 23], MATCH(1, (Table3[[#This Row],[Gene names]:[Gene names]] = Table1[[Gene names]:[Gene names]])*1, 0))</f>
        <v>9.5699999999999999E-6</v>
      </c>
      <c r="K68" cm="1">
        <f t="array" ref="K68">INDEX(Table1[riBAQ 37], MATCH(1, (Table3[[#This Row],[Gene names]:[Gene names]] = Table1[[Gene names]:[Gene names]])*1, 0))</f>
        <v>0</v>
      </c>
      <c r="L68" cm="1">
        <f t="array" ref="L68">INDEX(Table1[riBAQ 38], MATCH(1, (Table3[[#This Row],[Gene names]:[Gene names]] = Table1[[Gene names]:[Gene names]])*1, 0))</f>
        <v>0</v>
      </c>
      <c r="M68" cm="1">
        <f t="array" ref="M68">INDEX(Table1[riBAQ 39], MATCH(1, (Table3[[#This Row],[Gene names]:[Gene names]] = Table1[[Gene names]:[Gene names]])*1, 0))</f>
        <v>0</v>
      </c>
      <c r="N68" cm="1">
        <f t="array" ref="N68">INDEX(Table1[riBAQ 40], MATCH(1, (Table3[[#This Row],[Gene names]:[Gene names]] = Table1[[Gene names]:[Gene names]])*1, 0))</f>
        <v>0</v>
      </c>
      <c r="O68" cm="1">
        <f t="array" ref="O68">INDEX(Table1[riBAQ 41], MATCH(1, (Table3[[#This Row],[Gene names]:[Gene names]] = Table1[[Gene names]:[Gene names]])*1, 0))</f>
        <v>0</v>
      </c>
      <c r="P68" cm="1">
        <f t="array" ref="P68">INDEX(Table1[riBAQ 24], MATCH(1, (Table3[[#This Row],[Gene names]:[Gene names]] = Table1[[Gene names]:[Gene names]])*1, 0))</f>
        <v>0</v>
      </c>
      <c r="Q68" cm="1">
        <f t="array" ref="Q68">INDEX(Table1[riBAQ 25], MATCH(1, (Table3[[#This Row],[Gene names]:[Gene names]] = Table1[[Gene names]:[Gene names]])*1, 0))</f>
        <v>2.4199999999999999E-5</v>
      </c>
      <c r="R68" cm="1">
        <f t="array" ref="R68">INDEX(Table1[riBAQ 26], MATCH(1, (Table3[[#This Row],[Gene names]:[Gene names]] = Table1[[Gene names]:[Gene names]])*1, 0))</f>
        <v>4.9299999999999999E-5</v>
      </c>
      <c r="S68" cm="1">
        <f t="array" ref="S68">INDEX(Table1[riBAQ 42], MATCH(1, (Table3[[#This Row],[Gene names]:[Gene names]] = Table1[[Gene names]:[Gene names]])*1, 0))</f>
        <v>2.2500000000000001E-5</v>
      </c>
      <c r="T68" cm="1">
        <f t="array" ref="T68">INDEX(Table1[riBAQ 43], MATCH(1, (Table3[[#This Row],[Gene names]:[Gene names]] = Table1[[Gene names]:[Gene names]])*1, 0))</f>
        <v>8.0399999999999993E-6</v>
      </c>
    </row>
    <row r="69" spans="1:20" x14ac:dyDescent="0.25">
      <c r="A69" t="s">
        <v>1130</v>
      </c>
      <c r="B69" cm="1">
        <f t="array" ref="B69">INDEX(Table1[riBAQ 17], MATCH(1, (Table3[[#This Row],[Gene names]:[Gene names]] = Table1[[Gene names]:[Gene names]])*1, 0))</f>
        <v>1.08E-5</v>
      </c>
      <c r="C69" cm="1">
        <f t="array" ref="C69">INDEX(Table1[riBAQ 18], MATCH(1, (Table3[[#This Row],[Gene names]:[Gene names]] = Table1[[Gene names]:[Gene names]])*1, 0))</f>
        <v>1.7900000000000001E-5</v>
      </c>
      <c r="D69" cm="1">
        <f t="array" ref="D69">INDEX(Table1[riBAQ 35], MATCH(1, (Table3[[#This Row],[Gene names]:[Gene names]] = Table1[[Gene names]:[Gene names]])*1, 0))</f>
        <v>1.6900000000000001E-5</v>
      </c>
      <c r="E69" cm="1">
        <f t="array" ref="E69">INDEX(Table1[riBAQ 36], MATCH(1, (Table3[[#This Row],[Gene names]:[Gene names]] = Table1[[Gene names]:[Gene names]])*1, 0))</f>
        <v>1.7099999999999999E-5</v>
      </c>
      <c r="F69" cm="1">
        <f t="array" ref="F69">INDEX(Table1[riBAQ 19], MATCH(1, (Table3[[#This Row],[Gene names]:[Gene names]] = Table1[[Gene names]:[Gene names]])*1, 0))</f>
        <v>1.45E-5</v>
      </c>
      <c r="G69" cm="1">
        <f t="array" ref="G69">INDEX(Table1[riBAQ 20], MATCH(1, (Table3[[#This Row],[Gene names]:[Gene names]] = Table1[[Gene names]:[Gene names]])*1, 0))</f>
        <v>2.3E-5</v>
      </c>
      <c r="H69" cm="1">
        <f t="array" ref="H69">INDEX(Table1[riBAQ 21], MATCH(1, (Table3[[#This Row],[Gene names]:[Gene names]] = Table1[[Gene names]:[Gene names]])*1, 0))</f>
        <v>1.84E-5</v>
      </c>
      <c r="I69" cm="1">
        <f t="array" ref="I69">INDEX(Table1[riBAQ 22], MATCH(1, (Table3[[#This Row],[Gene names]:[Gene names]] = Table1[[Gene names]:[Gene names]])*1, 0))</f>
        <v>9.8200000000000008E-6</v>
      </c>
      <c r="J69" cm="1">
        <f t="array" ref="J69">INDEX(Table1[riBAQ 23], MATCH(1, (Table3[[#This Row],[Gene names]:[Gene names]] = Table1[[Gene names]:[Gene names]])*1, 0))</f>
        <v>9.3100000000000006E-6</v>
      </c>
      <c r="K69" cm="1">
        <f t="array" ref="K69">INDEX(Table1[riBAQ 37], MATCH(1, (Table3[[#This Row],[Gene names]:[Gene names]] = Table1[[Gene names]:[Gene names]])*1, 0))</f>
        <v>1.29E-5</v>
      </c>
      <c r="L69" cm="1">
        <f t="array" ref="L69">INDEX(Table1[riBAQ 38], MATCH(1, (Table3[[#This Row],[Gene names]:[Gene names]] = Table1[[Gene names]:[Gene names]])*1, 0))</f>
        <v>1.8099999999999999E-5</v>
      </c>
      <c r="M69" cm="1">
        <f t="array" ref="M69">INDEX(Table1[riBAQ 39], MATCH(1, (Table3[[#This Row],[Gene names]:[Gene names]] = Table1[[Gene names]:[Gene names]])*1, 0))</f>
        <v>1.29E-5</v>
      </c>
      <c r="N69" cm="1">
        <f t="array" ref="N69">INDEX(Table1[riBAQ 40], MATCH(1, (Table3[[#This Row],[Gene names]:[Gene names]] = Table1[[Gene names]:[Gene names]])*1, 0))</f>
        <v>1.33E-5</v>
      </c>
      <c r="O69" cm="1">
        <f t="array" ref="O69">INDEX(Table1[riBAQ 41], MATCH(1, (Table3[[#This Row],[Gene names]:[Gene names]] = Table1[[Gene names]:[Gene names]])*1, 0))</f>
        <v>1.1E-5</v>
      </c>
      <c r="P69" cm="1">
        <f t="array" ref="P69">INDEX(Table1[riBAQ 24], MATCH(1, (Table3[[#This Row],[Gene names]:[Gene names]] = Table1[[Gene names]:[Gene names]])*1, 0))</f>
        <v>2.4600000000000002E-5</v>
      </c>
      <c r="Q69" cm="1">
        <f t="array" ref="Q69">INDEX(Table1[riBAQ 25], MATCH(1, (Table3[[#This Row],[Gene names]:[Gene names]] = Table1[[Gene names]:[Gene names]])*1, 0))</f>
        <v>2.62E-5</v>
      </c>
      <c r="R69" cm="1">
        <f t="array" ref="R69">INDEX(Table1[riBAQ 26], MATCH(1, (Table3[[#This Row],[Gene names]:[Gene names]] = Table1[[Gene names]:[Gene names]])*1, 0))</f>
        <v>2.2900000000000001E-5</v>
      </c>
      <c r="S69" cm="1">
        <f t="array" ref="S69">INDEX(Table1[riBAQ 42], MATCH(1, (Table3[[#This Row],[Gene names]:[Gene names]] = Table1[[Gene names]:[Gene names]])*1, 0))</f>
        <v>2.5199999999999999E-5</v>
      </c>
      <c r="T69" cm="1">
        <f t="array" ref="T69">INDEX(Table1[riBAQ 43], MATCH(1, (Table3[[#This Row],[Gene names]:[Gene names]] = Table1[[Gene names]:[Gene names]])*1, 0))</f>
        <v>2.9899999999999998E-5</v>
      </c>
    </row>
    <row r="70" spans="1:20" x14ac:dyDescent="0.25">
      <c r="A70" t="s">
        <v>1389</v>
      </c>
      <c r="B70" cm="1">
        <f t="array" ref="B70">INDEX(Table1[riBAQ 17], MATCH(1, (Table3[[#This Row],[Gene names]:[Gene names]] = Table1[[Gene names]:[Gene names]])*1, 0))</f>
        <v>7.5799999999999999E-5</v>
      </c>
      <c r="C70" cm="1">
        <f t="array" ref="C70">INDEX(Table1[riBAQ 18], MATCH(1, (Table3[[#This Row],[Gene names]:[Gene names]] = Table1[[Gene names]:[Gene names]])*1, 0))</f>
        <v>6.3700000000000003E-5</v>
      </c>
      <c r="D70" cm="1">
        <f t="array" ref="D70">INDEX(Table1[riBAQ 35], MATCH(1, (Table3[[#This Row],[Gene names]:[Gene names]] = Table1[[Gene names]:[Gene names]])*1, 0))</f>
        <v>6.1799999999999998E-5</v>
      </c>
      <c r="E70" cm="1">
        <f t="array" ref="E70">INDEX(Table1[riBAQ 36], MATCH(1, (Table3[[#This Row],[Gene names]:[Gene names]] = Table1[[Gene names]:[Gene names]])*1, 0))</f>
        <v>7.6100000000000007E-5</v>
      </c>
      <c r="F70" cm="1">
        <f t="array" ref="F70">INDEX(Table1[riBAQ 19], MATCH(1, (Table3[[#This Row],[Gene names]:[Gene names]] = Table1[[Gene names]:[Gene names]])*1, 0))</f>
        <v>1.11086E-4</v>
      </c>
      <c r="G70" cm="1">
        <f t="array" ref="G70">INDEX(Table1[riBAQ 20], MATCH(1, (Table3[[#This Row],[Gene names]:[Gene names]] = Table1[[Gene names]:[Gene names]])*1, 0))</f>
        <v>7.6299999999999998E-5</v>
      </c>
      <c r="H70" cm="1">
        <f t="array" ref="H70">INDEX(Table1[riBAQ 21], MATCH(1, (Table3[[#This Row],[Gene names]:[Gene names]] = Table1[[Gene names]:[Gene names]])*1, 0))</f>
        <v>7.64E-5</v>
      </c>
      <c r="I70" cm="1">
        <f t="array" ref="I70">INDEX(Table1[riBAQ 22], MATCH(1, (Table3[[#This Row],[Gene names]:[Gene names]] = Table1[[Gene names]:[Gene names]])*1, 0))</f>
        <v>8.7000000000000001E-5</v>
      </c>
      <c r="J70" cm="1">
        <f t="array" ref="J70">INDEX(Table1[riBAQ 23], MATCH(1, (Table3[[#This Row],[Gene names]:[Gene names]] = Table1[[Gene names]:[Gene names]])*1, 0))</f>
        <v>6.5699999999999998E-5</v>
      </c>
      <c r="K70" cm="1">
        <f t="array" ref="K70">INDEX(Table1[riBAQ 37], MATCH(1, (Table3[[#This Row],[Gene names]:[Gene names]] = Table1[[Gene names]:[Gene names]])*1, 0))</f>
        <v>6.0300000000000002E-5</v>
      </c>
      <c r="L70" cm="1">
        <f t="array" ref="L70">INDEX(Table1[riBAQ 38], MATCH(1, (Table3[[#This Row],[Gene names]:[Gene names]] = Table1[[Gene names]:[Gene names]])*1, 0))</f>
        <v>6.9499999999999995E-5</v>
      </c>
      <c r="M70" cm="1">
        <f t="array" ref="M70">INDEX(Table1[riBAQ 39], MATCH(1, (Table3[[#This Row],[Gene names]:[Gene names]] = Table1[[Gene names]:[Gene names]])*1, 0))</f>
        <v>7.8499999999999997E-5</v>
      </c>
      <c r="N70" cm="1">
        <f t="array" ref="N70">INDEX(Table1[riBAQ 40], MATCH(1, (Table3[[#This Row],[Gene names]:[Gene names]] = Table1[[Gene names]:[Gene names]])*1, 0))</f>
        <v>4.5099999999999998E-5</v>
      </c>
      <c r="O70" cm="1">
        <f t="array" ref="O70">INDEX(Table1[riBAQ 41], MATCH(1, (Table3[[#This Row],[Gene names]:[Gene names]] = Table1[[Gene names]:[Gene names]])*1, 0))</f>
        <v>5.66E-5</v>
      </c>
      <c r="P70" cm="1">
        <f t="array" ref="P70">INDEX(Table1[riBAQ 24], MATCH(1, (Table3[[#This Row],[Gene names]:[Gene names]] = Table1[[Gene names]:[Gene names]])*1, 0))</f>
        <v>1.0158300000000001E-4</v>
      </c>
      <c r="Q70" cm="1">
        <f t="array" ref="Q70">INDEX(Table1[riBAQ 25], MATCH(1, (Table3[[#This Row],[Gene names]:[Gene names]] = Table1[[Gene names]:[Gene names]])*1, 0))</f>
        <v>1.20143E-4</v>
      </c>
      <c r="R70" cm="1">
        <f t="array" ref="R70">INDEX(Table1[riBAQ 26], MATCH(1, (Table3[[#This Row],[Gene names]:[Gene names]] = Table1[[Gene names]:[Gene names]])*1, 0))</f>
        <v>1.18145E-4</v>
      </c>
      <c r="S70" cm="1">
        <f t="array" ref="S70">INDEX(Table1[riBAQ 42], MATCH(1, (Table3[[#This Row],[Gene names]:[Gene names]] = Table1[[Gene names]:[Gene names]])*1, 0))</f>
        <v>1.21353E-4</v>
      </c>
      <c r="T70" cm="1">
        <f t="array" ref="T70">INDEX(Table1[riBAQ 43], MATCH(1, (Table3[[#This Row],[Gene names]:[Gene names]] = Table1[[Gene names]:[Gene names]])*1, 0))</f>
        <v>1.05677E-4</v>
      </c>
    </row>
    <row r="71" spans="1:20" x14ac:dyDescent="0.25">
      <c r="A71" t="s">
        <v>533</v>
      </c>
      <c r="B71" cm="1">
        <f t="array" ref="B71">INDEX(Table1[riBAQ 17], MATCH(1, (Table3[[#This Row],[Gene names]:[Gene names]] = Table1[[Gene names]:[Gene names]])*1, 0))</f>
        <v>0</v>
      </c>
      <c r="C71" cm="1">
        <f t="array" ref="C71">INDEX(Table1[riBAQ 18], MATCH(1, (Table3[[#This Row],[Gene names]:[Gene names]] = Table1[[Gene names]:[Gene names]])*1, 0))</f>
        <v>0</v>
      </c>
      <c r="D71" cm="1">
        <f t="array" ref="D71">INDEX(Table1[riBAQ 35], MATCH(1, (Table3[[#This Row],[Gene names]:[Gene names]] = Table1[[Gene names]:[Gene names]])*1, 0))</f>
        <v>0</v>
      </c>
      <c r="E71" cm="1">
        <f t="array" ref="E71">INDEX(Table1[riBAQ 36], MATCH(1, (Table3[[#This Row],[Gene names]:[Gene names]] = Table1[[Gene names]:[Gene names]])*1, 0))</f>
        <v>0</v>
      </c>
      <c r="F71" cm="1">
        <f t="array" ref="F71">INDEX(Table1[riBAQ 19], MATCH(1, (Table3[[#This Row],[Gene names]:[Gene names]] = Table1[[Gene names]:[Gene names]])*1, 0))</f>
        <v>0</v>
      </c>
      <c r="G71" cm="1">
        <f t="array" ref="G71">INDEX(Table1[riBAQ 20], MATCH(1, (Table3[[#This Row],[Gene names]:[Gene names]] = Table1[[Gene names]:[Gene names]])*1, 0))</f>
        <v>0</v>
      </c>
      <c r="H71" cm="1">
        <f t="array" ref="H71">INDEX(Table1[riBAQ 21], MATCH(1, (Table3[[#This Row],[Gene names]:[Gene names]] = Table1[[Gene names]:[Gene names]])*1, 0))</f>
        <v>0</v>
      </c>
      <c r="I71" cm="1">
        <f t="array" ref="I71">INDEX(Table1[riBAQ 22], MATCH(1, (Table3[[#This Row],[Gene names]:[Gene names]] = Table1[[Gene names]:[Gene names]])*1, 0))</f>
        <v>0</v>
      </c>
      <c r="J71" cm="1">
        <f t="array" ref="J71">INDEX(Table1[riBAQ 23], MATCH(1, (Table3[[#This Row],[Gene names]:[Gene names]] = Table1[[Gene names]:[Gene names]])*1, 0))</f>
        <v>0</v>
      </c>
      <c r="K71" cm="1">
        <f t="array" ref="K71">INDEX(Table1[riBAQ 37], MATCH(1, (Table3[[#This Row],[Gene names]:[Gene names]] = Table1[[Gene names]:[Gene names]])*1, 0))</f>
        <v>0</v>
      </c>
      <c r="L71" cm="1">
        <f t="array" ref="L71">INDEX(Table1[riBAQ 38], MATCH(1, (Table3[[#This Row],[Gene names]:[Gene names]] = Table1[[Gene names]:[Gene names]])*1, 0))</f>
        <v>0</v>
      </c>
      <c r="M71" cm="1">
        <f t="array" ref="M71">INDEX(Table1[riBAQ 39], MATCH(1, (Table3[[#This Row],[Gene names]:[Gene names]] = Table1[[Gene names]:[Gene names]])*1, 0))</f>
        <v>0</v>
      </c>
      <c r="N71" cm="1">
        <f t="array" ref="N71">INDEX(Table1[riBAQ 40], MATCH(1, (Table3[[#This Row],[Gene names]:[Gene names]] = Table1[[Gene names]:[Gene names]])*1, 0))</f>
        <v>0</v>
      </c>
      <c r="O71" cm="1">
        <f t="array" ref="O71">INDEX(Table1[riBAQ 41], MATCH(1, (Table3[[#This Row],[Gene names]:[Gene names]] = Table1[[Gene names]:[Gene names]])*1, 0))</f>
        <v>0</v>
      </c>
      <c r="P71" cm="1">
        <f t="array" ref="P71">INDEX(Table1[riBAQ 24], MATCH(1, (Table3[[#This Row],[Gene names]:[Gene names]] = Table1[[Gene names]:[Gene names]])*1, 0))</f>
        <v>1.1800000000000001E-5</v>
      </c>
      <c r="Q71" cm="1">
        <f t="array" ref="Q71">INDEX(Table1[riBAQ 25], MATCH(1, (Table3[[#This Row],[Gene names]:[Gene names]] = Table1[[Gene names]:[Gene names]])*1, 0))</f>
        <v>2.62E-5</v>
      </c>
      <c r="R71" cm="1">
        <f t="array" ref="R71">INDEX(Table1[riBAQ 26], MATCH(1, (Table3[[#This Row],[Gene names]:[Gene names]] = Table1[[Gene names]:[Gene names]])*1, 0))</f>
        <v>2.0599999999999999E-5</v>
      </c>
      <c r="S71" cm="1">
        <f t="array" ref="S71">INDEX(Table1[riBAQ 42], MATCH(1, (Table3[[#This Row],[Gene names]:[Gene names]] = Table1[[Gene names]:[Gene names]])*1, 0))</f>
        <v>1.7499999999999998E-5</v>
      </c>
      <c r="T71" cm="1">
        <f t="array" ref="T71">INDEX(Table1[riBAQ 43], MATCH(1, (Table3[[#This Row],[Gene names]:[Gene names]] = Table1[[Gene names]:[Gene names]])*1, 0))</f>
        <v>2.8E-5</v>
      </c>
    </row>
    <row r="72" spans="1:20" x14ac:dyDescent="0.25">
      <c r="A72" t="s">
        <v>1128</v>
      </c>
      <c r="B72" cm="1">
        <f t="array" ref="B72">INDEX(Table1[riBAQ 17], MATCH(1, (Table3[[#This Row],[Gene names]:[Gene names]] = Table1[[Gene names]:[Gene names]])*1, 0))</f>
        <v>1.3111500000000001E-4</v>
      </c>
      <c r="C72" cm="1">
        <f t="array" ref="C72">INDEX(Table1[riBAQ 18], MATCH(1, (Table3[[#This Row],[Gene names]:[Gene names]] = Table1[[Gene names]:[Gene names]])*1, 0))</f>
        <v>8.2299999999999995E-5</v>
      </c>
      <c r="D72" cm="1">
        <f t="array" ref="D72">INDEX(Table1[riBAQ 35], MATCH(1, (Table3[[#This Row],[Gene names]:[Gene names]] = Table1[[Gene names]:[Gene names]])*1, 0))</f>
        <v>1.2139899999999999E-4</v>
      </c>
      <c r="E72" cm="1">
        <f t="array" ref="E72">INDEX(Table1[riBAQ 36], MATCH(1, (Table3[[#This Row],[Gene names]:[Gene names]] = Table1[[Gene names]:[Gene names]])*1, 0))</f>
        <v>6.6799999999999997E-5</v>
      </c>
      <c r="F72" cm="1">
        <f t="array" ref="F72">INDEX(Table1[riBAQ 19], MATCH(1, (Table3[[#This Row],[Gene names]:[Gene names]] = Table1[[Gene names]:[Gene names]])*1, 0))</f>
        <v>1.13256E-4</v>
      </c>
      <c r="G72" cm="1">
        <f t="array" ref="G72">INDEX(Table1[riBAQ 20], MATCH(1, (Table3[[#This Row],[Gene names]:[Gene names]] = Table1[[Gene names]:[Gene names]])*1, 0))</f>
        <v>1.6532999999999999E-4</v>
      </c>
      <c r="H72" cm="1">
        <f t="array" ref="H72">INDEX(Table1[riBAQ 21], MATCH(1, (Table3[[#This Row],[Gene names]:[Gene names]] = Table1[[Gene names]:[Gene names]])*1, 0))</f>
        <v>2.6166699999999999E-4</v>
      </c>
      <c r="I72" cm="1">
        <f t="array" ref="I72">INDEX(Table1[riBAQ 22], MATCH(1, (Table3[[#This Row],[Gene names]:[Gene names]] = Table1[[Gene names]:[Gene names]])*1, 0))</f>
        <v>1.0522900000000001E-4</v>
      </c>
      <c r="J72" cm="1">
        <f t="array" ref="J72">INDEX(Table1[riBAQ 23], MATCH(1, (Table3[[#This Row],[Gene names]:[Gene names]] = Table1[[Gene names]:[Gene names]])*1, 0))</f>
        <v>1.0979E-4</v>
      </c>
      <c r="K72" cm="1">
        <f t="array" ref="K72">INDEX(Table1[riBAQ 37], MATCH(1, (Table3[[#This Row],[Gene names]:[Gene names]] = Table1[[Gene names]:[Gene names]])*1, 0))</f>
        <v>8.3200000000000003E-5</v>
      </c>
      <c r="L72" cm="1">
        <f t="array" ref="L72">INDEX(Table1[riBAQ 38], MATCH(1, (Table3[[#This Row],[Gene names]:[Gene names]] = Table1[[Gene names]:[Gene names]])*1, 0))</f>
        <v>1.3357399999999999E-4</v>
      </c>
      <c r="M72" cm="1">
        <f t="array" ref="M72">INDEX(Table1[riBAQ 39], MATCH(1, (Table3[[#This Row],[Gene names]:[Gene names]] = Table1[[Gene names]:[Gene names]])*1, 0))</f>
        <v>2.0661099999999999E-4</v>
      </c>
      <c r="N72" cm="1">
        <f t="array" ref="N72">INDEX(Table1[riBAQ 40], MATCH(1, (Table3[[#This Row],[Gene names]:[Gene names]] = Table1[[Gene names]:[Gene names]])*1, 0))</f>
        <v>2.5274100000000001E-4</v>
      </c>
      <c r="O72" cm="1">
        <f t="array" ref="O72">INDEX(Table1[riBAQ 41], MATCH(1, (Table3[[#This Row],[Gene names]:[Gene names]] = Table1[[Gene names]:[Gene names]])*1, 0))</f>
        <v>1.6904100000000001E-4</v>
      </c>
      <c r="P72" cm="1">
        <f t="array" ref="P72">INDEX(Table1[riBAQ 24], MATCH(1, (Table3[[#This Row],[Gene names]:[Gene names]] = Table1[[Gene names]:[Gene names]])*1, 0))</f>
        <v>2.6224400000000002E-4</v>
      </c>
      <c r="Q72" cm="1">
        <f t="array" ref="Q72">INDEX(Table1[riBAQ 25], MATCH(1, (Table3[[#This Row],[Gene names]:[Gene names]] = Table1[[Gene names]:[Gene names]])*1, 0))</f>
        <v>4.8979000000000004E-4</v>
      </c>
      <c r="R72" cm="1">
        <f t="array" ref="R72">INDEX(Table1[riBAQ 26], MATCH(1, (Table3[[#This Row],[Gene names]:[Gene names]] = Table1[[Gene names]:[Gene names]])*1, 0))</f>
        <v>3.1117200000000002E-4</v>
      </c>
      <c r="S72" cm="1">
        <f t="array" ref="S72">INDEX(Table1[riBAQ 42], MATCH(1, (Table3[[#This Row],[Gene names]:[Gene names]] = Table1[[Gene names]:[Gene names]])*1, 0))</f>
        <v>3.01186E-4</v>
      </c>
      <c r="T72" cm="1">
        <f t="array" ref="T72">INDEX(Table1[riBAQ 43], MATCH(1, (Table3[[#This Row],[Gene names]:[Gene names]] = Table1[[Gene names]:[Gene names]])*1, 0))</f>
        <v>4.6005299999999998E-4</v>
      </c>
    </row>
    <row r="73" spans="1:20" x14ac:dyDescent="0.25">
      <c r="A73" t="s">
        <v>1841</v>
      </c>
      <c r="B73" t="e" cm="1">
        <f t="array" ref="B73">INDEX(Table1[riBAQ 17], MATCH(1, (Table3[[#This Row],[Gene names]:[Gene names]] = Table1[[Gene names]:[Gene names]])*1, 0))</f>
        <v>#N/A</v>
      </c>
      <c r="C73" t="e" cm="1">
        <f t="array" ref="C73">INDEX(Table1[riBAQ 18], MATCH(1, (Table3[[#This Row],[Gene names]:[Gene names]] = Table1[[Gene names]:[Gene names]])*1, 0))</f>
        <v>#N/A</v>
      </c>
      <c r="D73" t="e" cm="1">
        <f t="array" ref="D73">INDEX(Table1[riBAQ 35], MATCH(1, (Table3[[#This Row],[Gene names]:[Gene names]] = Table1[[Gene names]:[Gene names]])*1, 0))</f>
        <v>#N/A</v>
      </c>
      <c r="E73" t="e" cm="1">
        <f t="array" ref="E73">INDEX(Table1[riBAQ 36], MATCH(1, (Table3[[#This Row],[Gene names]:[Gene names]] = Table1[[Gene names]:[Gene names]])*1, 0))</f>
        <v>#N/A</v>
      </c>
      <c r="F73" t="e" cm="1">
        <f t="array" ref="F73">INDEX(Table1[riBAQ 19], MATCH(1, (Table3[[#This Row],[Gene names]:[Gene names]] = Table1[[Gene names]:[Gene names]])*1, 0))</f>
        <v>#N/A</v>
      </c>
      <c r="G73" t="e" cm="1">
        <f t="array" ref="G73">INDEX(Table1[riBAQ 20], MATCH(1, (Table3[[#This Row],[Gene names]:[Gene names]] = Table1[[Gene names]:[Gene names]])*1, 0))</f>
        <v>#N/A</v>
      </c>
      <c r="H73" t="e" cm="1">
        <f t="array" ref="H73">INDEX(Table1[riBAQ 21], MATCH(1, (Table3[[#This Row],[Gene names]:[Gene names]] = Table1[[Gene names]:[Gene names]])*1, 0))</f>
        <v>#N/A</v>
      </c>
      <c r="I73" t="e" cm="1">
        <f t="array" ref="I73">INDEX(Table1[riBAQ 22], MATCH(1, (Table3[[#This Row],[Gene names]:[Gene names]] = Table1[[Gene names]:[Gene names]])*1, 0))</f>
        <v>#N/A</v>
      </c>
      <c r="J73" t="e" cm="1">
        <f t="array" ref="J73">INDEX(Table1[riBAQ 23], MATCH(1, (Table3[[#This Row],[Gene names]:[Gene names]] = Table1[[Gene names]:[Gene names]])*1, 0))</f>
        <v>#N/A</v>
      </c>
      <c r="K73" t="e" cm="1">
        <f t="array" ref="K73">INDEX(Table1[riBAQ 37], MATCH(1, (Table3[[#This Row],[Gene names]:[Gene names]] = Table1[[Gene names]:[Gene names]])*1, 0))</f>
        <v>#N/A</v>
      </c>
      <c r="L73" t="e" cm="1">
        <f t="array" ref="L73">INDEX(Table1[riBAQ 38], MATCH(1, (Table3[[#This Row],[Gene names]:[Gene names]] = Table1[[Gene names]:[Gene names]])*1, 0))</f>
        <v>#N/A</v>
      </c>
      <c r="M73" t="e" cm="1">
        <f t="array" ref="M73">INDEX(Table1[riBAQ 39], MATCH(1, (Table3[[#This Row],[Gene names]:[Gene names]] = Table1[[Gene names]:[Gene names]])*1, 0))</f>
        <v>#N/A</v>
      </c>
      <c r="N73" t="e" cm="1">
        <f t="array" ref="N73">INDEX(Table1[riBAQ 40], MATCH(1, (Table3[[#This Row],[Gene names]:[Gene names]] = Table1[[Gene names]:[Gene names]])*1, 0))</f>
        <v>#N/A</v>
      </c>
      <c r="O73" t="e" cm="1">
        <f t="array" ref="O73">INDEX(Table1[riBAQ 41], MATCH(1, (Table3[[#This Row],[Gene names]:[Gene names]] = Table1[[Gene names]:[Gene names]])*1, 0))</f>
        <v>#N/A</v>
      </c>
      <c r="P73" t="e" cm="1">
        <f t="array" ref="P73">INDEX(Table1[riBAQ 24], MATCH(1, (Table3[[#This Row],[Gene names]:[Gene names]] = Table1[[Gene names]:[Gene names]])*1, 0))</f>
        <v>#N/A</v>
      </c>
      <c r="Q73" t="e" cm="1">
        <f t="array" ref="Q73">INDEX(Table1[riBAQ 25], MATCH(1, (Table3[[#This Row],[Gene names]:[Gene names]] = Table1[[Gene names]:[Gene names]])*1, 0))</f>
        <v>#N/A</v>
      </c>
      <c r="R73" t="e" cm="1">
        <f t="array" ref="R73">INDEX(Table1[riBAQ 26], MATCH(1, (Table3[[#This Row],[Gene names]:[Gene names]] = Table1[[Gene names]:[Gene names]])*1, 0))</f>
        <v>#N/A</v>
      </c>
      <c r="S73" t="e" cm="1">
        <f t="array" ref="S73">INDEX(Table1[riBAQ 42], MATCH(1, (Table3[[#This Row],[Gene names]:[Gene names]] = Table1[[Gene names]:[Gene names]])*1, 0))</f>
        <v>#N/A</v>
      </c>
      <c r="T73" t="e" cm="1">
        <f t="array" ref="T73">INDEX(Table1[riBAQ 43], MATCH(1, (Table3[[#This Row],[Gene names]:[Gene names]] = Table1[[Gene names]:[Gene names]])*1, 0))</f>
        <v>#N/A</v>
      </c>
    </row>
    <row r="74" spans="1:20" x14ac:dyDescent="0.25">
      <c r="A74" t="s">
        <v>1047</v>
      </c>
      <c r="B74" cm="1">
        <f t="array" ref="B74">INDEX(Table1[riBAQ 17], MATCH(1, (Table3[[#This Row],[Gene names]:[Gene names]] = Table1[[Gene names]:[Gene names]])*1, 0))</f>
        <v>0</v>
      </c>
      <c r="C74" cm="1">
        <f t="array" ref="C74">INDEX(Table1[riBAQ 18], MATCH(1, (Table3[[#This Row],[Gene names]:[Gene names]] = Table1[[Gene names]:[Gene names]])*1, 0))</f>
        <v>0</v>
      </c>
      <c r="D74" cm="1">
        <f t="array" ref="D74">INDEX(Table1[riBAQ 35], MATCH(1, (Table3[[#This Row],[Gene names]:[Gene names]] = Table1[[Gene names]:[Gene names]])*1, 0))</f>
        <v>0</v>
      </c>
      <c r="E74" cm="1">
        <f t="array" ref="E74">INDEX(Table1[riBAQ 36], MATCH(1, (Table3[[#This Row],[Gene names]:[Gene names]] = Table1[[Gene names]:[Gene names]])*1, 0))</f>
        <v>0</v>
      </c>
      <c r="F74" cm="1">
        <f t="array" ref="F74">INDEX(Table1[riBAQ 19], MATCH(1, (Table3[[#This Row],[Gene names]:[Gene names]] = Table1[[Gene names]:[Gene names]])*1, 0))</f>
        <v>2.2200000000000001E-5</v>
      </c>
      <c r="G74" cm="1">
        <f t="array" ref="G74">INDEX(Table1[riBAQ 20], MATCH(1, (Table3[[#This Row],[Gene names]:[Gene names]] = Table1[[Gene names]:[Gene names]])*1, 0))</f>
        <v>0</v>
      </c>
      <c r="H74" cm="1">
        <f t="array" ref="H74">INDEX(Table1[riBAQ 21], MATCH(1, (Table3[[#This Row],[Gene names]:[Gene names]] = Table1[[Gene names]:[Gene names]])*1, 0))</f>
        <v>2.1500000000000001E-5</v>
      </c>
      <c r="I74" cm="1">
        <f t="array" ref="I74">INDEX(Table1[riBAQ 22], MATCH(1, (Table3[[#This Row],[Gene names]:[Gene names]] = Table1[[Gene names]:[Gene names]])*1, 0))</f>
        <v>1.59E-5</v>
      </c>
      <c r="J74" cm="1">
        <f t="array" ref="J74">INDEX(Table1[riBAQ 23], MATCH(1, (Table3[[#This Row],[Gene names]:[Gene names]] = Table1[[Gene names]:[Gene names]])*1, 0))</f>
        <v>2.0299999999999999E-5</v>
      </c>
      <c r="K74" cm="1">
        <f t="array" ref="K74">INDEX(Table1[riBAQ 37], MATCH(1, (Table3[[#This Row],[Gene names]:[Gene names]] = Table1[[Gene names]:[Gene names]])*1, 0))</f>
        <v>0</v>
      </c>
      <c r="L74" cm="1">
        <f t="array" ref="L74">INDEX(Table1[riBAQ 38], MATCH(1, (Table3[[#This Row],[Gene names]:[Gene names]] = Table1[[Gene names]:[Gene names]])*1, 0))</f>
        <v>0</v>
      </c>
      <c r="M74" cm="1">
        <f t="array" ref="M74">INDEX(Table1[riBAQ 39], MATCH(1, (Table3[[#This Row],[Gene names]:[Gene names]] = Table1[[Gene names]:[Gene names]])*1, 0))</f>
        <v>9.4399999999999994E-6</v>
      </c>
      <c r="N74" cm="1">
        <f t="array" ref="N74">INDEX(Table1[riBAQ 40], MATCH(1, (Table3[[#This Row],[Gene names]:[Gene names]] = Table1[[Gene names]:[Gene names]])*1, 0))</f>
        <v>3.8600000000000003E-5</v>
      </c>
      <c r="O74" cm="1">
        <f t="array" ref="O74">INDEX(Table1[riBAQ 41], MATCH(1, (Table3[[#This Row],[Gene names]:[Gene names]] = Table1[[Gene names]:[Gene names]])*1, 0))</f>
        <v>1.19E-5</v>
      </c>
      <c r="P74" cm="1">
        <f t="array" ref="P74">INDEX(Table1[riBAQ 24], MATCH(1, (Table3[[#This Row],[Gene names]:[Gene names]] = Table1[[Gene names]:[Gene names]])*1, 0))</f>
        <v>3.1000000000000001E-5</v>
      </c>
      <c r="Q74" cm="1">
        <f t="array" ref="Q74">INDEX(Table1[riBAQ 25], MATCH(1, (Table3[[#This Row],[Gene names]:[Gene names]] = Table1[[Gene names]:[Gene names]])*1, 0))</f>
        <v>5.3399999999999997E-5</v>
      </c>
      <c r="R74" cm="1">
        <f t="array" ref="R74">INDEX(Table1[riBAQ 26], MATCH(1, (Table3[[#This Row],[Gene names]:[Gene names]] = Table1[[Gene names]:[Gene names]])*1, 0))</f>
        <v>3.8699999999999999E-5</v>
      </c>
      <c r="S74" cm="1">
        <f t="array" ref="S74">INDEX(Table1[riBAQ 42], MATCH(1, (Table3[[#This Row],[Gene names]:[Gene names]] = Table1[[Gene names]:[Gene names]])*1, 0))</f>
        <v>2.6100000000000001E-5</v>
      </c>
      <c r="T74" cm="1">
        <f t="array" ref="T74">INDEX(Table1[riBAQ 43], MATCH(1, (Table3[[#This Row],[Gene names]:[Gene names]] = Table1[[Gene names]:[Gene names]])*1, 0))</f>
        <v>6.8800000000000005E-5</v>
      </c>
    </row>
    <row r="75" spans="1:20" x14ac:dyDescent="0.25">
      <c r="A75" t="s">
        <v>1694</v>
      </c>
      <c r="B75" cm="1">
        <f t="array" ref="B75">INDEX(Table1[riBAQ 17], MATCH(1, (Table3[[#This Row],[Gene names]:[Gene names]] = Table1[[Gene names]:[Gene names]])*1, 0))</f>
        <v>2.5999999999999998E-5</v>
      </c>
      <c r="C75" cm="1">
        <f t="array" ref="C75">INDEX(Table1[riBAQ 18], MATCH(1, (Table3[[#This Row],[Gene names]:[Gene names]] = Table1[[Gene names]:[Gene names]])*1, 0))</f>
        <v>1.66E-5</v>
      </c>
      <c r="D75" cm="1">
        <f t="array" ref="D75">INDEX(Table1[riBAQ 35], MATCH(1, (Table3[[#This Row],[Gene names]:[Gene names]] = Table1[[Gene names]:[Gene names]])*1, 0))</f>
        <v>1.7099999999999999E-5</v>
      </c>
      <c r="E75" cm="1">
        <f t="array" ref="E75">INDEX(Table1[riBAQ 36], MATCH(1, (Table3[[#This Row],[Gene names]:[Gene names]] = Table1[[Gene names]:[Gene names]])*1, 0))</f>
        <v>1.98E-5</v>
      </c>
      <c r="F75" cm="1">
        <f t="array" ref="F75">INDEX(Table1[riBAQ 19], MATCH(1, (Table3[[#This Row],[Gene names]:[Gene names]] = Table1[[Gene names]:[Gene names]])*1, 0))</f>
        <v>1.6099999999999998E-5</v>
      </c>
      <c r="G75" cm="1">
        <f t="array" ref="G75">INDEX(Table1[riBAQ 20], MATCH(1, (Table3[[#This Row],[Gene names]:[Gene names]] = Table1[[Gene names]:[Gene names]])*1, 0))</f>
        <v>1.84E-5</v>
      </c>
      <c r="H75" cm="1">
        <f t="array" ref="H75">INDEX(Table1[riBAQ 21], MATCH(1, (Table3[[#This Row],[Gene names]:[Gene names]] = Table1[[Gene names]:[Gene names]])*1, 0))</f>
        <v>1.24E-5</v>
      </c>
      <c r="I75" cm="1">
        <f t="array" ref="I75">INDEX(Table1[riBAQ 22], MATCH(1, (Table3[[#This Row],[Gene names]:[Gene names]] = Table1[[Gene names]:[Gene names]])*1, 0))</f>
        <v>1.5800000000000001E-5</v>
      </c>
      <c r="J75" cm="1">
        <f t="array" ref="J75">INDEX(Table1[riBAQ 23], MATCH(1, (Table3[[#This Row],[Gene names]:[Gene names]] = Table1[[Gene names]:[Gene names]])*1, 0))</f>
        <v>2.27E-5</v>
      </c>
      <c r="K75" cm="1">
        <f t="array" ref="K75">INDEX(Table1[riBAQ 37], MATCH(1, (Table3[[#This Row],[Gene names]:[Gene names]] = Table1[[Gene names]:[Gene names]])*1, 0))</f>
        <v>1.8600000000000001E-5</v>
      </c>
      <c r="L75" cm="1">
        <f t="array" ref="L75">INDEX(Table1[riBAQ 38], MATCH(1, (Table3[[#This Row],[Gene names]:[Gene names]] = Table1[[Gene names]:[Gene names]])*1, 0))</f>
        <v>2.0599999999999999E-5</v>
      </c>
      <c r="M75" cm="1">
        <f t="array" ref="M75">INDEX(Table1[riBAQ 39], MATCH(1, (Table3[[#This Row],[Gene names]:[Gene names]] = Table1[[Gene names]:[Gene names]])*1, 0))</f>
        <v>1.47E-5</v>
      </c>
      <c r="N75" cm="1">
        <f t="array" ref="N75">INDEX(Table1[riBAQ 40], MATCH(1, (Table3[[#This Row],[Gene names]:[Gene names]] = Table1[[Gene names]:[Gene names]])*1, 0))</f>
        <v>1.38E-5</v>
      </c>
      <c r="O75" cm="1">
        <f t="array" ref="O75">INDEX(Table1[riBAQ 41], MATCH(1, (Table3[[#This Row],[Gene names]:[Gene names]] = Table1[[Gene names]:[Gene names]])*1, 0))</f>
        <v>2.19E-5</v>
      </c>
      <c r="P75" cm="1">
        <f t="array" ref="P75">INDEX(Table1[riBAQ 24], MATCH(1, (Table3[[#This Row],[Gene names]:[Gene names]] = Table1[[Gene names]:[Gene names]])*1, 0))</f>
        <v>1.15E-5</v>
      </c>
      <c r="Q75" cm="1">
        <f t="array" ref="Q75">INDEX(Table1[riBAQ 25], MATCH(1, (Table3[[#This Row],[Gene names]:[Gene names]] = Table1[[Gene names]:[Gene names]])*1, 0))</f>
        <v>0</v>
      </c>
      <c r="R75" cm="1">
        <f t="array" ref="R75">INDEX(Table1[riBAQ 26], MATCH(1, (Table3[[#This Row],[Gene names]:[Gene names]] = Table1[[Gene names]:[Gene names]])*1, 0))</f>
        <v>1.6200000000000001E-5</v>
      </c>
      <c r="S75" cm="1">
        <f t="array" ref="S75">INDEX(Table1[riBAQ 42], MATCH(1, (Table3[[#This Row],[Gene names]:[Gene names]] = Table1[[Gene names]:[Gene names]])*1, 0))</f>
        <v>0</v>
      </c>
      <c r="T75" cm="1">
        <f t="array" ref="T75">INDEX(Table1[riBAQ 43], MATCH(1, (Table3[[#This Row],[Gene names]:[Gene names]] = Table1[[Gene names]:[Gene names]])*1, 0))</f>
        <v>0</v>
      </c>
    </row>
    <row r="76" spans="1:20" x14ac:dyDescent="0.25">
      <c r="A76" t="s">
        <v>1160</v>
      </c>
      <c r="B76" cm="1">
        <f t="array" ref="B76">INDEX(Table1[riBAQ 17], MATCH(1, (Table3[[#This Row],[Gene names]:[Gene names]] = Table1[[Gene names]:[Gene names]])*1, 0))</f>
        <v>1.2300000000000001E-5</v>
      </c>
      <c r="C76" cm="1">
        <f t="array" ref="C76">INDEX(Table1[riBAQ 18], MATCH(1, (Table3[[#This Row],[Gene names]:[Gene names]] = Table1[[Gene names]:[Gene names]])*1, 0))</f>
        <v>0</v>
      </c>
      <c r="D76" cm="1">
        <f t="array" ref="D76">INDEX(Table1[riBAQ 35], MATCH(1, (Table3[[#This Row],[Gene names]:[Gene names]] = Table1[[Gene names]:[Gene names]])*1, 0))</f>
        <v>2.2799999999999999E-5</v>
      </c>
      <c r="E76" cm="1">
        <f t="array" ref="E76">INDEX(Table1[riBAQ 36], MATCH(1, (Table3[[#This Row],[Gene names]:[Gene names]] = Table1[[Gene names]:[Gene names]])*1, 0))</f>
        <v>0</v>
      </c>
      <c r="F76" cm="1">
        <f t="array" ref="F76">INDEX(Table1[riBAQ 19], MATCH(1, (Table3[[#This Row],[Gene names]:[Gene names]] = Table1[[Gene names]:[Gene names]])*1, 0))</f>
        <v>0</v>
      </c>
      <c r="G76" cm="1">
        <f t="array" ref="G76">INDEX(Table1[riBAQ 20], MATCH(1, (Table3[[#This Row],[Gene names]:[Gene names]] = Table1[[Gene names]:[Gene names]])*1, 0))</f>
        <v>0</v>
      </c>
      <c r="H76" cm="1">
        <f t="array" ref="H76">INDEX(Table1[riBAQ 21], MATCH(1, (Table3[[#This Row],[Gene names]:[Gene names]] = Table1[[Gene names]:[Gene names]])*1, 0))</f>
        <v>0</v>
      </c>
      <c r="I76" cm="1">
        <f t="array" ref="I76">INDEX(Table1[riBAQ 22], MATCH(1, (Table3[[#This Row],[Gene names]:[Gene names]] = Table1[[Gene names]:[Gene names]])*1, 0))</f>
        <v>0</v>
      </c>
      <c r="J76" cm="1">
        <f t="array" ref="J76">INDEX(Table1[riBAQ 23], MATCH(1, (Table3[[#This Row],[Gene names]:[Gene names]] = Table1[[Gene names]:[Gene names]])*1, 0))</f>
        <v>0</v>
      </c>
      <c r="K76" cm="1">
        <f t="array" ref="K76">INDEX(Table1[riBAQ 37], MATCH(1, (Table3[[#This Row],[Gene names]:[Gene names]] = Table1[[Gene names]:[Gene names]])*1, 0))</f>
        <v>0</v>
      </c>
      <c r="L76" cm="1">
        <f t="array" ref="L76">INDEX(Table1[riBAQ 38], MATCH(1, (Table3[[#This Row],[Gene names]:[Gene names]] = Table1[[Gene names]:[Gene names]])*1, 0))</f>
        <v>1.7E-5</v>
      </c>
      <c r="M76" cm="1">
        <f t="array" ref="M76">INDEX(Table1[riBAQ 39], MATCH(1, (Table3[[#This Row],[Gene names]:[Gene names]] = Table1[[Gene names]:[Gene names]])*1, 0))</f>
        <v>1.8600000000000001E-5</v>
      </c>
      <c r="N76" cm="1">
        <f t="array" ref="N76">INDEX(Table1[riBAQ 40], MATCH(1, (Table3[[#This Row],[Gene names]:[Gene names]] = Table1[[Gene names]:[Gene names]])*1, 0))</f>
        <v>1.8899999999999999E-5</v>
      </c>
      <c r="O76" cm="1">
        <f t="array" ref="O76">INDEX(Table1[riBAQ 41], MATCH(1, (Table3[[#This Row],[Gene names]:[Gene names]] = Table1[[Gene names]:[Gene names]])*1, 0))</f>
        <v>0</v>
      </c>
      <c r="P76" cm="1">
        <f t="array" ref="P76">INDEX(Table1[riBAQ 24], MATCH(1, (Table3[[#This Row],[Gene names]:[Gene names]] = Table1[[Gene names]:[Gene names]])*1, 0))</f>
        <v>8.4200000000000007E-6</v>
      </c>
      <c r="Q76" cm="1">
        <f t="array" ref="Q76">INDEX(Table1[riBAQ 25], MATCH(1, (Table3[[#This Row],[Gene names]:[Gene names]] = Table1[[Gene names]:[Gene names]])*1, 0))</f>
        <v>1.8099999999999999E-5</v>
      </c>
      <c r="R76" cm="1">
        <f t="array" ref="R76">INDEX(Table1[riBAQ 26], MATCH(1, (Table3[[#This Row],[Gene names]:[Gene names]] = Table1[[Gene names]:[Gene names]])*1, 0))</f>
        <v>2.8200000000000001E-5</v>
      </c>
      <c r="S76" cm="1">
        <f t="array" ref="S76">INDEX(Table1[riBAQ 42], MATCH(1, (Table3[[#This Row],[Gene names]:[Gene names]] = Table1[[Gene names]:[Gene names]])*1, 0))</f>
        <v>3.82E-5</v>
      </c>
      <c r="T76" cm="1">
        <f t="array" ref="T76">INDEX(Table1[riBAQ 43], MATCH(1, (Table3[[#This Row],[Gene names]:[Gene names]] = Table1[[Gene names]:[Gene names]])*1, 0))</f>
        <v>2.4199999999999999E-5</v>
      </c>
    </row>
    <row r="77" spans="1:20" x14ac:dyDescent="0.25">
      <c r="A77" t="s">
        <v>264</v>
      </c>
      <c r="B77" cm="1">
        <f t="array" ref="B77">INDEX(Table1[riBAQ 17], MATCH(1, (Table3[[#This Row],[Gene names]:[Gene names]] = Table1[[Gene names]:[Gene names]])*1, 0))</f>
        <v>2.1556200000000001E-4</v>
      </c>
      <c r="C77" cm="1">
        <f t="array" ref="C77">INDEX(Table1[riBAQ 18], MATCH(1, (Table3[[#This Row],[Gene names]:[Gene names]] = Table1[[Gene names]:[Gene names]])*1, 0))</f>
        <v>2.9079399999999998E-4</v>
      </c>
      <c r="D77" cm="1">
        <f t="array" ref="D77">INDEX(Table1[riBAQ 35], MATCH(1, (Table3[[#This Row],[Gene names]:[Gene names]] = Table1[[Gene names]:[Gene names]])*1, 0))</f>
        <v>2.4041899999999999E-4</v>
      </c>
      <c r="E77" cm="1">
        <f t="array" ref="E77">INDEX(Table1[riBAQ 36], MATCH(1, (Table3[[#This Row],[Gene names]:[Gene names]] = Table1[[Gene names]:[Gene names]])*1, 0))</f>
        <v>1.84348E-4</v>
      </c>
      <c r="F77" cm="1">
        <f t="array" ref="F77">INDEX(Table1[riBAQ 19], MATCH(1, (Table3[[#This Row],[Gene names]:[Gene names]] = Table1[[Gene names]:[Gene names]])*1, 0))</f>
        <v>2.2451099999999999E-4</v>
      </c>
      <c r="G77" cm="1">
        <f t="array" ref="G77">INDEX(Table1[riBAQ 20], MATCH(1, (Table3[[#This Row],[Gene names]:[Gene names]] = Table1[[Gene names]:[Gene names]])*1, 0))</f>
        <v>2.6382700000000001E-4</v>
      </c>
      <c r="H77" cm="1">
        <f t="array" ref="H77">INDEX(Table1[riBAQ 21], MATCH(1, (Table3[[#This Row],[Gene names]:[Gene names]] = Table1[[Gene names]:[Gene names]])*1, 0))</f>
        <v>1.9253200000000001E-4</v>
      </c>
      <c r="I77" cm="1">
        <f t="array" ref="I77">INDEX(Table1[riBAQ 22], MATCH(1, (Table3[[#This Row],[Gene names]:[Gene names]] = Table1[[Gene names]:[Gene names]])*1, 0))</f>
        <v>3.0713000000000002E-4</v>
      </c>
      <c r="J77" cm="1">
        <f t="array" ref="J77">INDEX(Table1[riBAQ 23], MATCH(1, (Table3[[#This Row],[Gene names]:[Gene names]] = Table1[[Gene names]:[Gene names]])*1, 0))</f>
        <v>2.27245E-4</v>
      </c>
      <c r="K77" cm="1">
        <f t="array" ref="K77">INDEX(Table1[riBAQ 37], MATCH(1, (Table3[[#This Row],[Gene names]:[Gene names]] = Table1[[Gene names]:[Gene names]])*1, 0))</f>
        <v>2.1711000000000001E-4</v>
      </c>
      <c r="L77" cm="1">
        <f t="array" ref="L77">INDEX(Table1[riBAQ 38], MATCH(1, (Table3[[#This Row],[Gene names]:[Gene names]] = Table1[[Gene names]:[Gene names]])*1, 0))</f>
        <v>2.41967E-4</v>
      </c>
      <c r="M77" cm="1">
        <f t="array" ref="M77">INDEX(Table1[riBAQ 39], MATCH(1, (Table3[[#This Row],[Gene names]:[Gene names]] = Table1[[Gene names]:[Gene names]])*1, 0))</f>
        <v>1.9299599999999999E-4</v>
      </c>
      <c r="N77" cm="1">
        <f t="array" ref="N77">INDEX(Table1[riBAQ 40], MATCH(1, (Table3[[#This Row],[Gene names]:[Gene names]] = Table1[[Gene names]:[Gene names]])*1, 0))</f>
        <v>2.1366199999999999E-4</v>
      </c>
      <c r="O77" cm="1">
        <f t="array" ref="O77">INDEX(Table1[riBAQ 41], MATCH(1, (Table3[[#This Row],[Gene names]:[Gene names]] = Table1[[Gene names]:[Gene names]])*1, 0))</f>
        <v>2.7276299999999998E-4</v>
      </c>
      <c r="P77" cm="1">
        <f t="array" ref="P77">INDEX(Table1[riBAQ 24], MATCH(1, (Table3[[#This Row],[Gene names]:[Gene names]] = Table1[[Gene names]:[Gene names]])*1, 0))</f>
        <v>1.8827899999999999E-4</v>
      </c>
      <c r="Q77" cm="1">
        <f t="array" ref="Q77">INDEX(Table1[riBAQ 25], MATCH(1, (Table3[[#This Row],[Gene names]:[Gene names]] = Table1[[Gene names]:[Gene names]])*1, 0))</f>
        <v>9.4099999999999997E-5</v>
      </c>
      <c r="R77" cm="1">
        <f t="array" ref="R77">INDEX(Table1[riBAQ 26], MATCH(1, (Table3[[#This Row],[Gene names]:[Gene names]] = Table1[[Gene names]:[Gene names]])*1, 0))</f>
        <v>9.6399999999999999E-5</v>
      </c>
      <c r="S77" cm="1">
        <f t="array" ref="S77">INDEX(Table1[riBAQ 42], MATCH(1, (Table3[[#This Row],[Gene names]:[Gene names]] = Table1[[Gene names]:[Gene names]])*1, 0))</f>
        <v>1.09963E-4</v>
      </c>
      <c r="T77" cm="1">
        <f t="array" ref="T77">INDEX(Table1[riBAQ 43], MATCH(1, (Table3[[#This Row],[Gene names]:[Gene names]] = Table1[[Gene names]:[Gene names]])*1, 0))</f>
        <v>1.16366E-4</v>
      </c>
    </row>
    <row r="78" spans="1:20" x14ac:dyDescent="0.25">
      <c r="A78" t="s">
        <v>1127</v>
      </c>
      <c r="B78" cm="1">
        <f t="array" ref="B78">INDEX(Table1[riBAQ 17], MATCH(1, (Table3[[#This Row],[Gene names]:[Gene names]] = Table1[[Gene names]:[Gene names]])*1, 0))</f>
        <v>2.9313199999999998E-4</v>
      </c>
      <c r="C78" cm="1">
        <f t="array" ref="C78">INDEX(Table1[riBAQ 18], MATCH(1, (Table3[[#This Row],[Gene names]:[Gene names]] = Table1[[Gene names]:[Gene names]])*1, 0))</f>
        <v>2.9924800000000001E-4</v>
      </c>
      <c r="D78" cm="1">
        <f t="array" ref="D78">INDEX(Table1[riBAQ 35], MATCH(1, (Table3[[#This Row],[Gene names]:[Gene names]] = Table1[[Gene names]:[Gene names]])*1, 0))</f>
        <v>2.5069600000000001E-4</v>
      </c>
      <c r="E78" cm="1">
        <f t="array" ref="E78">INDEX(Table1[riBAQ 36], MATCH(1, (Table3[[#This Row],[Gene names]:[Gene names]] = Table1[[Gene names]:[Gene names]])*1, 0))</f>
        <v>1.67527E-4</v>
      </c>
      <c r="F78" cm="1">
        <f t="array" ref="F78">INDEX(Table1[riBAQ 19], MATCH(1, (Table3[[#This Row],[Gene names]:[Gene names]] = Table1[[Gene names]:[Gene names]])*1, 0))</f>
        <v>1.68407E-4</v>
      </c>
      <c r="G78" cm="1">
        <f t="array" ref="G78">INDEX(Table1[riBAQ 20], MATCH(1, (Table3[[#This Row],[Gene names]:[Gene names]] = Table1[[Gene names]:[Gene names]])*1, 0))</f>
        <v>1.7283500000000001E-4</v>
      </c>
      <c r="H78" cm="1">
        <f t="array" ref="H78">INDEX(Table1[riBAQ 21], MATCH(1, (Table3[[#This Row],[Gene names]:[Gene names]] = Table1[[Gene names]:[Gene names]])*1, 0))</f>
        <v>2.3039100000000001E-4</v>
      </c>
      <c r="I78" cm="1">
        <f t="array" ref="I78">INDEX(Table1[riBAQ 22], MATCH(1, (Table3[[#This Row],[Gene names]:[Gene names]] = Table1[[Gene names]:[Gene names]])*1, 0))</f>
        <v>1.77913E-4</v>
      </c>
      <c r="J78" cm="1">
        <f t="array" ref="J78">INDEX(Table1[riBAQ 23], MATCH(1, (Table3[[#This Row],[Gene names]:[Gene names]] = Table1[[Gene names]:[Gene names]])*1, 0))</f>
        <v>2.8794900000000002E-4</v>
      </c>
      <c r="K78" cm="1">
        <f t="array" ref="K78">INDEX(Table1[riBAQ 37], MATCH(1, (Table3[[#This Row],[Gene names]:[Gene names]] = Table1[[Gene names]:[Gene names]])*1, 0))</f>
        <v>2.7946399999999999E-4</v>
      </c>
      <c r="L78" cm="1">
        <f t="array" ref="L78">INDEX(Table1[riBAQ 38], MATCH(1, (Table3[[#This Row],[Gene names]:[Gene names]] = Table1[[Gene names]:[Gene names]])*1, 0))</f>
        <v>2.6234400000000002E-4</v>
      </c>
      <c r="M78" cm="1">
        <f t="array" ref="M78">INDEX(Table1[riBAQ 39], MATCH(1, (Table3[[#This Row],[Gene names]:[Gene names]] = Table1[[Gene names]:[Gene names]])*1, 0))</f>
        <v>3.01334E-4</v>
      </c>
      <c r="N78" cm="1">
        <f t="array" ref="N78">INDEX(Table1[riBAQ 40], MATCH(1, (Table3[[#This Row],[Gene names]:[Gene names]] = Table1[[Gene names]:[Gene names]])*1, 0))</f>
        <v>2.8732999999999997E-4</v>
      </c>
      <c r="O78" cm="1">
        <f t="array" ref="O78">INDEX(Table1[riBAQ 41], MATCH(1, (Table3[[#This Row],[Gene names]:[Gene names]] = Table1[[Gene names]:[Gene names]])*1, 0))</f>
        <v>2.1693099999999999E-4</v>
      </c>
      <c r="P78" cm="1">
        <f t="array" ref="P78">INDEX(Table1[riBAQ 24], MATCH(1, (Table3[[#This Row],[Gene names]:[Gene names]] = Table1[[Gene names]:[Gene names]])*1, 0))</f>
        <v>4.1567299999999998E-4</v>
      </c>
      <c r="Q78" cm="1">
        <f t="array" ref="Q78">INDEX(Table1[riBAQ 25], MATCH(1, (Table3[[#This Row],[Gene names]:[Gene names]] = Table1[[Gene names]:[Gene names]])*1, 0))</f>
        <v>5.5302499999999996E-4</v>
      </c>
      <c r="R78" cm="1">
        <f t="array" ref="R78">INDEX(Table1[riBAQ 26], MATCH(1, (Table3[[#This Row],[Gene names]:[Gene names]] = Table1[[Gene names]:[Gene names]])*1, 0))</f>
        <v>3.6627399999999998E-4</v>
      </c>
      <c r="S78" cm="1">
        <f t="array" ref="S78">INDEX(Table1[riBAQ 42], MATCH(1, (Table3[[#This Row],[Gene names]:[Gene names]] = Table1[[Gene names]:[Gene names]])*1, 0))</f>
        <v>4.0192500000000003E-4</v>
      </c>
      <c r="T78" cm="1">
        <f t="array" ref="T78">INDEX(Table1[riBAQ 43], MATCH(1, (Table3[[#This Row],[Gene names]:[Gene names]] = Table1[[Gene names]:[Gene names]])*1, 0))</f>
        <v>4.47391E-4</v>
      </c>
    </row>
    <row r="79" spans="1:20" x14ac:dyDescent="0.25">
      <c r="A79" t="s">
        <v>1580</v>
      </c>
      <c r="B79" cm="1">
        <f t="array" ref="B79">INDEX(Table1[riBAQ 17], MATCH(1, (Table3[[#This Row],[Gene names]:[Gene names]] = Table1[[Gene names]:[Gene names]])*1, 0))</f>
        <v>0</v>
      </c>
      <c r="C79" cm="1">
        <f t="array" ref="C79">INDEX(Table1[riBAQ 18], MATCH(1, (Table3[[#This Row],[Gene names]:[Gene names]] = Table1[[Gene names]:[Gene names]])*1, 0))</f>
        <v>0</v>
      </c>
      <c r="D79" cm="1">
        <f t="array" ref="D79">INDEX(Table1[riBAQ 35], MATCH(1, (Table3[[#This Row],[Gene names]:[Gene names]] = Table1[[Gene names]:[Gene names]])*1, 0))</f>
        <v>0</v>
      </c>
      <c r="E79" cm="1">
        <f t="array" ref="E79">INDEX(Table1[riBAQ 36], MATCH(1, (Table3[[#This Row],[Gene names]:[Gene names]] = Table1[[Gene names]:[Gene names]])*1, 0))</f>
        <v>0</v>
      </c>
      <c r="F79" cm="1">
        <f t="array" ref="F79">INDEX(Table1[riBAQ 19], MATCH(1, (Table3[[#This Row],[Gene names]:[Gene names]] = Table1[[Gene names]:[Gene names]])*1, 0))</f>
        <v>0</v>
      </c>
      <c r="G79" cm="1">
        <f t="array" ref="G79">INDEX(Table1[riBAQ 20], MATCH(1, (Table3[[#This Row],[Gene names]:[Gene names]] = Table1[[Gene names]:[Gene names]])*1, 0))</f>
        <v>0</v>
      </c>
      <c r="H79" cm="1">
        <f t="array" ref="H79">INDEX(Table1[riBAQ 21], MATCH(1, (Table3[[#This Row],[Gene names]:[Gene names]] = Table1[[Gene names]:[Gene names]])*1, 0))</f>
        <v>6.0699999999999998E-5</v>
      </c>
      <c r="I79" cm="1">
        <f t="array" ref="I79">INDEX(Table1[riBAQ 22], MATCH(1, (Table3[[#This Row],[Gene names]:[Gene names]] = Table1[[Gene names]:[Gene names]])*1, 0))</f>
        <v>3.5299999999999997E-5</v>
      </c>
      <c r="J79" cm="1">
        <f t="array" ref="J79">INDEX(Table1[riBAQ 23], MATCH(1, (Table3[[#This Row],[Gene names]:[Gene names]] = Table1[[Gene names]:[Gene names]])*1, 0))</f>
        <v>0</v>
      </c>
      <c r="K79" cm="1">
        <f t="array" ref="K79">INDEX(Table1[riBAQ 37], MATCH(1, (Table3[[#This Row],[Gene names]:[Gene names]] = Table1[[Gene names]:[Gene names]])*1, 0))</f>
        <v>0</v>
      </c>
      <c r="L79" cm="1">
        <f t="array" ref="L79">INDEX(Table1[riBAQ 38], MATCH(1, (Table3[[#This Row],[Gene names]:[Gene names]] = Table1[[Gene names]:[Gene names]])*1, 0))</f>
        <v>1.66E-5</v>
      </c>
      <c r="M79" cm="1">
        <f t="array" ref="M79">INDEX(Table1[riBAQ 39], MATCH(1, (Table3[[#This Row],[Gene names]:[Gene names]] = Table1[[Gene names]:[Gene names]])*1, 0))</f>
        <v>0</v>
      </c>
      <c r="N79" cm="1">
        <f t="array" ref="N79">INDEX(Table1[riBAQ 40], MATCH(1, (Table3[[#This Row],[Gene names]:[Gene names]] = Table1[[Gene names]:[Gene names]])*1, 0))</f>
        <v>0</v>
      </c>
      <c r="O79" cm="1">
        <f t="array" ref="O79">INDEX(Table1[riBAQ 41], MATCH(1, (Table3[[#This Row],[Gene names]:[Gene names]] = Table1[[Gene names]:[Gene names]])*1, 0))</f>
        <v>0</v>
      </c>
      <c r="P79" cm="1">
        <f t="array" ref="P79">INDEX(Table1[riBAQ 24], MATCH(1, (Table3[[#This Row],[Gene names]:[Gene names]] = Table1[[Gene names]:[Gene names]])*1, 0))</f>
        <v>2.83E-5</v>
      </c>
      <c r="Q79" cm="1">
        <f t="array" ref="Q79">INDEX(Table1[riBAQ 25], MATCH(1, (Table3[[#This Row],[Gene names]:[Gene names]] = Table1[[Gene names]:[Gene names]])*1, 0))</f>
        <v>4.7500000000000003E-5</v>
      </c>
      <c r="R79" cm="1">
        <f t="array" ref="R79">INDEX(Table1[riBAQ 26], MATCH(1, (Table3[[#This Row],[Gene names]:[Gene names]] = Table1[[Gene names]:[Gene names]])*1, 0))</f>
        <v>2.83E-5</v>
      </c>
      <c r="S79" cm="1">
        <f t="array" ref="S79">INDEX(Table1[riBAQ 42], MATCH(1, (Table3[[#This Row],[Gene names]:[Gene names]] = Table1[[Gene names]:[Gene names]])*1, 0))</f>
        <v>4.5300000000000003E-5</v>
      </c>
      <c r="T79" cm="1">
        <f t="array" ref="T79">INDEX(Table1[riBAQ 43], MATCH(1, (Table3[[#This Row],[Gene names]:[Gene names]] = Table1[[Gene names]:[Gene names]])*1, 0))</f>
        <v>6.0999999999999999E-5</v>
      </c>
    </row>
    <row r="80" spans="1:20" x14ac:dyDescent="0.25">
      <c r="A80" t="s">
        <v>442</v>
      </c>
      <c r="B80" cm="1">
        <f t="array" ref="B80">INDEX(Table1[riBAQ 17], MATCH(1, (Table3[[#This Row],[Gene names]:[Gene names]] = Table1[[Gene names]:[Gene names]])*1, 0))</f>
        <v>0</v>
      </c>
      <c r="C80" cm="1">
        <f t="array" ref="C80">INDEX(Table1[riBAQ 18], MATCH(1, (Table3[[#This Row],[Gene names]:[Gene names]] = Table1[[Gene names]:[Gene names]])*1, 0))</f>
        <v>0</v>
      </c>
      <c r="D80" cm="1">
        <f t="array" ref="D80">INDEX(Table1[riBAQ 35], MATCH(1, (Table3[[#This Row],[Gene names]:[Gene names]] = Table1[[Gene names]:[Gene names]])*1, 0))</f>
        <v>0</v>
      </c>
      <c r="E80" cm="1">
        <f t="array" ref="E80">INDEX(Table1[riBAQ 36], MATCH(1, (Table3[[#This Row],[Gene names]:[Gene names]] = Table1[[Gene names]:[Gene names]])*1, 0))</f>
        <v>0</v>
      </c>
      <c r="F80" cm="1">
        <f t="array" ref="F80">INDEX(Table1[riBAQ 19], MATCH(1, (Table3[[#This Row],[Gene names]:[Gene names]] = Table1[[Gene names]:[Gene names]])*1, 0))</f>
        <v>0</v>
      </c>
      <c r="G80" cm="1">
        <f t="array" ref="G80">INDEX(Table1[riBAQ 20], MATCH(1, (Table3[[#This Row],[Gene names]:[Gene names]] = Table1[[Gene names]:[Gene names]])*1, 0))</f>
        <v>0</v>
      </c>
      <c r="H80" cm="1">
        <f t="array" ref="H80">INDEX(Table1[riBAQ 21], MATCH(1, (Table3[[#This Row],[Gene names]:[Gene names]] = Table1[[Gene names]:[Gene names]])*1, 0))</f>
        <v>0</v>
      </c>
      <c r="I80" cm="1">
        <f t="array" ref="I80">INDEX(Table1[riBAQ 22], MATCH(1, (Table3[[#This Row],[Gene names]:[Gene names]] = Table1[[Gene names]:[Gene names]])*1, 0))</f>
        <v>2.58E-5</v>
      </c>
      <c r="J80" cm="1">
        <f t="array" ref="J80">INDEX(Table1[riBAQ 23], MATCH(1, (Table3[[#This Row],[Gene names]:[Gene names]] = Table1[[Gene names]:[Gene names]])*1, 0))</f>
        <v>2.8900000000000001E-5</v>
      </c>
      <c r="K80" cm="1">
        <f t="array" ref="K80">INDEX(Table1[riBAQ 37], MATCH(1, (Table3[[#This Row],[Gene names]:[Gene names]] = Table1[[Gene names]:[Gene names]])*1, 0))</f>
        <v>0</v>
      </c>
      <c r="L80" cm="1">
        <f t="array" ref="L80">INDEX(Table1[riBAQ 38], MATCH(1, (Table3[[#This Row],[Gene names]:[Gene names]] = Table1[[Gene names]:[Gene names]])*1, 0))</f>
        <v>0</v>
      </c>
      <c r="M80" cm="1">
        <f t="array" ref="M80">INDEX(Table1[riBAQ 39], MATCH(1, (Table3[[#This Row],[Gene names]:[Gene names]] = Table1[[Gene names]:[Gene names]])*1, 0))</f>
        <v>0</v>
      </c>
      <c r="N80" cm="1">
        <f t="array" ref="N80">INDEX(Table1[riBAQ 40], MATCH(1, (Table3[[#This Row],[Gene names]:[Gene names]] = Table1[[Gene names]:[Gene names]])*1, 0))</f>
        <v>0</v>
      </c>
      <c r="O80" cm="1">
        <f t="array" ref="O80">INDEX(Table1[riBAQ 41], MATCH(1, (Table3[[#This Row],[Gene names]:[Gene names]] = Table1[[Gene names]:[Gene names]])*1, 0))</f>
        <v>0</v>
      </c>
      <c r="P80" cm="1">
        <f t="array" ref="P80">INDEX(Table1[riBAQ 24], MATCH(1, (Table3[[#This Row],[Gene names]:[Gene names]] = Table1[[Gene names]:[Gene names]])*1, 0))</f>
        <v>0</v>
      </c>
      <c r="Q80" cm="1">
        <f t="array" ref="Q80">INDEX(Table1[riBAQ 25], MATCH(1, (Table3[[#This Row],[Gene names]:[Gene names]] = Table1[[Gene names]:[Gene names]])*1, 0))</f>
        <v>1.76167E-4</v>
      </c>
      <c r="R80" cm="1">
        <f t="array" ref="R80">INDEX(Table1[riBAQ 26], MATCH(1, (Table3[[#This Row],[Gene names]:[Gene names]] = Table1[[Gene names]:[Gene names]])*1, 0))</f>
        <v>1.02116E-4</v>
      </c>
      <c r="S80" cm="1">
        <f t="array" ref="S80">INDEX(Table1[riBAQ 42], MATCH(1, (Table3[[#This Row],[Gene names]:[Gene names]] = Table1[[Gene names]:[Gene names]])*1, 0))</f>
        <v>1.1754799999999999E-4</v>
      </c>
      <c r="T80" cm="1">
        <f t="array" ref="T80">INDEX(Table1[riBAQ 43], MATCH(1, (Table3[[#This Row],[Gene names]:[Gene names]] = Table1[[Gene names]:[Gene names]])*1, 0))</f>
        <v>1.41951E-4</v>
      </c>
    </row>
    <row r="81" spans="1:20" x14ac:dyDescent="0.25">
      <c r="A81" t="s">
        <v>1356</v>
      </c>
      <c r="B81" cm="1">
        <f t="array" ref="B81">INDEX(Table1[riBAQ 17], MATCH(1, (Table3[[#This Row],[Gene names]:[Gene names]] = Table1[[Gene names]:[Gene names]])*1, 0))</f>
        <v>0</v>
      </c>
      <c r="C81" cm="1">
        <f t="array" ref="C81">INDEX(Table1[riBAQ 18], MATCH(1, (Table3[[#This Row],[Gene names]:[Gene names]] = Table1[[Gene names]:[Gene names]])*1, 0))</f>
        <v>0</v>
      </c>
      <c r="D81" cm="1">
        <f t="array" ref="D81">INDEX(Table1[riBAQ 35], MATCH(1, (Table3[[#This Row],[Gene names]:[Gene names]] = Table1[[Gene names]:[Gene names]])*1, 0))</f>
        <v>0</v>
      </c>
      <c r="E81" cm="1">
        <f t="array" ref="E81">INDEX(Table1[riBAQ 36], MATCH(1, (Table3[[#This Row],[Gene names]:[Gene names]] = Table1[[Gene names]:[Gene names]])*1, 0))</f>
        <v>0</v>
      </c>
      <c r="F81" cm="1">
        <f t="array" ref="F81">INDEX(Table1[riBAQ 19], MATCH(1, (Table3[[#This Row],[Gene names]:[Gene names]] = Table1[[Gene names]:[Gene names]])*1, 0))</f>
        <v>0</v>
      </c>
      <c r="G81" cm="1">
        <f t="array" ref="G81">INDEX(Table1[riBAQ 20], MATCH(1, (Table3[[#This Row],[Gene names]:[Gene names]] = Table1[[Gene names]:[Gene names]])*1, 0))</f>
        <v>1.3499999999999999E-5</v>
      </c>
      <c r="H81" cm="1">
        <f t="array" ref="H81">INDEX(Table1[riBAQ 21], MATCH(1, (Table3[[#This Row],[Gene names]:[Gene names]] = Table1[[Gene names]:[Gene names]])*1, 0))</f>
        <v>2.0299999999999999E-5</v>
      </c>
      <c r="I81" cm="1">
        <f t="array" ref="I81">INDEX(Table1[riBAQ 22], MATCH(1, (Table3[[#This Row],[Gene names]:[Gene names]] = Table1[[Gene names]:[Gene names]])*1, 0))</f>
        <v>1.15E-5</v>
      </c>
      <c r="J81" cm="1">
        <f t="array" ref="J81">INDEX(Table1[riBAQ 23], MATCH(1, (Table3[[#This Row],[Gene names]:[Gene names]] = Table1[[Gene names]:[Gene names]])*1, 0))</f>
        <v>0</v>
      </c>
      <c r="K81" cm="1">
        <f t="array" ref="K81">INDEX(Table1[riBAQ 37], MATCH(1, (Table3[[#This Row],[Gene names]:[Gene names]] = Table1[[Gene names]:[Gene names]])*1, 0))</f>
        <v>0</v>
      </c>
      <c r="L81" cm="1">
        <f t="array" ref="L81">INDEX(Table1[riBAQ 38], MATCH(1, (Table3[[#This Row],[Gene names]:[Gene names]] = Table1[[Gene names]:[Gene names]])*1, 0))</f>
        <v>0</v>
      </c>
      <c r="M81" cm="1">
        <f t="array" ref="M81">INDEX(Table1[riBAQ 39], MATCH(1, (Table3[[#This Row],[Gene names]:[Gene names]] = Table1[[Gene names]:[Gene names]])*1, 0))</f>
        <v>0</v>
      </c>
      <c r="N81" cm="1">
        <f t="array" ref="N81">INDEX(Table1[riBAQ 40], MATCH(1, (Table3[[#This Row],[Gene names]:[Gene names]] = Table1[[Gene names]:[Gene names]])*1, 0))</f>
        <v>0</v>
      </c>
      <c r="O81" cm="1">
        <f t="array" ref="O81">INDEX(Table1[riBAQ 41], MATCH(1, (Table3[[#This Row],[Gene names]:[Gene names]] = Table1[[Gene names]:[Gene names]])*1, 0))</f>
        <v>0</v>
      </c>
      <c r="P81" cm="1">
        <f t="array" ref="P81">INDEX(Table1[riBAQ 24], MATCH(1, (Table3[[#This Row],[Gene names]:[Gene names]] = Table1[[Gene names]:[Gene names]])*1, 0))</f>
        <v>1.91E-5</v>
      </c>
      <c r="Q81" cm="1">
        <f t="array" ref="Q81">INDEX(Table1[riBAQ 25], MATCH(1, (Table3[[#This Row],[Gene names]:[Gene names]] = Table1[[Gene names]:[Gene names]])*1, 0))</f>
        <v>4.71E-5</v>
      </c>
      <c r="R81" cm="1">
        <f t="array" ref="R81">INDEX(Table1[riBAQ 26], MATCH(1, (Table3[[#This Row],[Gene names]:[Gene names]] = Table1[[Gene names]:[Gene names]])*1, 0))</f>
        <v>2.1699999999999999E-5</v>
      </c>
      <c r="S81" cm="1">
        <f t="array" ref="S81">INDEX(Table1[riBAQ 42], MATCH(1, (Table3[[#This Row],[Gene names]:[Gene names]] = Table1[[Gene names]:[Gene names]])*1, 0))</f>
        <v>1.5800000000000001E-5</v>
      </c>
      <c r="T81" cm="1">
        <f t="array" ref="T81">INDEX(Table1[riBAQ 43], MATCH(1, (Table3[[#This Row],[Gene names]:[Gene names]] = Table1[[Gene names]:[Gene names]])*1, 0))</f>
        <v>7.4200000000000001E-5</v>
      </c>
    </row>
    <row r="82" spans="1:20" x14ac:dyDescent="0.25">
      <c r="A82" t="s">
        <v>46</v>
      </c>
      <c r="B82" cm="1">
        <f t="array" ref="B82">INDEX(Table1[riBAQ 17], MATCH(1, (Table3[[#This Row],[Gene names]:[Gene names]] = Table1[[Gene names]:[Gene names]])*1, 0))</f>
        <v>2.3E-5</v>
      </c>
      <c r="C82" cm="1">
        <f t="array" ref="C82">INDEX(Table1[riBAQ 18], MATCH(1, (Table3[[#This Row],[Gene names]:[Gene names]] = Table1[[Gene names]:[Gene names]])*1, 0))</f>
        <v>0</v>
      </c>
      <c r="D82" cm="1">
        <f t="array" ref="D82">INDEX(Table1[riBAQ 35], MATCH(1, (Table3[[#This Row],[Gene names]:[Gene names]] = Table1[[Gene names]:[Gene names]])*1, 0))</f>
        <v>3.8899999999999997E-5</v>
      </c>
      <c r="E82" cm="1">
        <f t="array" ref="E82">INDEX(Table1[riBAQ 36], MATCH(1, (Table3[[#This Row],[Gene names]:[Gene names]] = Table1[[Gene names]:[Gene names]])*1, 0))</f>
        <v>2.2799999999999999E-5</v>
      </c>
      <c r="F82" cm="1">
        <f t="array" ref="F82">INDEX(Table1[riBAQ 19], MATCH(1, (Table3[[#This Row],[Gene names]:[Gene names]] = Table1[[Gene names]:[Gene names]])*1, 0))</f>
        <v>2.55E-5</v>
      </c>
      <c r="G82" cm="1">
        <f t="array" ref="G82">INDEX(Table1[riBAQ 20], MATCH(1, (Table3[[#This Row],[Gene names]:[Gene names]] = Table1[[Gene names]:[Gene names]])*1, 0))</f>
        <v>0</v>
      </c>
      <c r="H82" cm="1">
        <f t="array" ref="H82">INDEX(Table1[riBAQ 21], MATCH(1, (Table3[[#This Row],[Gene names]:[Gene names]] = Table1[[Gene names]:[Gene names]])*1, 0))</f>
        <v>0</v>
      </c>
      <c r="I82" cm="1">
        <f t="array" ref="I82">INDEX(Table1[riBAQ 22], MATCH(1, (Table3[[#This Row],[Gene names]:[Gene names]] = Table1[[Gene names]:[Gene names]])*1, 0))</f>
        <v>0</v>
      </c>
      <c r="J82" cm="1">
        <f t="array" ref="J82">INDEX(Table1[riBAQ 23], MATCH(1, (Table3[[#This Row],[Gene names]:[Gene names]] = Table1[[Gene names]:[Gene names]])*1, 0))</f>
        <v>3.8000000000000002E-5</v>
      </c>
      <c r="K82" cm="1">
        <f t="array" ref="K82">INDEX(Table1[riBAQ 37], MATCH(1, (Table3[[#This Row],[Gene names]:[Gene names]] = Table1[[Gene names]:[Gene names]])*1, 0))</f>
        <v>0</v>
      </c>
      <c r="L82" cm="1">
        <f t="array" ref="L82">INDEX(Table1[riBAQ 38], MATCH(1, (Table3[[#This Row],[Gene names]:[Gene names]] = Table1[[Gene names]:[Gene names]])*1, 0))</f>
        <v>2.8500000000000002E-5</v>
      </c>
      <c r="M82" cm="1">
        <f t="array" ref="M82">INDEX(Table1[riBAQ 39], MATCH(1, (Table3[[#This Row],[Gene names]:[Gene names]] = Table1[[Gene names]:[Gene names]])*1, 0))</f>
        <v>2.3300000000000001E-5</v>
      </c>
      <c r="N82" cm="1">
        <f t="array" ref="N82">INDEX(Table1[riBAQ 40], MATCH(1, (Table3[[#This Row],[Gene names]:[Gene names]] = Table1[[Gene names]:[Gene names]])*1, 0))</f>
        <v>4.1600000000000002E-5</v>
      </c>
      <c r="O82" cm="1">
        <f t="array" ref="O82">INDEX(Table1[riBAQ 41], MATCH(1, (Table3[[#This Row],[Gene names]:[Gene names]] = Table1[[Gene names]:[Gene names]])*1, 0))</f>
        <v>2.7800000000000001E-5</v>
      </c>
      <c r="P82" cm="1">
        <f t="array" ref="P82">INDEX(Table1[riBAQ 24], MATCH(1, (Table3[[#This Row],[Gene names]:[Gene names]] = Table1[[Gene names]:[Gene names]])*1, 0))</f>
        <v>0</v>
      </c>
      <c r="Q82" cm="1">
        <f t="array" ref="Q82">INDEX(Table1[riBAQ 25], MATCH(1, (Table3[[#This Row],[Gene names]:[Gene names]] = Table1[[Gene names]:[Gene names]])*1, 0))</f>
        <v>5.7500000000000002E-5</v>
      </c>
      <c r="R82" cm="1">
        <f t="array" ref="R82">INDEX(Table1[riBAQ 26], MATCH(1, (Table3[[#This Row],[Gene names]:[Gene names]] = Table1[[Gene names]:[Gene names]])*1, 0))</f>
        <v>1.4308300000000001E-4</v>
      </c>
      <c r="S82" cm="1">
        <f t="array" ref="S82">INDEX(Table1[riBAQ 42], MATCH(1, (Table3[[#This Row],[Gene names]:[Gene names]] = Table1[[Gene names]:[Gene names]])*1, 0))</f>
        <v>6.6799999999999997E-5</v>
      </c>
      <c r="T82" cm="1">
        <f t="array" ref="T82">INDEX(Table1[riBAQ 43], MATCH(1, (Table3[[#This Row],[Gene names]:[Gene names]] = Table1[[Gene names]:[Gene names]])*1, 0))</f>
        <v>1.8199999999999999E-5</v>
      </c>
    </row>
    <row r="83" spans="1:20" x14ac:dyDescent="0.25">
      <c r="A83" t="s">
        <v>1591</v>
      </c>
      <c r="B83" cm="1">
        <f t="array" ref="B83">INDEX(Table1[riBAQ 17], MATCH(1, (Table3[[#This Row],[Gene names]:[Gene names]] = Table1[[Gene names]:[Gene names]])*1, 0))</f>
        <v>4.88E-5</v>
      </c>
      <c r="C83" cm="1">
        <f t="array" ref="C83">INDEX(Table1[riBAQ 18], MATCH(1, (Table3[[#This Row],[Gene names]:[Gene names]] = Table1[[Gene names]:[Gene names]])*1, 0))</f>
        <v>0</v>
      </c>
      <c r="D83" cm="1">
        <f t="array" ref="D83">INDEX(Table1[riBAQ 35], MATCH(1, (Table3[[#This Row],[Gene names]:[Gene names]] = Table1[[Gene names]:[Gene names]])*1, 0))</f>
        <v>0</v>
      </c>
      <c r="E83" cm="1">
        <f t="array" ref="E83">INDEX(Table1[riBAQ 36], MATCH(1, (Table3[[#This Row],[Gene names]:[Gene names]] = Table1[[Gene names]:[Gene names]])*1, 0))</f>
        <v>0</v>
      </c>
      <c r="F83" cm="1">
        <f t="array" ref="F83">INDEX(Table1[riBAQ 19], MATCH(1, (Table3[[#This Row],[Gene names]:[Gene names]] = Table1[[Gene names]:[Gene names]])*1, 0))</f>
        <v>0</v>
      </c>
      <c r="G83" cm="1">
        <f t="array" ref="G83">INDEX(Table1[riBAQ 20], MATCH(1, (Table3[[#This Row],[Gene names]:[Gene names]] = Table1[[Gene names]:[Gene names]])*1, 0))</f>
        <v>0</v>
      </c>
      <c r="H83" cm="1">
        <f t="array" ref="H83">INDEX(Table1[riBAQ 21], MATCH(1, (Table3[[#This Row],[Gene names]:[Gene names]] = Table1[[Gene names]:[Gene names]])*1, 0))</f>
        <v>0</v>
      </c>
      <c r="I83" cm="1">
        <f t="array" ref="I83">INDEX(Table1[riBAQ 22], MATCH(1, (Table3[[#This Row],[Gene names]:[Gene names]] = Table1[[Gene names]:[Gene names]])*1, 0))</f>
        <v>3.6000000000000001E-5</v>
      </c>
      <c r="J83" cm="1">
        <f t="array" ref="J83">INDEX(Table1[riBAQ 23], MATCH(1, (Table3[[#This Row],[Gene names]:[Gene names]] = Table1[[Gene names]:[Gene names]])*1, 0))</f>
        <v>4.5599999999999997E-5</v>
      </c>
      <c r="K83" cm="1">
        <f t="array" ref="K83">INDEX(Table1[riBAQ 37], MATCH(1, (Table3[[#This Row],[Gene names]:[Gene names]] = Table1[[Gene names]:[Gene names]])*1, 0))</f>
        <v>0</v>
      </c>
      <c r="L83" cm="1">
        <f t="array" ref="L83">INDEX(Table1[riBAQ 38], MATCH(1, (Table3[[#This Row],[Gene names]:[Gene names]] = Table1[[Gene names]:[Gene names]])*1, 0))</f>
        <v>0</v>
      </c>
      <c r="M83" cm="1">
        <f t="array" ref="M83">INDEX(Table1[riBAQ 39], MATCH(1, (Table3[[#This Row],[Gene names]:[Gene names]] = Table1[[Gene names]:[Gene names]])*1, 0))</f>
        <v>3.79E-5</v>
      </c>
      <c r="N83" cm="1">
        <f t="array" ref="N83">INDEX(Table1[riBAQ 40], MATCH(1, (Table3[[#This Row],[Gene names]:[Gene names]] = Table1[[Gene names]:[Gene names]])*1, 0))</f>
        <v>0</v>
      </c>
      <c r="O83" cm="1">
        <f t="array" ref="O83">INDEX(Table1[riBAQ 41], MATCH(1, (Table3[[#This Row],[Gene names]:[Gene names]] = Table1[[Gene names]:[Gene names]])*1, 0))</f>
        <v>2.8600000000000001E-5</v>
      </c>
      <c r="P83" cm="1">
        <f t="array" ref="P83">INDEX(Table1[riBAQ 24], MATCH(1, (Table3[[#This Row],[Gene names]:[Gene names]] = Table1[[Gene names]:[Gene names]])*1, 0))</f>
        <v>6.5699999999999998E-5</v>
      </c>
      <c r="Q83" cm="1">
        <f t="array" ref="Q83">INDEX(Table1[riBAQ 25], MATCH(1, (Table3[[#This Row],[Gene names]:[Gene names]] = Table1[[Gene names]:[Gene names]])*1, 0))</f>
        <v>7.08E-5</v>
      </c>
      <c r="R83" cm="1">
        <f t="array" ref="R83">INDEX(Table1[riBAQ 26], MATCH(1, (Table3[[#This Row],[Gene names]:[Gene names]] = Table1[[Gene names]:[Gene names]])*1, 0))</f>
        <v>7.7399999999999998E-5</v>
      </c>
      <c r="S83" cm="1">
        <f t="array" ref="S83">INDEX(Table1[riBAQ 42], MATCH(1, (Table3[[#This Row],[Gene names]:[Gene names]] = Table1[[Gene names]:[Gene names]])*1, 0))</f>
        <v>0</v>
      </c>
      <c r="T83" cm="1">
        <f t="array" ref="T83">INDEX(Table1[riBAQ 43], MATCH(1, (Table3[[#This Row],[Gene names]:[Gene names]] = Table1[[Gene names]:[Gene names]])*1, 0))</f>
        <v>7.2100000000000004E-5</v>
      </c>
    </row>
    <row r="84" spans="1:20" x14ac:dyDescent="0.25">
      <c r="A84" t="s">
        <v>1840</v>
      </c>
      <c r="B84" t="e" cm="1">
        <f t="array" ref="B84">INDEX(Table1[riBAQ 17], MATCH(1, (Table3[[#This Row],[Gene names]:[Gene names]] = Table1[[Gene names]:[Gene names]])*1, 0))</f>
        <v>#N/A</v>
      </c>
      <c r="C84" t="e" cm="1">
        <f t="array" ref="C84">INDEX(Table1[riBAQ 18], MATCH(1, (Table3[[#This Row],[Gene names]:[Gene names]] = Table1[[Gene names]:[Gene names]])*1, 0))</f>
        <v>#N/A</v>
      </c>
      <c r="D84" t="e" cm="1">
        <f t="array" ref="D84">INDEX(Table1[riBAQ 35], MATCH(1, (Table3[[#This Row],[Gene names]:[Gene names]] = Table1[[Gene names]:[Gene names]])*1, 0))</f>
        <v>#N/A</v>
      </c>
      <c r="E84" t="e" cm="1">
        <f t="array" ref="E84">INDEX(Table1[riBAQ 36], MATCH(1, (Table3[[#This Row],[Gene names]:[Gene names]] = Table1[[Gene names]:[Gene names]])*1, 0))</f>
        <v>#N/A</v>
      </c>
      <c r="F84" t="e" cm="1">
        <f t="array" ref="F84">INDEX(Table1[riBAQ 19], MATCH(1, (Table3[[#This Row],[Gene names]:[Gene names]] = Table1[[Gene names]:[Gene names]])*1, 0))</f>
        <v>#N/A</v>
      </c>
      <c r="G84" t="e" cm="1">
        <f t="array" ref="G84">INDEX(Table1[riBAQ 20], MATCH(1, (Table3[[#This Row],[Gene names]:[Gene names]] = Table1[[Gene names]:[Gene names]])*1, 0))</f>
        <v>#N/A</v>
      </c>
      <c r="H84" t="e" cm="1">
        <f t="array" ref="H84">INDEX(Table1[riBAQ 21], MATCH(1, (Table3[[#This Row],[Gene names]:[Gene names]] = Table1[[Gene names]:[Gene names]])*1, 0))</f>
        <v>#N/A</v>
      </c>
      <c r="I84" t="e" cm="1">
        <f t="array" ref="I84">INDEX(Table1[riBAQ 22], MATCH(1, (Table3[[#This Row],[Gene names]:[Gene names]] = Table1[[Gene names]:[Gene names]])*1, 0))</f>
        <v>#N/A</v>
      </c>
      <c r="J84" t="e" cm="1">
        <f t="array" ref="J84">INDEX(Table1[riBAQ 23], MATCH(1, (Table3[[#This Row],[Gene names]:[Gene names]] = Table1[[Gene names]:[Gene names]])*1, 0))</f>
        <v>#N/A</v>
      </c>
      <c r="K84" t="e" cm="1">
        <f t="array" ref="K84">INDEX(Table1[riBAQ 37], MATCH(1, (Table3[[#This Row],[Gene names]:[Gene names]] = Table1[[Gene names]:[Gene names]])*1, 0))</f>
        <v>#N/A</v>
      </c>
      <c r="L84" t="e" cm="1">
        <f t="array" ref="L84">INDEX(Table1[riBAQ 38], MATCH(1, (Table3[[#This Row],[Gene names]:[Gene names]] = Table1[[Gene names]:[Gene names]])*1, 0))</f>
        <v>#N/A</v>
      </c>
      <c r="M84" t="e" cm="1">
        <f t="array" ref="M84">INDEX(Table1[riBAQ 39], MATCH(1, (Table3[[#This Row],[Gene names]:[Gene names]] = Table1[[Gene names]:[Gene names]])*1, 0))</f>
        <v>#N/A</v>
      </c>
      <c r="N84" t="e" cm="1">
        <f t="array" ref="N84">INDEX(Table1[riBAQ 40], MATCH(1, (Table3[[#This Row],[Gene names]:[Gene names]] = Table1[[Gene names]:[Gene names]])*1, 0))</f>
        <v>#N/A</v>
      </c>
      <c r="O84" t="e" cm="1">
        <f t="array" ref="O84">INDEX(Table1[riBAQ 41], MATCH(1, (Table3[[#This Row],[Gene names]:[Gene names]] = Table1[[Gene names]:[Gene names]])*1, 0))</f>
        <v>#N/A</v>
      </c>
      <c r="P84" t="e" cm="1">
        <f t="array" ref="P84">INDEX(Table1[riBAQ 24], MATCH(1, (Table3[[#This Row],[Gene names]:[Gene names]] = Table1[[Gene names]:[Gene names]])*1, 0))</f>
        <v>#N/A</v>
      </c>
      <c r="Q84" t="e" cm="1">
        <f t="array" ref="Q84">INDEX(Table1[riBAQ 25], MATCH(1, (Table3[[#This Row],[Gene names]:[Gene names]] = Table1[[Gene names]:[Gene names]])*1, 0))</f>
        <v>#N/A</v>
      </c>
      <c r="R84" t="e" cm="1">
        <f t="array" ref="R84">INDEX(Table1[riBAQ 26], MATCH(1, (Table3[[#This Row],[Gene names]:[Gene names]] = Table1[[Gene names]:[Gene names]])*1, 0))</f>
        <v>#N/A</v>
      </c>
      <c r="S84" t="e" cm="1">
        <f t="array" ref="S84">INDEX(Table1[riBAQ 42], MATCH(1, (Table3[[#This Row],[Gene names]:[Gene names]] = Table1[[Gene names]:[Gene names]])*1, 0))</f>
        <v>#N/A</v>
      </c>
      <c r="T84" t="e" cm="1">
        <f t="array" ref="T84">INDEX(Table1[riBAQ 43], MATCH(1, (Table3[[#This Row],[Gene names]:[Gene names]] = Table1[[Gene names]:[Gene names]])*1, 0))</f>
        <v>#N/A</v>
      </c>
    </row>
    <row r="85" spans="1:20" x14ac:dyDescent="0.25">
      <c r="A85" t="s">
        <v>1756</v>
      </c>
      <c r="B85" cm="1">
        <f t="array" ref="B85">INDEX(Table1[riBAQ 17], MATCH(1, (Table3[[#This Row],[Gene names]:[Gene names]] = Table1[[Gene names]:[Gene names]])*1, 0))</f>
        <v>1.8195E-4</v>
      </c>
      <c r="C85" cm="1">
        <f t="array" ref="C85">INDEX(Table1[riBAQ 18], MATCH(1, (Table3[[#This Row],[Gene names]:[Gene names]] = Table1[[Gene names]:[Gene names]])*1, 0))</f>
        <v>1.76396E-4</v>
      </c>
      <c r="D85" cm="1">
        <f t="array" ref="D85">INDEX(Table1[riBAQ 35], MATCH(1, (Table3[[#This Row],[Gene names]:[Gene names]] = Table1[[Gene names]:[Gene names]])*1, 0))</f>
        <v>1.7182100000000001E-4</v>
      </c>
      <c r="E85" cm="1">
        <f t="array" ref="E85">INDEX(Table1[riBAQ 36], MATCH(1, (Table3[[#This Row],[Gene names]:[Gene names]] = Table1[[Gene names]:[Gene names]])*1, 0))</f>
        <v>1.5325000000000001E-4</v>
      </c>
      <c r="F85" cm="1">
        <f t="array" ref="F85">INDEX(Table1[riBAQ 19], MATCH(1, (Table3[[#This Row],[Gene names]:[Gene names]] = Table1[[Gene names]:[Gene names]])*1, 0))</f>
        <v>1.10776E-4</v>
      </c>
      <c r="G85" cm="1">
        <f t="array" ref="G85">INDEX(Table1[riBAQ 20], MATCH(1, (Table3[[#This Row],[Gene names]:[Gene names]] = Table1[[Gene names]:[Gene names]])*1, 0))</f>
        <v>1.5804600000000001E-4</v>
      </c>
      <c r="H85" cm="1">
        <f t="array" ref="H85">INDEX(Table1[riBAQ 21], MATCH(1, (Table3[[#This Row],[Gene names]:[Gene names]] = Table1[[Gene names]:[Gene names]])*1, 0))</f>
        <v>7.6100000000000007E-5</v>
      </c>
      <c r="I85" cm="1">
        <f t="array" ref="I85">INDEX(Table1[riBAQ 22], MATCH(1, (Table3[[#This Row],[Gene names]:[Gene names]] = Table1[[Gene names]:[Gene names]])*1, 0))</f>
        <v>1.46071E-4</v>
      </c>
      <c r="J85" cm="1">
        <f t="array" ref="J85">INDEX(Table1[riBAQ 23], MATCH(1, (Table3[[#This Row],[Gene names]:[Gene names]] = Table1[[Gene names]:[Gene names]])*1, 0))</f>
        <v>1.2615400000000001E-4</v>
      </c>
      <c r="K85" cm="1">
        <f t="array" ref="K85">INDEX(Table1[riBAQ 37], MATCH(1, (Table3[[#This Row],[Gene names]:[Gene names]] = Table1[[Gene names]:[Gene names]])*1, 0))</f>
        <v>1.2664299999999999E-4</v>
      </c>
      <c r="L85" cm="1">
        <f t="array" ref="L85">INDEX(Table1[riBAQ 38], MATCH(1, (Table3[[#This Row],[Gene names]:[Gene names]] = Table1[[Gene names]:[Gene names]])*1, 0))</f>
        <v>1.7347799999999999E-4</v>
      </c>
      <c r="M85" cm="1">
        <f t="array" ref="M85">INDEX(Table1[riBAQ 39], MATCH(1, (Table3[[#This Row],[Gene names]:[Gene names]] = Table1[[Gene names]:[Gene names]])*1, 0))</f>
        <v>1.56575E-4</v>
      </c>
      <c r="N85" cm="1">
        <f t="array" ref="N85">INDEX(Table1[riBAQ 40], MATCH(1, (Table3[[#This Row],[Gene names]:[Gene names]] = Table1[[Gene names]:[Gene names]])*1, 0))</f>
        <v>1.6676500000000001E-4</v>
      </c>
      <c r="O85" cm="1">
        <f t="array" ref="O85">INDEX(Table1[riBAQ 41], MATCH(1, (Table3[[#This Row],[Gene names]:[Gene names]] = Table1[[Gene names]:[Gene names]])*1, 0))</f>
        <v>1.4071799999999999E-4</v>
      </c>
      <c r="P85" cm="1">
        <f t="array" ref="P85">INDEX(Table1[riBAQ 24], MATCH(1, (Table3[[#This Row],[Gene names]:[Gene names]] = Table1[[Gene names]:[Gene names]])*1, 0))</f>
        <v>8.3800000000000004E-5</v>
      </c>
      <c r="Q85" cm="1">
        <f t="array" ref="Q85">INDEX(Table1[riBAQ 25], MATCH(1, (Table3[[#This Row],[Gene names]:[Gene names]] = Table1[[Gene names]:[Gene names]])*1, 0))</f>
        <v>6.1600000000000007E-5</v>
      </c>
      <c r="R85" cm="1">
        <f t="array" ref="R85">INDEX(Table1[riBAQ 26], MATCH(1, (Table3[[#This Row],[Gene names]:[Gene names]] = Table1[[Gene names]:[Gene names]])*1, 0))</f>
        <v>8.1500000000000002E-5</v>
      </c>
      <c r="S85" cm="1">
        <f t="array" ref="S85">INDEX(Table1[riBAQ 42], MATCH(1, (Table3[[#This Row],[Gene names]:[Gene names]] = Table1[[Gene names]:[Gene names]])*1, 0))</f>
        <v>7.6199999999999995E-5</v>
      </c>
      <c r="T85" cm="1">
        <f t="array" ref="T85">INDEX(Table1[riBAQ 43], MATCH(1, (Table3[[#This Row],[Gene names]:[Gene names]] = Table1[[Gene names]:[Gene names]])*1, 0))</f>
        <v>7.6699999999999994E-5</v>
      </c>
    </row>
    <row r="86" spans="1:20" x14ac:dyDescent="0.25">
      <c r="A86" t="s">
        <v>97</v>
      </c>
      <c r="B86" cm="1">
        <f t="array" ref="B86">INDEX(Table1[riBAQ 17], MATCH(1, (Table3[[#This Row],[Gene names]:[Gene names]] = Table1[[Gene names]:[Gene names]])*1, 0))</f>
        <v>7.9200000000000001E-5</v>
      </c>
      <c r="C86" cm="1">
        <f t="array" ref="C86">INDEX(Table1[riBAQ 18], MATCH(1, (Table3[[#This Row],[Gene names]:[Gene names]] = Table1[[Gene names]:[Gene names]])*1, 0))</f>
        <v>1.34991E-4</v>
      </c>
      <c r="D86" cm="1">
        <f t="array" ref="D86">INDEX(Table1[riBAQ 35], MATCH(1, (Table3[[#This Row],[Gene names]:[Gene names]] = Table1[[Gene names]:[Gene names]])*1, 0))</f>
        <v>1.10893E-4</v>
      </c>
      <c r="E86" cm="1">
        <f t="array" ref="E86">INDEX(Table1[riBAQ 36], MATCH(1, (Table3[[#This Row],[Gene names]:[Gene names]] = Table1[[Gene names]:[Gene names]])*1, 0))</f>
        <v>9.7999999999999997E-5</v>
      </c>
      <c r="F86" cm="1">
        <f t="array" ref="F86">INDEX(Table1[riBAQ 19], MATCH(1, (Table3[[#This Row],[Gene names]:[Gene names]] = Table1[[Gene names]:[Gene names]])*1, 0))</f>
        <v>1.00172E-4</v>
      </c>
      <c r="G86" cm="1">
        <f t="array" ref="G86">INDEX(Table1[riBAQ 20], MATCH(1, (Table3[[#This Row],[Gene names]:[Gene names]] = Table1[[Gene names]:[Gene names]])*1, 0))</f>
        <v>1.49467E-4</v>
      </c>
      <c r="H86" cm="1">
        <f t="array" ref="H86">INDEX(Table1[riBAQ 21], MATCH(1, (Table3[[#This Row],[Gene names]:[Gene names]] = Table1[[Gene names]:[Gene names]])*1, 0))</f>
        <v>7.2700000000000005E-5</v>
      </c>
      <c r="I86" cm="1">
        <f t="array" ref="I86">INDEX(Table1[riBAQ 22], MATCH(1, (Table3[[#This Row],[Gene names]:[Gene names]] = Table1[[Gene names]:[Gene names]])*1, 0))</f>
        <v>1.16802E-4</v>
      </c>
      <c r="J86" cm="1">
        <f t="array" ref="J86">INDEX(Table1[riBAQ 23], MATCH(1, (Table3[[#This Row],[Gene names]:[Gene names]] = Table1[[Gene names]:[Gene names]])*1, 0))</f>
        <v>1.23046E-4</v>
      </c>
      <c r="K86" cm="1">
        <f t="array" ref="K86">INDEX(Table1[riBAQ 37], MATCH(1, (Table3[[#This Row],[Gene names]:[Gene names]] = Table1[[Gene names]:[Gene names]])*1, 0))</f>
        <v>1.5286400000000001E-4</v>
      </c>
      <c r="L86" cm="1">
        <f t="array" ref="L86">INDEX(Table1[riBAQ 38], MATCH(1, (Table3[[#This Row],[Gene names]:[Gene names]] = Table1[[Gene names]:[Gene names]])*1, 0))</f>
        <v>1.37021E-4</v>
      </c>
      <c r="M86" cm="1">
        <f t="array" ref="M86">INDEX(Table1[riBAQ 39], MATCH(1, (Table3[[#This Row],[Gene names]:[Gene names]] = Table1[[Gene names]:[Gene names]])*1, 0))</f>
        <v>9.9900000000000002E-5</v>
      </c>
      <c r="N86" cm="1">
        <f t="array" ref="N86">INDEX(Table1[riBAQ 40], MATCH(1, (Table3[[#This Row],[Gene names]:[Gene names]] = Table1[[Gene names]:[Gene names]])*1, 0))</f>
        <v>1.21546E-4</v>
      </c>
      <c r="O86" cm="1">
        <f t="array" ref="O86">INDEX(Table1[riBAQ 41], MATCH(1, (Table3[[#This Row],[Gene names]:[Gene names]] = Table1[[Gene names]:[Gene names]])*1, 0))</f>
        <v>1.25847E-4</v>
      </c>
      <c r="P86" cm="1">
        <f t="array" ref="P86">INDEX(Table1[riBAQ 24], MATCH(1, (Table3[[#This Row],[Gene names]:[Gene names]] = Table1[[Gene names]:[Gene names]])*1, 0))</f>
        <v>7.7799999999999994E-5</v>
      </c>
      <c r="Q86" cm="1">
        <f t="array" ref="Q86">INDEX(Table1[riBAQ 25], MATCH(1, (Table3[[#This Row],[Gene names]:[Gene names]] = Table1[[Gene names]:[Gene names]])*1, 0))</f>
        <v>5.5500000000000001E-5</v>
      </c>
      <c r="R86" cm="1">
        <f t="array" ref="R86">INDEX(Table1[riBAQ 26], MATCH(1, (Table3[[#This Row],[Gene names]:[Gene names]] = Table1[[Gene names]:[Gene names]])*1, 0))</f>
        <v>4.1900000000000002E-5</v>
      </c>
      <c r="S86" cm="1">
        <f t="array" ref="S86">INDEX(Table1[riBAQ 42], MATCH(1, (Table3[[#This Row],[Gene names]:[Gene names]] = Table1[[Gene names]:[Gene names]])*1, 0))</f>
        <v>8.5699999999999996E-5</v>
      </c>
      <c r="T86" cm="1">
        <f t="array" ref="T86">INDEX(Table1[riBAQ 43], MATCH(1, (Table3[[#This Row],[Gene names]:[Gene names]] = Table1[[Gene names]:[Gene names]])*1, 0))</f>
        <v>4.2400000000000001E-5</v>
      </c>
    </row>
    <row r="87" spans="1:20" x14ac:dyDescent="0.25">
      <c r="A87" t="s">
        <v>464</v>
      </c>
      <c r="B87" cm="1">
        <f t="array" ref="B87">INDEX(Table1[riBAQ 17], MATCH(1, (Table3[[#This Row],[Gene names]:[Gene names]] = Table1[[Gene names]:[Gene names]])*1, 0))</f>
        <v>0</v>
      </c>
      <c r="C87" cm="1">
        <f t="array" ref="C87">INDEX(Table1[riBAQ 18], MATCH(1, (Table3[[#This Row],[Gene names]:[Gene names]] = Table1[[Gene names]:[Gene names]])*1, 0))</f>
        <v>0</v>
      </c>
      <c r="D87" cm="1">
        <f t="array" ref="D87">INDEX(Table1[riBAQ 35], MATCH(1, (Table3[[#This Row],[Gene names]:[Gene names]] = Table1[[Gene names]:[Gene names]])*1, 0))</f>
        <v>0</v>
      </c>
      <c r="E87" cm="1">
        <f t="array" ref="E87">INDEX(Table1[riBAQ 36], MATCH(1, (Table3[[#This Row],[Gene names]:[Gene names]] = Table1[[Gene names]:[Gene names]])*1, 0))</f>
        <v>0</v>
      </c>
      <c r="F87" cm="1">
        <f t="array" ref="F87">INDEX(Table1[riBAQ 19], MATCH(1, (Table3[[#This Row],[Gene names]:[Gene names]] = Table1[[Gene names]:[Gene names]])*1, 0))</f>
        <v>5.2353399999999998E-3</v>
      </c>
      <c r="G87" cm="1">
        <f t="array" ref="G87">INDEX(Table1[riBAQ 20], MATCH(1, (Table3[[#This Row],[Gene names]:[Gene names]] = Table1[[Gene names]:[Gene names]])*1, 0))</f>
        <v>0</v>
      </c>
      <c r="H87" cm="1">
        <f t="array" ref="H87">INDEX(Table1[riBAQ 21], MATCH(1, (Table3[[#This Row],[Gene names]:[Gene names]] = Table1[[Gene names]:[Gene names]])*1, 0))</f>
        <v>0</v>
      </c>
      <c r="I87" cm="1">
        <f t="array" ref="I87">INDEX(Table1[riBAQ 22], MATCH(1, (Table3[[#This Row],[Gene names]:[Gene names]] = Table1[[Gene names]:[Gene names]])*1, 0))</f>
        <v>6.96774E-3</v>
      </c>
      <c r="J87" cm="1">
        <f t="array" ref="J87">INDEX(Table1[riBAQ 23], MATCH(1, (Table3[[#This Row],[Gene names]:[Gene names]] = Table1[[Gene names]:[Gene names]])*1, 0))</f>
        <v>0</v>
      </c>
      <c r="K87" cm="1">
        <f t="array" ref="K87">INDEX(Table1[riBAQ 37], MATCH(1, (Table3[[#This Row],[Gene names]:[Gene names]] = Table1[[Gene names]:[Gene names]])*1, 0))</f>
        <v>0</v>
      </c>
      <c r="L87" cm="1">
        <f t="array" ref="L87">INDEX(Table1[riBAQ 38], MATCH(1, (Table3[[#This Row],[Gene names]:[Gene names]] = Table1[[Gene names]:[Gene names]])*1, 0))</f>
        <v>0</v>
      </c>
      <c r="M87" cm="1">
        <f t="array" ref="M87">INDEX(Table1[riBAQ 39], MATCH(1, (Table3[[#This Row],[Gene names]:[Gene names]] = Table1[[Gene names]:[Gene names]])*1, 0))</f>
        <v>4.2796600000000002E-3</v>
      </c>
      <c r="N87" cm="1">
        <f t="array" ref="N87">INDEX(Table1[riBAQ 40], MATCH(1, (Table3[[#This Row],[Gene names]:[Gene names]] = Table1[[Gene names]:[Gene names]])*1, 0))</f>
        <v>0</v>
      </c>
      <c r="O87" cm="1">
        <f t="array" ref="O87">INDEX(Table1[riBAQ 41], MATCH(1, (Table3[[#This Row],[Gene names]:[Gene names]] = Table1[[Gene names]:[Gene names]])*1, 0))</f>
        <v>6.296627E-3</v>
      </c>
      <c r="P87" cm="1">
        <f t="array" ref="P87">INDEX(Table1[riBAQ 24], MATCH(1, (Table3[[#This Row],[Gene names]:[Gene names]] = Table1[[Gene names]:[Gene names]])*1, 0))</f>
        <v>0</v>
      </c>
      <c r="Q87" cm="1">
        <f t="array" ref="Q87">INDEX(Table1[riBAQ 25], MATCH(1, (Table3[[#This Row],[Gene names]:[Gene names]] = Table1[[Gene names]:[Gene names]])*1, 0))</f>
        <v>1.1096566E-2</v>
      </c>
      <c r="R87" cm="1">
        <f t="array" ref="R87">INDEX(Table1[riBAQ 26], MATCH(1, (Table3[[#This Row],[Gene names]:[Gene names]] = Table1[[Gene names]:[Gene names]])*1, 0))</f>
        <v>1.3228414000000001E-2</v>
      </c>
      <c r="S87" cm="1">
        <f t="array" ref="S87">INDEX(Table1[riBAQ 42], MATCH(1, (Table3[[#This Row],[Gene names]:[Gene names]] = Table1[[Gene names]:[Gene names]])*1, 0))</f>
        <v>1.1824339999999999E-2</v>
      </c>
      <c r="T87" cm="1">
        <f t="array" ref="T87">INDEX(Table1[riBAQ 43], MATCH(1, (Table3[[#This Row],[Gene names]:[Gene names]] = Table1[[Gene names]:[Gene names]])*1, 0))</f>
        <v>7.418216E-3</v>
      </c>
    </row>
    <row r="88" spans="1:20" x14ac:dyDescent="0.25">
      <c r="A88" t="s">
        <v>499</v>
      </c>
      <c r="B88" cm="1">
        <f t="array" ref="B88">INDEX(Table1[riBAQ 17], MATCH(1, (Table3[[#This Row],[Gene names]:[Gene names]] = Table1[[Gene names]:[Gene names]])*1, 0))</f>
        <v>7.4499999999999995E-5</v>
      </c>
      <c r="C88" cm="1">
        <f t="array" ref="C88">INDEX(Table1[riBAQ 18], MATCH(1, (Table3[[#This Row],[Gene names]:[Gene names]] = Table1[[Gene names]:[Gene names]])*1, 0))</f>
        <v>0</v>
      </c>
      <c r="D88" cm="1">
        <f t="array" ref="D88">INDEX(Table1[riBAQ 35], MATCH(1, (Table3[[#This Row],[Gene names]:[Gene names]] = Table1[[Gene names]:[Gene names]])*1, 0))</f>
        <v>5.0699999999999999E-5</v>
      </c>
      <c r="E88" cm="1">
        <f t="array" ref="E88">INDEX(Table1[riBAQ 36], MATCH(1, (Table3[[#This Row],[Gene names]:[Gene names]] = Table1[[Gene names]:[Gene names]])*1, 0))</f>
        <v>0</v>
      </c>
      <c r="F88" cm="1">
        <f t="array" ref="F88">INDEX(Table1[riBAQ 19], MATCH(1, (Table3[[#This Row],[Gene names]:[Gene names]] = Table1[[Gene names]:[Gene names]])*1, 0))</f>
        <v>7.4400000000000006E-5</v>
      </c>
      <c r="G88" cm="1">
        <f t="array" ref="G88">INDEX(Table1[riBAQ 20], MATCH(1, (Table3[[#This Row],[Gene names]:[Gene names]] = Table1[[Gene names]:[Gene names]])*1, 0))</f>
        <v>7.7700000000000005E-5</v>
      </c>
      <c r="H88" cm="1">
        <f t="array" ref="H88">INDEX(Table1[riBAQ 21], MATCH(1, (Table3[[#This Row],[Gene names]:[Gene names]] = Table1[[Gene names]:[Gene names]])*1, 0))</f>
        <v>9.1199999999999994E-5</v>
      </c>
      <c r="I88" cm="1">
        <f t="array" ref="I88">INDEX(Table1[riBAQ 22], MATCH(1, (Table3[[#This Row],[Gene names]:[Gene names]] = Table1[[Gene names]:[Gene names]])*1, 0))</f>
        <v>4.5500000000000001E-5</v>
      </c>
      <c r="J88" cm="1">
        <f t="array" ref="J88">INDEX(Table1[riBAQ 23], MATCH(1, (Table3[[#This Row],[Gene names]:[Gene names]] = Table1[[Gene names]:[Gene names]])*1, 0))</f>
        <v>5.52E-5</v>
      </c>
      <c r="K88" cm="1">
        <f t="array" ref="K88">INDEX(Table1[riBAQ 37], MATCH(1, (Table3[[#This Row],[Gene names]:[Gene names]] = Table1[[Gene names]:[Gene names]])*1, 0))</f>
        <v>4.6999999999999997E-5</v>
      </c>
      <c r="L88" cm="1">
        <f t="array" ref="L88">INDEX(Table1[riBAQ 38], MATCH(1, (Table3[[#This Row],[Gene names]:[Gene names]] = Table1[[Gene names]:[Gene names]])*1, 0))</f>
        <v>3.7599999999999999E-5</v>
      </c>
      <c r="M88" cm="1">
        <f t="array" ref="M88">INDEX(Table1[riBAQ 39], MATCH(1, (Table3[[#This Row],[Gene names]:[Gene names]] = Table1[[Gene names]:[Gene names]])*1, 0))</f>
        <v>6.5300000000000002E-5</v>
      </c>
      <c r="N88" cm="1">
        <f t="array" ref="N88">INDEX(Table1[riBAQ 40], MATCH(1, (Table3[[#This Row],[Gene names]:[Gene names]] = Table1[[Gene names]:[Gene names]])*1, 0))</f>
        <v>9.1100000000000005E-5</v>
      </c>
      <c r="O88" cm="1">
        <f t="array" ref="O88">INDEX(Table1[riBAQ 41], MATCH(1, (Table3[[#This Row],[Gene names]:[Gene names]] = Table1[[Gene names]:[Gene names]])*1, 0))</f>
        <v>5.0399999999999999E-5</v>
      </c>
      <c r="P88" cm="1">
        <f t="array" ref="P88">INDEX(Table1[riBAQ 24], MATCH(1, (Table3[[#This Row],[Gene names]:[Gene names]] = Table1[[Gene names]:[Gene names]])*1, 0))</f>
        <v>1.15782E-4</v>
      </c>
      <c r="Q88" cm="1">
        <f t="array" ref="Q88">INDEX(Table1[riBAQ 25], MATCH(1, (Table3[[#This Row],[Gene names]:[Gene names]] = Table1[[Gene names]:[Gene names]])*1, 0))</f>
        <v>1.3169500000000001E-4</v>
      </c>
      <c r="R88" cm="1">
        <f t="array" ref="R88">INDEX(Table1[riBAQ 26], MATCH(1, (Table3[[#This Row],[Gene names]:[Gene names]] = Table1[[Gene names]:[Gene names]])*1, 0))</f>
        <v>8.6299999999999997E-5</v>
      </c>
      <c r="S88" cm="1">
        <f t="array" ref="S88">INDEX(Table1[riBAQ 42], MATCH(1, (Table3[[#This Row],[Gene names]:[Gene names]] = Table1[[Gene names]:[Gene names]])*1, 0))</f>
        <v>6.4999999999999994E-5</v>
      </c>
      <c r="T88" cm="1">
        <f t="array" ref="T88">INDEX(Table1[riBAQ 43], MATCH(1, (Table3[[#This Row],[Gene names]:[Gene names]] = Table1[[Gene names]:[Gene names]])*1, 0))</f>
        <v>2.3880700000000001E-4</v>
      </c>
    </row>
    <row r="89" spans="1:20" x14ac:dyDescent="0.25">
      <c r="A89" t="s">
        <v>30</v>
      </c>
      <c r="B89" cm="1">
        <f t="array" ref="B89">INDEX(Table1[riBAQ 17], MATCH(1, (Table3[[#This Row],[Gene names]:[Gene names]] = Table1[[Gene names]:[Gene names]])*1, 0))</f>
        <v>8.4099999999999998E-5</v>
      </c>
      <c r="C89" cm="1">
        <f t="array" ref="C89">INDEX(Table1[riBAQ 18], MATCH(1, (Table3[[#This Row],[Gene names]:[Gene names]] = Table1[[Gene names]:[Gene names]])*1, 0))</f>
        <v>8.4599999999999996E-5</v>
      </c>
      <c r="D89" cm="1">
        <f t="array" ref="D89">INDEX(Table1[riBAQ 35], MATCH(1, (Table3[[#This Row],[Gene names]:[Gene names]] = Table1[[Gene names]:[Gene names]])*1, 0))</f>
        <v>7.6100000000000007E-5</v>
      </c>
      <c r="E89" cm="1">
        <f t="array" ref="E89">INDEX(Table1[riBAQ 36], MATCH(1, (Table3[[#This Row],[Gene names]:[Gene names]] = Table1[[Gene names]:[Gene names]])*1, 0))</f>
        <v>9.1199999999999994E-5</v>
      </c>
      <c r="F89" cm="1">
        <f t="array" ref="F89">INDEX(Table1[riBAQ 19], MATCH(1, (Table3[[#This Row],[Gene names]:[Gene names]] = Table1[[Gene names]:[Gene names]])*1, 0))</f>
        <v>8.7999999999999998E-5</v>
      </c>
      <c r="G89" cm="1">
        <f t="array" ref="G89">INDEX(Table1[riBAQ 20], MATCH(1, (Table3[[#This Row],[Gene names]:[Gene names]] = Table1[[Gene names]:[Gene names]])*1, 0))</f>
        <v>1.21396E-4</v>
      </c>
      <c r="H89" cm="1">
        <f t="array" ref="H89">INDEX(Table1[riBAQ 21], MATCH(1, (Table3[[#This Row],[Gene names]:[Gene names]] = Table1[[Gene names]:[Gene names]])*1, 0))</f>
        <v>9.6299999999999996E-5</v>
      </c>
      <c r="I89" cm="1">
        <f t="array" ref="I89">INDEX(Table1[riBAQ 22], MATCH(1, (Table3[[#This Row],[Gene names]:[Gene names]] = Table1[[Gene names]:[Gene names]])*1, 0))</f>
        <v>1.211E-4</v>
      </c>
      <c r="J89" cm="1">
        <f t="array" ref="J89">INDEX(Table1[riBAQ 23], MATCH(1, (Table3[[#This Row],[Gene names]:[Gene names]] = Table1[[Gene names]:[Gene names]])*1, 0))</f>
        <v>1.03282E-4</v>
      </c>
      <c r="K89" cm="1">
        <f t="array" ref="K89">INDEX(Table1[riBAQ 37], MATCH(1, (Table3[[#This Row],[Gene names]:[Gene names]] = Table1[[Gene names]:[Gene names]])*1, 0))</f>
        <v>1.0980999999999999E-4</v>
      </c>
      <c r="L89" cm="1">
        <f t="array" ref="L89">INDEX(Table1[riBAQ 38], MATCH(1, (Table3[[#This Row],[Gene names]:[Gene names]] = Table1[[Gene names]:[Gene names]])*1, 0))</f>
        <v>1.19156E-4</v>
      </c>
      <c r="M89" cm="1">
        <f t="array" ref="M89">INDEX(Table1[riBAQ 39], MATCH(1, (Table3[[#This Row],[Gene names]:[Gene names]] = Table1[[Gene names]:[Gene names]])*1, 0))</f>
        <v>1.17395E-4</v>
      </c>
      <c r="N89" cm="1">
        <f t="array" ref="N89">INDEX(Table1[riBAQ 40], MATCH(1, (Table3[[#This Row],[Gene names]:[Gene names]] = Table1[[Gene names]:[Gene names]])*1, 0))</f>
        <v>1.17242E-4</v>
      </c>
      <c r="O89" cm="1">
        <f t="array" ref="O89">INDEX(Table1[riBAQ 41], MATCH(1, (Table3[[#This Row],[Gene names]:[Gene names]] = Table1[[Gene names]:[Gene names]])*1, 0))</f>
        <v>1.02546E-4</v>
      </c>
      <c r="P89" cm="1">
        <f t="array" ref="P89">INDEX(Table1[riBAQ 24], MATCH(1, (Table3[[#This Row],[Gene names]:[Gene names]] = Table1[[Gene names]:[Gene names]])*1, 0))</f>
        <v>1.7470699999999999E-4</v>
      </c>
      <c r="Q89" cm="1">
        <f t="array" ref="Q89">INDEX(Table1[riBAQ 25], MATCH(1, (Table3[[#This Row],[Gene names]:[Gene names]] = Table1[[Gene names]:[Gene names]])*1, 0))</f>
        <v>2.2324000000000001E-4</v>
      </c>
      <c r="R89" cm="1">
        <f t="array" ref="R89">INDEX(Table1[riBAQ 26], MATCH(1, (Table3[[#This Row],[Gene names]:[Gene names]] = Table1[[Gene names]:[Gene names]])*1, 0))</f>
        <v>1.8357700000000001E-4</v>
      </c>
      <c r="S89" cm="1">
        <f t="array" ref="S89">INDEX(Table1[riBAQ 42], MATCH(1, (Table3[[#This Row],[Gene names]:[Gene names]] = Table1[[Gene names]:[Gene names]])*1, 0))</f>
        <v>2.8685599999999999E-4</v>
      </c>
      <c r="T89" cm="1">
        <f t="array" ref="T89">INDEX(Table1[riBAQ 43], MATCH(1, (Table3[[#This Row],[Gene names]:[Gene names]] = Table1[[Gene names]:[Gene names]])*1, 0))</f>
        <v>2.0912200000000001E-4</v>
      </c>
    </row>
    <row r="90" spans="1:20" x14ac:dyDescent="0.25">
      <c r="A90" t="s">
        <v>923</v>
      </c>
      <c r="B90" cm="1">
        <f t="array" ref="B90">INDEX(Table1[riBAQ 17], MATCH(1, (Table3[[#This Row],[Gene names]:[Gene names]] = Table1[[Gene names]:[Gene names]])*1, 0))</f>
        <v>1.21641E-4</v>
      </c>
      <c r="C90" cm="1">
        <f t="array" ref="C90">INDEX(Table1[riBAQ 18], MATCH(1, (Table3[[#This Row],[Gene names]:[Gene names]] = Table1[[Gene names]:[Gene names]])*1, 0))</f>
        <v>0</v>
      </c>
      <c r="D90" cm="1">
        <f t="array" ref="D90">INDEX(Table1[riBAQ 35], MATCH(1, (Table3[[#This Row],[Gene names]:[Gene names]] = Table1[[Gene names]:[Gene names]])*1, 0))</f>
        <v>0</v>
      </c>
      <c r="E90" cm="1">
        <f t="array" ref="E90">INDEX(Table1[riBAQ 36], MATCH(1, (Table3[[#This Row],[Gene names]:[Gene names]] = Table1[[Gene names]:[Gene names]])*1, 0))</f>
        <v>0</v>
      </c>
      <c r="F90" cm="1">
        <f t="array" ref="F90">INDEX(Table1[riBAQ 19], MATCH(1, (Table3[[#This Row],[Gene names]:[Gene names]] = Table1[[Gene names]:[Gene names]])*1, 0))</f>
        <v>2.0594799999999999E-4</v>
      </c>
      <c r="G90" cm="1">
        <f t="array" ref="G90">INDEX(Table1[riBAQ 20], MATCH(1, (Table3[[#This Row],[Gene names]:[Gene names]] = Table1[[Gene names]:[Gene names]])*1, 0))</f>
        <v>2.7377899999999998E-4</v>
      </c>
      <c r="H90" cm="1">
        <f t="array" ref="H90">INDEX(Table1[riBAQ 21], MATCH(1, (Table3[[#This Row],[Gene names]:[Gene names]] = Table1[[Gene names]:[Gene names]])*1, 0))</f>
        <v>2.2357799999999999E-4</v>
      </c>
      <c r="I90" cm="1">
        <f t="array" ref="I90">INDEX(Table1[riBAQ 22], MATCH(1, (Table3[[#This Row],[Gene names]:[Gene names]] = Table1[[Gene names]:[Gene names]])*1, 0))</f>
        <v>2.27235E-4</v>
      </c>
      <c r="J90" cm="1">
        <f t="array" ref="J90">INDEX(Table1[riBAQ 23], MATCH(1, (Table3[[#This Row],[Gene names]:[Gene names]] = Table1[[Gene names]:[Gene names]])*1, 0))</f>
        <v>2.0884699999999999E-4</v>
      </c>
      <c r="K90" cm="1">
        <f t="array" ref="K90">INDEX(Table1[riBAQ 37], MATCH(1, (Table3[[#This Row],[Gene names]:[Gene names]] = Table1[[Gene names]:[Gene names]])*1, 0))</f>
        <v>1.3179700000000001E-4</v>
      </c>
      <c r="L90" cm="1">
        <f t="array" ref="L90">INDEX(Table1[riBAQ 38], MATCH(1, (Table3[[#This Row],[Gene names]:[Gene names]] = Table1[[Gene names]:[Gene names]])*1, 0))</f>
        <v>1.3520399999999999E-4</v>
      </c>
      <c r="M90" cm="1">
        <f t="array" ref="M90">INDEX(Table1[riBAQ 39], MATCH(1, (Table3[[#This Row],[Gene names]:[Gene names]] = Table1[[Gene names]:[Gene names]])*1, 0))</f>
        <v>1.8401299999999999E-4</v>
      </c>
      <c r="N90" cm="1">
        <f t="array" ref="N90">INDEX(Table1[riBAQ 40], MATCH(1, (Table3[[#This Row],[Gene names]:[Gene names]] = Table1[[Gene names]:[Gene names]])*1, 0))</f>
        <v>1.4970700000000001E-4</v>
      </c>
      <c r="O90" cm="1">
        <f t="array" ref="O90">INDEX(Table1[riBAQ 41], MATCH(1, (Table3[[#This Row],[Gene names]:[Gene names]] = Table1[[Gene names]:[Gene names]])*1, 0))</f>
        <v>1.2218900000000001E-4</v>
      </c>
      <c r="P90" cm="1">
        <f t="array" ref="P90">INDEX(Table1[riBAQ 24], MATCH(1, (Table3[[#This Row],[Gene names]:[Gene names]] = Table1[[Gene names]:[Gene names]])*1, 0))</f>
        <v>2.7776500000000002E-4</v>
      </c>
      <c r="Q90" cm="1">
        <f t="array" ref="Q90">INDEX(Table1[riBAQ 25], MATCH(1, (Table3[[#This Row],[Gene names]:[Gene names]] = Table1[[Gene names]:[Gene names]])*1, 0))</f>
        <v>5.4708800000000004E-4</v>
      </c>
      <c r="R90" cm="1">
        <f t="array" ref="R90">INDEX(Table1[riBAQ 26], MATCH(1, (Table3[[#This Row],[Gene names]:[Gene names]] = Table1[[Gene names]:[Gene names]])*1, 0))</f>
        <v>3.6234400000000001E-4</v>
      </c>
      <c r="S90" cm="1">
        <f t="array" ref="S90">INDEX(Table1[riBAQ 42], MATCH(1, (Table3[[#This Row],[Gene names]:[Gene names]] = Table1[[Gene names]:[Gene names]])*1, 0))</f>
        <v>2.6750100000000001E-4</v>
      </c>
      <c r="T90" cm="1">
        <f t="array" ref="T90">INDEX(Table1[riBAQ 43], MATCH(1, (Table3[[#This Row],[Gene names]:[Gene names]] = Table1[[Gene names]:[Gene names]])*1, 0))</f>
        <v>5.7456599999999999E-4</v>
      </c>
    </row>
    <row r="91" spans="1:20" x14ac:dyDescent="0.25">
      <c r="A91" t="s">
        <v>1486</v>
      </c>
      <c r="B91" cm="1">
        <f t="array" ref="B91">INDEX(Table1[riBAQ 17], MATCH(1, (Table3[[#This Row],[Gene names]:[Gene names]] = Table1[[Gene names]:[Gene names]])*1, 0))</f>
        <v>3.82E-5</v>
      </c>
      <c r="C91" cm="1">
        <f t="array" ref="C91">INDEX(Table1[riBAQ 18], MATCH(1, (Table3[[#This Row],[Gene names]:[Gene names]] = Table1[[Gene names]:[Gene names]])*1, 0))</f>
        <v>6.4300000000000004E-5</v>
      </c>
      <c r="D91" cm="1">
        <f t="array" ref="D91">INDEX(Table1[riBAQ 35], MATCH(1, (Table3[[#This Row],[Gene names]:[Gene names]] = Table1[[Gene names]:[Gene names]])*1, 0))</f>
        <v>3.0499999999999999E-5</v>
      </c>
      <c r="E91" cm="1">
        <f t="array" ref="E91">INDEX(Table1[riBAQ 36], MATCH(1, (Table3[[#This Row],[Gene names]:[Gene names]] = Table1[[Gene names]:[Gene names]])*1, 0))</f>
        <v>3.4799999999999999E-5</v>
      </c>
      <c r="F91" cm="1">
        <f t="array" ref="F91">INDEX(Table1[riBAQ 19], MATCH(1, (Table3[[#This Row],[Gene names]:[Gene names]] = Table1[[Gene names]:[Gene names]])*1, 0))</f>
        <v>3.7599999999999999E-5</v>
      </c>
      <c r="G91" cm="1">
        <f t="array" ref="G91">INDEX(Table1[riBAQ 20], MATCH(1, (Table3[[#This Row],[Gene names]:[Gene names]] = Table1[[Gene names]:[Gene names]])*1, 0))</f>
        <v>5.02E-5</v>
      </c>
      <c r="H91" cm="1">
        <f t="array" ref="H91">INDEX(Table1[riBAQ 21], MATCH(1, (Table3[[#This Row],[Gene names]:[Gene names]] = Table1[[Gene names]:[Gene names]])*1, 0))</f>
        <v>3.3099999999999998E-5</v>
      </c>
      <c r="I91" cm="1">
        <f t="array" ref="I91">INDEX(Table1[riBAQ 22], MATCH(1, (Table3[[#This Row],[Gene names]:[Gene names]] = Table1[[Gene names]:[Gene names]])*1, 0))</f>
        <v>3.3699999999999999E-5</v>
      </c>
      <c r="J91" cm="1">
        <f t="array" ref="J91">INDEX(Table1[riBAQ 23], MATCH(1, (Table3[[#This Row],[Gene names]:[Gene names]] = Table1[[Gene names]:[Gene names]])*1, 0))</f>
        <v>0</v>
      </c>
      <c r="K91" cm="1">
        <f t="array" ref="K91">INDEX(Table1[riBAQ 37], MATCH(1, (Table3[[#This Row],[Gene names]:[Gene names]] = Table1[[Gene names]:[Gene names]])*1, 0))</f>
        <v>6.19E-5</v>
      </c>
      <c r="L91" cm="1">
        <f t="array" ref="L91">INDEX(Table1[riBAQ 38], MATCH(1, (Table3[[#This Row],[Gene names]:[Gene names]] = Table1[[Gene names]:[Gene names]])*1, 0))</f>
        <v>6.2799999999999995E-5</v>
      </c>
      <c r="M91" cm="1">
        <f t="array" ref="M91">INDEX(Table1[riBAQ 39], MATCH(1, (Table3[[#This Row],[Gene names]:[Gene names]] = Table1[[Gene names]:[Gene names]])*1, 0))</f>
        <v>0</v>
      </c>
      <c r="N91" cm="1">
        <f t="array" ref="N91">INDEX(Table1[riBAQ 40], MATCH(1, (Table3[[#This Row],[Gene names]:[Gene names]] = Table1[[Gene names]:[Gene names]])*1, 0))</f>
        <v>8.4699999999999999E-5</v>
      </c>
      <c r="O91" cm="1">
        <f t="array" ref="O91">INDEX(Table1[riBAQ 41], MATCH(1, (Table3[[#This Row],[Gene names]:[Gene names]] = Table1[[Gene names]:[Gene names]])*1, 0))</f>
        <v>3.0700000000000001E-5</v>
      </c>
      <c r="P91" cm="1">
        <f t="array" ref="P91">INDEX(Table1[riBAQ 24], MATCH(1, (Table3[[#This Row],[Gene names]:[Gene names]] = Table1[[Gene names]:[Gene names]])*1, 0))</f>
        <v>6.3299999999999994E-5</v>
      </c>
      <c r="Q91" cm="1">
        <f t="array" ref="Q91">INDEX(Table1[riBAQ 25], MATCH(1, (Table3[[#This Row],[Gene names]:[Gene names]] = Table1[[Gene names]:[Gene names]])*1, 0))</f>
        <v>8.9300000000000002E-5</v>
      </c>
      <c r="R91" cm="1">
        <f t="array" ref="R91">INDEX(Table1[riBAQ 26], MATCH(1, (Table3[[#This Row],[Gene names]:[Gene names]] = Table1[[Gene names]:[Gene names]])*1, 0))</f>
        <v>1.3134099999999999E-4</v>
      </c>
      <c r="S91" cm="1">
        <f t="array" ref="S91">INDEX(Table1[riBAQ 42], MATCH(1, (Table3[[#This Row],[Gene names]:[Gene names]] = Table1[[Gene names]:[Gene names]])*1, 0))</f>
        <v>8.53E-5</v>
      </c>
      <c r="T91" cm="1">
        <f t="array" ref="T91">INDEX(Table1[riBAQ 43], MATCH(1, (Table3[[#This Row],[Gene names]:[Gene names]] = Table1[[Gene names]:[Gene names]])*1, 0))</f>
        <v>7.8399999999999995E-5</v>
      </c>
    </row>
    <row r="92" spans="1:20" x14ac:dyDescent="0.25">
      <c r="A92" t="s">
        <v>441</v>
      </c>
      <c r="B92" cm="1">
        <f t="array" ref="B92">INDEX(Table1[riBAQ 17], MATCH(1, (Table3[[#This Row],[Gene names]:[Gene names]] = Table1[[Gene names]:[Gene names]])*1, 0))</f>
        <v>5.8963400000000001E-4</v>
      </c>
      <c r="C92" cm="1">
        <f t="array" ref="C92">INDEX(Table1[riBAQ 18], MATCH(1, (Table3[[#This Row],[Gene names]:[Gene names]] = Table1[[Gene names]:[Gene names]])*1, 0))</f>
        <v>4.1109000000000002E-4</v>
      </c>
      <c r="D92" cm="1">
        <f t="array" ref="D92">INDEX(Table1[riBAQ 35], MATCH(1, (Table3[[#This Row],[Gene names]:[Gene names]] = Table1[[Gene names]:[Gene names]])*1, 0))</f>
        <v>7.6623399999999997E-4</v>
      </c>
      <c r="E92" cm="1">
        <f t="array" ref="E92">INDEX(Table1[riBAQ 36], MATCH(1, (Table3[[#This Row],[Gene names]:[Gene names]] = Table1[[Gene names]:[Gene names]])*1, 0))</f>
        <v>5.43663E-4</v>
      </c>
      <c r="F92" cm="1">
        <f t="array" ref="F92">INDEX(Table1[riBAQ 19], MATCH(1, (Table3[[#This Row],[Gene names]:[Gene names]] = Table1[[Gene names]:[Gene names]])*1, 0))</f>
        <v>6.3754100000000004E-4</v>
      </c>
      <c r="G92" cm="1">
        <f t="array" ref="G92">INDEX(Table1[riBAQ 20], MATCH(1, (Table3[[#This Row],[Gene names]:[Gene names]] = Table1[[Gene names]:[Gene names]])*1, 0))</f>
        <v>8.4873999999999995E-4</v>
      </c>
      <c r="H92" cm="1">
        <f t="array" ref="H92">INDEX(Table1[riBAQ 21], MATCH(1, (Table3[[#This Row],[Gene names]:[Gene names]] = Table1[[Gene names]:[Gene names]])*1, 0))</f>
        <v>6.2839999999999999E-4</v>
      </c>
      <c r="I92" cm="1">
        <f t="array" ref="I92">INDEX(Table1[riBAQ 22], MATCH(1, (Table3[[#This Row],[Gene names]:[Gene names]] = Table1[[Gene names]:[Gene names]])*1, 0))</f>
        <v>7.1939400000000004E-4</v>
      </c>
      <c r="J92" cm="1">
        <f t="array" ref="J92">INDEX(Table1[riBAQ 23], MATCH(1, (Table3[[#This Row],[Gene names]:[Gene names]] = Table1[[Gene names]:[Gene names]])*1, 0))</f>
        <v>5.9337400000000003E-4</v>
      </c>
      <c r="K92" cm="1">
        <f t="array" ref="K92">INDEX(Table1[riBAQ 37], MATCH(1, (Table3[[#This Row],[Gene names]:[Gene names]] = Table1[[Gene names]:[Gene names]])*1, 0))</f>
        <v>6.3827899999999995E-4</v>
      </c>
      <c r="L92" cm="1">
        <f t="array" ref="L92">INDEX(Table1[riBAQ 38], MATCH(1, (Table3[[#This Row],[Gene names]:[Gene names]] = Table1[[Gene names]:[Gene names]])*1, 0))</f>
        <v>5.2817599999999999E-4</v>
      </c>
      <c r="M92" cm="1">
        <f t="array" ref="M92">INDEX(Table1[riBAQ 39], MATCH(1, (Table3[[#This Row],[Gene names]:[Gene names]] = Table1[[Gene names]:[Gene names]])*1, 0))</f>
        <v>1.0898850000000001E-3</v>
      </c>
      <c r="N92" cm="1">
        <f t="array" ref="N92">INDEX(Table1[riBAQ 40], MATCH(1, (Table3[[#This Row],[Gene names]:[Gene names]] = Table1[[Gene names]:[Gene names]])*1, 0))</f>
        <v>1.38024E-3</v>
      </c>
      <c r="O92" cm="1">
        <f t="array" ref="O92">INDEX(Table1[riBAQ 41], MATCH(1, (Table3[[#This Row],[Gene names]:[Gene names]] = Table1[[Gene names]:[Gene names]])*1, 0))</f>
        <v>8.9901399999999995E-4</v>
      </c>
      <c r="P92" cm="1">
        <f t="array" ref="P92">INDEX(Table1[riBAQ 24], MATCH(1, (Table3[[#This Row],[Gene names]:[Gene names]] = Table1[[Gene names]:[Gene names]])*1, 0))</f>
        <v>1.448518E-3</v>
      </c>
      <c r="Q92" cm="1">
        <f t="array" ref="Q92">INDEX(Table1[riBAQ 25], MATCH(1, (Table3[[#This Row],[Gene names]:[Gene names]] = Table1[[Gene names]:[Gene names]])*1, 0))</f>
        <v>1.9405189999999999E-3</v>
      </c>
      <c r="R92" cm="1">
        <f t="array" ref="R92">INDEX(Table1[riBAQ 26], MATCH(1, (Table3[[#This Row],[Gene names]:[Gene names]] = Table1[[Gene names]:[Gene names]])*1, 0))</f>
        <v>1.5932260000000001E-3</v>
      </c>
      <c r="S92" cm="1">
        <f t="array" ref="S92">INDEX(Table1[riBAQ 42], MATCH(1, (Table3[[#This Row],[Gene names]:[Gene names]] = Table1[[Gene names]:[Gene names]])*1, 0))</f>
        <v>1.5688849999999999E-3</v>
      </c>
      <c r="T92" cm="1">
        <f t="array" ref="T92">INDEX(Table1[riBAQ 43], MATCH(1, (Table3[[#This Row],[Gene names]:[Gene names]] = Table1[[Gene names]:[Gene names]])*1, 0))</f>
        <v>2.5231429999999998E-3</v>
      </c>
    </row>
    <row r="93" spans="1:20" x14ac:dyDescent="0.25">
      <c r="A93" t="s">
        <v>1432</v>
      </c>
      <c r="B93" cm="1">
        <f t="array" ref="B93">INDEX(Table1[riBAQ 17], MATCH(1, (Table3[[#This Row],[Gene names]:[Gene names]] = Table1[[Gene names]:[Gene names]])*1, 0))</f>
        <v>0</v>
      </c>
      <c r="C93" cm="1">
        <f t="array" ref="C93">INDEX(Table1[riBAQ 18], MATCH(1, (Table3[[#This Row],[Gene names]:[Gene names]] = Table1[[Gene names]:[Gene names]])*1, 0))</f>
        <v>1.9899999999999999E-5</v>
      </c>
      <c r="D93" cm="1">
        <f t="array" ref="D93">INDEX(Table1[riBAQ 35], MATCH(1, (Table3[[#This Row],[Gene names]:[Gene names]] = Table1[[Gene names]:[Gene names]])*1, 0))</f>
        <v>0</v>
      </c>
      <c r="E93" cm="1">
        <f t="array" ref="E93">INDEX(Table1[riBAQ 36], MATCH(1, (Table3[[#This Row],[Gene names]:[Gene names]] = Table1[[Gene names]:[Gene names]])*1, 0))</f>
        <v>2.9200000000000002E-5</v>
      </c>
      <c r="F93" cm="1">
        <f t="array" ref="F93">INDEX(Table1[riBAQ 19], MATCH(1, (Table3[[#This Row],[Gene names]:[Gene names]] = Table1[[Gene names]:[Gene names]])*1, 0))</f>
        <v>0</v>
      </c>
      <c r="G93" cm="1">
        <f t="array" ref="G93">INDEX(Table1[riBAQ 20], MATCH(1, (Table3[[#This Row],[Gene names]:[Gene names]] = Table1[[Gene names]:[Gene names]])*1, 0))</f>
        <v>0</v>
      </c>
      <c r="H93" cm="1">
        <f t="array" ref="H93">INDEX(Table1[riBAQ 21], MATCH(1, (Table3[[#This Row],[Gene names]:[Gene names]] = Table1[[Gene names]:[Gene names]])*1, 0))</f>
        <v>0</v>
      </c>
      <c r="I93" cm="1">
        <f t="array" ref="I93">INDEX(Table1[riBAQ 22], MATCH(1, (Table3[[#This Row],[Gene names]:[Gene names]] = Table1[[Gene names]:[Gene names]])*1, 0))</f>
        <v>2.5299999999999998E-5</v>
      </c>
      <c r="J93" cm="1">
        <f t="array" ref="J93">INDEX(Table1[riBAQ 23], MATCH(1, (Table3[[#This Row],[Gene names]:[Gene names]] = Table1[[Gene names]:[Gene names]])*1, 0))</f>
        <v>5.9700000000000001E-5</v>
      </c>
      <c r="K93" cm="1">
        <f t="array" ref="K93">INDEX(Table1[riBAQ 37], MATCH(1, (Table3[[#This Row],[Gene names]:[Gene names]] = Table1[[Gene names]:[Gene names]])*1, 0))</f>
        <v>0</v>
      </c>
      <c r="L93" cm="1">
        <f t="array" ref="L93">INDEX(Table1[riBAQ 38], MATCH(1, (Table3[[#This Row],[Gene names]:[Gene names]] = Table1[[Gene names]:[Gene names]])*1, 0))</f>
        <v>2.7500000000000001E-5</v>
      </c>
      <c r="M93" cm="1">
        <f t="array" ref="M93">INDEX(Table1[riBAQ 39], MATCH(1, (Table3[[#This Row],[Gene names]:[Gene names]] = Table1[[Gene names]:[Gene names]])*1, 0))</f>
        <v>3.2400000000000001E-5</v>
      </c>
      <c r="N93" cm="1">
        <f t="array" ref="N93">INDEX(Table1[riBAQ 40], MATCH(1, (Table3[[#This Row],[Gene names]:[Gene names]] = Table1[[Gene names]:[Gene names]])*1, 0))</f>
        <v>6.9300000000000004E-5</v>
      </c>
      <c r="O93" cm="1">
        <f t="array" ref="O93">INDEX(Table1[riBAQ 41], MATCH(1, (Table3[[#This Row],[Gene names]:[Gene names]] = Table1[[Gene names]:[Gene names]])*1, 0))</f>
        <v>0</v>
      </c>
      <c r="P93" cm="1">
        <f t="array" ref="P93">INDEX(Table1[riBAQ 24], MATCH(1, (Table3[[#This Row],[Gene names]:[Gene names]] = Table1[[Gene names]:[Gene names]])*1, 0))</f>
        <v>3.3200000000000001E-5</v>
      </c>
      <c r="Q93" cm="1">
        <f t="array" ref="Q93">INDEX(Table1[riBAQ 25], MATCH(1, (Table3[[#This Row],[Gene names]:[Gene names]] = Table1[[Gene names]:[Gene names]])*1, 0))</f>
        <v>8.4300000000000003E-5</v>
      </c>
      <c r="R93" cm="1">
        <f t="array" ref="R93">INDEX(Table1[riBAQ 26], MATCH(1, (Table3[[#This Row],[Gene names]:[Gene names]] = Table1[[Gene names]:[Gene names]])*1, 0))</f>
        <v>4.4700000000000002E-5</v>
      </c>
      <c r="S93" cm="1">
        <f t="array" ref="S93">INDEX(Table1[riBAQ 42], MATCH(1, (Table3[[#This Row],[Gene names]:[Gene names]] = Table1[[Gene names]:[Gene names]])*1, 0))</f>
        <v>6.3600000000000001E-5</v>
      </c>
      <c r="T93" cm="1">
        <f t="array" ref="T93">INDEX(Table1[riBAQ 43], MATCH(1, (Table3[[#This Row],[Gene names]:[Gene names]] = Table1[[Gene names]:[Gene names]])*1, 0))</f>
        <v>1.41757E-4</v>
      </c>
    </row>
    <row r="94" spans="1:20" x14ac:dyDescent="0.25">
      <c r="A94" t="s">
        <v>1296</v>
      </c>
      <c r="B94" cm="1">
        <f t="array" ref="B94">INDEX(Table1[riBAQ 17], MATCH(1, (Table3[[#This Row],[Gene names]:[Gene names]] = Table1[[Gene names]:[Gene names]])*1, 0))</f>
        <v>3.061626E-3</v>
      </c>
      <c r="C94" cm="1">
        <f t="array" ref="C94">INDEX(Table1[riBAQ 18], MATCH(1, (Table3[[#This Row],[Gene names]:[Gene names]] = Table1[[Gene names]:[Gene names]])*1, 0))</f>
        <v>2.1475880000000002E-3</v>
      </c>
      <c r="D94" cm="1">
        <f t="array" ref="D94">INDEX(Table1[riBAQ 35], MATCH(1, (Table3[[#This Row],[Gene names]:[Gene names]] = Table1[[Gene names]:[Gene names]])*1, 0))</f>
        <v>2.5596960000000002E-3</v>
      </c>
      <c r="E94" cm="1">
        <f t="array" ref="E94">INDEX(Table1[riBAQ 36], MATCH(1, (Table3[[#This Row],[Gene names]:[Gene names]] = Table1[[Gene names]:[Gene names]])*1, 0))</f>
        <v>2.5792060000000001E-3</v>
      </c>
      <c r="F94" cm="1">
        <f t="array" ref="F94">INDEX(Table1[riBAQ 19], MATCH(1, (Table3[[#This Row],[Gene names]:[Gene names]] = Table1[[Gene names]:[Gene names]])*1, 0))</f>
        <v>4.0909759999999996E-3</v>
      </c>
      <c r="G94" cm="1">
        <f t="array" ref="G94">INDEX(Table1[riBAQ 20], MATCH(1, (Table3[[#This Row],[Gene names]:[Gene names]] = Table1[[Gene names]:[Gene names]])*1, 0))</f>
        <v>3.9580140000000002E-3</v>
      </c>
      <c r="H94" cm="1">
        <f t="array" ref="H94">INDEX(Table1[riBAQ 21], MATCH(1, (Table3[[#This Row],[Gene names]:[Gene names]] = Table1[[Gene names]:[Gene names]])*1, 0))</f>
        <v>2.7691059999999999E-3</v>
      </c>
      <c r="I94" cm="1">
        <f t="array" ref="I94">INDEX(Table1[riBAQ 22], MATCH(1, (Table3[[#This Row],[Gene names]:[Gene names]] = Table1[[Gene names]:[Gene names]])*1, 0))</f>
        <v>3.4336530000000001E-3</v>
      </c>
      <c r="J94" cm="1">
        <f t="array" ref="J94">INDEX(Table1[riBAQ 23], MATCH(1, (Table3[[#This Row],[Gene names]:[Gene names]] = Table1[[Gene names]:[Gene names]])*1, 0))</f>
        <v>4.8555769999999998E-3</v>
      </c>
      <c r="K94" cm="1">
        <f t="array" ref="K94">INDEX(Table1[riBAQ 37], MATCH(1, (Table3[[#This Row],[Gene names]:[Gene names]] = Table1[[Gene names]:[Gene names]])*1, 0))</f>
        <v>2.919301E-3</v>
      </c>
      <c r="L94" cm="1">
        <f t="array" ref="L94">INDEX(Table1[riBAQ 38], MATCH(1, (Table3[[#This Row],[Gene names]:[Gene names]] = Table1[[Gene names]:[Gene names]])*1, 0))</f>
        <v>3.8955029999999998E-3</v>
      </c>
      <c r="M94" cm="1">
        <f t="array" ref="M94">INDEX(Table1[riBAQ 39], MATCH(1, (Table3[[#This Row],[Gene names]:[Gene names]] = Table1[[Gene names]:[Gene names]])*1, 0))</f>
        <v>3.8335180000000002E-3</v>
      </c>
      <c r="N94" cm="1">
        <f t="array" ref="N94">INDEX(Table1[riBAQ 40], MATCH(1, (Table3[[#This Row],[Gene names]:[Gene names]] = Table1[[Gene names]:[Gene names]])*1, 0))</f>
        <v>5.0115280000000003E-3</v>
      </c>
      <c r="O94" cm="1">
        <f t="array" ref="O94">INDEX(Table1[riBAQ 41], MATCH(1, (Table3[[#This Row],[Gene names]:[Gene names]] = Table1[[Gene names]:[Gene names]])*1, 0))</f>
        <v>4.2276090000000002E-3</v>
      </c>
      <c r="P94" cm="1">
        <f t="array" ref="P94">INDEX(Table1[riBAQ 24], MATCH(1, (Table3[[#This Row],[Gene names]:[Gene names]] = Table1[[Gene names]:[Gene names]])*1, 0))</f>
        <v>6.3857510000000003E-3</v>
      </c>
      <c r="Q94" cm="1">
        <f t="array" ref="Q94">INDEX(Table1[riBAQ 25], MATCH(1, (Table3[[#This Row],[Gene names]:[Gene names]] = Table1[[Gene names]:[Gene names]])*1, 0))</f>
        <v>1.3600101E-2</v>
      </c>
      <c r="R94" cm="1">
        <f t="array" ref="R94">INDEX(Table1[riBAQ 26], MATCH(1, (Table3[[#This Row],[Gene names]:[Gene names]] = Table1[[Gene names]:[Gene names]])*1, 0))</f>
        <v>1.0244636999999999E-2</v>
      </c>
      <c r="S94" cm="1">
        <f t="array" ref="S94">INDEX(Table1[riBAQ 42], MATCH(1, (Table3[[#This Row],[Gene names]:[Gene names]] = Table1[[Gene names]:[Gene names]])*1, 0))</f>
        <v>1.1895559999999999E-2</v>
      </c>
      <c r="T94" cm="1">
        <f t="array" ref="T94">INDEX(Table1[riBAQ 43], MATCH(1, (Table3[[#This Row],[Gene names]:[Gene names]] = Table1[[Gene names]:[Gene names]])*1, 0))</f>
        <v>1.1635046E-2</v>
      </c>
    </row>
    <row r="95" spans="1:20" x14ac:dyDescent="0.25">
      <c r="A95" t="s">
        <v>1720</v>
      </c>
      <c r="B95" cm="1">
        <f t="array" ref="B95">INDEX(Table1[riBAQ 17], MATCH(1, (Table3[[#This Row],[Gene names]:[Gene names]] = Table1[[Gene names]:[Gene names]])*1, 0))</f>
        <v>8.3831649999999997E-3</v>
      </c>
      <c r="C95" cm="1">
        <f t="array" ref="C95">INDEX(Table1[riBAQ 18], MATCH(1, (Table3[[#This Row],[Gene names]:[Gene names]] = Table1[[Gene names]:[Gene names]])*1, 0))</f>
        <v>8.2663919999999991E-3</v>
      </c>
      <c r="D95" cm="1">
        <f t="array" ref="D95">INDEX(Table1[riBAQ 35], MATCH(1, (Table3[[#This Row],[Gene names]:[Gene names]] = Table1[[Gene names]:[Gene names]])*1, 0))</f>
        <v>8.094413E-3</v>
      </c>
      <c r="E95" cm="1">
        <f t="array" ref="E95">INDEX(Table1[riBAQ 36], MATCH(1, (Table3[[#This Row],[Gene names]:[Gene names]] = Table1[[Gene names]:[Gene names]])*1, 0))</f>
        <v>8.2726589999999999E-3</v>
      </c>
      <c r="F95" cm="1">
        <f t="array" ref="F95">INDEX(Table1[riBAQ 19], MATCH(1, (Table3[[#This Row],[Gene names]:[Gene names]] = Table1[[Gene names]:[Gene names]])*1, 0))</f>
        <v>7.3949999999999997E-3</v>
      </c>
      <c r="G95" cm="1">
        <f t="array" ref="G95">INDEX(Table1[riBAQ 20], MATCH(1, (Table3[[#This Row],[Gene names]:[Gene names]] = Table1[[Gene names]:[Gene names]])*1, 0))</f>
        <v>7.1421949999999996E-3</v>
      </c>
      <c r="H95" cm="1">
        <f t="array" ref="H95">INDEX(Table1[riBAQ 21], MATCH(1, (Table3[[#This Row],[Gene names]:[Gene names]] = Table1[[Gene names]:[Gene names]])*1, 0))</f>
        <v>6.2432939999999999E-3</v>
      </c>
      <c r="I95" cm="1">
        <f t="array" ref="I95">INDEX(Table1[riBAQ 22], MATCH(1, (Table3[[#This Row],[Gene names]:[Gene names]] = Table1[[Gene names]:[Gene names]])*1, 0))</f>
        <v>7.4561690000000003E-3</v>
      </c>
      <c r="J95" cm="1">
        <f t="array" ref="J95">INDEX(Table1[riBAQ 23], MATCH(1, (Table3[[#This Row],[Gene names]:[Gene names]] = Table1[[Gene names]:[Gene names]])*1, 0))</f>
        <v>8.6917869999999994E-3</v>
      </c>
      <c r="K95" cm="1">
        <f t="array" ref="K95">INDEX(Table1[riBAQ 37], MATCH(1, (Table3[[#This Row],[Gene names]:[Gene names]] = Table1[[Gene names]:[Gene names]])*1, 0))</f>
        <v>6.6778480000000001E-3</v>
      </c>
      <c r="L95" cm="1">
        <f t="array" ref="L95">INDEX(Table1[riBAQ 38], MATCH(1, (Table3[[#This Row],[Gene names]:[Gene names]] = Table1[[Gene names]:[Gene names]])*1, 0))</f>
        <v>6.4236720000000001E-3</v>
      </c>
      <c r="M95" cm="1">
        <f t="array" ref="M95">INDEX(Table1[riBAQ 39], MATCH(1, (Table3[[#This Row],[Gene names]:[Gene names]] = Table1[[Gene names]:[Gene names]])*1, 0))</f>
        <v>6.4994129999999999E-3</v>
      </c>
      <c r="N95" cm="1">
        <f t="array" ref="N95">INDEX(Table1[riBAQ 40], MATCH(1, (Table3[[#This Row],[Gene names]:[Gene names]] = Table1[[Gene names]:[Gene names]])*1, 0))</f>
        <v>8.5618719999999999E-3</v>
      </c>
      <c r="O95" cm="1">
        <f t="array" ref="O95">INDEX(Table1[riBAQ 41], MATCH(1, (Table3[[#This Row],[Gene names]:[Gene names]] = Table1[[Gene names]:[Gene names]])*1, 0))</f>
        <v>8.7236229999999998E-3</v>
      </c>
      <c r="P95" cm="1">
        <f t="array" ref="P95">INDEX(Table1[riBAQ 24], MATCH(1, (Table3[[#This Row],[Gene names]:[Gene names]] = Table1[[Gene names]:[Gene names]])*1, 0))</f>
        <v>6.1196310000000004E-3</v>
      </c>
      <c r="Q95" cm="1">
        <f t="array" ref="Q95">INDEX(Table1[riBAQ 25], MATCH(1, (Table3[[#This Row],[Gene names]:[Gene names]] = Table1[[Gene names]:[Gene names]])*1, 0))</f>
        <v>3.5361670000000002E-3</v>
      </c>
      <c r="R95" cm="1">
        <f t="array" ref="R95">INDEX(Table1[riBAQ 26], MATCH(1, (Table3[[#This Row],[Gene names]:[Gene names]] = Table1[[Gene names]:[Gene names]])*1, 0))</f>
        <v>5.1213789999999997E-3</v>
      </c>
      <c r="S95" cm="1">
        <f t="array" ref="S95">INDEX(Table1[riBAQ 42], MATCH(1, (Table3[[#This Row],[Gene names]:[Gene names]] = Table1[[Gene names]:[Gene names]])*1, 0))</f>
        <v>3.636256E-3</v>
      </c>
      <c r="T95" cm="1">
        <f t="array" ref="T95">INDEX(Table1[riBAQ 43], MATCH(1, (Table3[[#This Row],[Gene names]:[Gene names]] = Table1[[Gene names]:[Gene names]])*1, 0))</f>
        <v>3.7701119999999999E-3</v>
      </c>
    </row>
    <row r="96" spans="1:20" x14ac:dyDescent="0.25">
      <c r="A96" t="s">
        <v>1482</v>
      </c>
      <c r="B96" cm="1">
        <f t="array" ref="B96">INDEX(Table1[riBAQ 17], MATCH(1, (Table3[[#This Row],[Gene names]:[Gene names]] = Table1[[Gene names]:[Gene names]])*1, 0))</f>
        <v>1.2799999999999999E-5</v>
      </c>
      <c r="C96" cm="1">
        <f t="array" ref="C96">INDEX(Table1[riBAQ 18], MATCH(1, (Table3[[#This Row],[Gene names]:[Gene names]] = Table1[[Gene names]:[Gene names]])*1, 0))</f>
        <v>1.49E-5</v>
      </c>
      <c r="D96" cm="1">
        <f t="array" ref="D96">INDEX(Table1[riBAQ 35], MATCH(1, (Table3[[#This Row],[Gene names]:[Gene names]] = Table1[[Gene names]:[Gene names]])*1, 0))</f>
        <v>7.7999999999999999E-6</v>
      </c>
      <c r="E96" cm="1">
        <f t="array" ref="E96">INDEX(Table1[riBAQ 36], MATCH(1, (Table3[[#This Row],[Gene names]:[Gene names]] = Table1[[Gene names]:[Gene names]])*1, 0))</f>
        <v>8.85E-6</v>
      </c>
      <c r="F96" cm="1">
        <f t="array" ref="F96">INDEX(Table1[riBAQ 19], MATCH(1, (Table3[[#This Row],[Gene names]:[Gene names]] = Table1[[Gene names]:[Gene names]])*1, 0))</f>
        <v>1.5400000000000002E-5</v>
      </c>
      <c r="G96" cm="1">
        <f t="array" ref="G96">INDEX(Table1[riBAQ 20], MATCH(1, (Table3[[#This Row],[Gene names]:[Gene names]] = Table1[[Gene names]:[Gene names]])*1, 0))</f>
        <v>9.8500000000000006E-6</v>
      </c>
      <c r="H96" cm="1">
        <f t="array" ref="H96">INDEX(Table1[riBAQ 21], MATCH(1, (Table3[[#This Row],[Gene names]:[Gene names]] = Table1[[Gene names]:[Gene names]])*1, 0))</f>
        <v>1.73E-5</v>
      </c>
      <c r="I96" cm="1">
        <f t="array" ref="I96">INDEX(Table1[riBAQ 22], MATCH(1, (Table3[[#This Row],[Gene names]:[Gene names]] = Table1[[Gene names]:[Gene names]])*1, 0))</f>
        <v>1.4600000000000001E-5</v>
      </c>
      <c r="J96" cm="1">
        <f t="array" ref="J96">INDEX(Table1[riBAQ 23], MATCH(1, (Table3[[#This Row],[Gene names]:[Gene names]] = Table1[[Gene names]:[Gene names]])*1, 0))</f>
        <v>6.8199999999999999E-6</v>
      </c>
      <c r="K96" cm="1">
        <f t="array" ref="K96">INDEX(Table1[riBAQ 37], MATCH(1, (Table3[[#This Row],[Gene names]:[Gene names]] = Table1[[Gene names]:[Gene names]])*1, 0))</f>
        <v>9.0499999999999997E-6</v>
      </c>
      <c r="L96" cm="1">
        <f t="array" ref="L96">INDEX(Table1[riBAQ 38], MATCH(1, (Table3[[#This Row],[Gene names]:[Gene names]] = Table1[[Gene names]:[Gene names]])*1, 0))</f>
        <v>1.0499999999999999E-5</v>
      </c>
      <c r="M96" cm="1">
        <f t="array" ref="M96">INDEX(Table1[riBAQ 39], MATCH(1, (Table3[[#This Row],[Gene names]:[Gene names]] = Table1[[Gene names]:[Gene names]])*1, 0))</f>
        <v>7.4399999999999999E-6</v>
      </c>
      <c r="N96" cm="1">
        <f t="array" ref="N96">INDEX(Table1[riBAQ 40], MATCH(1, (Table3[[#This Row],[Gene names]:[Gene names]] = Table1[[Gene names]:[Gene names]])*1, 0))</f>
        <v>8.1699999999999997E-6</v>
      </c>
      <c r="O96" cm="1">
        <f t="array" ref="O96">INDEX(Table1[riBAQ 41], MATCH(1, (Table3[[#This Row],[Gene names]:[Gene names]] = Table1[[Gene names]:[Gene names]])*1, 0))</f>
        <v>7.9300000000000003E-6</v>
      </c>
      <c r="P96" cm="1">
        <f t="array" ref="P96">INDEX(Table1[riBAQ 24], MATCH(1, (Table3[[#This Row],[Gene names]:[Gene names]] = Table1[[Gene names]:[Gene names]])*1, 0))</f>
        <v>1.0499999999999999E-5</v>
      </c>
      <c r="Q96" cm="1">
        <f t="array" ref="Q96">INDEX(Table1[riBAQ 25], MATCH(1, (Table3[[#This Row],[Gene names]:[Gene names]] = Table1[[Gene names]:[Gene names]])*1, 0))</f>
        <v>2.27E-5</v>
      </c>
      <c r="R96" cm="1">
        <f t="array" ref="R96">INDEX(Table1[riBAQ 26], MATCH(1, (Table3[[#This Row],[Gene names]:[Gene names]] = Table1[[Gene names]:[Gene names]])*1, 0))</f>
        <v>2.6299999999999999E-5</v>
      </c>
      <c r="S96" cm="1">
        <f t="array" ref="S96">INDEX(Table1[riBAQ 42], MATCH(1, (Table3[[#This Row],[Gene names]:[Gene names]] = Table1[[Gene names]:[Gene names]])*1, 0))</f>
        <v>1.7099999999999999E-5</v>
      </c>
      <c r="T96" cm="1">
        <f t="array" ref="T96">INDEX(Table1[riBAQ 43], MATCH(1, (Table3[[#This Row],[Gene names]:[Gene names]] = Table1[[Gene names]:[Gene names]])*1, 0))</f>
        <v>2.72E-5</v>
      </c>
    </row>
    <row r="97" spans="1:20" x14ac:dyDescent="0.25">
      <c r="A97" t="s">
        <v>1750</v>
      </c>
      <c r="B97" cm="1">
        <f t="array" ref="B97">INDEX(Table1[riBAQ 17], MATCH(1, (Table3[[#This Row],[Gene names]:[Gene names]] = Table1[[Gene names]:[Gene names]])*1, 0))</f>
        <v>0</v>
      </c>
      <c r="C97" cm="1">
        <f t="array" ref="C97">INDEX(Table1[riBAQ 18], MATCH(1, (Table3[[#This Row],[Gene names]:[Gene names]] = Table1[[Gene names]:[Gene names]])*1, 0))</f>
        <v>0</v>
      </c>
      <c r="D97" cm="1">
        <f t="array" ref="D97">INDEX(Table1[riBAQ 35], MATCH(1, (Table3[[#This Row],[Gene names]:[Gene names]] = Table1[[Gene names]:[Gene names]])*1, 0))</f>
        <v>0</v>
      </c>
      <c r="E97" cm="1">
        <f t="array" ref="E97">INDEX(Table1[riBAQ 36], MATCH(1, (Table3[[#This Row],[Gene names]:[Gene names]] = Table1[[Gene names]:[Gene names]])*1, 0))</f>
        <v>0</v>
      </c>
      <c r="F97" cm="1">
        <f t="array" ref="F97">INDEX(Table1[riBAQ 19], MATCH(1, (Table3[[#This Row],[Gene names]:[Gene names]] = Table1[[Gene names]:[Gene names]])*1, 0))</f>
        <v>0</v>
      </c>
      <c r="G97" cm="1">
        <f t="array" ref="G97">INDEX(Table1[riBAQ 20], MATCH(1, (Table3[[#This Row],[Gene names]:[Gene names]] = Table1[[Gene names]:[Gene names]])*1, 0))</f>
        <v>0</v>
      </c>
      <c r="H97" cm="1">
        <f t="array" ref="H97">INDEX(Table1[riBAQ 21], MATCH(1, (Table3[[#This Row],[Gene names]:[Gene names]] = Table1[[Gene names]:[Gene names]])*1, 0))</f>
        <v>0</v>
      </c>
      <c r="I97" cm="1">
        <f t="array" ref="I97">INDEX(Table1[riBAQ 22], MATCH(1, (Table3[[#This Row],[Gene names]:[Gene names]] = Table1[[Gene names]:[Gene names]])*1, 0))</f>
        <v>0</v>
      </c>
      <c r="J97" cm="1">
        <f t="array" ref="J97">INDEX(Table1[riBAQ 23], MATCH(1, (Table3[[#This Row],[Gene names]:[Gene names]] = Table1[[Gene names]:[Gene names]])*1, 0))</f>
        <v>0</v>
      </c>
      <c r="K97" cm="1">
        <f t="array" ref="K97">INDEX(Table1[riBAQ 37], MATCH(1, (Table3[[#This Row],[Gene names]:[Gene names]] = Table1[[Gene names]:[Gene names]])*1, 0))</f>
        <v>0</v>
      </c>
      <c r="L97" cm="1">
        <f t="array" ref="L97">INDEX(Table1[riBAQ 38], MATCH(1, (Table3[[#This Row],[Gene names]:[Gene names]] = Table1[[Gene names]:[Gene names]])*1, 0))</f>
        <v>0</v>
      </c>
      <c r="M97" cm="1">
        <f t="array" ref="M97">INDEX(Table1[riBAQ 39], MATCH(1, (Table3[[#This Row],[Gene names]:[Gene names]] = Table1[[Gene names]:[Gene names]])*1, 0))</f>
        <v>0</v>
      </c>
      <c r="N97" cm="1">
        <f t="array" ref="N97">INDEX(Table1[riBAQ 40], MATCH(1, (Table3[[#This Row],[Gene names]:[Gene names]] = Table1[[Gene names]:[Gene names]])*1, 0))</f>
        <v>0</v>
      </c>
      <c r="O97" cm="1">
        <f t="array" ref="O97">INDEX(Table1[riBAQ 41], MATCH(1, (Table3[[#This Row],[Gene names]:[Gene names]] = Table1[[Gene names]:[Gene names]])*1, 0))</f>
        <v>0</v>
      </c>
      <c r="P97" cm="1">
        <f t="array" ref="P97">INDEX(Table1[riBAQ 24], MATCH(1, (Table3[[#This Row],[Gene names]:[Gene names]] = Table1[[Gene names]:[Gene names]])*1, 0))</f>
        <v>4.2200000000000003E-5</v>
      </c>
      <c r="Q97" cm="1">
        <f t="array" ref="Q97">INDEX(Table1[riBAQ 25], MATCH(1, (Table3[[#This Row],[Gene names]:[Gene names]] = Table1[[Gene names]:[Gene names]])*1, 0))</f>
        <v>1.4267199999999999E-4</v>
      </c>
      <c r="R97" cm="1">
        <f t="array" ref="R97">INDEX(Table1[riBAQ 26], MATCH(1, (Table3[[#This Row],[Gene names]:[Gene names]] = Table1[[Gene names]:[Gene names]])*1, 0))</f>
        <v>5.8300000000000001E-5</v>
      </c>
      <c r="S97" cm="1">
        <f t="array" ref="S97">INDEX(Table1[riBAQ 42], MATCH(1, (Table3[[#This Row],[Gene names]:[Gene names]] = Table1[[Gene names]:[Gene names]])*1, 0))</f>
        <v>4.5000000000000003E-5</v>
      </c>
      <c r="T97" cm="1">
        <f t="array" ref="T97">INDEX(Table1[riBAQ 43], MATCH(1, (Table3[[#This Row],[Gene names]:[Gene names]] = Table1[[Gene names]:[Gene names]])*1, 0))</f>
        <v>3.47614E-4</v>
      </c>
    </row>
    <row r="98" spans="1:20" x14ac:dyDescent="0.25">
      <c r="A98" t="s">
        <v>1481</v>
      </c>
      <c r="B98" cm="1">
        <f t="array" ref="B98">INDEX(Table1[riBAQ 17], MATCH(1, (Table3[[#This Row],[Gene names]:[Gene names]] = Table1[[Gene names]:[Gene names]])*1, 0))</f>
        <v>0</v>
      </c>
      <c r="C98" cm="1">
        <f t="array" ref="C98">INDEX(Table1[riBAQ 18], MATCH(1, (Table3[[#This Row],[Gene names]:[Gene names]] = Table1[[Gene names]:[Gene names]])*1, 0))</f>
        <v>0</v>
      </c>
      <c r="D98" cm="1">
        <f t="array" ref="D98">INDEX(Table1[riBAQ 35], MATCH(1, (Table3[[#This Row],[Gene names]:[Gene names]] = Table1[[Gene names]:[Gene names]])*1, 0))</f>
        <v>0</v>
      </c>
      <c r="E98" cm="1">
        <f t="array" ref="E98">INDEX(Table1[riBAQ 36], MATCH(1, (Table3[[#This Row],[Gene names]:[Gene names]] = Table1[[Gene names]:[Gene names]])*1, 0))</f>
        <v>0</v>
      </c>
      <c r="F98" cm="1">
        <f t="array" ref="F98">INDEX(Table1[riBAQ 19], MATCH(1, (Table3[[#This Row],[Gene names]:[Gene names]] = Table1[[Gene names]:[Gene names]])*1, 0))</f>
        <v>0</v>
      </c>
      <c r="G98" cm="1">
        <f t="array" ref="G98">INDEX(Table1[riBAQ 20], MATCH(1, (Table3[[#This Row],[Gene names]:[Gene names]] = Table1[[Gene names]:[Gene names]])*1, 0))</f>
        <v>0</v>
      </c>
      <c r="H98" cm="1">
        <f t="array" ref="H98">INDEX(Table1[riBAQ 21], MATCH(1, (Table3[[#This Row],[Gene names]:[Gene names]] = Table1[[Gene names]:[Gene names]])*1, 0))</f>
        <v>0</v>
      </c>
      <c r="I98" cm="1">
        <f t="array" ref="I98">INDEX(Table1[riBAQ 22], MATCH(1, (Table3[[#This Row],[Gene names]:[Gene names]] = Table1[[Gene names]:[Gene names]])*1, 0))</f>
        <v>0</v>
      </c>
      <c r="J98" cm="1">
        <f t="array" ref="J98">INDEX(Table1[riBAQ 23], MATCH(1, (Table3[[#This Row],[Gene names]:[Gene names]] = Table1[[Gene names]:[Gene names]])*1, 0))</f>
        <v>0</v>
      </c>
      <c r="K98" cm="1">
        <f t="array" ref="K98">INDEX(Table1[riBAQ 37], MATCH(1, (Table3[[#This Row],[Gene names]:[Gene names]] = Table1[[Gene names]:[Gene names]])*1, 0))</f>
        <v>3.3200000000000001E-5</v>
      </c>
      <c r="L98" cm="1">
        <f t="array" ref="L98">INDEX(Table1[riBAQ 38], MATCH(1, (Table3[[#This Row],[Gene names]:[Gene names]] = Table1[[Gene names]:[Gene names]])*1, 0))</f>
        <v>6.0900000000000003E-5</v>
      </c>
      <c r="M98" cm="1">
        <f t="array" ref="M98">INDEX(Table1[riBAQ 39], MATCH(1, (Table3[[#This Row],[Gene names]:[Gene names]] = Table1[[Gene names]:[Gene names]])*1, 0))</f>
        <v>4.46E-5</v>
      </c>
      <c r="N98" cm="1">
        <f t="array" ref="N98">INDEX(Table1[riBAQ 40], MATCH(1, (Table3[[#This Row],[Gene names]:[Gene names]] = Table1[[Gene names]:[Gene names]])*1, 0))</f>
        <v>0</v>
      </c>
      <c r="O98" cm="1">
        <f t="array" ref="O98">INDEX(Table1[riBAQ 41], MATCH(1, (Table3[[#This Row],[Gene names]:[Gene names]] = Table1[[Gene names]:[Gene names]])*1, 0))</f>
        <v>4.32E-5</v>
      </c>
      <c r="P98" cm="1">
        <f t="array" ref="P98">INDEX(Table1[riBAQ 24], MATCH(1, (Table3[[#This Row],[Gene names]:[Gene names]] = Table1[[Gene names]:[Gene names]])*1, 0))</f>
        <v>1.1207E-4</v>
      </c>
      <c r="Q98" cm="1">
        <f t="array" ref="Q98">INDEX(Table1[riBAQ 25], MATCH(1, (Table3[[#This Row],[Gene names]:[Gene names]] = Table1[[Gene names]:[Gene names]])*1, 0))</f>
        <v>2.1512899999999999E-4</v>
      </c>
      <c r="R98" cm="1">
        <f t="array" ref="R98">INDEX(Table1[riBAQ 26], MATCH(1, (Table3[[#This Row],[Gene names]:[Gene names]] = Table1[[Gene names]:[Gene names]])*1, 0))</f>
        <v>2.0247700000000001E-4</v>
      </c>
      <c r="S98" cm="1">
        <f t="array" ref="S98">INDEX(Table1[riBAQ 42], MATCH(1, (Table3[[#This Row],[Gene names]:[Gene names]] = Table1[[Gene names]:[Gene names]])*1, 0))</f>
        <v>2.2937000000000001E-4</v>
      </c>
      <c r="T98" cm="1">
        <f t="array" ref="T98">INDEX(Table1[riBAQ 43], MATCH(1, (Table3[[#This Row],[Gene names]:[Gene names]] = Table1[[Gene names]:[Gene names]])*1, 0))</f>
        <v>2.2858500000000001E-4</v>
      </c>
    </row>
    <row r="99" spans="1:20" x14ac:dyDescent="0.25">
      <c r="A99" t="s">
        <v>1480</v>
      </c>
      <c r="B99" cm="1">
        <f t="array" ref="B99">INDEX(Table1[riBAQ 17], MATCH(1, (Table3[[#This Row],[Gene names]:[Gene names]] = Table1[[Gene names]:[Gene names]])*1, 0))</f>
        <v>1.99364E-4</v>
      </c>
      <c r="C99" cm="1">
        <f t="array" ref="C99">INDEX(Table1[riBAQ 18], MATCH(1, (Table3[[#This Row],[Gene names]:[Gene names]] = Table1[[Gene names]:[Gene names]])*1, 0))</f>
        <v>2.04611E-4</v>
      </c>
      <c r="D99" cm="1">
        <f t="array" ref="D99">INDEX(Table1[riBAQ 35], MATCH(1, (Table3[[#This Row],[Gene names]:[Gene names]] = Table1[[Gene names]:[Gene names]])*1, 0))</f>
        <v>9.4599999999999996E-5</v>
      </c>
      <c r="E99" cm="1">
        <f t="array" ref="E99">INDEX(Table1[riBAQ 36], MATCH(1, (Table3[[#This Row],[Gene names]:[Gene names]] = Table1[[Gene names]:[Gene names]])*1, 0))</f>
        <v>1.11754E-4</v>
      </c>
      <c r="F99" cm="1">
        <f t="array" ref="F99">INDEX(Table1[riBAQ 19], MATCH(1, (Table3[[#This Row],[Gene names]:[Gene names]] = Table1[[Gene names]:[Gene names]])*1, 0))</f>
        <v>1.5087499999999999E-4</v>
      </c>
      <c r="G99" cm="1">
        <f t="array" ref="G99">INDEX(Table1[riBAQ 20], MATCH(1, (Table3[[#This Row],[Gene names]:[Gene names]] = Table1[[Gene names]:[Gene names]])*1, 0))</f>
        <v>1.6952800000000001E-4</v>
      </c>
      <c r="H99" cm="1">
        <f t="array" ref="H99">INDEX(Table1[riBAQ 21], MATCH(1, (Table3[[#This Row],[Gene names]:[Gene names]] = Table1[[Gene names]:[Gene names]])*1, 0))</f>
        <v>3.0962200000000001E-4</v>
      </c>
      <c r="I99" cm="1">
        <f t="array" ref="I99">INDEX(Table1[riBAQ 22], MATCH(1, (Table3[[#This Row],[Gene names]:[Gene names]] = Table1[[Gene names]:[Gene names]])*1, 0))</f>
        <v>2.2027799999999999E-4</v>
      </c>
      <c r="J99" cm="1">
        <f t="array" ref="J99">INDEX(Table1[riBAQ 23], MATCH(1, (Table3[[#This Row],[Gene names]:[Gene names]] = Table1[[Gene names]:[Gene names]])*1, 0))</f>
        <v>9.2E-5</v>
      </c>
      <c r="K99" cm="1">
        <f t="array" ref="K99">INDEX(Table1[riBAQ 37], MATCH(1, (Table3[[#This Row],[Gene names]:[Gene names]] = Table1[[Gene names]:[Gene names]])*1, 0))</f>
        <v>1.93582E-4</v>
      </c>
      <c r="L99" cm="1">
        <f t="array" ref="L99">INDEX(Table1[riBAQ 38], MATCH(1, (Table3[[#This Row],[Gene names]:[Gene names]] = Table1[[Gene names]:[Gene names]])*1, 0))</f>
        <v>2.0479299999999999E-4</v>
      </c>
      <c r="M99" cm="1">
        <f t="array" ref="M99">INDEX(Table1[riBAQ 39], MATCH(1, (Table3[[#This Row],[Gene names]:[Gene names]] = Table1[[Gene names]:[Gene names]])*1, 0))</f>
        <v>9.6500000000000001E-5</v>
      </c>
      <c r="N99" cm="1">
        <f t="array" ref="N99">INDEX(Table1[riBAQ 40], MATCH(1, (Table3[[#This Row],[Gene names]:[Gene names]] = Table1[[Gene names]:[Gene names]])*1, 0))</f>
        <v>6.2199999999999994E-5</v>
      </c>
      <c r="O99" cm="1">
        <f t="array" ref="O99">INDEX(Table1[riBAQ 41], MATCH(1, (Table3[[#This Row],[Gene names]:[Gene names]] = Table1[[Gene names]:[Gene names]])*1, 0))</f>
        <v>1.18634E-4</v>
      </c>
      <c r="P99" cm="1">
        <f t="array" ref="P99">INDEX(Table1[riBAQ 24], MATCH(1, (Table3[[#This Row],[Gene names]:[Gene names]] = Table1[[Gene names]:[Gene names]])*1, 0))</f>
        <v>2.2598200000000001E-4</v>
      </c>
      <c r="Q99" cm="1">
        <f t="array" ref="Q99">INDEX(Table1[riBAQ 25], MATCH(1, (Table3[[#This Row],[Gene names]:[Gene names]] = Table1[[Gene names]:[Gene names]])*1, 0))</f>
        <v>4.74053E-4</v>
      </c>
      <c r="R99" cm="1">
        <f t="array" ref="R99">INDEX(Table1[riBAQ 26], MATCH(1, (Table3[[#This Row],[Gene names]:[Gene names]] = Table1[[Gene names]:[Gene names]])*1, 0))</f>
        <v>4.0245800000000001E-4</v>
      </c>
      <c r="S99" cm="1">
        <f t="array" ref="S99">INDEX(Table1[riBAQ 42], MATCH(1, (Table3[[#This Row],[Gene names]:[Gene names]] = Table1[[Gene names]:[Gene names]])*1, 0))</f>
        <v>2.8544900000000001E-4</v>
      </c>
      <c r="T99" cm="1">
        <f t="array" ref="T99">INDEX(Table1[riBAQ 43], MATCH(1, (Table3[[#This Row],[Gene names]:[Gene names]] = Table1[[Gene names]:[Gene names]])*1, 0))</f>
        <v>3.9822300000000001E-4</v>
      </c>
    </row>
    <row r="100" spans="1:20" x14ac:dyDescent="0.25">
      <c r="A100" t="s">
        <v>591</v>
      </c>
      <c r="B100" cm="1">
        <f t="array" ref="B100">INDEX(Table1[riBAQ 17], MATCH(1, (Table3[[#This Row],[Gene names]:[Gene names]] = Table1[[Gene names]:[Gene names]])*1, 0))</f>
        <v>0</v>
      </c>
      <c r="C100" cm="1">
        <f t="array" ref="C100">INDEX(Table1[riBAQ 18], MATCH(1, (Table3[[#This Row],[Gene names]:[Gene names]] = Table1[[Gene names]:[Gene names]])*1, 0))</f>
        <v>0</v>
      </c>
      <c r="D100" cm="1">
        <f t="array" ref="D100">INDEX(Table1[riBAQ 35], MATCH(1, (Table3[[#This Row],[Gene names]:[Gene names]] = Table1[[Gene names]:[Gene names]])*1, 0))</f>
        <v>0</v>
      </c>
      <c r="E100" cm="1">
        <f t="array" ref="E100">INDEX(Table1[riBAQ 36], MATCH(1, (Table3[[#This Row],[Gene names]:[Gene names]] = Table1[[Gene names]:[Gene names]])*1, 0))</f>
        <v>0</v>
      </c>
      <c r="F100" cm="1">
        <f t="array" ref="F100">INDEX(Table1[riBAQ 19], MATCH(1, (Table3[[#This Row],[Gene names]:[Gene names]] = Table1[[Gene names]:[Gene names]])*1, 0))</f>
        <v>0</v>
      </c>
      <c r="G100" cm="1">
        <f t="array" ref="G100">INDEX(Table1[riBAQ 20], MATCH(1, (Table3[[#This Row],[Gene names]:[Gene names]] = Table1[[Gene names]:[Gene names]])*1, 0))</f>
        <v>0</v>
      </c>
      <c r="H100" cm="1">
        <f t="array" ref="H100">INDEX(Table1[riBAQ 21], MATCH(1, (Table3[[#This Row],[Gene names]:[Gene names]] = Table1[[Gene names]:[Gene names]])*1, 0))</f>
        <v>0</v>
      </c>
      <c r="I100" cm="1">
        <f t="array" ref="I100">INDEX(Table1[riBAQ 22], MATCH(1, (Table3[[#This Row],[Gene names]:[Gene names]] = Table1[[Gene names]:[Gene names]])*1, 0))</f>
        <v>0</v>
      </c>
      <c r="J100" cm="1">
        <f t="array" ref="J100">INDEX(Table1[riBAQ 23], MATCH(1, (Table3[[#This Row],[Gene names]:[Gene names]] = Table1[[Gene names]:[Gene names]])*1, 0))</f>
        <v>0</v>
      </c>
      <c r="K100" cm="1">
        <f t="array" ref="K100">INDEX(Table1[riBAQ 37], MATCH(1, (Table3[[#This Row],[Gene names]:[Gene names]] = Table1[[Gene names]:[Gene names]])*1, 0))</f>
        <v>0</v>
      </c>
      <c r="L100" cm="1">
        <f t="array" ref="L100">INDEX(Table1[riBAQ 38], MATCH(1, (Table3[[#This Row],[Gene names]:[Gene names]] = Table1[[Gene names]:[Gene names]])*1, 0))</f>
        <v>0</v>
      </c>
      <c r="M100" cm="1">
        <f t="array" ref="M100">INDEX(Table1[riBAQ 39], MATCH(1, (Table3[[#This Row],[Gene names]:[Gene names]] = Table1[[Gene names]:[Gene names]])*1, 0))</f>
        <v>0</v>
      </c>
      <c r="N100" cm="1">
        <f t="array" ref="N100">INDEX(Table1[riBAQ 40], MATCH(1, (Table3[[#This Row],[Gene names]:[Gene names]] = Table1[[Gene names]:[Gene names]])*1, 0))</f>
        <v>0</v>
      </c>
      <c r="O100" cm="1">
        <f t="array" ref="O100">INDEX(Table1[riBAQ 41], MATCH(1, (Table3[[#This Row],[Gene names]:[Gene names]] = Table1[[Gene names]:[Gene names]])*1, 0))</f>
        <v>0</v>
      </c>
      <c r="P100" cm="1">
        <f t="array" ref="P100">INDEX(Table1[riBAQ 24], MATCH(1, (Table3[[#This Row],[Gene names]:[Gene names]] = Table1[[Gene names]:[Gene names]])*1, 0))</f>
        <v>0</v>
      </c>
      <c r="Q100" cm="1">
        <f t="array" ref="Q100">INDEX(Table1[riBAQ 25], MATCH(1, (Table3[[#This Row],[Gene names]:[Gene names]] = Table1[[Gene names]:[Gene names]])*1, 0))</f>
        <v>7.1600000000000006E-5</v>
      </c>
      <c r="R100" cm="1">
        <f t="array" ref="R100">INDEX(Table1[riBAQ 26], MATCH(1, (Table3[[#This Row],[Gene names]:[Gene names]] = Table1[[Gene names]:[Gene names]])*1, 0))</f>
        <v>3.2400000000000001E-5</v>
      </c>
      <c r="S100" cm="1">
        <f t="array" ref="S100">INDEX(Table1[riBAQ 42], MATCH(1, (Table3[[#This Row],[Gene names]:[Gene names]] = Table1[[Gene names]:[Gene names]])*1, 0))</f>
        <v>8.8499999999999996E-5</v>
      </c>
      <c r="T100" cm="1">
        <f t="array" ref="T100">INDEX(Table1[riBAQ 43], MATCH(1, (Table3[[#This Row],[Gene names]:[Gene names]] = Table1[[Gene names]:[Gene names]])*1, 0))</f>
        <v>6.2500000000000001E-5</v>
      </c>
    </row>
    <row r="101" spans="1:20" x14ac:dyDescent="0.25">
      <c r="A101" t="s">
        <v>1293</v>
      </c>
      <c r="B101" cm="1">
        <f t="array" ref="B101">INDEX(Table1[riBAQ 17], MATCH(1, (Table3[[#This Row],[Gene names]:[Gene names]] = Table1[[Gene names]:[Gene names]])*1, 0))</f>
        <v>1.6866799999999999E-4</v>
      </c>
      <c r="C101" cm="1">
        <f t="array" ref="C101">INDEX(Table1[riBAQ 18], MATCH(1, (Table3[[#This Row],[Gene names]:[Gene names]] = Table1[[Gene names]:[Gene names]])*1, 0))</f>
        <v>5.6900000000000001E-5</v>
      </c>
      <c r="D101" cm="1">
        <f t="array" ref="D101">INDEX(Table1[riBAQ 35], MATCH(1, (Table3[[#This Row],[Gene names]:[Gene names]] = Table1[[Gene names]:[Gene names]])*1, 0))</f>
        <v>6.0399999999999998E-5</v>
      </c>
      <c r="E101" cm="1">
        <f t="array" ref="E101">INDEX(Table1[riBAQ 36], MATCH(1, (Table3[[#This Row],[Gene names]:[Gene names]] = Table1[[Gene names]:[Gene names]])*1, 0))</f>
        <v>3.93E-5</v>
      </c>
      <c r="F101" cm="1">
        <f t="array" ref="F101">INDEX(Table1[riBAQ 19], MATCH(1, (Table3[[#This Row],[Gene names]:[Gene names]] = Table1[[Gene names]:[Gene names]])*1, 0))</f>
        <v>2.4883499999999999E-4</v>
      </c>
      <c r="G101" cm="1">
        <f t="array" ref="G101">INDEX(Table1[riBAQ 20], MATCH(1, (Table3[[#This Row],[Gene names]:[Gene names]] = Table1[[Gene names]:[Gene names]])*1, 0))</f>
        <v>1.67763E-4</v>
      </c>
      <c r="H101" cm="1">
        <f t="array" ref="H101">INDEX(Table1[riBAQ 21], MATCH(1, (Table3[[#This Row],[Gene names]:[Gene names]] = Table1[[Gene names]:[Gene names]])*1, 0))</f>
        <v>2.30106E-4</v>
      </c>
      <c r="I101" cm="1">
        <f t="array" ref="I101">INDEX(Table1[riBAQ 22], MATCH(1, (Table3[[#This Row],[Gene names]:[Gene names]] = Table1[[Gene names]:[Gene names]])*1, 0))</f>
        <v>1.4583E-4</v>
      </c>
      <c r="J101" cm="1">
        <f t="array" ref="J101">INDEX(Table1[riBAQ 23], MATCH(1, (Table3[[#This Row],[Gene names]:[Gene names]] = Table1[[Gene names]:[Gene names]])*1, 0))</f>
        <v>1.9443600000000001E-4</v>
      </c>
      <c r="K101" cm="1">
        <f t="array" ref="K101">INDEX(Table1[riBAQ 37], MATCH(1, (Table3[[#This Row],[Gene names]:[Gene names]] = Table1[[Gene names]:[Gene names]])*1, 0))</f>
        <v>9.2100000000000003E-5</v>
      </c>
      <c r="L101" cm="1">
        <f t="array" ref="L101">INDEX(Table1[riBAQ 38], MATCH(1, (Table3[[#This Row],[Gene names]:[Gene names]] = Table1[[Gene names]:[Gene names]])*1, 0))</f>
        <v>0</v>
      </c>
      <c r="M101" cm="1">
        <f t="array" ref="M101">INDEX(Table1[riBAQ 39], MATCH(1, (Table3[[#This Row],[Gene names]:[Gene names]] = Table1[[Gene names]:[Gene names]])*1, 0))</f>
        <v>2.2644900000000001E-4</v>
      </c>
      <c r="N101" cm="1">
        <f t="array" ref="N101">INDEX(Table1[riBAQ 40], MATCH(1, (Table3[[#This Row],[Gene names]:[Gene names]] = Table1[[Gene names]:[Gene names]])*1, 0))</f>
        <v>2.5418800000000003E-4</v>
      </c>
      <c r="O101" cm="1">
        <f t="array" ref="O101">INDEX(Table1[riBAQ 41], MATCH(1, (Table3[[#This Row],[Gene names]:[Gene names]] = Table1[[Gene names]:[Gene names]])*1, 0))</f>
        <v>1.3544499999999999E-4</v>
      </c>
      <c r="P101" cm="1">
        <f t="array" ref="P101">INDEX(Table1[riBAQ 24], MATCH(1, (Table3[[#This Row],[Gene names]:[Gene names]] = Table1[[Gene names]:[Gene names]])*1, 0))</f>
        <v>4.2948200000000002E-4</v>
      </c>
      <c r="Q101" cm="1">
        <f t="array" ref="Q101">INDEX(Table1[riBAQ 25], MATCH(1, (Table3[[#This Row],[Gene names]:[Gene names]] = Table1[[Gene names]:[Gene names]])*1, 0))</f>
        <v>7.7382000000000004E-4</v>
      </c>
      <c r="R101" cm="1">
        <f t="array" ref="R101">INDEX(Table1[riBAQ 26], MATCH(1, (Table3[[#This Row],[Gene names]:[Gene names]] = Table1[[Gene names]:[Gene names]])*1, 0))</f>
        <v>4.96019E-4</v>
      </c>
      <c r="S101" cm="1">
        <f t="array" ref="S101">INDEX(Table1[riBAQ 42], MATCH(1, (Table3[[#This Row],[Gene names]:[Gene names]] = Table1[[Gene names]:[Gene names]])*1, 0))</f>
        <v>4.2683800000000002E-4</v>
      </c>
      <c r="T101" cm="1">
        <f t="array" ref="T101">INDEX(Table1[riBAQ 43], MATCH(1, (Table3[[#This Row],[Gene names]:[Gene names]] = Table1[[Gene names]:[Gene names]])*1, 0))</f>
        <v>1.1796829999999999E-3</v>
      </c>
    </row>
    <row r="102" spans="1:20" x14ac:dyDescent="0.25">
      <c r="A102" t="s">
        <v>780</v>
      </c>
      <c r="B102" cm="1">
        <f t="array" ref="B102">INDEX(Table1[riBAQ 17], MATCH(1, (Table3[[#This Row],[Gene names]:[Gene names]] = Table1[[Gene names]:[Gene names]])*1, 0))</f>
        <v>6.2000000000000003E-5</v>
      </c>
      <c r="C102" cm="1">
        <f t="array" ref="C102">INDEX(Table1[riBAQ 18], MATCH(1, (Table3[[#This Row],[Gene names]:[Gene names]] = Table1[[Gene names]:[Gene names]])*1, 0))</f>
        <v>0</v>
      </c>
      <c r="D102" cm="1">
        <f t="array" ref="D102">INDEX(Table1[riBAQ 35], MATCH(1, (Table3[[#This Row],[Gene names]:[Gene names]] = Table1[[Gene names]:[Gene names]])*1, 0))</f>
        <v>0</v>
      </c>
      <c r="E102" cm="1">
        <f t="array" ref="E102">INDEX(Table1[riBAQ 36], MATCH(1, (Table3[[#This Row],[Gene names]:[Gene names]] = Table1[[Gene names]:[Gene names]])*1, 0))</f>
        <v>1.2999999999999999E-5</v>
      </c>
      <c r="F102" cm="1">
        <f t="array" ref="F102">INDEX(Table1[riBAQ 19], MATCH(1, (Table3[[#This Row],[Gene names]:[Gene names]] = Table1[[Gene names]:[Gene names]])*1, 0))</f>
        <v>0</v>
      </c>
      <c r="G102" cm="1">
        <f t="array" ref="G102">INDEX(Table1[riBAQ 20], MATCH(1, (Table3[[#This Row],[Gene names]:[Gene names]] = Table1[[Gene names]:[Gene names]])*1, 0))</f>
        <v>0</v>
      </c>
      <c r="H102" cm="1">
        <f t="array" ref="H102">INDEX(Table1[riBAQ 21], MATCH(1, (Table3[[#This Row],[Gene names]:[Gene names]] = Table1[[Gene names]:[Gene names]])*1, 0))</f>
        <v>2.44E-5</v>
      </c>
      <c r="I102" cm="1">
        <f t="array" ref="I102">INDEX(Table1[riBAQ 22], MATCH(1, (Table3[[#This Row],[Gene names]:[Gene names]] = Table1[[Gene names]:[Gene names]])*1, 0))</f>
        <v>0</v>
      </c>
      <c r="J102" cm="1">
        <f t="array" ref="J102">INDEX(Table1[riBAQ 23], MATCH(1, (Table3[[#This Row],[Gene names]:[Gene names]] = Table1[[Gene names]:[Gene names]])*1, 0))</f>
        <v>2.4300000000000001E-5</v>
      </c>
      <c r="K102" cm="1">
        <f t="array" ref="K102">INDEX(Table1[riBAQ 37], MATCH(1, (Table3[[#This Row],[Gene names]:[Gene names]] = Table1[[Gene names]:[Gene names]])*1, 0))</f>
        <v>1.6500000000000001E-5</v>
      </c>
      <c r="L102" cm="1">
        <f t="array" ref="L102">INDEX(Table1[riBAQ 38], MATCH(1, (Table3[[#This Row],[Gene names]:[Gene names]] = Table1[[Gene names]:[Gene names]])*1, 0))</f>
        <v>1.5400000000000002E-5</v>
      </c>
      <c r="M102" cm="1">
        <f t="array" ref="M102">INDEX(Table1[riBAQ 39], MATCH(1, (Table3[[#This Row],[Gene names]:[Gene names]] = Table1[[Gene names]:[Gene names]])*1, 0))</f>
        <v>2.1500000000000001E-5</v>
      </c>
      <c r="N102" cm="1">
        <f t="array" ref="N102">INDEX(Table1[riBAQ 40], MATCH(1, (Table3[[#This Row],[Gene names]:[Gene names]] = Table1[[Gene names]:[Gene names]])*1, 0))</f>
        <v>4.6E-5</v>
      </c>
      <c r="O102" cm="1">
        <f t="array" ref="O102">INDEX(Table1[riBAQ 41], MATCH(1, (Table3[[#This Row],[Gene names]:[Gene names]] = Table1[[Gene names]:[Gene names]])*1, 0))</f>
        <v>2.2500000000000001E-5</v>
      </c>
      <c r="P102" cm="1">
        <f t="array" ref="P102">INDEX(Table1[riBAQ 24], MATCH(1, (Table3[[#This Row],[Gene names]:[Gene names]] = Table1[[Gene names]:[Gene names]])*1, 0))</f>
        <v>2.76E-5</v>
      </c>
      <c r="Q102" cm="1">
        <f t="array" ref="Q102">INDEX(Table1[riBAQ 25], MATCH(1, (Table3[[#This Row],[Gene names]:[Gene names]] = Table1[[Gene names]:[Gene names]])*1, 0))</f>
        <v>3.7200000000000003E-5</v>
      </c>
      <c r="R102" cm="1">
        <f t="array" ref="R102">INDEX(Table1[riBAQ 26], MATCH(1, (Table3[[#This Row],[Gene names]:[Gene names]] = Table1[[Gene names]:[Gene names]])*1, 0))</f>
        <v>3.2100000000000001E-5</v>
      </c>
      <c r="S102" cm="1">
        <f t="array" ref="S102">INDEX(Table1[riBAQ 42], MATCH(1, (Table3[[#This Row],[Gene names]:[Gene names]] = Table1[[Gene names]:[Gene names]])*1, 0))</f>
        <v>3.1399999999999998E-5</v>
      </c>
      <c r="T102" cm="1">
        <f t="array" ref="T102">INDEX(Table1[riBAQ 43], MATCH(1, (Table3[[#This Row],[Gene names]:[Gene names]] = Table1[[Gene names]:[Gene names]])*1, 0))</f>
        <v>7.0699999999999997E-5</v>
      </c>
    </row>
    <row r="103" spans="1:20" x14ac:dyDescent="0.25">
      <c r="A103" t="s">
        <v>682</v>
      </c>
      <c r="B103" cm="1">
        <f t="array" ref="B103">INDEX(Table1[riBAQ 17], MATCH(1, (Table3[[#This Row],[Gene names]:[Gene names]] = Table1[[Gene names]:[Gene names]])*1, 0))</f>
        <v>1.02335E-4</v>
      </c>
      <c r="C103" cm="1">
        <f t="array" ref="C103">INDEX(Table1[riBAQ 18], MATCH(1, (Table3[[#This Row],[Gene names]:[Gene names]] = Table1[[Gene names]:[Gene names]])*1, 0))</f>
        <v>1.3273199999999999E-4</v>
      </c>
      <c r="D103" cm="1">
        <f t="array" ref="D103">INDEX(Table1[riBAQ 35], MATCH(1, (Table3[[#This Row],[Gene names]:[Gene names]] = Table1[[Gene names]:[Gene names]])*1, 0))</f>
        <v>1.6299500000000001E-4</v>
      </c>
      <c r="E103" cm="1">
        <f t="array" ref="E103">INDEX(Table1[riBAQ 36], MATCH(1, (Table3[[#This Row],[Gene names]:[Gene names]] = Table1[[Gene names]:[Gene names]])*1, 0))</f>
        <v>1.67725E-4</v>
      </c>
      <c r="F103" cm="1">
        <f t="array" ref="F103">INDEX(Table1[riBAQ 19], MATCH(1, (Table3[[#This Row],[Gene names]:[Gene names]] = Table1[[Gene names]:[Gene names]])*1, 0))</f>
        <v>7.64E-5</v>
      </c>
      <c r="G103" cm="1">
        <f t="array" ref="G103">INDEX(Table1[riBAQ 20], MATCH(1, (Table3[[#This Row],[Gene names]:[Gene names]] = Table1[[Gene names]:[Gene names]])*1, 0))</f>
        <v>9.2100000000000003E-5</v>
      </c>
      <c r="H103" cm="1">
        <f t="array" ref="H103">INDEX(Table1[riBAQ 21], MATCH(1, (Table3[[#This Row],[Gene names]:[Gene names]] = Table1[[Gene names]:[Gene names]])*1, 0))</f>
        <v>9.7299999999999993E-5</v>
      </c>
      <c r="I103" cm="1">
        <f t="array" ref="I103">INDEX(Table1[riBAQ 22], MATCH(1, (Table3[[#This Row],[Gene names]:[Gene names]] = Table1[[Gene names]:[Gene names]])*1, 0))</f>
        <v>1.28777E-4</v>
      </c>
      <c r="J103" cm="1">
        <f t="array" ref="J103">INDEX(Table1[riBAQ 23], MATCH(1, (Table3[[#This Row],[Gene names]:[Gene names]] = Table1[[Gene names]:[Gene names]])*1, 0))</f>
        <v>1.04057E-4</v>
      </c>
      <c r="K103" cm="1">
        <f t="array" ref="K103">INDEX(Table1[riBAQ 37], MATCH(1, (Table3[[#This Row],[Gene names]:[Gene names]] = Table1[[Gene names]:[Gene names]])*1, 0))</f>
        <v>7.3499999999999998E-5</v>
      </c>
      <c r="L103" cm="1">
        <f t="array" ref="L103">INDEX(Table1[riBAQ 38], MATCH(1, (Table3[[#This Row],[Gene names]:[Gene names]] = Table1[[Gene names]:[Gene names]])*1, 0))</f>
        <v>9.2299999999999994E-5</v>
      </c>
      <c r="M103" cm="1">
        <f t="array" ref="M103">INDEX(Table1[riBAQ 39], MATCH(1, (Table3[[#This Row],[Gene names]:[Gene names]] = Table1[[Gene names]:[Gene names]])*1, 0))</f>
        <v>1.45575E-4</v>
      </c>
      <c r="N103" cm="1">
        <f t="array" ref="N103">INDEX(Table1[riBAQ 40], MATCH(1, (Table3[[#This Row],[Gene names]:[Gene names]] = Table1[[Gene names]:[Gene names]])*1, 0))</f>
        <v>1.3772200000000001E-4</v>
      </c>
      <c r="O103" cm="1">
        <f t="array" ref="O103">INDEX(Table1[riBAQ 41], MATCH(1, (Table3[[#This Row],[Gene names]:[Gene names]] = Table1[[Gene names]:[Gene names]])*1, 0))</f>
        <v>1.8760900000000001E-4</v>
      </c>
      <c r="P103" cm="1">
        <f t="array" ref="P103">INDEX(Table1[riBAQ 24], MATCH(1, (Table3[[#This Row],[Gene names]:[Gene names]] = Table1[[Gene names]:[Gene names]])*1, 0))</f>
        <v>7.0599999999999995E-5</v>
      </c>
      <c r="Q103" cm="1">
        <f t="array" ref="Q103">INDEX(Table1[riBAQ 25], MATCH(1, (Table3[[#This Row],[Gene names]:[Gene names]] = Table1[[Gene names]:[Gene names]])*1, 0))</f>
        <v>4.46E-5</v>
      </c>
      <c r="R103" cm="1">
        <f t="array" ref="R103">INDEX(Table1[riBAQ 26], MATCH(1, (Table3[[#This Row],[Gene names]:[Gene names]] = Table1[[Gene names]:[Gene names]])*1, 0))</f>
        <v>6.4200000000000002E-5</v>
      </c>
      <c r="S103" cm="1">
        <f t="array" ref="S103">INDEX(Table1[riBAQ 42], MATCH(1, (Table3[[#This Row],[Gene names]:[Gene names]] = Table1[[Gene names]:[Gene names]])*1, 0))</f>
        <v>5.8100000000000003E-5</v>
      </c>
      <c r="T103" cm="1">
        <f t="array" ref="T103">INDEX(Table1[riBAQ 43], MATCH(1, (Table3[[#This Row],[Gene names]:[Gene names]] = Table1[[Gene names]:[Gene names]])*1, 0))</f>
        <v>5.0500000000000001E-5</v>
      </c>
    </row>
    <row r="104" spans="1:20" x14ac:dyDescent="0.25">
      <c r="A104" t="s">
        <v>727</v>
      </c>
      <c r="B104" cm="1">
        <f t="array" ref="B104">INDEX(Table1[riBAQ 17], MATCH(1, (Table3[[#This Row],[Gene names]:[Gene names]] = Table1[[Gene names]:[Gene names]])*1, 0))</f>
        <v>1.34E-5</v>
      </c>
      <c r="C104" cm="1">
        <f t="array" ref="C104">INDEX(Table1[riBAQ 18], MATCH(1, (Table3[[#This Row],[Gene names]:[Gene names]] = Table1[[Gene names]:[Gene names]])*1, 0))</f>
        <v>0</v>
      </c>
      <c r="D104" cm="1">
        <f t="array" ref="D104">INDEX(Table1[riBAQ 35], MATCH(1, (Table3[[#This Row],[Gene names]:[Gene names]] = Table1[[Gene names]:[Gene names]])*1, 0))</f>
        <v>0</v>
      </c>
      <c r="E104" cm="1">
        <f t="array" ref="E104">INDEX(Table1[riBAQ 36], MATCH(1, (Table3[[#This Row],[Gene names]:[Gene names]] = Table1[[Gene names]:[Gene names]])*1, 0))</f>
        <v>0</v>
      </c>
      <c r="F104" cm="1">
        <f t="array" ref="F104">INDEX(Table1[riBAQ 19], MATCH(1, (Table3[[#This Row],[Gene names]:[Gene names]] = Table1[[Gene names]:[Gene names]])*1, 0))</f>
        <v>4.3900000000000003E-5</v>
      </c>
      <c r="G104" cm="1">
        <f t="array" ref="G104">INDEX(Table1[riBAQ 20], MATCH(1, (Table3[[#This Row],[Gene names]:[Gene names]] = Table1[[Gene names]:[Gene names]])*1, 0))</f>
        <v>3.9400000000000002E-5</v>
      </c>
      <c r="H104" cm="1">
        <f t="array" ref="H104">INDEX(Table1[riBAQ 21], MATCH(1, (Table3[[#This Row],[Gene names]:[Gene names]] = Table1[[Gene names]:[Gene names]])*1, 0))</f>
        <v>2.1999999999999999E-5</v>
      </c>
      <c r="I104" cm="1">
        <f t="array" ref="I104">INDEX(Table1[riBAQ 22], MATCH(1, (Table3[[#This Row],[Gene names]:[Gene names]] = Table1[[Gene names]:[Gene names]])*1, 0))</f>
        <v>3.01E-5</v>
      </c>
      <c r="J104" cm="1">
        <f t="array" ref="J104">INDEX(Table1[riBAQ 23], MATCH(1, (Table3[[#This Row],[Gene names]:[Gene names]] = Table1[[Gene names]:[Gene names]])*1, 0))</f>
        <v>1.88E-5</v>
      </c>
      <c r="K104" cm="1">
        <f t="array" ref="K104">INDEX(Table1[riBAQ 37], MATCH(1, (Table3[[#This Row],[Gene names]:[Gene names]] = Table1[[Gene names]:[Gene names]])*1, 0))</f>
        <v>3.2100000000000001E-5</v>
      </c>
      <c r="L104" cm="1">
        <f t="array" ref="L104">INDEX(Table1[riBAQ 38], MATCH(1, (Table3[[#This Row],[Gene names]:[Gene names]] = Table1[[Gene names]:[Gene names]])*1, 0))</f>
        <v>0</v>
      </c>
      <c r="M104" cm="1">
        <f t="array" ref="M104">INDEX(Table1[riBAQ 39], MATCH(1, (Table3[[#This Row],[Gene names]:[Gene names]] = Table1[[Gene names]:[Gene names]])*1, 0))</f>
        <v>2.44E-5</v>
      </c>
      <c r="N104" cm="1">
        <f t="array" ref="N104">INDEX(Table1[riBAQ 40], MATCH(1, (Table3[[#This Row],[Gene names]:[Gene names]] = Table1[[Gene names]:[Gene names]])*1, 0))</f>
        <v>1.9599999999999999E-5</v>
      </c>
      <c r="O104" cm="1">
        <f t="array" ref="O104">INDEX(Table1[riBAQ 41], MATCH(1, (Table3[[#This Row],[Gene names]:[Gene names]] = Table1[[Gene names]:[Gene names]])*1, 0))</f>
        <v>0</v>
      </c>
      <c r="P104" cm="1">
        <f t="array" ref="P104">INDEX(Table1[riBAQ 24], MATCH(1, (Table3[[#This Row],[Gene names]:[Gene names]] = Table1[[Gene names]:[Gene names]])*1, 0))</f>
        <v>6.9300000000000004E-5</v>
      </c>
      <c r="Q104" cm="1">
        <f t="array" ref="Q104">INDEX(Table1[riBAQ 25], MATCH(1, (Table3[[#This Row],[Gene names]:[Gene names]] = Table1[[Gene names]:[Gene names]])*1, 0))</f>
        <v>2.0950799999999999E-4</v>
      </c>
      <c r="R104" cm="1">
        <f t="array" ref="R104">INDEX(Table1[riBAQ 26], MATCH(1, (Table3[[#This Row],[Gene names]:[Gene names]] = Table1[[Gene names]:[Gene names]])*1, 0))</f>
        <v>1.3861900000000001E-4</v>
      </c>
      <c r="S104" cm="1">
        <f t="array" ref="S104">INDEX(Table1[riBAQ 42], MATCH(1, (Table3[[#This Row],[Gene names]:[Gene names]] = Table1[[Gene names]:[Gene names]])*1, 0))</f>
        <v>7.6000000000000004E-5</v>
      </c>
      <c r="T104" cm="1">
        <f t="array" ref="T104">INDEX(Table1[riBAQ 43], MATCH(1, (Table3[[#This Row],[Gene names]:[Gene names]] = Table1[[Gene names]:[Gene names]])*1, 0))</f>
        <v>2.7525500000000002E-4</v>
      </c>
    </row>
    <row r="105" spans="1:20" x14ac:dyDescent="0.25">
      <c r="A105" t="s">
        <v>922</v>
      </c>
      <c r="B105" cm="1">
        <f t="array" ref="B105">INDEX(Table1[riBAQ 17], MATCH(1, (Table3[[#This Row],[Gene names]:[Gene names]] = Table1[[Gene names]:[Gene names]])*1, 0))</f>
        <v>1.5956400000000001E-4</v>
      </c>
      <c r="C105" cm="1">
        <f t="array" ref="C105">INDEX(Table1[riBAQ 18], MATCH(1, (Table3[[#This Row],[Gene names]:[Gene names]] = Table1[[Gene names]:[Gene names]])*1, 0))</f>
        <v>8.8599999999999999E-5</v>
      </c>
      <c r="D105" cm="1">
        <f t="array" ref="D105">INDEX(Table1[riBAQ 35], MATCH(1, (Table3[[#This Row],[Gene names]:[Gene names]] = Table1[[Gene names]:[Gene names]])*1, 0))</f>
        <v>7.9900000000000004E-5</v>
      </c>
      <c r="E105" cm="1">
        <f t="array" ref="E105">INDEX(Table1[riBAQ 36], MATCH(1, (Table3[[#This Row],[Gene names]:[Gene names]] = Table1[[Gene names]:[Gene names]])*1, 0))</f>
        <v>6.5199999999999999E-5</v>
      </c>
      <c r="F105" cm="1">
        <f t="array" ref="F105">INDEX(Table1[riBAQ 19], MATCH(1, (Table3[[#This Row],[Gene names]:[Gene names]] = Table1[[Gene names]:[Gene names]])*1, 0))</f>
        <v>1.7785199999999999E-4</v>
      </c>
      <c r="G105" cm="1">
        <f t="array" ref="G105">INDEX(Table1[riBAQ 20], MATCH(1, (Table3[[#This Row],[Gene names]:[Gene names]] = Table1[[Gene names]:[Gene names]])*1, 0))</f>
        <v>3.21007E-4</v>
      </c>
      <c r="H105" cm="1">
        <f t="array" ref="H105">INDEX(Table1[riBAQ 21], MATCH(1, (Table3[[#This Row],[Gene names]:[Gene names]] = Table1[[Gene names]:[Gene names]])*1, 0))</f>
        <v>2.4667100000000001E-4</v>
      </c>
      <c r="I105" cm="1">
        <f t="array" ref="I105">INDEX(Table1[riBAQ 22], MATCH(1, (Table3[[#This Row],[Gene names]:[Gene names]] = Table1[[Gene names]:[Gene names]])*1, 0))</f>
        <v>1.60684E-4</v>
      </c>
      <c r="J105" cm="1">
        <f t="array" ref="J105">INDEX(Table1[riBAQ 23], MATCH(1, (Table3[[#This Row],[Gene names]:[Gene names]] = Table1[[Gene names]:[Gene names]])*1, 0))</f>
        <v>2.1853399999999999E-4</v>
      </c>
      <c r="K105" cm="1">
        <f t="array" ref="K105">INDEX(Table1[riBAQ 37], MATCH(1, (Table3[[#This Row],[Gene names]:[Gene names]] = Table1[[Gene names]:[Gene names]])*1, 0))</f>
        <v>1.6730599999999999E-4</v>
      </c>
      <c r="L105" cm="1">
        <f t="array" ref="L105">INDEX(Table1[riBAQ 38], MATCH(1, (Table3[[#This Row],[Gene names]:[Gene names]] = Table1[[Gene names]:[Gene names]])*1, 0))</f>
        <v>1.29061E-4</v>
      </c>
      <c r="M105" cm="1">
        <f t="array" ref="M105">INDEX(Table1[riBAQ 39], MATCH(1, (Table3[[#This Row],[Gene names]:[Gene names]] = Table1[[Gene names]:[Gene names]])*1, 0))</f>
        <v>2.2634E-4</v>
      </c>
      <c r="N105" cm="1">
        <f t="array" ref="N105">INDEX(Table1[riBAQ 40], MATCH(1, (Table3[[#This Row],[Gene names]:[Gene names]] = Table1[[Gene names]:[Gene names]])*1, 0))</f>
        <v>1.19775E-4</v>
      </c>
      <c r="O105" cm="1">
        <f t="array" ref="O105">INDEX(Table1[riBAQ 41], MATCH(1, (Table3[[#This Row],[Gene names]:[Gene names]] = Table1[[Gene names]:[Gene names]])*1, 0))</f>
        <v>1.5345100000000001E-4</v>
      </c>
      <c r="P105" cm="1">
        <f t="array" ref="P105">INDEX(Table1[riBAQ 24], MATCH(1, (Table3[[#This Row],[Gene names]:[Gene names]] = Table1[[Gene names]:[Gene names]])*1, 0))</f>
        <v>4.6449499999999999E-4</v>
      </c>
      <c r="Q105" cm="1">
        <f t="array" ref="Q105">INDEX(Table1[riBAQ 25], MATCH(1, (Table3[[#This Row],[Gene names]:[Gene names]] = Table1[[Gene names]:[Gene names]])*1, 0))</f>
        <v>7.13841E-4</v>
      </c>
      <c r="R105" cm="1">
        <f t="array" ref="R105">INDEX(Table1[riBAQ 26], MATCH(1, (Table3[[#This Row],[Gene names]:[Gene names]] = Table1[[Gene names]:[Gene names]])*1, 0))</f>
        <v>4.2737E-4</v>
      </c>
      <c r="S105" cm="1">
        <f t="array" ref="S105">INDEX(Table1[riBAQ 42], MATCH(1, (Table3[[#This Row],[Gene names]:[Gene names]] = Table1[[Gene names]:[Gene names]])*1, 0))</f>
        <v>3.6651400000000002E-4</v>
      </c>
      <c r="T105" cm="1">
        <f t="array" ref="T105">INDEX(Table1[riBAQ 43], MATCH(1, (Table3[[#This Row],[Gene names]:[Gene names]] = Table1[[Gene names]:[Gene names]])*1, 0))</f>
        <v>6.2680799999999997E-4</v>
      </c>
    </row>
    <row r="106" spans="1:20" x14ac:dyDescent="0.25">
      <c r="A106" t="s">
        <v>560</v>
      </c>
      <c r="B106" cm="1">
        <f t="array" ref="B106">INDEX(Table1[riBAQ 17], MATCH(1, (Table3[[#This Row],[Gene names]:[Gene names]] = Table1[[Gene names]:[Gene names]])*1, 0))</f>
        <v>1.42E-5</v>
      </c>
      <c r="C106" cm="1">
        <f t="array" ref="C106">INDEX(Table1[riBAQ 18], MATCH(1, (Table3[[#This Row],[Gene names]:[Gene names]] = Table1[[Gene names]:[Gene names]])*1, 0))</f>
        <v>2.2099999999999998E-5</v>
      </c>
      <c r="D106" cm="1">
        <f t="array" ref="D106">INDEX(Table1[riBAQ 35], MATCH(1, (Table3[[#This Row],[Gene names]:[Gene names]] = Table1[[Gene names]:[Gene names]])*1, 0))</f>
        <v>1.3200000000000001E-5</v>
      </c>
      <c r="E106" cm="1">
        <f t="array" ref="E106">INDEX(Table1[riBAQ 36], MATCH(1, (Table3[[#This Row],[Gene names]:[Gene names]] = Table1[[Gene names]:[Gene names]])*1, 0))</f>
        <v>1.34E-5</v>
      </c>
      <c r="F106" cm="1">
        <f t="array" ref="F106">INDEX(Table1[riBAQ 19], MATCH(1, (Table3[[#This Row],[Gene names]:[Gene names]] = Table1[[Gene names]:[Gene names]])*1, 0))</f>
        <v>1.2300000000000001E-5</v>
      </c>
      <c r="G106" cm="1">
        <f t="array" ref="G106">INDEX(Table1[riBAQ 20], MATCH(1, (Table3[[#This Row],[Gene names]:[Gene names]] = Table1[[Gene names]:[Gene names]])*1, 0))</f>
        <v>1.4100000000000001E-5</v>
      </c>
      <c r="H106" cm="1">
        <f t="array" ref="H106">INDEX(Table1[riBAQ 21], MATCH(1, (Table3[[#This Row],[Gene names]:[Gene names]] = Table1[[Gene names]:[Gene names]])*1, 0))</f>
        <v>1.45E-5</v>
      </c>
      <c r="I106" cm="1">
        <f t="array" ref="I106">INDEX(Table1[riBAQ 22], MATCH(1, (Table3[[#This Row],[Gene names]:[Gene names]] = Table1[[Gene names]:[Gene names]])*1, 0))</f>
        <v>2.83E-5</v>
      </c>
      <c r="J106" cm="1">
        <f t="array" ref="J106">INDEX(Table1[riBAQ 23], MATCH(1, (Table3[[#This Row],[Gene names]:[Gene names]] = Table1[[Gene names]:[Gene names]])*1, 0))</f>
        <v>2.05E-5</v>
      </c>
      <c r="K106" cm="1">
        <f t="array" ref="K106">INDEX(Table1[riBAQ 37], MATCH(1, (Table3[[#This Row],[Gene names]:[Gene names]] = Table1[[Gene names]:[Gene names]])*1, 0))</f>
        <v>1.3499999999999999E-5</v>
      </c>
      <c r="L106" cm="1">
        <f t="array" ref="L106">INDEX(Table1[riBAQ 38], MATCH(1, (Table3[[#This Row],[Gene names]:[Gene names]] = Table1[[Gene names]:[Gene names]])*1, 0))</f>
        <v>1.3900000000000001E-5</v>
      </c>
      <c r="M106" cm="1">
        <f t="array" ref="M106">INDEX(Table1[riBAQ 39], MATCH(1, (Table3[[#This Row],[Gene names]:[Gene names]] = Table1[[Gene names]:[Gene names]])*1, 0))</f>
        <v>1.0000000000000001E-5</v>
      </c>
      <c r="N106" cm="1">
        <f t="array" ref="N106">INDEX(Table1[riBAQ 40], MATCH(1, (Table3[[#This Row],[Gene names]:[Gene names]] = Table1[[Gene names]:[Gene names]])*1, 0))</f>
        <v>1.7900000000000001E-5</v>
      </c>
      <c r="O106" cm="1">
        <f t="array" ref="O106">INDEX(Table1[riBAQ 41], MATCH(1, (Table3[[#This Row],[Gene names]:[Gene names]] = Table1[[Gene names]:[Gene names]])*1, 0))</f>
        <v>1.5699999999999999E-5</v>
      </c>
      <c r="P106" cm="1">
        <f t="array" ref="P106">INDEX(Table1[riBAQ 24], MATCH(1, (Table3[[#This Row],[Gene names]:[Gene names]] = Table1[[Gene names]:[Gene names]])*1, 0))</f>
        <v>1.0499999999999999E-5</v>
      </c>
      <c r="Q106" cm="1">
        <f t="array" ref="Q106">INDEX(Table1[riBAQ 25], MATCH(1, (Table3[[#This Row],[Gene names]:[Gene names]] = Table1[[Gene names]:[Gene names]])*1, 0))</f>
        <v>0</v>
      </c>
      <c r="R106" cm="1">
        <f t="array" ref="R106">INDEX(Table1[riBAQ 26], MATCH(1, (Table3[[#This Row],[Gene names]:[Gene names]] = Table1[[Gene names]:[Gene names]])*1, 0))</f>
        <v>0</v>
      </c>
      <c r="S106" cm="1">
        <f t="array" ref="S106">INDEX(Table1[riBAQ 42], MATCH(1, (Table3[[#This Row],[Gene names]:[Gene names]] = Table1[[Gene names]:[Gene names]])*1, 0))</f>
        <v>7.7500000000000003E-6</v>
      </c>
      <c r="T106" cm="1">
        <f t="array" ref="T106">INDEX(Table1[riBAQ 43], MATCH(1, (Table3[[#This Row],[Gene names]:[Gene names]] = Table1[[Gene names]:[Gene names]])*1, 0))</f>
        <v>1.0200000000000001E-5</v>
      </c>
    </row>
    <row r="107" spans="1:20" x14ac:dyDescent="0.25">
      <c r="A107" t="s">
        <v>750</v>
      </c>
      <c r="B107" cm="1">
        <f t="array" ref="B107">INDEX(Table1[riBAQ 17], MATCH(1, (Table3[[#This Row],[Gene names]:[Gene names]] = Table1[[Gene names]:[Gene names]])*1, 0))</f>
        <v>6.1564599999999997E-4</v>
      </c>
      <c r="C107" cm="1">
        <f t="array" ref="C107">INDEX(Table1[riBAQ 18], MATCH(1, (Table3[[#This Row],[Gene names]:[Gene names]] = Table1[[Gene names]:[Gene names]])*1, 0))</f>
        <v>7.4671999999999998E-4</v>
      </c>
      <c r="D107" cm="1">
        <f t="array" ref="D107">INDEX(Table1[riBAQ 35], MATCH(1, (Table3[[#This Row],[Gene names]:[Gene names]] = Table1[[Gene names]:[Gene names]])*1, 0))</f>
        <v>6.5545499999999999E-4</v>
      </c>
      <c r="E107" cm="1">
        <f t="array" ref="E107">INDEX(Table1[riBAQ 36], MATCH(1, (Table3[[#This Row],[Gene names]:[Gene names]] = Table1[[Gene names]:[Gene names]])*1, 0))</f>
        <v>7.5876199999999996E-4</v>
      </c>
      <c r="F107" cm="1">
        <f t="array" ref="F107">INDEX(Table1[riBAQ 19], MATCH(1, (Table3[[#This Row],[Gene names]:[Gene names]] = Table1[[Gene names]:[Gene names]])*1, 0))</f>
        <v>8.5767500000000002E-4</v>
      </c>
      <c r="G107" cm="1">
        <f t="array" ref="G107">INDEX(Table1[riBAQ 20], MATCH(1, (Table3[[#This Row],[Gene names]:[Gene names]] = Table1[[Gene names]:[Gene names]])*1, 0))</f>
        <v>9.24288E-4</v>
      </c>
      <c r="H107" cm="1">
        <f t="array" ref="H107">INDEX(Table1[riBAQ 21], MATCH(1, (Table3[[#This Row],[Gene names]:[Gene names]] = Table1[[Gene names]:[Gene names]])*1, 0))</f>
        <v>7.4908400000000001E-4</v>
      </c>
      <c r="I107" cm="1">
        <f t="array" ref="I107">INDEX(Table1[riBAQ 22], MATCH(1, (Table3[[#This Row],[Gene names]:[Gene names]] = Table1[[Gene names]:[Gene names]])*1, 0))</f>
        <v>1.060531E-3</v>
      </c>
      <c r="J107" cm="1">
        <f t="array" ref="J107">INDEX(Table1[riBAQ 23], MATCH(1, (Table3[[#This Row],[Gene names]:[Gene names]] = Table1[[Gene names]:[Gene names]])*1, 0))</f>
        <v>8.5111699999999998E-4</v>
      </c>
      <c r="K107" cm="1">
        <f t="array" ref="K107">INDEX(Table1[riBAQ 37], MATCH(1, (Table3[[#This Row],[Gene names]:[Gene names]] = Table1[[Gene names]:[Gene names]])*1, 0))</f>
        <v>7.48911E-4</v>
      </c>
      <c r="L107" cm="1">
        <f t="array" ref="L107">INDEX(Table1[riBAQ 38], MATCH(1, (Table3[[#This Row],[Gene names]:[Gene names]] = Table1[[Gene names]:[Gene names]])*1, 0))</f>
        <v>7.2054599999999997E-4</v>
      </c>
      <c r="M107" cm="1">
        <f t="array" ref="M107">INDEX(Table1[riBAQ 39], MATCH(1, (Table3[[#This Row],[Gene names]:[Gene names]] = Table1[[Gene names]:[Gene names]])*1, 0))</f>
        <v>7.40689E-4</v>
      </c>
      <c r="N107" cm="1">
        <f t="array" ref="N107">INDEX(Table1[riBAQ 40], MATCH(1, (Table3[[#This Row],[Gene names]:[Gene names]] = Table1[[Gene names]:[Gene names]])*1, 0))</f>
        <v>8.9150899999999996E-4</v>
      </c>
      <c r="O107" cm="1">
        <f t="array" ref="O107">INDEX(Table1[riBAQ 41], MATCH(1, (Table3[[#This Row],[Gene names]:[Gene names]] = Table1[[Gene names]:[Gene names]])*1, 0))</f>
        <v>7.8244199999999995E-4</v>
      </c>
      <c r="P107" cm="1">
        <f t="array" ref="P107">INDEX(Table1[riBAQ 24], MATCH(1, (Table3[[#This Row],[Gene names]:[Gene names]] = Table1[[Gene names]:[Gene names]])*1, 0))</f>
        <v>1.0032330000000001E-3</v>
      </c>
      <c r="Q107" cm="1">
        <f t="array" ref="Q107">INDEX(Table1[riBAQ 25], MATCH(1, (Table3[[#This Row],[Gene names]:[Gene names]] = Table1[[Gene names]:[Gene names]])*1, 0))</f>
        <v>1.5542469999999999E-3</v>
      </c>
      <c r="R107" cm="1">
        <f t="array" ref="R107">INDEX(Table1[riBAQ 26], MATCH(1, (Table3[[#This Row],[Gene names]:[Gene names]] = Table1[[Gene names]:[Gene names]])*1, 0))</f>
        <v>1.467578E-3</v>
      </c>
      <c r="S107" cm="1">
        <f t="array" ref="S107">INDEX(Table1[riBAQ 42], MATCH(1, (Table3[[#This Row],[Gene names]:[Gene names]] = Table1[[Gene names]:[Gene names]])*1, 0))</f>
        <v>1.48116E-3</v>
      </c>
      <c r="T107" cm="1">
        <f t="array" ref="T107">INDEX(Table1[riBAQ 43], MATCH(1, (Table3[[#This Row],[Gene names]:[Gene names]] = Table1[[Gene names]:[Gene names]])*1, 0))</f>
        <v>1.54309E-3</v>
      </c>
    </row>
    <row r="108" spans="1:20" x14ac:dyDescent="0.25">
      <c r="A108" t="s">
        <v>919</v>
      </c>
      <c r="B108" cm="1">
        <f t="array" ref="B108">INDEX(Table1[riBAQ 17], MATCH(1, (Table3[[#This Row],[Gene names]:[Gene names]] = Table1[[Gene names]:[Gene names]])*1, 0))</f>
        <v>1.4800000000000001E-5</v>
      </c>
      <c r="C108" cm="1">
        <f t="array" ref="C108">INDEX(Table1[riBAQ 18], MATCH(1, (Table3[[#This Row],[Gene names]:[Gene names]] = Table1[[Gene names]:[Gene names]])*1, 0))</f>
        <v>3.9199999999999997E-6</v>
      </c>
      <c r="D108" cm="1">
        <f t="array" ref="D108">INDEX(Table1[riBAQ 35], MATCH(1, (Table3[[#This Row],[Gene names]:[Gene names]] = Table1[[Gene names]:[Gene names]])*1, 0))</f>
        <v>0</v>
      </c>
      <c r="E108" cm="1">
        <f t="array" ref="E108">INDEX(Table1[riBAQ 36], MATCH(1, (Table3[[#This Row],[Gene names]:[Gene names]] = Table1[[Gene names]:[Gene names]])*1, 0))</f>
        <v>0</v>
      </c>
      <c r="F108" cm="1">
        <f t="array" ref="F108">INDEX(Table1[riBAQ 19], MATCH(1, (Table3[[#This Row],[Gene names]:[Gene names]] = Table1[[Gene names]:[Gene names]])*1, 0))</f>
        <v>1.2500000000000001E-5</v>
      </c>
      <c r="G108" cm="1">
        <f t="array" ref="G108">INDEX(Table1[riBAQ 20], MATCH(1, (Table3[[#This Row],[Gene names]:[Gene names]] = Table1[[Gene names]:[Gene names]])*1, 0))</f>
        <v>9.4299999999999995E-6</v>
      </c>
      <c r="H108" cm="1">
        <f t="array" ref="H108">INDEX(Table1[riBAQ 21], MATCH(1, (Table3[[#This Row],[Gene names]:[Gene names]] = Table1[[Gene names]:[Gene names]])*1, 0))</f>
        <v>3.18E-5</v>
      </c>
      <c r="I108" cm="1">
        <f t="array" ref="I108">INDEX(Table1[riBAQ 22], MATCH(1, (Table3[[#This Row],[Gene names]:[Gene names]] = Table1[[Gene names]:[Gene names]])*1, 0))</f>
        <v>7.0899999999999999E-6</v>
      </c>
      <c r="J108" cm="1">
        <f t="array" ref="J108">INDEX(Table1[riBAQ 23], MATCH(1, (Table3[[#This Row],[Gene names]:[Gene names]] = Table1[[Gene names]:[Gene names]])*1, 0))</f>
        <v>1.52E-5</v>
      </c>
      <c r="K108" cm="1">
        <f t="array" ref="K108">INDEX(Table1[riBAQ 37], MATCH(1, (Table3[[#This Row],[Gene names]:[Gene names]] = Table1[[Gene names]:[Gene names]])*1, 0))</f>
        <v>2.05E-5</v>
      </c>
      <c r="L108" cm="1">
        <f t="array" ref="L108">INDEX(Table1[riBAQ 38], MATCH(1, (Table3[[#This Row],[Gene names]:[Gene names]] = Table1[[Gene names]:[Gene names]])*1, 0))</f>
        <v>1.0900000000000001E-5</v>
      </c>
      <c r="M108" cm="1">
        <f t="array" ref="M108">INDEX(Table1[riBAQ 39], MATCH(1, (Table3[[#This Row],[Gene names]:[Gene names]] = Table1[[Gene names]:[Gene names]])*1, 0))</f>
        <v>1.5699999999999999E-5</v>
      </c>
      <c r="N108" cm="1">
        <f t="array" ref="N108">INDEX(Table1[riBAQ 40], MATCH(1, (Table3[[#This Row],[Gene names]:[Gene names]] = Table1[[Gene names]:[Gene names]])*1, 0))</f>
        <v>1.88E-5</v>
      </c>
      <c r="O108" cm="1">
        <f t="array" ref="O108">INDEX(Table1[riBAQ 41], MATCH(1, (Table3[[#This Row],[Gene names]:[Gene names]] = Table1[[Gene names]:[Gene names]])*1, 0))</f>
        <v>7.8599999999999993E-6</v>
      </c>
      <c r="P108" cm="1">
        <f t="array" ref="P108">INDEX(Table1[riBAQ 24], MATCH(1, (Table3[[#This Row],[Gene names]:[Gene names]] = Table1[[Gene names]:[Gene names]])*1, 0))</f>
        <v>2.87E-5</v>
      </c>
      <c r="Q108" cm="1">
        <f t="array" ref="Q108">INDEX(Table1[riBAQ 25], MATCH(1, (Table3[[#This Row],[Gene names]:[Gene names]] = Table1[[Gene names]:[Gene names]])*1, 0))</f>
        <v>3.4999999999999997E-5</v>
      </c>
      <c r="R108" cm="1">
        <f t="array" ref="R108">INDEX(Table1[riBAQ 26], MATCH(1, (Table3[[#This Row],[Gene names]:[Gene names]] = Table1[[Gene names]:[Gene names]])*1, 0))</f>
        <v>3.2199999999999997E-5</v>
      </c>
      <c r="S108" cm="1">
        <f t="array" ref="S108">INDEX(Table1[riBAQ 42], MATCH(1, (Table3[[#This Row],[Gene names]:[Gene names]] = Table1[[Gene names]:[Gene names]])*1, 0))</f>
        <v>4.4100000000000001E-5</v>
      </c>
      <c r="T108" cm="1">
        <f t="array" ref="T108">INDEX(Table1[riBAQ 43], MATCH(1, (Table3[[#This Row],[Gene names]:[Gene names]] = Table1[[Gene names]:[Gene names]])*1, 0))</f>
        <v>6.4599999999999998E-5</v>
      </c>
    </row>
    <row r="109" spans="1:20" x14ac:dyDescent="0.25">
      <c r="A109" t="s">
        <v>494</v>
      </c>
      <c r="B109" cm="1">
        <f t="array" ref="B109">INDEX(Table1[riBAQ 17], MATCH(1, (Table3[[#This Row],[Gene names]:[Gene names]] = Table1[[Gene names]:[Gene names]])*1, 0))</f>
        <v>1.22144E-4</v>
      </c>
      <c r="C109" cm="1">
        <f t="array" ref="C109">INDEX(Table1[riBAQ 18], MATCH(1, (Table3[[#This Row],[Gene names]:[Gene names]] = Table1[[Gene names]:[Gene names]])*1, 0))</f>
        <v>2.12E-5</v>
      </c>
      <c r="D109" cm="1">
        <f t="array" ref="D109">INDEX(Table1[riBAQ 35], MATCH(1, (Table3[[#This Row],[Gene names]:[Gene names]] = Table1[[Gene names]:[Gene names]])*1, 0))</f>
        <v>4.8300000000000002E-5</v>
      </c>
      <c r="E109" cm="1">
        <f t="array" ref="E109">INDEX(Table1[riBAQ 36], MATCH(1, (Table3[[#This Row],[Gene names]:[Gene names]] = Table1[[Gene names]:[Gene names]])*1, 0))</f>
        <v>4.4299999999999999E-5</v>
      </c>
      <c r="F109" cm="1">
        <f t="array" ref="F109">INDEX(Table1[riBAQ 19], MATCH(1, (Table3[[#This Row],[Gene names]:[Gene names]] = Table1[[Gene names]:[Gene names]])*1, 0))</f>
        <v>5.38E-5</v>
      </c>
      <c r="G109" cm="1">
        <f t="array" ref="G109">INDEX(Table1[riBAQ 20], MATCH(1, (Table3[[#This Row],[Gene names]:[Gene names]] = Table1[[Gene names]:[Gene names]])*1, 0))</f>
        <v>5.2299999999999997E-5</v>
      </c>
      <c r="H109" cm="1">
        <f t="array" ref="H109">INDEX(Table1[riBAQ 21], MATCH(1, (Table3[[#This Row],[Gene names]:[Gene names]] = Table1[[Gene names]:[Gene names]])*1, 0))</f>
        <v>7.8399999999999995E-5</v>
      </c>
      <c r="I109" cm="1">
        <f t="array" ref="I109">INDEX(Table1[riBAQ 22], MATCH(1, (Table3[[#This Row],[Gene names]:[Gene names]] = Table1[[Gene names]:[Gene names]])*1, 0))</f>
        <v>2.8E-5</v>
      </c>
      <c r="J109" cm="1">
        <f t="array" ref="J109">INDEX(Table1[riBAQ 23], MATCH(1, (Table3[[#This Row],[Gene names]:[Gene names]] = Table1[[Gene names]:[Gene names]])*1, 0))</f>
        <v>8.0099999999999995E-5</v>
      </c>
      <c r="K109" cm="1">
        <f t="array" ref="K109">INDEX(Table1[riBAQ 37], MATCH(1, (Table3[[#This Row],[Gene names]:[Gene names]] = Table1[[Gene names]:[Gene names]])*1, 0))</f>
        <v>4.57E-5</v>
      </c>
      <c r="L109" cm="1">
        <f t="array" ref="L109">INDEX(Table1[riBAQ 38], MATCH(1, (Table3[[#This Row],[Gene names]:[Gene names]] = Table1[[Gene names]:[Gene names]])*1, 0))</f>
        <v>2.7500000000000001E-5</v>
      </c>
      <c r="M109" cm="1">
        <f t="array" ref="M109">INDEX(Table1[riBAQ 39], MATCH(1, (Table3[[#This Row],[Gene names]:[Gene names]] = Table1[[Gene names]:[Gene names]])*1, 0))</f>
        <v>5.9899999999999999E-5</v>
      </c>
      <c r="N109" cm="1">
        <f t="array" ref="N109">INDEX(Table1[riBAQ 40], MATCH(1, (Table3[[#This Row],[Gene names]:[Gene names]] = Table1[[Gene names]:[Gene names]])*1, 0))</f>
        <v>7.3499999999999998E-5</v>
      </c>
      <c r="O109" cm="1">
        <f t="array" ref="O109">INDEX(Table1[riBAQ 41], MATCH(1, (Table3[[#This Row],[Gene names]:[Gene names]] = Table1[[Gene names]:[Gene names]])*1, 0))</f>
        <v>5.8999999999999998E-5</v>
      </c>
      <c r="P109" cm="1">
        <f t="array" ref="P109">INDEX(Table1[riBAQ 24], MATCH(1, (Table3[[#This Row],[Gene names]:[Gene names]] = Table1[[Gene names]:[Gene names]])*1, 0))</f>
        <v>8.9699999999999998E-5</v>
      </c>
      <c r="Q109" cm="1">
        <f t="array" ref="Q109">INDEX(Table1[riBAQ 25], MATCH(1, (Table3[[#This Row],[Gene names]:[Gene names]] = Table1[[Gene names]:[Gene names]])*1, 0))</f>
        <v>1.2376299999999999E-4</v>
      </c>
      <c r="R109" cm="1">
        <f t="array" ref="R109">INDEX(Table1[riBAQ 26], MATCH(1, (Table3[[#This Row],[Gene names]:[Gene names]] = Table1[[Gene names]:[Gene names]])*1, 0))</f>
        <v>1.50696E-4</v>
      </c>
      <c r="S109" cm="1">
        <f t="array" ref="S109">INDEX(Table1[riBAQ 42], MATCH(1, (Table3[[#This Row],[Gene names]:[Gene names]] = Table1[[Gene names]:[Gene names]])*1, 0))</f>
        <v>7.8999999999999996E-5</v>
      </c>
      <c r="T109" cm="1">
        <f t="array" ref="T109">INDEX(Table1[riBAQ 43], MATCH(1, (Table3[[#This Row],[Gene names]:[Gene names]] = Table1[[Gene names]:[Gene names]])*1, 0))</f>
        <v>1.8456500000000001E-4</v>
      </c>
    </row>
    <row r="110" spans="1:20" x14ac:dyDescent="0.25">
      <c r="A110" t="s">
        <v>64</v>
      </c>
      <c r="B110" cm="1">
        <f t="array" ref="B110">INDEX(Table1[riBAQ 17], MATCH(1, (Table3[[#This Row],[Gene names]:[Gene names]] = Table1[[Gene names]:[Gene names]])*1, 0))</f>
        <v>0</v>
      </c>
      <c r="C110" cm="1">
        <f t="array" ref="C110">INDEX(Table1[riBAQ 18], MATCH(1, (Table3[[#This Row],[Gene names]:[Gene names]] = Table1[[Gene names]:[Gene names]])*1, 0))</f>
        <v>0</v>
      </c>
      <c r="D110" cm="1">
        <f t="array" ref="D110">INDEX(Table1[riBAQ 35], MATCH(1, (Table3[[#This Row],[Gene names]:[Gene names]] = Table1[[Gene names]:[Gene names]])*1, 0))</f>
        <v>0</v>
      </c>
      <c r="E110" cm="1">
        <f t="array" ref="E110">INDEX(Table1[riBAQ 36], MATCH(1, (Table3[[#This Row],[Gene names]:[Gene names]] = Table1[[Gene names]:[Gene names]])*1, 0))</f>
        <v>0</v>
      </c>
      <c r="F110" cm="1">
        <f t="array" ref="F110">INDEX(Table1[riBAQ 19], MATCH(1, (Table3[[#This Row],[Gene names]:[Gene names]] = Table1[[Gene names]:[Gene names]])*1, 0))</f>
        <v>0</v>
      </c>
      <c r="G110" cm="1">
        <f t="array" ref="G110">INDEX(Table1[riBAQ 20], MATCH(1, (Table3[[#This Row],[Gene names]:[Gene names]] = Table1[[Gene names]:[Gene names]])*1, 0))</f>
        <v>0</v>
      </c>
      <c r="H110" cm="1">
        <f t="array" ref="H110">INDEX(Table1[riBAQ 21], MATCH(1, (Table3[[#This Row],[Gene names]:[Gene names]] = Table1[[Gene names]:[Gene names]])*1, 0))</f>
        <v>7.9200000000000004E-6</v>
      </c>
      <c r="I110" cm="1">
        <f t="array" ref="I110">INDEX(Table1[riBAQ 22], MATCH(1, (Table3[[#This Row],[Gene names]:[Gene names]] = Table1[[Gene names]:[Gene names]])*1, 0))</f>
        <v>0</v>
      </c>
      <c r="J110" cm="1">
        <f t="array" ref="J110">INDEX(Table1[riBAQ 23], MATCH(1, (Table3[[#This Row],[Gene names]:[Gene names]] = Table1[[Gene names]:[Gene names]])*1, 0))</f>
        <v>1.0000000000000001E-5</v>
      </c>
      <c r="K110" cm="1">
        <f t="array" ref="K110">INDEX(Table1[riBAQ 37], MATCH(1, (Table3[[#This Row],[Gene names]:[Gene names]] = Table1[[Gene names]:[Gene names]])*1, 0))</f>
        <v>0</v>
      </c>
      <c r="L110" cm="1">
        <f t="array" ref="L110">INDEX(Table1[riBAQ 38], MATCH(1, (Table3[[#This Row],[Gene names]:[Gene names]] = Table1[[Gene names]:[Gene names]])*1, 0))</f>
        <v>0</v>
      </c>
      <c r="M110" cm="1">
        <f t="array" ref="M110">INDEX(Table1[riBAQ 39], MATCH(1, (Table3[[#This Row],[Gene names]:[Gene names]] = Table1[[Gene names]:[Gene names]])*1, 0))</f>
        <v>0</v>
      </c>
      <c r="N110" cm="1">
        <f t="array" ref="N110">INDEX(Table1[riBAQ 40], MATCH(1, (Table3[[#This Row],[Gene names]:[Gene names]] = Table1[[Gene names]:[Gene names]])*1, 0))</f>
        <v>2.9300000000000001E-5</v>
      </c>
      <c r="O110" cm="1">
        <f t="array" ref="O110">INDEX(Table1[riBAQ 41], MATCH(1, (Table3[[#This Row],[Gene names]:[Gene names]] = Table1[[Gene names]:[Gene names]])*1, 0))</f>
        <v>0</v>
      </c>
      <c r="P110" cm="1">
        <f t="array" ref="P110">INDEX(Table1[riBAQ 24], MATCH(1, (Table3[[#This Row],[Gene names]:[Gene names]] = Table1[[Gene names]:[Gene names]])*1, 0))</f>
        <v>0</v>
      </c>
      <c r="Q110" cm="1">
        <f t="array" ref="Q110">INDEX(Table1[riBAQ 25], MATCH(1, (Table3[[#This Row],[Gene names]:[Gene names]] = Table1[[Gene names]:[Gene names]])*1, 0))</f>
        <v>1.9199999999999999E-5</v>
      </c>
      <c r="R110" cm="1">
        <f t="array" ref="R110">INDEX(Table1[riBAQ 26], MATCH(1, (Table3[[#This Row],[Gene names]:[Gene names]] = Table1[[Gene names]:[Gene names]])*1, 0))</f>
        <v>2.27E-5</v>
      </c>
      <c r="S110" cm="1">
        <f t="array" ref="S110">INDEX(Table1[riBAQ 42], MATCH(1, (Table3[[#This Row],[Gene names]:[Gene names]] = Table1[[Gene names]:[Gene names]])*1, 0))</f>
        <v>1.1199999999999999E-5</v>
      </c>
      <c r="T110" cm="1">
        <f t="array" ref="T110">INDEX(Table1[riBAQ 43], MATCH(1, (Table3[[#This Row],[Gene names]:[Gene names]] = Table1[[Gene names]:[Gene names]])*1, 0))</f>
        <v>2.5999999999999998E-5</v>
      </c>
    </row>
    <row r="111" spans="1:20" x14ac:dyDescent="0.25">
      <c r="A111" t="s">
        <v>493</v>
      </c>
      <c r="B111" cm="1">
        <f t="array" ref="B111">INDEX(Table1[riBAQ 17], MATCH(1, (Table3[[#This Row],[Gene names]:[Gene names]] = Table1[[Gene names]:[Gene names]])*1, 0))</f>
        <v>1.33E-5</v>
      </c>
      <c r="C111" cm="1">
        <f t="array" ref="C111">INDEX(Table1[riBAQ 18], MATCH(1, (Table3[[#This Row],[Gene names]:[Gene names]] = Table1[[Gene names]:[Gene names]])*1, 0))</f>
        <v>0</v>
      </c>
      <c r="D111" cm="1">
        <f t="array" ref="D111">INDEX(Table1[riBAQ 35], MATCH(1, (Table3[[#This Row],[Gene names]:[Gene names]] = Table1[[Gene names]:[Gene names]])*1, 0))</f>
        <v>1.4600000000000001E-5</v>
      </c>
      <c r="E111" cm="1">
        <f t="array" ref="E111">INDEX(Table1[riBAQ 36], MATCH(1, (Table3[[#This Row],[Gene names]:[Gene names]] = Table1[[Gene names]:[Gene names]])*1, 0))</f>
        <v>0</v>
      </c>
      <c r="F111" cm="1">
        <f t="array" ref="F111">INDEX(Table1[riBAQ 19], MATCH(1, (Table3[[#This Row],[Gene names]:[Gene names]] = Table1[[Gene names]:[Gene names]])*1, 0))</f>
        <v>1.45E-5</v>
      </c>
      <c r="G111" cm="1">
        <f t="array" ref="G111">INDEX(Table1[riBAQ 20], MATCH(1, (Table3[[#This Row],[Gene names]:[Gene names]] = Table1[[Gene names]:[Gene names]])*1, 0))</f>
        <v>1.84E-5</v>
      </c>
      <c r="H111" cm="1">
        <f t="array" ref="H111">INDEX(Table1[riBAQ 21], MATCH(1, (Table3[[#This Row],[Gene names]:[Gene names]] = Table1[[Gene names]:[Gene names]])*1, 0))</f>
        <v>3.1199999999999999E-5</v>
      </c>
      <c r="I111" cm="1">
        <f t="array" ref="I111">INDEX(Table1[riBAQ 22], MATCH(1, (Table3[[#This Row],[Gene names]:[Gene names]] = Table1[[Gene names]:[Gene names]])*1, 0))</f>
        <v>1.2799999999999999E-5</v>
      </c>
      <c r="J111" cm="1">
        <f t="array" ref="J111">INDEX(Table1[riBAQ 23], MATCH(1, (Table3[[#This Row],[Gene names]:[Gene names]] = Table1[[Gene names]:[Gene names]])*1, 0))</f>
        <v>0</v>
      </c>
      <c r="K111" cm="1">
        <f t="array" ref="K111">INDEX(Table1[riBAQ 37], MATCH(1, (Table3[[#This Row],[Gene names]:[Gene names]] = Table1[[Gene names]:[Gene names]])*1, 0))</f>
        <v>1.2099999999999999E-5</v>
      </c>
      <c r="L111" cm="1">
        <f t="array" ref="L111">INDEX(Table1[riBAQ 38], MATCH(1, (Table3[[#This Row],[Gene names]:[Gene names]] = Table1[[Gene names]:[Gene names]])*1, 0))</f>
        <v>9.0699999999999996E-6</v>
      </c>
      <c r="M111" cm="1">
        <f t="array" ref="M111">INDEX(Table1[riBAQ 39], MATCH(1, (Table3[[#This Row],[Gene names]:[Gene names]] = Table1[[Gene names]:[Gene names]])*1, 0))</f>
        <v>0</v>
      </c>
      <c r="N111" cm="1">
        <f t="array" ref="N111">INDEX(Table1[riBAQ 40], MATCH(1, (Table3[[#This Row],[Gene names]:[Gene names]] = Table1[[Gene names]:[Gene names]])*1, 0))</f>
        <v>8.5399999999999996E-6</v>
      </c>
      <c r="O111" cm="1">
        <f t="array" ref="O111">INDEX(Table1[riBAQ 41], MATCH(1, (Table3[[#This Row],[Gene names]:[Gene names]] = Table1[[Gene names]:[Gene names]])*1, 0))</f>
        <v>1.38E-5</v>
      </c>
      <c r="P111" cm="1">
        <f t="array" ref="P111">INDEX(Table1[riBAQ 24], MATCH(1, (Table3[[#This Row],[Gene names]:[Gene names]] = Table1[[Gene names]:[Gene names]])*1, 0))</f>
        <v>3.01E-5</v>
      </c>
      <c r="Q111" cm="1">
        <f t="array" ref="Q111">INDEX(Table1[riBAQ 25], MATCH(1, (Table3[[#This Row],[Gene names]:[Gene names]] = Table1[[Gene names]:[Gene names]])*1, 0))</f>
        <v>3.4799999999999999E-5</v>
      </c>
      <c r="R111" cm="1">
        <f t="array" ref="R111">INDEX(Table1[riBAQ 26], MATCH(1, (Table3[[#This Row],[Gene names]:[Gene names]] = Table1[[Gene names]:[Gene names]])*1, 0))</f>
        <v>2.5700000000000001E-5</v>
      </c>
      <c r="S111" cm="1">
        <f t="array" ref="S111">INDEX(Table1[riBAQ 42], MATCH(1, (Table3[[#This Row],[Gene names]:[Gene names]] = Table1[[Gene names]:[Gene names]])*1, 0))</f>
        <v>2.41E-5</v>
      </c>
      <c r="T111" cm="1">
        <f t="array" ref="T111">INDEX(Table1[riBAQ 43], MATCH(1, (Table3[[#This Row],[Gene names]:[Gene names]] = Table1[[Gene names]:[Gene names]])*1, 0))</f>
        <v>5.9700000000000001E-5</v>
      </c>
    </row>
    <row r="112" spans="1:20" x14ac:dyDescent="0.25">
      <c r="A112" t="s">
        <v>751</v>
      </c>
      <c r="B112" cm="1">
        <f t="array" ref="B112">INDEX(Table1[riBAQ 17], MATCH(1, (Table3[[#This Row],[Gene names]:[Gene names]] = Table1[[Gene names]:[Gene names]])*1, 0))</f>
        <v>3.5330799999999999E-4</v>
      </c>
      <c r="C112" cm="1">
        <f t="array" ref="C112">INDEX(Table1[riBAQ 18], MATCH(1, (Table3[[#This Row],[Gene names]:[Gene names]] = Table1[[Gene names]:[Gene names]])*1, 0))</f>
        <v>6.5667799999999995E-4</v>
      </c>
      <c r="D112" cm="1">
        <f t="array" ref="D112">INDEX(Table1[riBAQ 35], MATCH(1, (Table3[[#This Row],[Gene names]:[Gene names]] = Table1[[Gene names]:[Gene names]])*1, 0))</f>
        <v>4.9369400000000003E-4</v>
      </c>
      <c r="E112" cm="1">
        <f t="array" ref="E112">INDEX(Table1[riBAQ 36], MATCH(1, (Table3[[#This Row],[Gene names]:[Gene names]] = Table1[[Gene names]:[Gene names]])*1, 0))</f>
        <v>9.9241299999999993E-4</v>
      </c>
      <c r="F112" cm="1">
        <f t="array" ref="F112">INDEX(Table1[riBAQ 19], MATCH(1, (Table3[[#This Row],[Gene names]:[Gene names]] = Table1[[Gene names]:[Gene names]])*1, 0))</f>
        <v>4.6824300000000002E-4</v>
      </c>
      <c r="G112" cm="1">
        <f t="array" ref="G112">INDEX(Table1[riBAQ 20], MATCH(1, (Table3[[#This Row],[Gene names]:[Gene names]] = Table1[[Gene names]:[Gene names]])*1, 0))</f>
        <v>9.1368899999999997E-4</v>
      </c>
      <c r="H112" cm="1">
        <f t="array" ref="H112">INDEX(Table1[riBAQ 21], MATCH(1, (Table3[[#This Row],[Gene names]:[Gene names]] = Table1[[Gene names]:[Gene names]])*1, 0))</f>
        <v>1.254284E-3</v>
      </c>
      <c r="I112" cm="1">
        <f t="array" ref="I112">INDEX(Table1[riBAQ 22], MATCH(1, (Table3[[#This Row],[Gene names]:[Gene names]] = Table1[[Gene names]:[Gene names]])*1, 0))</f>
        <v>7.2702599999999997E-4</v>
      </c>
      <c r="J112" cm="1">
        <f t="array" ref="J112">INDEX(Table1[riBAQ 23], MATCH(1, (Table3[[#This Row],[Gene names]:[Gene names]] = Table1[[Gene names]:[Gene names]])*1, 0))</f>
        <v>5.3455199999999999E-4</v>
      </c>
      <c r="K112" cm="1">
        <f t="array" ref="K112">INDEX(Table1[riBAQ 37], MATCH(1, (Table3[[#This Row],[Gene names]:[Gene names]] = Table1[[Gene names]:[Gene names]])*1, 0))</f>
        <v>8.3306600000000004E-4</v>
      </c>
      <c r="L112" cm="1">
        <f t="array" ref="L112">INDEX(Table1[riBAQ 38], MATCH(1, (Table3[[#This Row],[Gene names]:[Gene names]] = Table1[[Gene names]:[Gene names]])*1, 0))</f>
        <v>9.8279899999999991E-4</v>
      </c>
      <c r="M112" cm="1">
        <f t="array" ref="M112">INDEX(Table1[riBAQ 39], MATCH(1, (Table3[[#This Row],[Gene names]:[Gene names]] = Table1[[Gene names]:[Gene names]])*1, 0))</f>
        <v>6.2929499999999998E-4</v>
      </c>
      <c r="N112" cm="1">
        <f t="array" ref="N112">INDEX(Table1[riBAQ 40], MATCH(1, (Table3[[#This Row],[Gene names]:[Gene names]] = Table1[[Gene names]:[Gene names]])*1, 0))</f>
        <v>6.0072900000000004E-4</v>
      </c>
      <c r="O112" cm="1">
        <f t="array" ref="O112">INDEX(Table1[riBAQ 41], MATCH(1, (Table3[[#This Row],[Gene names]:[Gene names]] = Table1[[Gene names]:[Gene names]])*1, 0))</f>
        <v>4.7760899999999999E-4</v>
      </c>
      <c r="P112" cm="1">
        <f t="array" ref="P112">INDEX(Table1[riBAQ 24], MATCH(1, (Table3[[#This Row],[Gene names]:[Gene names]] = Table1[[Gene names]:[Gene names]])*1, 0))</f>
        <v>4.5050599999999999E-4</v>
      </c>
      <c r="Q112" cm="1">
        <f t="array" ref="Q112">INDEX(Table1[riBAQ 25], MATCH(1, (Table3[[#This Row],[Gene names]:[Gene names]] = Table1[[Gene names]:[Gene names]])*1, 0))</f>
        <v>1.540745E-3</v>
      </c>
      <c r="R112" cm="1">
        <f t="array" ref="R112">INDEX(Table1[riBAQ 26], MATCH(1, (Table3[[#This Row],[Gene names]:[Gene names]] = Table1[[Gene names]:[Gene names]])*1, 0))</f>
        <v>1.518904E-3</v>
      </c>
      <c r="S112" cm="1">
        <f t="array" ref="S112">INDEX(Table1[riBAQ 42], MATCH(1, (Table3[[#This Row],[Gene names]:[Gene names]] = Table1[[Gene names]:[Gene names]])*1, 0))</f>
        <v>1.2638090000000001E-3</v>
      </c>
      <c r="T112" cm="1">
        <f t="array" ref="T112">INDEX(Table1[riBAQ 43], MATCH(1, (Table3[[#This Row],[Gene names]:[Gene names]] = Table1[[Gene names]:[Gene names]])*1, 0))</f>
        <v>1.540266E-3</v>
      </c>
    </row>
    <row r="113" spans="1:20" x14ac:dyDescent="0.25">
      <c r="A113" t="s">
        <v>918</v>
      </c>
      <c r="B113" cm="1">
        <f t="array" ref="B113">INDEX(Table1[riBAQ 17], MATCH(1, (Table3[[#This Row],[Gene names]:[Gene names]] = Table1[[Gene names]:[Gene names]])*1, 0))</f>
        <v>0</v>
      </c>
      <c r="C113" cm="1">
        <f t="array" ref="C113">INDEX(Table1[riBAQ 18], MATCH(1, (Table3[[#This Row],[Gene names]:[Gene names]] = Table1[[Gene names]:[Gene names]])*1, 0))</f>
        <v>0</v>
      </c>
      <c r="D113" cm="1">
        <f t="array" ref="D113">INDEX(Table1[riBAQ 35], MATCH(1, (Table3[[#This Row],[Gene names]:[Gene names]] = Table1[[Gene names]:[Gene names]])*1, 0))</f>
        <v>0</v>
      </c>
      <c r="E113" cm="1">
        <f t="array" ref="E113">INDEX(Table1[riBAQ 36], MATCH(1, (Table3[[#This Row],[Gene names]:[Gene names]] = Table1[[Gene names]:[Gene names]])*1, 0))</f>
        <v>0</v>
      </c>
      <c r="F113" cm="1">
        <f t="array" ref="F113">INDEX(Table1[riBAQ 19], MATCH(1, (Table3[[#This Row],[Gene names]:[Gene names]] = Table1[[Gene names]:[Gene names]])*1, 0))</f>
        <v>0</v>
      </c>
      <c r="G113" cm="1">
        <f t="array" ref="G113">INDEX(Table1[riBAQ 20], MATCH(1, (Table3[[#This Row],[Gene names]:[Gene names]] = Table1[[Gene names]:[Gene names]])*1, 0))</f>
        <v>0</v>
      </c>
      <c r="H113" cm="1">
        <f t="array" ref="H113">INDEX(Table1[riBAQ 21], MATCH(1, (Table3[[#This Row],[Gene names]:[Gene names]] = Table1[[Gene names]:[Gene names]])*1, 0))</f>
        <v>5.7400000000000001E-6</v>
      </c>
      <c r="I113" cm="1">
        <f t="array" ref="I113">INDEX(Table1[riBAQ 22], MATCH(1, (Table3[[#This Row],[Gene names]:[Gene names]] = Table1[[Gene names]:[Gene names]])*1, 0))</f>
        <v>0</v>
      </c>
      <c r="J113" cm="1">
        <f t="array" ref="J113">INDEX(Table1[riBAQ 23], MATCH(1, (Table3[[#This Row],[Gene names]:[Gene names]] = Table1[[Gene names]:[Gene names]])*1, 0))</f>
        <v>0</v>
      </c>
      <c r="K113" cm="1">
        <f t="array" ref="K113">INDEX(Table1[riBAQ 37], MATCH(1, (Table3[[#This Row],[Gene names]:[Gene names]] = Table1[[Gene names]:[Gene names]])*1, 0))</f>
        <v>0</v>
      </c>
      <c r="L113" cm="1">
        <f t="array" ref="L113">INDEX(Table1[riBAQ 38], MATCH(1, (Table3[[#This Row],[Gene names]:[Gene names]] = Table1[[Gene names]:[Gene names]])*1, 0))</f>
        <v>0</v>
      </c>
      <c r="M113" cm="1">
        <f t="array" ref="M113">INDEX(Table1[riBAQ 39], MATCH(1, (Table3[[#This Row],[Gene names]:[Gene names]] = Table1[[Gene names]:[Gene names]])*1, 0))</f>
        <v>0</v>
      </c>
      <c r="N113" cm="1">
        <f t="array" ref="N113">INDEX(Table1[riBAQ 40], MATCH(1, (Table3[[#This Row],[Gene names]:[Gene names]] = Table1[[Gene names]:[Gene names]])*1, 0))</f>
        <v>0</v>
      </c>
      <c r="O113" cm="1">
        <f t="array" ref="O113">INDEX(Table1[riBAQ 41], MATCH(1, (Table3[[#This Row],[Gene names]:[Gene names]] = Table1[[Gene names]:[Gene names]])*1, 0))</f>
        <v>0</v>
      </c>
      <c r="P113" cm="1">
        <f t="array" ref="P113">INDEX(Table1[riBAQ 24], MATCH(1, (Table3[[#This Row],[Gene names]:[Gene names]] = Table1[[Gene names]:[Gene names]])*1, 0))</f>
        <v>3.9700000000000001E-6</v>
      </c>
      <c r="Q113" cm="1">
        <f t="array" ref="Q113">INDEX(Table1[riBAQ 25], MATCH(1, (Table3[[#This Row],[Gene names]:[Gene names]] = Table1[[Gene names]:[Gene names]])*1, 0))</f>
        <v>3.05E-6</v>
      </c>
      <c r="R113" cm="1">
        <f t="array" ref="R113">INDEX(Table1[riBAQ 26], MATCH(1, (Table3[[#This Row],[Gene names]:[Gene names]] = Table1[[Gene names]:[Gene names]])*1, 0))</f>
        <v>1.7999999999999999E-6</v>
      </c>
      <c r="S113" cm="1">
        <f t="array" ref="S113">INDEX(Table1[riBAQ 42], MATCH(1, (Table3[[#This Row],[Gene names]:[Gene names]] = Table1[[Gene names]:[Gene names]])*1, 0))</f>
        <v>5.0900000000000004E-6</v>
      </c>
      <c r="T113" cm="1">
        <f t="array" ref="T113">INDEX(Table1[riBAQ 43], MATCH(1, (Table3[[#This Row],[Gene names]:[Gene names]] = Table1[[Gene names]:[Gene names]])*1, 0))</f>
        <v>4.3599999999999998E-6</v>
      </c>
    </row>
    <row r="114" spans="1:20" x14ac:dyDescent="0.25">
      <c r="A114" t="s">
        <v>1479</v>
      </c>
      <c r="B114" cm="1">
        <f t="array" ref="B114">INDEX(Table1[riBAQ 17], MATCH(1, (Table3[[#This Row],[Gene names]:[Gene names]] = Table1[[Gene names]:[Gene names]])*1, 0))</f>
        <v>9.59E-5</v>
      </c>
      <c r="C114" cm="1">
        <f t="array" ref="C114">INDEX(Table1[riBAQ 18], MATCH(1, (Table3[[#This Row],[Gene names]:[Gene names]] = Table1[[Gene names]:[Gene names]])*1, 0))</f>
        <v>1.49665E-4</v>
      </c>
      <c r="D114" cm="1">
        <f t="array" ref="D114">INDEX(Table1[riBAQ 35], MATCH(1, (Table3[[#This Row],[Gene names]:[Gene names]] = Table1[[Gene names]:[Gene names]])*1, 0))</f>
        <v>1.0341E-4</v>
      </c>
      <c r="E114" cm="1">
        <f t="array" ref="E114">INDEX(Table1[riBAQ 36], MATCH(1, (Table3[[#This Row],[Gene names]:[Gene names]] = Table1[[Gene names]:[Gene names]])*1, 0))</f>
        <v>9.0699999999999996E-5</v>
      </c>
      <c r="F114" cm="1">
        <f t="array" ref="F114">INDEX(Table1[riBAQ 19], MATCH(1, (Table3[[#This Row],[Gene names]:[Gene names]] = Table1[[Gene names]:[Gene names]])*1, 0))</f>
        <v>9.9199999999999999E-5</v>
      </c>
      <c r="G114" cm="1">
        <f t="array" ref="G114">INDEX(Table1[riBAQ 20], MATCH(1, (Table3[[#This Row],[Gene names]:[Gene names]] = Table1[[Gene names]:[Gene names]])*1, 0))</f>
        <v>1.2901500000000001E-4</v>
      </c>
      <c r="H114" cm="1">
        <f t="array" ref="H114">INDEX(Table1[riBAQ 21], MATCH(1, (Table3[[#This Row],[Gene names]:[Gene names]] = Table1[[Gene names]:[Gene names]])*1, 0))</f>
        <v>1.4795499999999999E-4</v>
      </c>
      <c r="I114" cm="1">
        <f t="array" ref="I114">INDEX(Table1[riBAQ 22], MATCH(1, (Table3[[#This Row],[Gene names]:[Gene names]] = Table1[[Gene names]:[Gene names]])*1, 0))</f>
        <v>1.0360499999999999E-4</v>
      </c>
      <c r="J114" cm="1">
        <f t="array" ref="J114">INDEX(Table1[riBAQ 23], MATCH(1, (Table3[[#This Row],[Gene names]:[Gene names]] = Table1[[Gene names]:[Gene names]])*1, 0))</f>
        <v>0</v>
      </c>
      <c r="K114" cm="1">
        <f t="array" ref="K114">INDEX(Table1[riBAQ 37], MATCH(1, (Table3[[#This Row],[Gene names]:[Gene names]] = Table1[[Gene names]:[Gene names]])*1, 0))</f>
        <v>1.3987400000000001E-4</v>
      </c>
      <c r="L114" cm="1">
        <f t="array" ref="L114">INDEX(Table1[riBAQ 38], MATCH(1, (Table3[[#This Row],[Gene names]:[Gene names]] = Table1[[Gene names]:[Gene names]])*1, 0))</f>
        <v>1.53969E-4</v>
      </c>
      <c r="M114" cm="1">
        <f t="array" ref="M114">INDEX(Table1[riBAQ 39], MATCH(1, (Table3[[#This Row],[Gene names]:[Gene names]] = Table1[[Gene names]:[Gene names]])*1, 0))</f>
        <v>6.4800000000000003E-5</v>
      </c>
      <c r="N114" cm="1">
        <f t="array" ref="N114">INDEX(Table1[riBAQ 40], MATCH(1, (Table3[[#This Row],[Gene names]:[Gene names]] = Table1[[Gene names]:[Gene names]])*1, 0))</f>
        <v>8.0799999999999999E-5</v>
      </c>
      <c r="O114" cm="1">
        <f t="array" ref="O114">INDEX(Table1[riBAQ 41], MATCH(1, (Table3[[#This Row],[Gene names]:[Gene names]] = Table1[[Gene names]:[Gene names]])*1, 0))</f>
        <v>0</v>
      </c>
      <c r="P114" cm="1">
        <f t="array" ref="P114">INDEX(Table1[riBAQ 24], MATCH(1, (Table3[[#This Row],[Gene names]:[Gene names]] = Table1[[Gene names]:[Gene names]])*1, 0))</f>
        <v>1.2277100000000001E-4</v>
      </c>
      <c r="Q114" cm="1">
        <f t="array" ref="Q114">INDEX(Table1[riBAQ 25], MATCH(1, (Table3[[#This Row],[Gene names]:[Gene names]] = Table1[[Gene names]:[Gene names]])*1, 0))</f>
        <v>2.5724500000000002E-4</v>
      </c>
      <c r="R114" cm="1">
        <f t="array" ref="R114">INDEX(Table1[riBAQ 26], MATCH(1, (Table3[[#This Row],[Gene names]:[Gene names]] = Table1[[Gene names]:[Gene names]])*1, 0))</f>
        <v>2.2511499999999999E-4</v>
      </c>
      <c r="S114" cm="1">
        <f t="array" ref="S114">INDEX(Table1[riBAQ 42], MATCH(1, (Table3[[#This Row],[Gene names]:[Gene names]] = Table1[[Gene names]:[Gene names]])*1, 0))</f>
        <v>3.0193E-4</v>
      </c>
      <c r="T114" cm="1">
        <f t="array" ref="T114">INDEX(Table1[riBAQ 43], MATCH(1, (Table3[[#This Row],[Gene names]:[Gene names]] = Table1[[Gene names]:[Gene names]])*1, 0))</f>
        <v>3.6375399999999999E-4</v>
      </c>
    </row>
    <row r="115" spans="1:20" x14ac:dyDescent="0.25">
      <c r="A115" t="s">
        <v>1478</v>
      </c>
      <c r="B115" cm="1">
        <f t="array" ref="B115">INDEX(Table1[riBAQ 17], MATCH(1, (Table3[[#This Row],[Gene names]:[Gene names]] = Table1[[Gene names]:[Gene names]])*1, 0))</f>
        <v>5.9200000000000002E-5</v>
      </c>
      <c r="C115" cm="1">
        <f t="array" ref="C115">INDEX(Table1[riBAQ 18], MATCH(1, (Table3[[#This Row],[Gene names]:[Gene names]] = Table1[[Gene names]:[Gene names]])*1, 0))</f>
        <v>5.4400000000000001E-5</v>
      </c>
      <c r="D115" cm="1">
        <f t="array" ref="D115">INDEX(Table1[riBAQ 35], MATCH(1, (Table3[[#This Row],[Gene names]:[Gene names]] = Table1[[Gene names]:[Gene names]])*1, 0))</f>
        <v>0</v>
      </c>
      <c r="E115" cm="1">
        <f t="array" ref="E115">INDEX(Table1[riBAQ 36], MATCH(1, (Table3[[#This Row],[Gene names]:[Gene names]] = Table1[[Gene names]:[Gene names]])*1, 0))</f>
        <v>0</v>
      </c>
      <c r="F115" cm="1">
        <f t="array" ref="F115">INDEX(Table1[riBAQ 19], MATCH(1, (Table3[[#This Row],[Gene names]:[Gene names]] = Table1[[Gene names]:[Gene names]])*1, 0))</f>
        <v>3.6300000000000001E-5</v>
      </c>
      <c r="G115" cm="1">
        <f t="array" ref="G115">INDEX(Table1[riBAQ 20], MATCH(1, (Table3[[#This Row],[Gene names]:[Gene names]] = Table1[[Gene names]:[Gene names]])*1, 0))</f>
        <v>6.5199999999999999E-5</v>
      </c>
      <c r="H115" cm="1">
        <f t="array" ref="H115">INDEX(Table1[riBAQ 21], MATCH(1, (Table3[[#This Row],[Gene names]:[Gene names]] = Table1[[Gene names]:[Gene names]])*1, 0))</f>
        <v>7.1500000000000003E-5</v>
      </c>
      <c r="I115" cm="1">
        <f t="array" ref="I115">INDEX(Table1[riBAQ 22], MATCH(1, (Table3[[#This Row],[Gene names]:[Gene names]] = Table1[[Gene names]:[Gene names]])*1, 0))</f>
        <v>5.1499999999999998E-5</v>
      </c>
      <c r="J115" cm="1">
        <f t="array" ref="J115">INDEX(Table1[riBAQ 23], MATCH(1, (Table3[[#This Row],[Gene names]:[Gene names]] = Table1[[Gene names]:[Gene names]])*1, 0))</f>
        <v>3.4600000000000001E-5</v>
      </c>
      <c r="K115" cm="1">
        <f t="array" ref="K115">INDEX(Table1[riBAQ 37], MATCH(1, (Table3[[#This Row],[Gene names]:[Gene names]] = Table1[[Gene names]:[Gene names]])*1, 0))</f>
        <v>4.6900000000000002E-5</v>
      </c>
      <c r="L115" cm="1">
        <f t="array" ref="L115">INDEX(Table1[riBAQ 38], MATCH(1, (Table3[[#This Row],[Gene names]:[Gene names]] = Table1[[Gene names]:[Gene names]])*1, 0))</f>
        <v>4.1399999999999997E-5</v>
      </c>
      <c r="M115" cm="1">
        <f t="array" ref="M115">INDEX(Table1[riBAQ 39], MATCH(1, (Table3[[#This Row],[Gene names]:[Gene names]] = Table1[[Gene names]:[Gene names]])*1, 0))</f>
        <v>0</v>
      </c>
      <c r="N115" cm="1">
        <f t="array" ref="N115">INDEX(Table1[riBAQ 40], MATCH(1, (Table3[[#This Row],[Gene names]:[Gene names]] = Table1[[Gene names]:[Gene names]])*1, 0))</f>
        <v>2.5199999999999999E-5</v>
      </c>
      <c r="O115" cm="1">
        <f t="array" ref="O115">INDEX(Table1[riBAQ 41], MATCH(1, (Table3[[#This Row],[Gene names]:[Gene names]] = Table1[[Gene names]:[Gene names]])*1, 0))</f>
        <v>3.2700000000000002E-5</v>
      </c>
      <c r="P115" cm="1">
        <f t="array" ref="P115">INDEX(Table1[riBAQ 24], MATCH(1, (Table3[[#This Row],[Gene names]:[Gene names]] = Table1[[Gene names]:[Gene names]])*1, 0))</f>
        <v>4.8699999999999998E-5</v>
      </c>
      <c r="Q115" cm="1">
        <f t="array" ref="Q115">INDEX(Table1[riBAQ 25], MATCH(1, (Table3[[#This Row],[Gene names]:[Gene names]] = Table1[[Gene names]:[Gene names]])*1, 0))</f>
        <v>1.12188E-4</v>
      </c>
      <c r="R115" cm="1">
        <f t="array" ref="R115">INDEX(Table1[riBAQ 26], MATCH(1, (Table3[[#This Row],[Gene names]:[Gene names]] = Table1[[Gene names]:[Gene names]])*1, 0))</f>
        <v>1.08398E-4</v>
      </c>
      <c r="S115" cm="1">
        <f t="array" ref="S115">INDEX(Table1[riBAQ 42], MATCH(1, (Table3[[#This Row],[Gene names]:[Gene names]] = Table1[[Gene names]:[Gene names]])*1, 0))</f>
        <v>5.5000000000000002E-5</v>
      </c>
      <c r="T115" cm="1">
        <f t="array" ref="T115">INDEX(Table1[riBAQ 43], MATCH(1, (Table3[[#This Row],[Gene names]:[Gene names]] = Table1[[Gene names]:[Gene names]])*1, 0))</f>
        <v>8.4900000000000004E-5</v>
      </c>
    </row>
    <row r="116" spans="1:20" x14ac:dyDescent="0.25">
      <c r="A116" t="s">
        <v>1046</v>
      </c>
      <c r="B116" cm="1">
        <f t="array" ref="B116">INDEX(Table1[riBAQ 17], MATCH(1, (Table3[[#This Row],[Gene names]:[Gene names]] = Table1[[Gene names]:[Gene names]])*1, 0))</f>
        <v>1.3499999999999999E-5</v>
      </c>
      <c r="C116" cm="1">
        <f t="array" ref="C116">INDEX(Table1[riBAQ 18], MATCH(1, (Table3[[#This Row],[Gene names]:[Gene names]] = Table1[[Gene names]:[Gene names]])*1, 0))</f>
        <v>0</v>
      </c>
      <c r="D116" cm="1">
        <f t="array" ref="D116">INDEX(Table1[riBAQ 35], MATCH(1, (Table3[[#This Row],[Gene names]:[Gene names]] = Table1[[Gene names]:[Gene names]])*1, 0))</f>
        <v>0</v>
      </c>
      <c r="E116" cm="1">
        <f t="array" ref="E116">INDEX(Table1[riBAQ 36], MATCH(1, (Table3[[#This Row],[Gene names]:[Gene names]] = Table1[[Gene names]:[Gene names]])*1, 0))</f>
        <v>0</v>
      </c>
      <c r="F116" cm="1">
        <f t="array" ref="F116">INDEX(Table1[riBAQ 19], MATCH(1, (Table3[[#This Row],[Gene names]:[Gene names]] = Table1[[Gene names]:[Gene names]])*1, 0))</f>
        <v>0</v>
      </c>
      <c r="G116" cm="1">
        <f t="array" ref="G116">INDEX(Table1[riBAQ 20], MATCH(1, (Table3[[#This Row],[Gene names]:[Gene names]] = Table1[[Gene names]:[Gene names]])*1, 0))</f>
        <v>2.16E-5</v>
      </c>
      <c r="H116" cm="1">
        <f t="array" ref="H116">INDEX(Table1[riBAQ 21], MATCH(1, (Table3[[#This Row],[Gene names]:[Gene names]] = Table1[[Gene names]:[Gene names]])*1, 0))</f>
        <v>1.38E-5</v>
      </c>
      <c r="I116" cm="1">
        <f t="array" ref="I116">INDEX(Table1[riBAQ 22], MATCH(1, (Table3[[#This Row],[Gene names]:[Gene names]] = Table1[[Gene names]:[Gene names]])*1, 0))</f>
        <v>0</v>
      </c>
      <c r="J116" cm="1">
        <f t="array" ref="J116">INDEX(Table1[riBAQ 23], MATCH(1, (Table3[[#This Row],[Gene names]:[Gene names]] = Table1[[Gene names]:[Gene names]])*1, 0))</f>
        <v>1.5500000000000001E-5</v>
      </c>
      <c r="K116" cm="1">
        <f t="array" ref="K116">INDEX(Table1[riBAQ 37], MATCH(1, (Table3[[#This Row],[Gene names]:[Gene names]] = Table1[[Gene names]:[Gene names]])*1, 0))</f>
        <v>1.91E-5</v>
      </c>
      <c r="L116" cm="1">
        <f t="array" ref="L116">INDEX(Table1[riBAQ 38], MATCH(1, (Table3[[#This Row],[Gene names]:[Gene names]] = Table1[[Gene names]:[Gene names]])*1, 0))</f>
        <v>0</v>
      </c>
      <c r="M116" cm="1">
        <f t="array" ref="M116">INDEX(Table1[riBAQ 39], MATCH(1, (Table3[[#This Row],[Gene names]:[Gene names]] = Table1[[Gene names]:[Gene names]])*1, 0))</f>
        <v>1.27E-5</v>
      </c>
      <c r="N116" cm="1">
        <f t="array" ref="N116">INDEX(Table1[riBAQ 40], MATCH(1, (Table3[[#This Row],[Gene names]:[Gene names]] = Table1[[Gene names]:[Gene names]])*1, 0))</f>
        <v>0</v>
      </c>
      <c r="O116" cm="1">
        <f t="array" ref="O116">INDEX(Table1[riBAQ 41], MATCH(1, (Table3[[#This Row],[Gene names]:[Gene names]] = Table1[[Gene names]:[Gene names]])*1, 0))</f>
        <v>0</v>
      </c>
      <c r="P116" cm="1">
        <f t="array" ref="P116">INDEX(Table1[riBAQ 24], MATCH(1, (Table3[[#This Row],[Gene names]:[Gene names]] = Table1[[Gene names]:[Gene names]])*1, 0))</f>
        <v>4.3900000000000003E-5</v>
      </c>
      <c r="Q116" cm="1">
        <f t="array" ref="Q116">INDEX(Table1[riBAQ 25], MATCH(1, (Table3[[#This Row],[Gene names]:[Gene names]] = Table1[[Gene names]:[Gene names]])*1, 0))</f>
        <v>6.7500000000000001E-5</v>
      </c>
      <c r="R116" cm="1">
        <f t="array" ref="R116">INDEX(Table1[riBAQ 26], MATCH(1, (Table3[[#This Row],[Gene names]:[Gene names]] = Table1[[Gene names]:[Gene names]])*1, 0))</f>
        <v>2.16E-5</v>
      </c>
      <c r="S116" cm="1">
        <f t="array" ref="S116">INDEX(Table1[riBAQ 42], MATCH(1, (Table3[[#This Row],[Gene names]:[Gene names]] = Table1[[Gene names]:[Gene names]])*1, 0))</f>
        <v>3.6199999999999999E-5</v>
      </c>
      <c r="T116" cm="1">
        <f t="array" ref="T116">INDEX(Table1[riBAQ 43], MATCH(1, (Table3[[#This Row],[Gene names]:[Gene names]] = Table1[[Gene names]:[Gene names]])*1, 0))</f>
        <v>4.1300000000000001E-5</v>
      </c>
    </row>
    <row r="117" spans="1:20" x14ac:dyDescent="0.25">
      <c r="A117" t="s">
        <v>1476</v>
      </c>
      <c r="B117" cm="1">
        <f t="array" ref="B117">INDEX(Table1[riBAQ 17], MATCH(1, (Table3[[#This Row],[Gene names]:[Gene names]] = Table1[[Gene names]:[Gene names]])*1, 0))</f>
        <v>1.07163E-4</v>
      </c>
      <c r="C117" cm="1">
        <f t="array" ref="C117">INDEX(Table1[riBAQ 18], MATCH(1, (Table3[[#This Row],[Gene names]:[Gene names]] = Table1[[Gene names]:[Gene names]])*1, 0))</f>
        <v>9.7100000000000002E-5</v>
      </c>
      <c r="D117" cm="1">
        <f t="array" ref="D117">INDEX(Table1[riBAQ 35], MATCH(1, (Table3[[#This Row],[Gene names]:[Gene names]] = Table1[[Gene names]:[Gene names]])*1, 0))</f>
        <v>5.5699999999999999E-5</v>
      </c>
      <c r="E117" cm="1">
        <f t="array" ref="E117">INDEX(Table1[riBAQ 36], MATCH(1, (Table3[[#This Row],[Gene names]:[Gene names]] = Table1[[Gene names]:[Gene names]])*1, 0))</f>
        <v>5.3199999999999999E-5</v>
      </c>
      <c r="F117" cm="1">
        <f t="array" ref="F117">INDEX(Table1[riBAQ 19], MATCH(1, (Table3[[#This Row],[Gene names]:[Gene names]] = Table1[[Gene names]:[Gene names]])*1, 0))</f>
        <v>7.7700000000000005E-5</v>
      </c>
      <c r="G117" cm="1">
        <f t="array" ref="G117">INDEX(Table1[riBAQ 20], MATCH(1, (Table3[[#This Row],[Gene names]:[Gene names]] = Table1[[Gene names]:[Gene names]])*1, 0))</f>
        <v>1.60173E-4</v>
      </c>
      <c r="H117" cm="1">
        <f t="array" ref="H117">INDEX(Table1[riBAQ 21], MATCH(1, (Table3[[#This Row],[Gene names]:[Gene names]] = Table1[[Gene names]:[Gene names]])*1, 0))</f>
        <v>1.8972699999999999E-4</v>
      </c>
      <c r="I117" cm="1">
        <f t="array" ref="I117">INDEX(Table1[riBAQ 22], MATCH(1, (Table3[[#This Row],[Gene names]:[Gene names]] = Table1[[Gene names]:[Gene names]])*1, 0))</f>
        <v>1.1098E-4</v>
      </c>
      <c r="J117" cm="1">
        <f t="array" ref="J117">INDEX(Table1[riBAQ 23], MATCH(1, (Table3[[#This Row],[Gene names]:[Gene names]] = Table1[[Gene names]:[Gene names]])*1, 0))</f>
        <v>6.2399999999999999E-5</v>
      </c>
      <c r="K117" cm="1">
        <f t="array" ref="K117">INDEX(Table1[riBAQ 37], MATCH(1, (Table3[[#This Row],[Gene names]:[Gene names]] = Table1[[Gene names]:[Gene names]])*1, 0))</f>
        <v>1.08649E-4</v>
      </c>
      <c r="L117" cm="1">
        <f t="array" ref="L117">INDEX(Table1[riBAQ 38], MATCH(1, (Table3[[#This Row],[Gene names]:[Gene names]] = Table1[[Gene names]:[Gene names]])*1, 0))</f>
        <v>7.8499999999999997E-5</v>
      </c>
      <c r="M117" cm="1">
        <f t="array" ref="M117">INDEX(Table1[riBAQ 39], MATCH(1, (Table3[[#This Row],[Gene names]:[Gene names]] = Table1[[Gene names]:[Gene names]])*1, 0))</f>
        <v>4.8000000000000001E-5</v>
      </c>
      <c r="N117" cm="1">
        <f t="array" ref="N117">INDEX(Table1[riBAQ 40], MATCH(1, (Table3[[#This Row],[Gene names]:[Gene names]] = Table1[[Gene names]:[Gene names]])*1, 0))</f>
        <v>3.7700000000000002E-5</v>
      </c>
      <c r="O117" cm="1">
        <f t="array" ref="O117">INDEX(Table1[riBAQ 41], MATCH(1, (Table3[[#This Row],[Gene names]:[Gene names]] = Table1[[Gene names]:[Gene names]])*1, 0))</f>
        <v>5.4299999999999998E-5</v>
      </c>
      <c r="P117" cm="1">
        <f t="array" ref="P117">INDEX(Table1[riBAQ 24], MATCH(1, (Table3[[#This Row],[Gene names]:[Gene names]] = Table1[[Gene names]:[Gene names]])*1, 0))</f>
        <v>1.16533E-4</v>
      </c>
      <c r="Q117" cm="1">
        <f t="array" ref="Q117">INDEX(Table1[riBAQ 25], MATCH(1, (Table3[[#This Row],[Gene names]:[Gene names]] = Table1[[Gene names]:[Gene names]])*1, 0))</f>
        <v>2.5362200000000001E-4</v>
      </c>
      <c r="R117" cm="1">
        <f t="array" ref="R117">INDEX(Table1[riBAQ 26], MATCH(1, (Table3[[#This Row],[Gene names]:[Gene names]] = Table1[[Gene names]:[Gene names]])*1, 0))</f>
        <v>2.12926E-4</v>
      </c>
      <c r="S117" cm="1">
        <f t="array" ref="S117">INDEX(Table1[riBAQ 42], MATCH(1, (Table3[[#This Row],[Gene names]:[Gene names]] = Table1[[Gene names]:[Gene names]])*1, 0))</f>
        <v>2.19743E-4</v>
      </c>
      <c r="T117" cm="1">
        <f t="array" ref="T117">INDEX(Table1[riBAQ 43], MATCH(1, (Table3[[#This Row],[Gene names]:[Gene names]] = Table1[[Gene names]:[Gene names]])*1, 0))</f>
        <v>2.5312099999999998E-4</v>
      </c>
    </row>
    <row r="118" spans="1:20" x14ac:dyDescent="0.25">
      <c r="A118" t="s">
        <v>1177</v>
      </c>
      <c r="B118" cm="1">
        <f t="array" ref="B118">INDEX(Table1[riBAQ 17], MATCH(1, (Table3[[#This Row],[Gene names]:[Gene names]] = Table1[[Gene names]:[Gene names]])*1, 0))</f>
        <v>0</v>
      </c>
      <c r="C118" cm="1">
        <f t="array" ref="C118">INDEX(Table1[riBAQ 18], MATCH(1, (Table3[[#This Row],[Gene names]:[Gene names]] = Table1[[Gene names]:[Gene names]])*1, 0))</f>
        <v>0</v>
      </c>
      <c r="D118" cm="1">
        <f t="array" ref="D118">INDEX(Table1[riBAQ 35], MATCH(1, (Table3[[#This Row],[Gene names]:[Gene names]] = Table1[[Gene names]:[Gene names]])*1, 0))</f>
        <v>0</v>
      </c>
      <c r="E118" cm="1">
        <f t="array" ref="E118">INDEX(Table1[riBAQ 36], MATCH(1, (Table3[[#This Row],[Gene names]:[Gene names]] = Table1[[Gene names]:[Gene names]])*1, 0))</f>
        <v>0</v>
      </c>
      <c r="F118" cm="1">
        <f t="array" ref="F118">INDEX(Table1[riBAQ 19], MATCH(1, (Table3[[#This Row],[Gene names]:[Gene names]] = Table1[[Gene names]:[Gene names]])*1, 0))</f>
        <v>0</v>
      </c>
      <c r="G118" cm="1">
        <f t="array" ref="G118">INDEX(Table1[riBAQ 20], MATCH(1, (Table3[[#This Row],[Gene names]:[Gene names]] = Table1[[Gene names]:[Gene names]])*1, 0))</f>
        <v>0</v>
      </c>
      <c r="H118" cm="1">
        <f t="array" ref="H118">INDEX(Table1[riBAQ 21], MATCH(1, (Table3[[#This Row],[Gene names]:[Gene names]] = Table1[[Gene names]:[Gene names]])*1, 0))</f>
        <v>6.1299999999999998E-6</v>
      </c>
      <c r="I118" cm="1">
        <f t="array" ref="I118">INDEX(Table1[riBAQ 22], MATCH(1, (Table3[[#This Row],[Gene names]:[Gene names]] = Table1[[Gene names]:[Gene names]])*1, 0))</f>
        <v>0</v>
      </c>
      <c r="J118" cm="1">
        <f t="array" ref="J118">INDEX(Table1[riBAQ 23], MATCH(1, (Table3[[#This Row],[Gene names]:[Gene names]] = Table1[[Gene names]:[Gene names]])*1, 0))</f>
        <v>0</v>
      </c>
      <c r="K118" cm="1">
        <f t="array" ref="K118">INDEX(Table1[riBAQ 37], MATCH(1, (Table3[[#This Row],[Gene names]:[Gene names]] = Table1[[Gene names]:[Gene names]])*1, 0))</f>
        <v>0</v>
      </c>
      <c r="L118" cm="1">
        <f t="array" ref="L118">INDEX(Table1[riBAQ 38], MATCH(1, (Table3[[#This Row],[Gene names]:[Gene names]] = Table1[[Gene names]:[Gene names]])*1, 0))</f>
        <v>0</v>
      </c>
      <c r="M118" cm="1">
        <f t="array" ref="M118">INDEX(Table1[riBAQ 39], MATCH(1, (Table3[[#This Row],[Gene names]:[Gene names]] = Table1[[Gene names]:[Gene names]])*1, 0))</f>
        <v>0</v>
      </c>
      <c r="N118" cm="1">
        <f t="array" ref="N118">INDEX(Table1[riBAQ 40], MATCH(1, (Table3[[#This Row],[Gene names]:[Gene names]] = Table1[[Gene names]:[Gene names]])*1, 0))</f>
        <v>0</v>
      </c>
      <c r="O118" cm="1">
        <f t="array" ref="O118">INDEX(Table1[riBAQ 41], MATCH(1, (Table3[[#This Row],[Gene names]:[Gene names]] = Table1[[Gene names]:[Gene names]])*1, 0))</f>
        <v>0</v>
      </c>
      <c r="P118" cm="1">
        <f t="array" ref="P118">INDEX(Table1[riBAQ 24], MATCH(1, (Table3[[#This Row],[Gene names]:[Gene names]] = Table1[[Gene names]:[Gene names]])*1, 0))</f>
        <v>0</v>
      </c>
      <c r="Q118" cm="1">
        <f t="array" ref="Q118">INDEX(Table1[riBAQ 25], MATCH(1, (Table3[[#This Row],[Gene names]:[Gene names]] = Table1[[Gene names]:[Gene names]])*1, 0))</f>
        <v>1.1399999999999999E-5</v>
      </c>
      <c r="R118" cm="1">
        <f t="array" ref="R118">INDEX(Table1[riBAQ 26], MATCH(1, (Table3[[#This Row],[Gene names]:[Gene names]] = Table1[[Gene names]:[Gene names]])*1, 0))</f>
        <v>1.0000000000000001E-5</v>
      </c>
      <c r="S118" cm="1">
        <f t="array" ref="S118">INDEX(Table1[riBAQ 42], MATCH(1, (Table3[[#This Row],[Gene names]:[Gene names]] = Table1[[Gene names]:[Gene names]])*1, 0))</f>
        <v>7.7700000000000001E-6</v>
      </c>
      <c r="T118" cm="1">
        <f t="array" ref="T118">INDEX(Table1[riBAQ 43], MATCH(1, (Table3[[#This Row],[Gene names]:[Gene names]] = Table1[[Gene names]:[Gene names]])*1, 0))</f>
        <v>3.0300000000000001E-5</v>
      </c>
    </row>
    <row r="119" spans="1:20" x14ac:dyDescent="0.25">
      <c r="A119" t="s">
        <v>1174</v>
      </c>
      <c r="B119" cm="1">
        <f t="array" ref="B119">INDEX(Table1[riBAQ 17], MATCH(1, (Table3[[#This Row],[Gene names]:[Gene names]] = Table1[[Gene names]:[Gene names]])*1, 0))</f>
        <v>0</v>
      </c>
      <c r="C119" cm="1">
        <f t="array" ref="C119">INDEX(Table1[riBAQ 18], MATCH(1, (Table3[[#This Row],[Gene names]:[Gene names]] = Table1[[Gene names]:[Gene names]])*1, 0))</f>
        <v>0</v>
      </c>
      <c r="D119" cm="1">
        <f t="array" ref="D119">INDEX(Table1[riBAQ 35], MATCH(1, (Table3[[#This Row],[Gene names]:[Gene names]] = Table1[[Gene names]:[Gene names]])*1, 0))</f>
        <v>0</v>
      </c>
      <c r="E119" cm="1">
        <f t="array" ref="E119">INDEX(Table1[riBAQ 36], MATCH(1, (Table3[[#This Row],[Gene names]:[Gene names]] = Table1[[Gene names]:[Gene names]])*1, 0))</f>
        <v>0</v>
      </c>
      <c r="F119" cm="1">
        <f t="array" ref="F119">INDEX(Table1[riBAQ 19], MATCH(1, (Table3[[#This Row],[Gene names]:[Gene names]] = Table1[[Gene names]:[Gene names]])*1, 0))</f>
        <v>3.7100000000000001E-6</v>
      </c>
      <c r="G119" cm="1">
        <f t="array" ref="G119">INDEX(Table1[riBAQ 20], MATCH(1, (Table3[[#This Row],[Gene names]:[Gene names]] = Table1[[Gene names]:[Gene names]])*1, 0))</f>
        <v>0</v>
      </c>
      <c r="H119" cm="1">
        <f t="array" ref="H119">INDEX(Table1[riBAQ 21], MATCH(1, (Table3[[#This Row],[Gene names]:[Gene names]] = Table1[[Gene names]:[Gene names]])*1, 0))</f>
        <v>0</v>
      </c>
      <c r="I119" cm="1">
        <f t="array" ref="I119">INDEX(Table1[riBAQ 22], MATCH(1, (Table3[[#This Row],[Gene names]:[Gene names]] = Table1[[Gene names]:[Gene names]])*1, 0))</f>
        <v>0</v>
      </c>
      <c r="J119" cm="1">
        <f t="array" ref="J119">INDEX(Table1[riBAQ 23], MATCH(1, (Table3[[#This Row],[Gene names]:[Gene names]] = Table1[[Gene names]:[Gene names]])*1, 0))</f>
        <v>0</v>
      </c>
      <c r="K119" cm="1">
        <f t="array" ref="K119">INDEX(Table1[riBAQ 37], MATCH(1, (Table3[[#This Row],[Gene names]:[Gene names]] = Table1[[Gene names]:[Gene names]])*1, 0))</f>
        <v>0</v>
      </c>
      <c r="L119" cm="1">
        <f t="array" ref="L119">INDEX(Table1[riBAQ 38], MATCH(1, (Table3[[#This Row],[Gene names]:[Gene names]] = Table1[[Gene names]:[Gene names]])*1, 0))</f>
        <v>0</v>
      </c>
      <c r="M119" cm="1">
        <f t="array" ref="M119">INDEX(Table1[riBAQ 39], MATCH(1, (Table3[[#This Row],[Gene names]:[Gene names]] = Table1[[Gene names]:[Gene names]])*1, 0))</f>
        <v>0</v>
      </c>
      <c r="N119" cm="1">
        <f t="array" ref="N119">INDEX(Table1[riBAQ 40], MATCH(1, (Table3[[#This Row],[Gene names]:[Gene names]] = Table1[[Gene names]:[Gene names]])*1, 0))</f>
        <v>0</v>
      </c>
      <c r="O119" cm="1">
        <f t="array" ref="O119">INDEX(Table1[riBAQ 41], MATCH(1, (Table3[[#This Row],[Gene names]:[Gene names]] = Table1[[Gene names]:[Gene names]])*1, 0))</f>
        <v>0</v>
      </c>
      <c r="P119" cm="1">
        <f t="array" ref="P119">INDEX(Table1[riBAQ 24], MATCH(1, (Table3[[#This Row],[Gene names]:[Gene names]] = Table1[[Gene names]:[Gene names]])*1, 0))</f>
        <v>1.1199999999999999E-5</v>
      </c>
      <c r="Q119" cm="1">
        <f t="array" ref="Q119">INDEX(Table1[riBAQ 25], MATCH(1, (Table3[[#This Row],[Gene names]:[Gene names]] = Table1[[Gene names]:[Gene names]])*1, 0))</f>
        <v>3.7599999999999999E-5</v>
      </c>
      <c r="R119" cm="1">
        <f t="array" ref="R119">INDEX(Table1[riBAQ 26], MATCH(1, (Table3[[#This Row],[Gene names]:[Gene names]] = Table1[[Gene names]:[Gene names]])*1, 0))</f>
        <v>4.0899999999999998E-5</v>
      </c>
      <c r="S119" cm="1">
        <f t="array" ref="S119">INDEX(Table1[riBAQ 42], MATCH(1, (Table3[[#This Row],[Gene names]:[Gene names]] = Table1[[Gene names]:[Gene names]])*1, 0))</f>
        <v>2.6800000000000001E-5</v>
      </c>
      <c r="T119" cm="1">
        <f t="array" ref="T119">INDEX(Table1[riBAQ 43], MATCH(1, (Table3[[#This Row],[Gene names]:[Gene names]] = Table1[[Gene names]:[Gene names]])*1, 0))</f>
        <v>1.04755E-4</v>
      </c>
    </row>
    <row r="120" spans="1:20" x14ac:dyDescent="0.25">
      <c r="A120" t="s">
        <v>776</v>
      </c>
      <c r="B120" cm="1">
        <f t="array" ref="B120">INDEX(Table1[riBAQ 17], MATCH(1, (Table3[[#This Row],[Gene names]:[Gene names]] = Table1[[Gene names]:[Gene names]])*1, 0))</f>
        <v>4.6057900000000002E-4</v>
      </c>
      <c r="C120" cm="1">
        <f t="array" ref="C120">INDEX(Table1[riBAQ 18], MATCH(1, (Table3[[#This Row],[Gene names]:[Gene names]] = Table1[[Gene names]:[Gene names]])*1, 0))</f>
        <v>3.5229499999999997E-4</v>
      </c>
      <c r="D120" cm="1">
        <f t="array" ref="D120">INDEX(Table1[riBAQ 35], MATCH(1, (Table3[[#This Row],[Gene names]:[Gene names]] = Table1[[Gene names]:[Gene names]])*1, 0))</f>
        <v>2.2113499999999999E-4</v>
      </c>
      <c r="E120" cm="1">
        <f t="array" ref="E120">INDEX(Table1[riBAQ 36], MATCH(1, (Table3[[#This Row],[Gene names]:[Gene names]] = Table1[[Gene names]:[Gene names]])*1, 0))</f>
        <v>2.7599299999999998E-4</v>
      </c>
      <c r="F120" cm="1">
        <f t="array" ref="F120">INDEX(Table1[riBAQ 19], MATCH(1, (Table3[[#This Row],[Gene names]:[Gene names]] = Table1[[Gene names]:[Gene names]])*1, 0))</f>
        <v>5.2728900000000001E-4</v>
      </c>
      <c r="G120" cm="1">
        <f t="array" ref="G120">INDEX(Table1[riBAQ 20], MATCH(1, (Table3[[#This Row],[Gene names]:[Gene names]] = Table1[[Gene names]:[Gene names]])*1, 0))</f>
        <v>4.5160900000000001E-4</v>
      </c>
      <c r="H120" cm="1">
        <f t="array" ref="H120">INDEX(Table1[riBAQ 21], MATCH(1, (Table3[[#This Row],[Gene names]:[Gene names]] = Table1[[Gene names]:[Gene names]])*1, 0))</f>
        <v>4.4476500000000001E-4</v>
      </c>
      <c r="I120" cm="1">
        <f t="array" ref="I120">INDEX(Table1[riBAQ 22], MATCH(1, (Table3[[#This Row],[Gene names]:[Gene names]] = Table1[[Gene names]:[Gene names]])*1, 0))</f>
        <v>4.5710800000000002E-4</v>
      </c>
      <c r="J120" cm="1">
        <f t="array" ref="J120">INDEX(Table1[riBAQ 23], MATCH(1, (Table3[[#This Row],[Gene names]:[Gene names]] = Table1[[Gene names]:[Gene names]])*1, 0))</f>
        <v>4.23693E-4</v>
      </c>
      <c r="K120" cm="1">
        <f t="array" ref="K120">INDEX(Table1[riBAQ 37], MATCH(1, (Table3[[#This Row],[Gene names]:[Gene names]] = Table1[[Gene names]:[Gene names]])*1, 0))</f>
        <v>3.3120900000000001E-4</v>
      </c>
      <c r="L120" cm="1">
        <f t="array" ref="L120">INDEX(Table1[riBAQ 38], MATCH(1, (Table3[[#This Row],[Gene names]:[Gene names]] = Table1[[Gene names]:[Gene names]])*1, 0))</f>
        <v>3.5987399999999999E-4</v>
      </c>
      <c r="M120" cm="1">
        <f t="array" ref="M120">INDEX(Table1[riBAQ 39], MATCH(1, (Table3[[#This Row],[Gene names]:[Gene names]] = Table1[[Gene names]:[Gene names]])*1, 0))</f>
        <v>5.4374200000000005E-4</v>
      </c>
      <c r="N120" cm="1">
        <f t="array" ref="N120">INDEX(Table1[riBAQ 40], MATCH(1, (Table3[[#This Row],[Gene names]:[Gene names]] = Table1[[Gene names]:[Gene names]])*1, 0))</f>
        <v>3.19048E-4</v>
      </c>
      <c r="O120" cm="1">
        <f t="array" ref="O120">INDEX(Table1[riBAQ 41], MATCH(1, (Table3[[#This Row],[Gene names]:[Gene names]] = Table1[[Gene names]:[Gene names]])*1, 0))</f>
        <v>2.1931899999999999E-4</v>
      </c>
      <c r="P120" cm="1">
        <f t="array" ref="P120">INDEX(Table1[riBAQ 24], MATCH(1, (Table3[[#This Row],[Gene names]:[Gene names]] = Table1[[Gene names]:[Gene names]])*1, 0))</f>
        <v>5.9778100000000003E-4</v>
      </c>
      <c r="Q120" cm="1">
        <f t="array" ref="Q120">INDEX(Table1[riBAQ 25], MATCH(1, (Table3[[#This Row],[Gene names]:[Gene names]] = Table1[[Gene names]:[Gene names]])*1, 0))</f>
        <v>1.1676239999999999E-3</v>
      </c>
      <c r="R120" cm="1">
        <f t="array" ref="R120">INDEX(Table1[riBAQ 26], MATCH(1, (Table3[[#This Row],[Gene names]:[Gene names]] = Table1[[Gene names]:[Gene names]])*1, 0))</f>
        <v>9.9827399999999995E-4</v>
      </c>
      <c r="S120" cm="1">
        <f t="array" ref="S120">INDEX(Table1[riBAQ 42], MATCH(1, (Table3[[#This Row],[Gene names]:[Gene names]] = Table1[[Gene names]:[Gene names]])*1, 0))</f>
        <v>5.9387700000000003E-4</v>
      </c>
      <c r="T120" cm="1">
        <f t="array" ref="T120">INDEX(Table1[riBAQ 43], MATCH(1, (Table3[[#This Row],[Gene names]:[Gene names]] = Table1[[Gene names]:[Gene names]])*1, 0))</f>
        <v>7.6804800000000002E-4</v>
      </c>
    </row>
    <row r="121" spans="1:20" x14ac:dyDescent="0.25">
      <c r="A121" t="s">
        <v>284</v>
      </c>
      <c r="B121" cm="1">
        <f t="array" ref="B121">INDEX(Table1[riBAQ 17], MATCH(1, (Table3[[#This Row],[Gene names]:[Gene names]] = Table1[[Gene names]:[Gene names]])*1, 0))</f>
        <v>3.1536999999999998E-4</v>
      </c>
      <c r="C121" cm="1">
        <f t="array" ref="C121">INDEX(Table1[riBAQ 18], MATCH(1, (Table3[[#This Row],[Gene names]:[Gene names]] = Table1[[Gene names]:[Gene names]])*1, 0))</f>
        <v>2.41017E-4</v>
      </c>
      <c r="D121" cm="1">
        <f t="array" ref="D121">INDEX(Table1[riBAQ 35], MATCH(1, (Table3[[#This Row],[Gene names]:[Gene names]] = Table1[[Gene names]:[Gene names]])*1, 0))</f>
        <v>3.3712899999999998E-4</v>
      </c>
      <c r="E121" cm="1">
        <f t="array" ref="E121">INDEX(Table1[riBAQ 36], MATCH(1, (Table3[[#This Row],[Gene names]:[Gene names]] = Table1[[Gene names]:[Gene names]])*1, 0))</f>
        <v>2.8956000000000001E-4</v>
      </c>
      <c r="F121" cm="1">
        <f t="array" ref="F121">INDEX(Table1[riBAQ 19], MATCH(1, (Table3[[#This Row],[Gene names]:[Gene names]] = Table1[[Gene names]:[Gene names]])*1, 0))</f>
        <v>3.31009E-4</v>
      </c>
      <c r="G121" cm="1">
        <f t="array" ref="G121">INDEX(Table1[riBAQ 20], MATCH(1, (Table3[[#This Row],[Gene names]:[Gene names]] = Table1[[Gene names]:[Gene names]])*1, 0))</f>
        <v>2.2061100000000001E-4</v>
      </c>
      <c r="H121" cm="1">
        <f t="array" ref="H121">INDEX(Table1[riBAQ 21], MATCH(1, (Table3[[#This Row],[Gene names]:[Gene names]] = Table1[[Gene names]:[Gene names]])*1, 0))</f>
        <v>3.2628699999999997E-4</v>
      </c>
      <c r="I121" cm="1">
        <f t="array" ref="I121">INDEX(Table1[riBAQ 22], MATCH(1, (Table3[[#This Row],[Gene names]:[Gene names]] = Table1[[Gene names]:[Gene names]])*1, 0))</f>
        <v>3.3668000000000001E-4</v>
      </c>
      <c r="J121" cm="1">
        <f t="array" ref="J121">INDEX(Table1[riBAQ 23], MATCH(1, (Table3[[#This Row],[Gene names]:[Gene names]] = Table1[[Gene names]:[Gene names]])*1, 0))</f>
        <v>3.1635399999999997E-4</v>
      </c>
      <c r="K121" cm="1">
        <f t="array" ref="K121">INDEX(Table1[riBAQ 37], MATCH(1, (Table3[[#This Row],[Gene names]:[Gene names]] = Table1[[Gene names]:[Gene names]])*1, 0))</f>
        <v>3.3001900000000003E-4</v>
      </c>
      <c r="L121" cm="1">
        <f t="array" ref="L121">INDEX(Table1[riBAQ 38], MATCH(1, (Table3[[#This Row],[Gene names]:[Gene names]] = Table1[[Gene names]:[Gene names]])*1, 0))</f>
        <v>3.1036799999999999E-4</v>
      </c>
      <c r="M121" cm="1">
        <f t="array" ref="M121">INDEX(Table1[riBAQ 39], MATCH(1, (Table3[[#This Row],[Gene names]:[Gene names]] = Table1[[Gene names]:[Gene names]])*1, 0))</f>
        <v>2.5947500000000001E-4</v>
      </c>
      <c r="N121" cm="1">
        <f t="array" ref="N121">INDEX(Table1[riBAQ 40], MATCH(1, (Table3[[#This Row],[Gene names]:[Gene names]] = Table1[[Gene names]:[Gene names]])*1, 0))</f>
        <v>2.1580899999999999E-4</v>
      </c>
      <c r="O121" cm="1">
        <f t="array" ref="O121">INDEX(Table1[riBAQ 41], MATCH(1, (Table3[[#This Row],[Gene names]:[Gene names]] = Table1[[Gene names]:[Gene names]])*1, 0))</f>
        <v>3.6989999999999999E-4</v>
      </c>
      <c r="P121" cm="1">
        <f t="array" ref="P121">INDEX(Table1[riBAQ 24], MATCH(1, (Table3[[#This Row],[Gene names]:[Gene names]] = Table1[[Gene names]:[Gene names]])*1, 0))</f>
        <v>2.12077E-4</v>
      </c>
      <c r="Q121" cm="1">
        <f t="array" ref="Q121">INDEX(Table1[riBAQ 25], MATCH(1, (Table3[[#This Row],[Gene names]:[Gene names]] = Table1[[Gene names]:[Gene names]])*1, 0))</f>
        <v>1.8391999999999999E-4</v>
      </c>
      <c r="R121" cm="1">
        <f t="array" ref="R121">INDEX(Table1[riBAQ 26], MATCH(1, (Table3[[#This Row],[Gene names]:[Gene names]] = Table1[[Gene names]:[Gene names]])*1, 0))</f>
        <v>2.06283E-4</v>
      </c>
      <c r="S121" cm="1">
        <f t="array" ref="S121">INDEX(Table1[riBAQ 42], MATCH(1, (Table3[[#This Row],[Gene names]:[Gene names]] = Table1[[Gene names]:[Gene names]])*1, 0))</f>
        <v>1.2960700000000001E-4</v>
      </c>
      <c r="T121" cm="1">
        <f t="array" ref="T121">INDEX(Table1[riBAQ 43], MATCH(1, (Table3[[#This Row],[Gene names]:[Gene names]] = Table1[[Gene names]:[Gene names]])*1, 0))</f>
        <v>1.7508700000000001E-4</v>
      </c>
    </row>
    <row r="122" spans="1:20" x14ac:dyDescent="0.25">
      <c r="A122" t="s">
        <v>1508</v>
      </c>
      <c r="B122" cm="1">
        <f t="array" ref="B122">INDEX(Table1[riBAQ 17], MATCH(1, (Table3[[#This Row],[Gene names]:[Gene names]] = Table1[[Gene names]:[Gene names]])*1, 0))</f>
        <v>3.0000000000000001E-5</v>
      </c>
      <c r="C122" cm="1">
        <f t="array" ref="C122">INDEX(Table1[riBAQ 18], MATCH(1, (Table3[[#This Row],[Gene names]:[Gene names]] = Table1[[Gene names]:[Gene names]])*1, 0))</f>
        <v>3.8000000000000002E-5</v>
      </c>
      <c r="D122" cm="1">
        <f t="array" ref="D122">INDEX(Table1[riBAQ 35], MATCH(1, (Table3[[#This Row],[Gene names]:[Gene names]] = Table1[[Gene names]:[Gene names]])*1, 0))</f>
        <v>3.0499999999999999E-5</v>
      </c>
      <c r="E122" cm="1">
        <f t="array" ref="E122">INDEX(Table1[riBAQ 36], MATCH(1, (Table3[[#This Row],[Gene names]:[Gene names]] = Table1[[Gene names]:[Gene names]])*1, 0))</f>
        <v>3.26E-5</v>
      </c>
      <c r="F122" cm="1">
        <f t="array" ref="F122">INDEX(Table1[riBAQ 19], MATCH(1, (Table3[[#This Row],[Gene names]:[Gene names]] = Table1[[Gene names]:[Gene names]])*1, 0))</f>
        <v>4.1199999999999999E-5</v>
      </c>
      <c r="G122" cm="1">
        <f t="array" ref="G122">INDEX(Table1[riBAQ 20], MATCH(1, (Table3[[#This Row],[Gene names]:[Gene names]] = Table1[[Gene names]:[Gene names]])*1, 0))</f>
        <v>0</v>
      </c>
      <c r="H122" cm="1">
        <f t="array" ref="H122">INDEX(Table1[riBAQ 21], MATCH(1, (Table3[[#This Row],[Gene names]:[Gene names]] = Table1[[Gene names]:[Gene names]])*1, 0))</f>
        <v>5.3999999999999998E-5</v>
      </c>
      <c r="I122" cm="1">
        <f t="array" ref="I122">INDEX(Table1[riBAQ 22], MATCH(1, (Table3[[#This Row],[Gene names]:[Gene names]] = Table1[[Gene names]:[Gene names]])*1, 0))</f>
        <v>5.5300000000000002E-5</v>
      </c>
      <c r="J122" cm="1">
        <f t="array" ref="J122">INDEX(Table1[riBAQ 23], MATCH(1, (Table3[[#This Row],[Gene names]:[Gene names]] = Table1[[Gene names]:[Gene names]])*1, 0))</f>
        <v>5.8E-5</v>
      </c>
      <c r="K122" cm="1">
        <f t="array" ref="K122">INDEX(Table1[riBAQ 37], MATCH(1, (Table3[[#This Row],[Gene names]:[Gene names]] = Table1[[Gene names]:[Gene names]])*1, 0))</f>
        <v>4.0000000000000003E-5</v>
      </c>
      <c r="L122" cm="1">
        <f t="array" ref="L122">INDEX(Table1[riBAQ 38], MATCH(1, (Table3[[#This Row],[Gene names]:[Gene names]] = Table1[[Gene names]:[Gene names]])*1, 0))</f>
        <v>5.8699999999999997E-5</v>
      </c>
      <c r="M122" cm="1">
        <f t="array" ref="M122">INDEX(Table1[riBAQ 39], MATCH(1, (Table3[[#This Row],[Gene names]:[Gene names]] = Table1[[Gene names]:[Gene names]])*1, 0))</f>
        <v>3.3800000000000002E-5</v>
      </c>
      <c r="N122" cm="1">
        <f t="array" ref="N122">INDEX(Table1[riBAQ 40], MATCH(1, (Table3[[#This Row],[Gene names]:[Gene names]] = Table1[[Gene names]:[Gene names]])*1, 0))</f>
        <v>9.3399999999999993E-5</v>
      </c>
      <c r="O122" cm="1">
        <f t="array" ref="O122">INDEX(Table1[riBAQ 41], MATCH(1, (Table3[[#This Row],[Gene names]:[Gene names]] = Table1[[Gene names]:[Gene names]])*1, 0))</f>
        <v>4.74E-5</v>
      </c>
      <c r="P122" cm="1">
        <f t="array" ref="P122">INDEX(Table1[riBAQ 24], MATCH(1, (Table3[[#This Row],[Gene names]:[Gene names]] = Table1[[Gene names]:[Gene names]])*1, 0))</f>
        <v>7.7600000000000002E-5</v>
      </c>
      <c r="Q122" cm="1">
        <f t="array" ref="Q122">INDEX(Table1[riBAQ 25], MATCH(1, (Table3[[#This Row],[Gene names]:[Gene names]] = Table1[[Gene names]:[Gene names]])*1, 0))</f>
        <v>7.0599999999999995E-5</v>
      </c>
      <c r="R122" cm="1">
        <f t="array" ref="R122">INDEX(Table1[riBAQ 26], MATCH(1, (Table3[[#This Row],[Gene names]:[Gene names]] = Table1[[Gene names]:[Gene names]])*1, 0))</f>
        <v>7.5799999999999999E-5</v>
      </c>
      <c r="S122" cm="1">
        <f t="array" ref="S122">INDEX(Table1[riBAQ 42], MATCH(1, (Table3[[#This Row],[Gene names]:[Gene names]] = Table1[[Gene names]:[Gene names]])*1, 0))</f>
        <v>9.2E-5</v>
      </c>
      <c r="T122" cm="1">
        <f t="array" ref="T122">INDEX(Table1[riBAQ 43], MATCH(1, (Table3[[#This Row],[Gene names]:[Gene names]] = Table1[[Gene names]:[Gene names]])*1, 0))</f>
        <v>9.87E-5</v>
      </c>
    </row>
    <row r="123" spans="1:20" x14ac:dyDescent="0.25">
      <c r="A123" t="s">
        <v>461</v>
      </c>
      <c r="B123" cm="1">
        <f t="array" ref="B123">INDEX(Table1[riBAQ 17], MATCH(1, (Table3[[#This Row],[Gene names]:[Gene names]] = Table1[[Gene names]:[Gene names]])*1, 0))</f>
        <v>2.3499999999999999E-5</v>
      </c>
      <c r="C123" cm="1">
        <f t="array" ref="C123">INDEX(Table1[riBAQ 18], MATCH(1, (Table3[[#This Row],[Gene names]:[Gene names]] = Table1[[Gene names]:[Gene names]])*1, 0))</f>
        <v>8.8699999999999998E-6</v>
      </c>
      <c r="D123" cm="1">
        <f t="array" ref="D123">INDEX(Table1[riBAQ 35], MATCH(1, (Table3[[#This Row],[Gene names]:[Gene names]] = Table1[[Gene names]:[Gene names]])*1, 0))</f>
        <v>1.2E-5</v>
      </c>
      <c r="E123" cm="1">
        <f t="array" ref="E123">INDEX(Table1[riBAQ 36], MATCH(1, (Table3[[#This Row],[Gene names]:[Gene names]] = Table1[[Gene names]:[Gene names]])*1, 0))</f>
        <v>1.7600000000000001E-5</v>
      </c>
      <c r="F123" cm="1">
        <f t="array" ref="F123">INDEX(Table1[riBAQ 19], MATCH(1, (Table3[[#This Row],[Gene names]:[Gene names]] = Table1[[Gene names]:[Gene names]])*1, 0))</f>
        <v>1.7200000000000001E-5</v>
      </c>
      <c r="G123" cm="1">
        <f t="array" ref="G123">INDEX(Table1[riBAQ 20], MATCH(1, (Table3[[#This Row],[Gene names]:[Gene names]] = Table1[[Gene names]:[Gene names]])*1, 0))</f>
        <v>1.6399999999999999E-5</v>
      </c>
      <c r="H123" cm="1">
        <f t="array" ref="H123">INDEX(Table1[riBAQ 21], MATCH(1, (Table3[[#This Row],[Gene names]:[Gene names]] = Table1[[Gene names]:[Gene names]])*1, 0))</f>
        <v>3.5299999999999997E-5</v>
      </c>
      <c r="I123" cm="1">
        <f t="array" ref="I123">INDEX(Table1[riBAQ 22], MATCH(1, (Table3[[#This Row],[Gene names]:[Gene names]] = Table1[[Gene names]:[Gene names]])*1, 0))</f>
        <v>2.34E-5</v>
      </c>
      <c r="J123" cm="1">
        <f t="array" ref="J123">INDEX(Table1[riBAQ 23], MATCH(1, (Table3[[#This Row],[Gene names]:[Gene names]] = Table1[[Gene names]:[Gene names]])*1, 0))</f>
        <v>2.55E-5</v>
      </c>
      <c r="K123" cm="1">
        <f t="array" ref="K123">INDEX(Table1[riBAQ 37], MATCH(1, (Table3[[#This Row],[Gene names]:[Gene names]] = Table1[[Gene names]:[Gene names]])*1, 0))</f>
        <v>1.4600000000000001E-5</v>
      </c>
      <c r="L123" cm="1">
        <f t="array" ref="L123">INDEX(Table1[riBAQ 38], MATCH(1, (Table3[[#This Row],[Gene names]:[Gene names]] = Table1[[Gene names]:[Gene names]])*1, 0))</f>
        <v>2.1800000000000001E-5</v>
      </c>
      <c r="M123" cm="1">
        <f t="array" ref="M123">INDEX(Table1[riBAQ 39], MATCH(1, (Table3[[#This Row],[Gene names]:[Gene names]] = Table1[[Gene names]:[Gene names]])*1, 0))</f>
        <v>3.0800000000000003E-5</v>
      </c>
      <c r="N123" cm="1">
        <f t="array" ref="N123">INDEX(Table1[riBAQ 40], MATCH(1, (Table3[[#This Row],[Gene names]:[Gene names]] = Table1[[Gene names]:[Gene names]])*1, 0))</f>
        <v>3.6100000000000003E-5</v>
      </c>
      <c r="O123" cm="1">
        <f t="array" ref="O123">INDEX(Table1[riBAQ 41], MATCH(1, (Table3[[#This Row],[Gene names]:[Gene names]] = Table1[[Gene names]:[Gene names]])*1, 0))</f>
        <v>2.3099999999999999E-5</v>
      </c>
      <c r="P123" cm="1">
        <f t="array" ref="P123">INDEX(Table1[riBAQ 24], MATCH(1, (Table3[[#This Row],[Gene names]:[Gene names]] = Table1[[Gene names]:[Gene names]])*1, 0))</f>
        <v>4.2400000000000001E-5</v>
      </c>
      <c r="Q123" cm="1">
        <f t="array" ref="Q123">INDEX(Table1[riBAQ 25], MATCH(1, (Table3[[#This Row],[Gene names]:[Gene names]] = Table1[[Gene names]:[Gene names]])*1, 0))</f>
        <v>5.38E-5</v>
      </c>
      <c r="R123" cm="1">
        <f t="array" ref="R123">INDEX(Table1[riBAQ 26], MATCH(1, (Table3[[#This Row],[Gene names]:[Gene names]] = Table1[[Gene names]:[Gene names]])*1, 0))</f>
        <v>5.2500000000000002E-5</v>
      </c>
      <c r="S123" cm="1">
        <f t="array" ref="S123">INDEX(Table1[riBAQ 42], MATCH(1, (Table3[[#This Row],[Gene names]:[Gene names]] = Table1[[Gene names]:[Gene names]])*1, 0))</f>
        <v>4.2899999999999999E-5</v>
      </c>
      <c r="T123" cm="1">
        <f t="array" ref="T123">INDEX(Table1[riBAQ 43], MATCH(1, (Table3[[#This Row],[Gene names]:[Gene names]] = Table1[[Gene names]:[Gene names]])*1, 0))</f>
        <v>6.6500000000000004E-5</v>
      </c>
    </row>
    <row r="124" spans="1:20" x14ac:dyDescent="0.25">
      <c r="A124" t="s">
        <v>747</v>
      </c>
      <c r="B124" cm="1">
        <f t="array" ref="B124">INDEX(Table1[riBAQ 17], MATCH(1, (Table3[[#This Row],[Gene names]:[Gene names]] = Table1[[Gene names]:[Gene names]])*1, 0))</f>
        <v>9.8400000000000007E-5</v>
      </c>
      <c r="C124" cm="1">
        <f t="array" ref="C124">INDEX(Table1[riBAQ 18], MATCH(1, (Table3[[#This Row],[Gene names]:[Gene names]] = Table1[[Gene names]:[Gene names]])*1, 0))</f>
        <v>4.7200000000000002E-5</v>
      </c>
      <c r="D124" cm="1">
        <f t="array" ref="D124">INDEX(Table1[riBAQ 35], MATCH(1, (Table3[[#This Row],[Gene names]:[Gene names]] = Table1[[Gene names]:[Gene names]])*1, 0))</f>
        <v>5.0000000000000002E-5</v>
      </c>
      <c r="E124" cm="1">
        <f t="array" ref="E124">INDEX(Table1[riBAQ 36], MATCH(1, (Table3[[#This Row],[Gene names]:[Gene names]] = Table1[[Gene names]:[Gene names]])*1, 0))</f>
        <v>5.7899999999999998E-5</v>
      </c>
      <c r="F124" cm="1">
        <f t="array" ref="F124">INDEX(Table1[riBAQ 19], MATCH(1, (Table3[[#This Row],[Gene names]:[Gene names]] = Table1[[Gene names]:[Gene names]])*1, 0))</f>
        <v>6.0999999999999999E-5</v>
      </c>
      <c r="G124" cm="1">
        <f t="array" ref="G124">INDEX(Table1[riBAQ 20], MATCH(1, (Table3[[#This Row],[Gene names]:[Gene names]] = Table1[[Gene names]:[Gene names]])*1, 0))</f>
        <v>5.7000000000000003E-5</v>
      </c>
      <c r="H124" cm="1">
        <f t="array" ref="H124">INDEX(Table1[riBAQ 21], MATCH(1, (Table3[[#This Row],[Gene names]:[Gene names]] = Table1[[Gene names]:[Gene names]])*1, 0))</f>
        <v>6.2299999999999996E-5</v>
      </c>
      <c r="I124" cm="1">
        <f t="array" ref="I124">INDEX(Table1[riBAQ 22], MATCH(1, (Table3[[#This Row],[Gene names]:[Gene names]] = Table1[[Gene names]:[Gene names]])*1, 0))</f>
        <v>8.25E-5</v>
      </c>
      <c r="J124" cm="1">
        <f t="array" ref="J124">INDEX(Table1[riBAQ 23], MATCH(1, (Table3[[#This Row],[Gene names]:[Gene names]] = Table1[[Gene names]:[Gene names]])*1, 0))</f>
        <v>1.0077E-4</v>
      </c>
      <c r="K124" cm="1">
        <f t="array" ref="K124">INDEX(Table1[riBAQ 37], MATCH(1, (Table3[[#This Row],[Gene names]:[Gene names]] = Table1[[Gene names]:[Gene names]])*1, 0))</f>
        <v>6.1500000000000004E-5</v>
      </c>
      <c r="L124" cm="1">
        <f t="array" ref="L124">INDEX(Table1[riBAQ 38], MATCH(1, (Table3[[#This Row],[Gene names]:[Gene names]] = Table1[[Gene names]:[Gene names]])*1, 0))</f>
        <v>5.5699999999999999E-5</v>
      </c>
      <c r="M124" cm="1">
        <f t="array" ref="M124">INDEX(Table1[riBAQ 39], MATCH(1, (Table3[[#This Row],[Gene names]:[Gene names]] = Table1[[Gene names]:[Gene names]])*1, 0))</f>
        <v>6.6400000000000001E-5</v>
      </c>
      <c r="N124" cm="1">
        <f t="array" ref="N124">INDEX(Table1[riBAQ 40], MATCH(1, (Table3[[#This Row],[Gene names]:[Gene names]] = Table1[[Gene names]:[Gene names]])*1, 0))</f>
        <v>7.6299999999999998E-5</v>
      </c>
      <c r="O124" cm="1">
        <f t="array" ref="O124">INDEX(Table1[riBAQ 41], MATCH(1, (Table3[[#This Row],[Gene names]:[Gene names]] = Table1[[Gene names]:[Gene names]])*1, 0))</f>
        <v>8.2700000000000004E-5</v>
      </c>
      <c r="P124" cm="1">
        <f t="array" ref="P124">INDEX(Table1[riBAQ 24], MATCH(1, (Table3[[#This Row],[Gene names]:[Gene names]] = Table1[[Gene names]:[Gene names]])*1, 0))</f>
        <v>1.08217E-4</v>
      </c>
      <c r="Q124" cm="1">
        <f t="array" ref="Q124">INDEX(Table1[riBAQ 25], MATCH(1, (Table3[[#This Row],[Gene names]:[Gene names]] = Table1[[Gene names]:[Gene names]])*1, 0))</f>
        <v>1.2383000000000001E-4</v>
      </c>
      <c r="R124" cm="1">
        <f t="array" ref="R124">INDEX(Table1[riBAQ 26], MATCH(1, (Table3[[#This Row],[Gene names]:[Gene names]] = Table1[[Gene names]:[Gene names]])*1, 0))</f>
        <v>1.4460100000000001E-4</v>
      </c>
      <c r="S124" cm="1">
        <f t="array" ref="S124">INDEX(Table1[riBAQ 42], MATCH(1, (Table3[[#This Row],[Gene names]:[Gene names]] = Table1[[Gene names]:[Gene names]])*1, 0))</f>
        <v>1.03064E-4</v>
      </c>
      <c r="T124" cm="1">
        <f t="array" ref="T124">INDEX(Table1[riBAQ 43], MATCH(1, (Table3[[#This Row],[Gene names]:[Gene names]] = Table1[[Gene names]:[Gene names]])*1, 0))</f>
        <v>1.13743E-4</v>
      </c>
    </row>
    <row r="125" spans="1:20" x14ac:dyDescent="0.25">
      <c r="A125" t="s">
        <v>1119</v>
      </c>
      <c r="B125" cm="1">
        <f t="array" ref="B125">INDEX(Table1[riBAQ 17], MATCH(1, (Table3[[#This Row],[Gene names]:[Gene names]] = Table1[[Gene names]:[Gene names]])*1, 0))</f>
        <v>8.2000000000000001E-5</v>
      </c>
      <c r="C125" cm="1">
        <f t="array" ref="C125">INDEX(Table1[riBAQ 18], MATCH(1, (Table3[[#This Row],[Gene names]:[Gene names]] = Table1[[Gene names]:[Gene names]])*1, 0))</f>
        <v>1.04552E-4</v>
      </c>
      <c r="D125" cm="1">
        <f t="array" ref="D125">INDEX(Table1[riBAQ 35], MATCH(1, (Table3[[#This Row],[Gene names]:[Gene names]] = Table1[[Gene names]:[Gene names]])*1, 0))</f>
        <v>0</v>
      </c>
      <c r="E125" cm="1">
        <f t="array" ref="E125">INDEX(Table1[riBAQ 36], MATCH(1, (Table3[[#This Row],[Gene names]:[Gene names]] = Table1[[Gene names]:[Gene names]])*1, 0))</f>
        <v>3.0899999999999999E-5</v>
      </c>
      <c r="F125" cm="1">
        <f t="array" ref="F125">INDEX(Table1[riBAQ 19], MATCH(1, (Table3[[#This Row],[Gene names]:[Gene names]] = Table1[[Gene names]:[Gene names]])*1, 0))</f>
        <v>0</v>
      </c>
      <c r="G125" cm="1">
        <f t="array" ref="G125">INDEX(Table1[riBAQ 20], MATCH(1, (Table3[[#This Row],[Gene names]:[Gene names]] = Table1[[Gene names]:[Gene names]])*1, 0))</f>
        <v>0</v>
      </c>
      <c r="H125" cm="1">
        <f t="array" ref="H125">INDEX(Table1[riBAQ 21], MATCH(1, (Table3[[#This Row],[Gene names]:[Gene names]] = Table1[[Gene names]:[Gene names]])*1, 0))</f>
        <v>1.01247E-4</v>
      </c>
      <c r="I125" cm="1">
        <f t="array" ref="I125">INDEX(Table1[riBAQ 22], MATCH(1, (Table3[[#This Row],[Gene names]:[Gene names]] = Table1[[Gene names]:[Gene names]])*1, 0))</f>
        <v>1.5743899999999999E-4</v>
      </c>
      <c r="J125" cm="1">
        <f t="array" ref="J125">INDEX(Table1[riBAQ 23], MATCH(1, (Table3[[#This Row],[Gene names]:[Gene names]] = Table1[[Gene names]:[Gene names]])*1, 0))</f>
        <v>1.3842300000000001E-4</v>
      </c>
      <c r="K125" cm="1">
        <f t="array" ref="K125">INDEX(Table1[riBAQ 37], MATCH(1, (Table3[[#This Row],[Gene names]:[Gene names]] = Table1[[Gene names]:[Gene names]])*1, 0))</f>
        <v>0</v>
      </c>
      <c r="L125" cm="1">
        <f t="array" ref="L125">INDEX(Table1[riBAQ 38], MATCH(1, (Table3[[#This Row],[Gene names]:[Gene names]] = Table1[[Gene names]:[Gene names]])*1, 0))</f>
        <v>0</v>
      </c>
      <c r="M125" cm="1">
        <f t="array" ref="M125">INDEX(Table1[riBAQ 39], MATCH(1, (Table3[[#This Row],[Gene names]:[Gene names]] = Table1[[Gene names]:[Gene names]])*1, 0))</f>
        <v>0</v>
      </c>
      <c r="N125" cm="1">
        <f t="array" ref="N125">INDEX(Table1[riBAQ 40], MATCH(1, (Table3[[#This Row],[Gene names]:[Gene names]] = Table1[[Gene names]:[Gene names]])*1, 0))</f>
        <v>0</v>
      </c>
      <c r="O125" cm="1">
        <f t="array" ref="O125">INDEX(Table1[riBAQ 41], MATCH(1, (Table3[[#This Row],[Gene names]:[Gene names]] = Table1[[Gene names]:[Gene names]])*1, 0))</f>
        <v>1.11604E-4</v>
      </c>
      <c r="P125" cm="1">
        <f t="array" ref="P125">INDEX(Table1[riBAQ 24], MATCH(1, (Table3[[#This Row],[Gene names]:[Gene names]] = Table1[[Gene names]:[Gene names]])*1, 0))</f>
        <v>2.5693899999999997E-4</v>
      </c>
      <c r="Q125" cm="1">
        <f t="array" ref="Q125">INDEX(Table1[riBAQ 25], MATCH(1, (Table3[[#This Row],[Gene names]:[Gene names]] = Table1[[Gene names]:[Gene names]])*1, 0))</f>
        <v>1.78433E-4</v>
      </c>
      <c r="R125" cm="1">
        <f t="array" ref="R125">INDEX(Table1[riBAQ 26], MATCH(1, (Table3[[#This Row],[Gene names]:[Gene names]] = Table1[[Gene names]:[Gene names]])*1, 0))</f>
        <v>5.3317999999999996E-4</v>
      </c>
      <c r="S125" cm="1">
        <f t="array" ref="S125">INDEX(Table1[riBAQ 42], MATCH(1, (Table3[[#This Row],[Gene names]:[Gene names]] = Table1[[Gene names]:[Gene names]])*1, 0))</f>
        <v>2.9598E-4</v>
      </c>
      <c r="T125" cm="1">
        <f t="array" ref="T125">INDEX(Table1[riBAQ 43], MATCH(1, (Table3[[#This Row],[Gene names]:[Gene names]] = Table1[[Gene names]:[Gene names]])*1, 0))</f>
        <v>1.5573099999999999E-4</v>
      </c>
    </row>
    <row r="126" spans="1:20" x14ac:dyDescent="0.25">
      <c r="A126" t="s">
        <v>120</v>
      </c>
      <c r="B126" cm="1">
        <f t="array" ref="B126">INDEX(Table1[riBAQ 17], MATCH(1, (Table3[[#This Row],[Gene names]:[Gene names]] = Table1[[Gene names]:[Gene names]])*1, 0))</f>
        <v>1.42E-5</v>
      </c>
      <c r="C126" cm="1">
        <f t="array" ref="C126">INDEX(Table1[riBAQ 18], MATCH(1, (Table3[[#This Row],[Gene names]:[Gene names]] = Table1[[Gene names]:[Gene names]])*1, 0))</f>
        <v>1.03E-5</v>
      </c>
      <c r="D126" cm="1">
        <f t="array" ref="D126">INDEX(Table1[riBAQ 35], MATCH(1, (Table3[[#This Row],[Gene names]:[Gene names]] = Table1[[Gene names]:[Gene names]])*1, 0))</f>
        <v>1.0699999999999999E-5</v>
      </c>
      <c r="E126" cm="1">
        <f t="array" ref="E126">INDEX(Table1[riBAQ 36], MATCH(1, (Table3[[#This Row],[Gene names]:[Gene names]] = Table1[[Gene names]:[Gene names]])*1, 0))</f>
        <v>1.5299999999999999E-5</v>
      </c>
      <c r="F126" cm="1">
        <f t="array" ref="F126">INDEX(Table1[riBAQ 19], MATCH(1, (Table3[[#This Row],[Gene names]:[Gene names]] = Table1[[Gene names]:[Gene names]])*1, 0))</f>
        <v>6.3400000000000003E-6</v>
      </c>
      <c r="G126" cm="1">
        <f t="array" ref="G126">INDEX(Table1[riBAQ 20], MATCH(1, (Table3[[#This Row],[Gene names]:[Gene names]] = Table1[[Gene names]:[Gene names]])*1, 0))</f>
        <v>0</v>
      </c>
      <c r="H126" cm="1">
        <f t="array" ref="H126">INDEX(Table1[riBAQ 21], MATCH(1, (Table3[[#This Row],[Gene names]:[Gene names]] = Table1[[Gene names]:[Gene names]])*1, 0))</f>
        <v>1.2799999999999999E-5</v>
      </c>
      <c r="I126" cm="1">
        <f t="array" ref="I126">INDEX(Table1[riBAQ 22], MATCH(1, (Table3[[#This Row],[Gene names]:[Gene names]] = Table1[[Gene names]:[Gene names]])*1, 0))</f>
        <v>1.4399999999999999E-5</v>
      </c>
      <c r="J126" cm="1">
        <f t="array" ref="J126">INDEX(Table1[riBAQ 23], MATCH(1, (Table3[[#This Row],[Gene names]:[Gene names]] = Table1[[Gene names]:[Gene names]])*1, 0))</f>
        <v>1.4E-5</v>
      </c>
      <c r="K126" cm="1">
        <f t="array" ref="K126">INDEX(Table1[riBAQ 37], MATCH(1, (Table3[[#This Row],[Gene names]:[Gene names]] = Table1[[Gene names]:[Gene names]])*1, 0))</f>
        <v>1.27E-5</v>
      </c>
      <c r="L126" cm="1">
        <f t="array" ref="L126">INDEX(Table1[riBAQ 38], MATCH(1, (Table3[[#This Row],[Gene names]:[Gene names]] = Table1[[Gene names]:[Gene names]])*1, 0))</f>
        <v>9.1200000000000008E-6</v>
      </c>
      <c r="M126" cm="1">
        <f t="array" ref="M126">INDEX(Table1[riBAQ 39], MATCH(1, (Table3[[#This Row],[Gene names]:[Gene names]] = Table1[[Gene names]:[Gene names]])*1, 0))</f>
        <v>1.8199999999999999E-5</v>
      </c>
      <c r="N126" cm="1">
        <f t="array" ref="N126">INDEX(Table1[riBAQ 40], MATCH(1, (Table3[[#This Row],[Gene names]:[Gene names]] = Table1[[Gene names]:[Gene names]])*1, 0))</f>
        <v>6.7900000000000002E-6</v>
      </c>
      <c r="O126" cm="1">
        <f t="array" ref="O126">INDEX(Table1[riBAQ 41], MATCH(1, (Table3[[#This Row],[Gene names]:[Gene names]] = Table1[[Gene names]:[Gene names]])*1, 0))</f>
        <v>9.3100000000000006E-6</v>
      </c>
      <c r="P126" cm="1">
        <f t="array" ref="P126">INDEX(Table1[riBAQ 24], MATCH(1, (Table3[[#This Row],[Gene names]:[Gene names]] = Table1[[Gene names]:[Gene names]])*1, 0))</f>
        <v>1.17E-5</v>
      </c>
      <c r="Q126" cm="1">
        <f t="array" ref="Q126">INDEX(Table1[riBAQ 25], MATCH(1, (Table3[[#This Row],[Gene names]:[Gene names]] = Table1[[Gene names]:[Gene names]])*1, 0))</f>
        <v>2.9099999999999999E-5</v>
      </c>
      <c r="R126" cm="1">
        <f t="array" ref="R126">INDEX(Table1[riBAQ 26], MATCH(1, (Table3[[#This Row],[Gene names]:[Gene names]] = Table1[[Gene names]:[Gene names]])*1, 0))</f>
        <v>2.2200000000000001E-5</v>
      </c>
      <c r="S126" cm="1">
        <f t="array" ref="S126">INDEX(Table1[riBAQ 42], MATCH(1, (Table3[[#This Row],[Gene names]:[Gene names]] = Table1[[Gene names]:[Gene names]])*1, 0))</f>
        <v>2.1500000000000001E-5</v>
      </c>
      <c r="T126" cm="1">
        <f t="array" ref="T126">INDEX(Table1[riBAQ 43], MATCH(1, (Table3[[#This Row],[Gene names]:[Gene names]] = Table1[[Gene names]:[Gene names]])*1, 0))</f>
        <v>3.3699999999999999E-5</v>
      </c>
    </row>
    <row r="127" spans="1:20" x14ac:dyDescent="0.25">
      <c r="A127" t="s">
        <v>725</v>
      </c>
      <c r="B127" cm="1">
        <f t="array" ref="B127">INDEX(Table1[riBAQ 17], MATCH(1, (Table3[[#This Row],[Gene names]:[Gene names]] = Table1[[Gene names]:[Gene names]])*1, 0))</f>
        <v>3.7200000000000003E-5</v>
      </c>
      <c r="C127" cm="1">
        <f t="array" ref="C127">INDEX(Table1[riBAQ 18], MATCH(1, (Table3[[#This Row],[Gene names]:[Gene names]] = Table1[[Gene names]:[Gene names]])*1, 0))</f>
        <v>4.2700000000000001E-5</v>
      </c>
      <c r="D127" cm="1">
        <f t="array" ref="D127">INDEX(Table1[riBAQ 35], MATCH(1, (Table3[[#This Row],[Gene names]:[Gene names]] = Table1[[Gene names]:[Gene names]])*1, 0))</f>
        <v>4.1999999999999998E-5</v>
      </c>
      <c r="E127" cm="1">
        <f t="array" ref="E127">INDEX(Table1[riBAQ 36], MATCH(1, (Table3[[#This Row],[Gene names]:[Gene names]] = Table1[[Gene names]:[Gene names]])*1, 0))</f>
        <v>4.8199999999999999E-5</v>
      </c>
      <c r="F127" cm="1">
        <f t="array" ref="F127">INDEX(Table1[riBAQ 19], MATCH(1, (Table3[[#This Row],[Gene names]:[Gene names]] = Table1[[Gene names]:[Gene names]])*1, 0))</f>
        <v>4.8699999999999998E-5</v>
      </c>
      <c r="G127" cm="1">
        <f t="array" ref="G127">INDEX(Table1[riBAQ 20], MATCH(1, (Table3[[#This Row],[Gene names]:[Gene names]] = Table1[[Gene names]:[Gene names]])*1, 0))</f>
        <v>7.0099999999999996E-5</v>
      </c>
      <c r="H127" cm="1">
        <f t="array" ref="H127">INDEX(Table1[riBAQ 21], MATCH(1, (Table3[[#This Row],[Gene names]:[Gene names]] = Table1[[Gene names]:[Gene names]])*1, 0))</f>
        <v>4.9599999999999999E-5</v>
      </c>
      <c r="I127" cm="1">
        <f t="array" ref="I127">INDEX(Table1[riBAQ 22], MATCH(1, (Table3[[#This Row],[Gene names]:[Gene names]] = Table1[[Gene names]:[Gene names]])*1, 0))</f>
        <v>3.2199999999999997E-5</v>
      </c>
      <c r="J127" cm="1">
        <f t="array" ref="J127">INDEX(Table1[riBAQ 23], MATCH(1, (Table3[[#This Row],[Gene names]:[Gene names]] = Table1[[Gene names]:[Gene names]])*1, 0))</f>
        <v>4.8399999999999997E-5</v>
      </c>
      <c r="K127" cm="1">
        <f t="array" ref="K127">INDEX(Table1[riBAQ 37], MATCH(1, (Table3[[#This Row],[Gene names]:[Gene names]] = Table1[[Gene names]:[Gene names]])*1, 0))</f>
        <v>4.6100000000000002E-5</v>
      </c>
      <c r="L127" cm="1">
        <f t="array" ref="L127">INDEX(Table1[riBAQ 38], MATCH(1, (Table3[[#This Row],[Gene names]:[Gene names]] = Table1[[Gene names]:[Gene names]])*1, 0))</f>
        <v>8.4800000000000001E-5</v>
      </c>
      <c r="M127" cm="1">
        <f t="array" ref="M127">INDEX(Table1[riBAQ 39], MATCH(1, (Table3[[#This Row],[Gene names]:[Gene names]] = Table1[[Gene names]:[Gene names]])*1, 0))</f>
        <v>2.48E-5</v>
      </c>
      <c r="N127" cm="1">
        <f t="array" ref="N127">INDEX(Table1[riBAQ 40], MATCH(1, (Table3[[#This Row],[Gene names]:[Gene names]] = Table1[[Gene names]:[Gene names]])*1, 0))</f>
        <v>3.3599999999999997E-5</v>
      </c>
      <c r="O127" cm="1">
        <f t="array" ref="O127">INDEX(Table1[riBAQ 41], MATCH(1, (Table3[[#This Row],[Gene names]:[Gene names]] = Table1[[Gene names]:[Gene names]])*1, 0))</f>
        <v>4.1E-5</v>
      </c>
      <c r="P127" cm="1">
        <f t="array" ref="P127">INDEX(Table1[riBAQ 24], MATCH(1, (Table3[[#This Row],[Gene names]:[Gene names]] = Table1[[Gene names]:[Gene names]])*1, 0))</f>
        <v>6.9200000000000002E-5</v>
      </c>
      <c r="Q127" cm="1">
        <f t="array" ref="Q127">INDEX(Table1[riBAQ 25], MATCH(1, (Table3[[#This Row],[Gene names]:[Gene names]] = Table1[[Gene names]:[Gene names]])*1, 0))</f>
        <v>1.6037899999999999E-4</v>
      </c>
      <c r="R127" cm="1">
        <f t="array" ref="R127">INDEX(Table1[riBAQ 26], MATCH(1, (Table3[[#This Row],[Gene names]:[Gene names]] = Table1[[Gene names]:[Gene names]])*1, 0))</f>
        <v>1.11693E-4</v>
      </c>
      <c r="S127" cm="1">
        <f t="array" ref="S127">INDEX(Table1[riBAQ 42], MATCH(1, (Table3[[#This Row],[Gene names]:[Gene names]] = Table1[[Gene names]:[Gene names]])*1, 0))</f>
        <v>3.2400000000000001E-5</v>
      </c>
      <c r="T127" cm="1">
        <f t="array" ref="T127">INDEX(Table1[riBAQ 43], MATCH(1, (Table3[[#This Row],[Gene names]:[Gene names]] = Table1[[Gene names]:[Gene names]])*1, 0))</f>
        <v>7.3399999999999995E-5</v>
      </c>
    </row>
    <row r="128" spans="1:20" x14ac:dyDescent="0.25">
      <c r="A128" t="s">
        <v>867</v>
      </c>
      <c r="B128" cm="1">
        <f t="array" ref="B128">INDEX(Table1[riBAQ 17], MATCH(1, (Table3[[#This Row],[Gene names]:[Gene names]] = Table1[[Gene names]:[Gene names]])*1, 0))</f>
        <v>1.88E-5</v>
      </c>
      <c r="C128" cm="1">
        <f t="array" ref="C128">INDEX(Table1[riBAQ 18], MATCH(1, (Table3[[#This Row],[Gene names]:[Gene names]] = Table1[[Gene names]:[Gene names]])*1, 0))</f>
        <v>1.2799999999999999E-5</v>
      </c>
      <c r="D128" cm="1">
        <f t="array" ref="D128">INDEX(Table1[riBAQ 35], MATCH(1, (Table3[[#This Row],[Gene names]:[Gene names]] = Table1[[Gene names]:[Gene names]])*1, 0))</f>
        <v>1.5400000000000002E-5</v>
      </c>
      <c r="E128" cm="1">
        <f t="array" ref="E128">INDEX(Table1[riBAQ 36], MATCH(1, (Table3[[#This Row],[Gene names]:[Gene names]] = Table1[[Gene names]:[Gene names]])*1, 0))</f>
        <v>1.7799999999999999E-5</v>
      </c>
      <c r="F128" cm="1">
        <f t="array" ref="F128">INDEX(Table1[riBAQ 19], MATCH(1, (Table3[[#This Row],[Gene names]:[Gene names]] = Table1[[Gene names]:[Gene names]])*1, 0))</f>
        <v>1.8700000000000001E-5</v>
      </c>
      <c r="G128" cm="1">
        <f t="array" ref="G128">INDEX(Table1[riBAQ 20], MATCH(1, (Table3[[#This Row],[Gene names]:[Gene names]] = Table1[[Gene names]:[Gene names]])*1, 0))</f>
        <v>0</v>
      </c>
      <c r="H128" cm="1">
        <f t="array" ref="H128">INDEX(Table1[riBAQ 21], MATCH(1, (Table3[[#This Row],[Gene names]:[Gene names]] = Table1[[Gene names]:[Gene names]])*1, 0))</f>
        <v>1.9000000000000001E-5</v>
      </c>
      <c r="I128" cm="1">
        <f t="array" ref="I128">INDEX(Table1[riBAQ 22], MATCH(1, (Table3[[#This Row],[Gene names]:[Gene names]] = Table1[[Gene names]:[Gene names]])*1, 0))</f>
        <v>2.1500000000000001E-5</v>
      </c>
      <c r="J128" cm="1">
        <f t="array" ref="J128">INDEX(Table1[riBAQ 23], MATCH(1, (Table3[[#This Row],[Gene names]:[Gene names]] = Table1[[Gene names]:[Gene names]])*1, 0))</f>
        <v>0</v>
      </c>
      <c r="K128" cm="1">
        <f t="array" ref="K128">INDEX(Table1[riBAQ 37], MATCH(1, (Table3[[#This Row],[Gene names]:[Gene names]] = Table1[[Gene names]:[Gene names]])*1, 0))</f>
        <v>1.88E-5</v>
      </c>
      <c r="L128" cm="1">
        <f t="array" ref="L128">INDEX(Table1[riBAQ 38], MATCH(1, (Table3[[#This Row],[Gene names]:[Gene names]] = Table1[[Gene names]:[Gene names]])*1, 0))</f>
        <v>7.1400000000000002E-6</v>
      </c>
      <c r="M128" cm="1">
        <f t="array" ref="M128">INDEX(Table1[riBAQ 39], MATCH(1, (Table3[[#This Row],[Gene names]:[Gene names]] = Table1[[Gene names]:[Gene names]])*1, 0))</f>
        <v>2.3099999999999999E-5</v>
      </c>
      <c r="N128" cm="1">
        <f t="array" ref="N128">INDEX(Table1[riBAQ 40], MATCH(1, (Table3[[#This Row],[Gene names]:[Gene names]] = Table1[[Gene names]:[Gene names]])*1, 0))</f>
        <v>1.45E-5</v>
      </c>
      <c r="O128" cm="1">
        <f t="array" ref="O128">INDEX(Table1[riBAQ 41], MATCH(1, (Table3[[#This Row],[Gene names]:[Gene names]] = Table1[[Gene names]:[Gene names]])*1, 0))</f>
        <v>1.52E-5</v>
      </c>
      <c r="P128" cm="1">
        <f t="array" ref="P128">INDEX(Table1[riBAQ 24], MATCH(1, (Table3[[#This Row],[Gene names]:[Gene names]] = Table1[[Gene names]:[Gene names]])*1, 0))</f>
        <v>3.0800000000000003E-5</v>
      </c>
      <c r="Q128" cm="1">
        <f t="array" ref="Q128">INDEX(Table1[riBAQ 25], MATCH(1, (Table3[[#This Row],[Gene names]:[Gene names]] = Table1[[Gene names]:[Gene names]])*1, 0))</f>
        <v>3.8600000000000003E-5</v>
      </c>
      <c r="R128" cm="1">
        <f t="array" ref="R128">INDEX(Table1[riBAQ 26], MATCH(1, (Table3[[#This Row],[Gene names]:[Gene names]] = Table1[[Gene names]:[Gene names]])*1, 0))</f>
        <v>3.04E-5</v>
      </c>
      <c r="S128" cm="1">
        <f t="array" ref="S128">INDEX(Table1[riBAQ 42], MATCH(1, (Table3[[#This Row],[Gene names]:[Gene names]] = Table1[[Gene names]:[Gene names]])*1, 0))</f>
        <v>3.4499999999999998E-5</v>
      </c>
      <c r="T128" cm="1">
        <f t="array" ref="T128">INDEX(Table1[riBAQ 43], MATCH(1, (Table3[[#This Row],[Gene names]:[Gene names]] = Table1[[Gene names]:[Gene names]])*1, 0))</f>
        <v>4.6999999999999997E-5</v>
      </c>
    </row>
    <row r="129" spans="1:20" x14ac:dyDescent="0.25">
      <c r="A129" t="s">
        <v>1161</v>
      </c>
      <c r="B129" cm="1">
        <f t="array" ref="B129">INDEX(Table1[riBAQ 17], MATCH(1, (Table3[[#This Row],[Gene names]:[Gene names]] = Table1[[Gene names]:[Gene names]])*1, 0))</f>
        <v>1.4908099999999999E-4</v>
      </c>
      <c r="C129" cm="1">
        <f t="array" ref="C129">INDEX(Table1[riBAQ 18], MATCH(1, (Table3[[#This Row],[Gene names]:[Gene names]] = Table1[[Gene names]:[Gene names]])*1, 0))</f>
        <v>2.11702E-4</v>
      </c>
      <c r="D129" cm="1">
        <f t="array" ref="D129">INDEX(Table1[riBAQ 35], MATCH(1, (Table3[[#This Row],[Gene names]:[Gene names]] = Table1[[Gene names]:[Gene names]])*1, 0))</f>
        <v>1.3670300000000001E-4</v>
      </c>
      <c r="E129" cm="1">
        <f t="array" ref="E129">INDEX(Table1[riBAQ 36], MATCH(1, (Table3[[#This Row],[Gene names]:[Gene names]] = Table1[[Gene names]:[Gene names]])*1, 0))</f>
        <v>1.3783600000000001E-4</v>
      </c>
      <c r="F129" cm="1">
        <f t="array" ref="F129">INDEX(Table1[riBAQ 19], MATCH(1, (Table3[[#This Row],[Gene names]:[Gene names]] = Table1[[Gene names]:[Gene names]])*1, 0))</f>
        <v>2.42432E-4</v>
      </c>
      <c r="G129" cm="1">
        <f t="array" ref="G129">INDEX(Table1[riBAQ 20], MATCH(1, (Table3[[#This Row],[Gene names]:[Gene names]] = Table1[[Gene names]:[Gene names]])*1, 0))</f>
        <v>2.23692E-4</v>
      </c>
      <c r="H129" cm="1">
        <f t="array" ref="H129">INDEX(Table1[riBAQ 21], MATCH(1, (Table3[[#This Row],[Gene names]:[Gene names]] = Table1[[Gene names]:[Gene names]])*1, 0))</f>
        <v>2.9633600000000002E-4</v>
      </c>
      <c r="I129" cm="1">
        <f t="array" ref="I129">INDEX(Table1[riBAQ 22], MATCH(1, (Table3[[#This Row],[Gene names]:[Gene names]] = Table1[[Gene names]:[Gene names]])*1, 0))</f>
        <v>3.0661099999999998E-4</v>
      </c>
      <c r="J129" cm="1">
        <f t="array" ref="J129">INDEX(Table1[riBAQ 23], MATCH(1, (Table3[[#This Row],[Gene names]:[Gene names]] = Table1[[Gene names]:[Gene names]])*1, 0))</f>
        <v>1.7322799999999999E-4</v>
      </c>
      <c r="K129" cm="1">
        <f t="array" ref="K129">INDEX(Table1[riBAQ 37], MATCH(1, (Table3[[#This Row],[Gene names]:[Gene names]] = Table1[[Gene names]:[Gene names]])*1, 0))</f>
        <v>1.7248900000000001E-4</v>
      </c>
      <c r="L129" cm="1">
        <f t="array" ref="L129">INDEX(Table1[riBAQ 38], MATCH(1, (Table3[[#This Row],[Gene names]:[Gene names]] = Table1[[Gene names]:[Gene names]])*1, 0))</f>
        <v>2.3841199999999999E-4</v>
      </c>
      <c r="M129" cm="1">
        <f t="array" ref="M129">INDEX(Table1[riBAQ 39], MATCH(1, (Table3[[#This Row],[Gene names]:[Gene names]] = Table1[[Gene names]:[Gene names]])*1, 0))</f>
        <v>1.5947300000000001E-4</v>
      </c>
      <c r="N129" cm="1">
        <f t="array" ref="N129">INDEX(Table1[riBAQ 40], MATCH(1, (Table3[[#This Row],[Gene names]:[Gene names]] = Table1[[Gene names]:[Gene names]])*1, 0))</f>
        <v>3.1403799999999999E-4</v>
      </c>
      <c r="O129" cm="1">
        <f t="array" ref="O129">INDEX(Table1[riBAQ 41], MATCH(1, (Table3[[#This Row],[Gene names]:[Gene names]] = Table1[[Gene names]:[Gene names]])*1, 0))</f>
        <v>1.72583E-4</v>
      </c>
      <c r="P129" cm="1">
        <f t="array" ref="P129">INDEX(Table1[riBAQ 24], MATCH(1, (Table3[[#This Row],[Gene names]:[Gene names]] = Table1[[Gene names]:[Gene names]])*1, 0))</f>
        <v>3.35605E-4</v>
      </c>
      <c r="Q129" cm="1">
        <f t="array" ref="Q129">INDEX(Table1[riBAQ 25], MATCH(1, (Table3[[#This Row],[Gene names]:[Gene names]] = Table1[[Gene names]:[Gene names]])*1, 0))</f>
        <v>3.9846499999999997E-4</v>
      </c>
      <c r="R129" cm="1">
        <f t="array" ref="R129">INDEX(Table1[riBAQ 26], MATCH(1, (Table3[[#This Row],[Gene names]:[Gene names]] = Table1[[Gene names]:[Gene names]])*1, 0))</f>
        <v>3.8690300000000002E-4</v>
      </c>
      <c r="S129" cm="1">
        <f t="array" ref="S129">INDEX(Table1[riBAQ 42], MATCH(1, (Table3[[#This Row],[Gene names]:[Gene names]] = Table1[[Gene names]:[Gene names]])*1, 0))</f>
        <v>5.70022E-4</v>
      </c>
      <c r="T129" cm="1">
        <f t="array" ref="T129">INDEX(Table1[riBAQ 43], MATCH(1, (Table3[[#This Row],[Gene names]:[Gene names]] = Table1[[Gene names]:[Gene names]])*1, 0))</f>
        <v>1.7988999999999999E-4</v>
      </c>
    </row>
    <row r="130" spans="1:20" x14ac:dyDescent="0.25">
      <c r="A130" t="s">
        <v>1738</v>
      </c>
      <c r="B130" cm="1">
        <f t="array" ref="B130">INDEX(Table1[riBAQ 17], MATCH(1, (Table3[[#This Row],[Gene names]:[Gene names]] = Table1[[Gene names]:[Gene names]])*1, 0))</f>
        <v>3.7200000000000003E-5</v>
      </c>
      <c r="C130" cm="1">
        <f t="array" ref="C130">INDEX(Table1[riBAQ 18], MATCH(1, (Table3[[#This Row],[Gene names]:[Gene names]] = Table1[[Gene names]:[Gene names]])*1, 0))</f>
        <v>6.6299999999999999E-5</v>
      </c>
      <c r="D130" cm="1">
        <f t="array" ref="D130">INDEX(Table1[riBAQ 35], MATCH(1, (Table3[[#This Row],[Gene names]:[Gene names]] = Table1[[Gene names]:[Gene names]])*1, 0))</f>
        <v>3.9199999999999997E-5</v>
      </c>
      <c r="E130" cm="1">
        <f t="array" ref="E130">INDEX(Table1[riBAQ 36], MATCH(1, (Table3[[#This Row],[Gene names]:[Gene names]] = Table1[[Gene names]:[Gene names]])*1, 0))</f>
        <v>4.3300000000000002E-5</v>
      </c>
      <c r="F130" cm="1">
        <f t="array" ref="F130">INDEX(Table1[riBAQ 19], MATCH(1, (Table3[[#This Row],[Gene names]:[Gene names]] = Table1[[Gene names]:[Gene names]])*1, 0))</f>
        <v>4.0299999999999997E-5</v>
      </c>
      <c r="G130" cm="1">
        <f t="array" ref="G130">INDEX(Table1[riBAQ 20], MATCH(1, (Table3[[#This Row],[Gene names]:[Gene names]] = Table1[[Gene names]:[Gene names]])*1, 0))</f>
        <v>4.5500000000000001E-5</v>
      </c>
      <c r="H130" cm="1">
        <f t="array" ref="H130">INDEX(Table1[riBAQ 21], MATCH(1, (Table3[[#This Row],[Gene names]:[Gene names]] = Table1[[Gene names]:[Gene names]])*1, 0))</f>
        <v>0</v>
      </c>
      <c r="I130" cm="1">
        <f t="array" ref="I130">INDEX(Table1[riBAQ 22], MATCH(1, (Table3[[#This Row],[Gene names]:[Gene names]] = Table1[[Gene names]:[Gene names]])*1, 0))</f>
        <v>4.7500000000000003E-5</v>
      </c>
      <c r="J130" cm="1">
        <f t="array" ref="J130">INDEX(Table1[riBAQ 23], MATCH(1, (Table3[[#This Row],[Gene names]:[Gene names]] = Table1[[Gene names]:[Gene names]])*1, 0))</f>
        <v>4.49E-5</v>
      </c>
      <c r="K130" cm="1">
        <f t="array" ref="K130">INDEX(Table1[riBAQ 37], MATCH(1, (Table3[[#This Row],[Gene names]:[Gene names]] = Table1[[Gene names]:[Gene names]])*1, 0))</f>
        <v>3.82E-5</v>
      </c>
      <c r="L130" cm="1">
        <f t="array" ref="L130">INDEX(Table1[riBAQ 38], MATCH(1, (Table3[[#This Row],[Gene names]:[Gene names]] = Table1[[Gene names]:[Gene names]])*1, 0))</f>
        <v>4.5399999999999999E-5</v>
      </c>
      <c r="M130" cm="1">
        <f t="array" ref="M130">INDEX(Table1[riBAQ 39], MATCH(1, (Table3[[#This Row],[Gene names]:[Gene names]] = Table1[[Gene names]:[Gene names]])*1, 0))</f>
        <v>2.5400000000000001E-5</v>
      </c>
      <c r="N130" cm="1">
        <f t="array" ref="N130">INDEX(Table1[riBAQ 40], MATCH(1, (Table3[[#This Row],[Gene names]:[Gene names]] = Table1[[Gene names]:[Gene names]])*1, 0))</f>
        <v>5.1E-5</v>
      </c>
      <c r="O130" cm="1">
        <f t="array" ref="O130">INDEX(Table1[riBAQ 41], MATCH(1, (Table3[[#This Row],[Gene names]:[Gene names]] = Table1[[Gene names]:[Gene names]])*1, 0))</f>
        <v>3.2400000000000001E-5</v>
      </c>
      <c r="P130" cm="1">
        <f t="array" ref="P130">INDEX(Table1[riBAQ 24], MATCH(1, (Table3[[#This Row],[Gene names]:[Gene names]] = Table1[[Gene names]:[Gene names]])*1, 0))</f>
        <v>3.8099999999999998E-5</v>
      </c>
      <c r="Q130" cm="1">
        <f t="array" ref="Q130">INDEX(Table1[riBAQ 25], MATCH(1, (Table3[[#This Row],[Gene names]:[Gene names]] = Table1[[Gene names]:[Gene names]])*1, 0))</f>
        <v>0</v>
      </c>
      <c r="R130" cm="1">
        <f t="array" ref="R130">INDEX(Table1[riBAQ 26], MATCH(1, (Table3[[#This Row],[Gene names]:[Gene names]] = Table1[[Gene names]:[Gene names]])*1, 0))</f>
        <v>2.4600000000000002E-5</v>
      </c>
      <c r="S130" cm="1">
        <f t="array" ref="S130">INDEX(Table1[riBAQ 42], MATCH(1, (Table3[[#This Row],[Gene names]:[Gene names]] = Table1[[Gene names]:[Gene names]])*1, 0))</f>
        <v>1.59E-5</v>
      </c>
      <c r="T130" cm="1">
        <f t="array" ref="T130">INDEX(Table1[riBAQ 43], MATCH(1, (Table3[[#This Row],[Gene names]:[Gene names]] = Table1[[Gene names]:[Gene names]])*1, 0))</f>
        <v>0</v>
      </c>
    </row>
    <row r="131" spans="1:20" x14ac:dyDescent="0.25">
      <c r="A131" t="s">
        <v>1777</v>
      </c>
      <c r="B131" cm="1">
        <f t="array" ref="B131">INDEX(Table1[riBAQ 17], MATCH(1, (Table3[[#This Row],[Gene names]:[Gene names]] = Table1[[Gene names]:[Gene names]])*1, 0))</f>
        <v>0</v>
      </c>
      <c r="C131" cm="1">
        <f t="array" ref="C131">INDEX(Table1[riBAQ 18], MATCH(1, (Table3[[#This Row],[Gene names]:[Gene names]] = Table1[[Gene names]:[Gene names]])*1, 0))</f>
        <v>0</v>
      </c>
      <c r="D131" cm="1">
        <f t="array" ref="D131">INDEX(Table1[riBAQ 35], MATCH(1, (Table3[[#This Row],[Gene names]:[Gene names]] = Table1[[Gene names]:[Gene names]])*1, 0))</f>
        <v>0</v>
      </c>
      <c r="E131" cm="1">
        <f t="array" ref="E131">INDEX(Table1[riBAQ 36], MATCH(1, (Table3[[#This Row],[Gene names]:[Gene names]] = Table1[[Gene names]:[Gene names]])*1, 0))</f>
        <v>0</v>
      </c>
      <c r="F131" cm="1">
        <f t="array" ref="F131">INDEX(Table1[riBAQ 19], MATCH(1, (Table3[[#This Row],[Gene names]:[Gene names]] = Table1[[Gene names]:[Gene names]])*1, 0))</f>
        <v>5.2299999999999997E-5</v>
      </c>
      <c r="G131" cm="1">
        <f t="array" ref="G131">INDEX(Table1[riBAQ 20], MATCH(1, (Table3[[#This Row],[Gene names]:[Gene names]] = Table1[[Gene names]:[Gene names]])*1, 0))</f>
        <v>8.2799999999999993E-5</v>
      </c>
      <c r="H131" cm="1">
        <f t="array" ref="H131">INDEX(Table1[riBAQ 21], MATCH(1, (Table3[[#This Row],[Gene names]:[Gene names]] = Table1[[Gene names]:[Gene names]])*1, 0))</f>
        <v>4.1499999999999999E-5</v>
      </c>
      <c r="I131" cm="1">
        <f t="array" ref="I131">INDEX(Table1[riBAQ 22], MATCH(1, (Table3[[#This Row],[Gene names]:[Gene names]] = Table1[[Gene names]:[Gene names]])*1, 0))</f>
        <v>4.3999999999999999E-5</v>
      </c>
      <c r="J131" cm="1">
        <f t="array" ref="J131">INDEX(Table1[riBAQ 23], MATCH(1, (Table3[[#This Row],[Gene names]:[Gene names]] = Table1[[Gene names]:[Gene names]])*1, 0))</f>
        <v>6.5500000000000006E-5</v>
      </c>
      <c r="K131" cm="1">
        <f t="array" ref="K131">INDEX(Table1[riBAQ 37], MATCH(1, (Table3[[#This Row],[Gene names]:[Gene names]] = Table1[[Gene names]:[Gene names]])*1, 0))</f>
        <v>4.3699999999999998E-5</v>
      </c>
      <c r="L131" cm="1">
        <f t="array" ref="L131">INDEX(Table1[riBAQ 38], MATCH(1, (Table3[[#This Row],[Gene names]:[Gene names]] = Table1[[Gene names]:[Gene names]])*1, 0))</f>
        <v>0</v>
      </c>
      <c r="M131" cm="1">
        <f t="array" ref="M131">INDEX(Table1[riBAQ 39], MATCH(1, (Table3[[#This Row],[Gene names]:[Gene names]] = Table1[[Gene names]:[Gene names]])*1, 0))</f>
        <v>0</v>
      </c>
      <c r="N131" cm="1">
        <f t="array" ref="N131">INDEX(Table1[riBAQ 40], MATCH(1, (Table3[[#This Row],[Gene names]:[Gene names]] = Table1[[Gene names]:[Gene names]])*1, 0))</f>
        <v>3.5599999999999998E-5</v>
      </c>
      <c r="O131" cm="1">
        <f t="array" ref="O131">INDEX(Table1[riBAQ 41], MATCH(1, (Table3[[#This Row],[Gene names]:[Gene names]] = Table1[[Gene names]:[Gene names]])*1, 0))</f>
        <v>0</v>
      </c>
      <c r="P131" cm="1">
        <f t="array" ref="P131">INDEX(Table1[riBAQ 24], MATCH(1, (Table3[[#This Row],[Gene names]:[Gene names]] = Table1[[Gene names]:[Gene names]])*1, 0))</f>
        <v>1.5967800000000001E-4</v>
      </c>
      <c r="Q131" cm="1">
        <f t="array" ref="Q131">INDEX(Table1[riBAQ 25], MATCH(1, (Table3[[#This Row],[Gene names]:[Gene names]] = Table1[[Gene names]:[Gene names]])*1, 0))</f>
        <v>4.9234400000000003E-4</v>
      </c>
      <c r="R131" cm="1">
        <f t="array" ref="R131">INDEX(Table1[riBAQ 26], MATCH(1, (Table3[[#This Row],[Gene names]:[Gene names]] = Table1[[Gene names]:[Gene names]])*1, 0))</f>
        <v>2.8023700000000002E-4</v>
      </c>
      <c r="S131" cm="1">
        <f t="array" ref="S131">INDEX(Table1[riBAQ 42], MATCH(1, (Table3[[#This Row],[Gene names]:[Gene names]] = Table1[[Gene names]:[Gene names]])*1, 0))</f>
        <v>1.08115E-4</v>
      </c>
      <c r="T131" cm="1">
        <f t="array" ref="T131">INDEX(Table1[riBAQ 43], MATCH(1, (Table3[[#This Row],[Gene names]:[Gene names]] = Table1[[Gene names]:[Gene names]])*1, 0))</f>
        <v>5.9034099999999998E-4</v>
      </c>
    </row>
    <row r="132" spans="1:20" x14ac:dyDescent="0.25">
      <c r="A132" t="s">
        <v>759</v>
      </c>
      <c r="B132" cm="1">
        <f t="array" ref="B132">INDEX(Table1[riBAQ 17], MATCH(1, (Table3[[#This Row],[Gene names]:[Gene names]] = Table1[[Gene names]:[Gene names]])*1, 0))</f>
        <v>0</v>
      </c>
      <c r="C132" cm="1">
        <f t="array" ref="C132">INDEX(Table1[riBAQ 18], MATCH(1, (Table3[[#This Row],[Gene names]:[Gene names]] = Table1[[Gene names]:[Gene names]])*1, 0))</f>
        <v>0</v>
      </c>
      <c r="D132" cm="1">
        <f t="array" ref="D132">INDEX(Table1[riBAQ 35], MATCH(1, (Table3[[#This Row],[Gene names]:[Gene names]] = Table1[[Gene names]:[Gene names]])*1, 0))</f>
        <v>0</v>
      </c>
      <c r="E132" cm="1">
        <f t="array" ref="E132">INDEX(Table1[riBAQ 36], MATCH(1, (Table3[[#This Row],[Gene names]:[Gene names]] = Table1[[Gene names]:[Gene names]])*1, 0))</f>
        <v>0</v>
      </c>
      <c r="F132" cm="1">
        <f t="array" ref="F132">INDEX(Table1[riBAQ 19], MATCH(1, (Table3[[#This Row],[Gene names]:[Gene names]] = Table1[[Gene names]:[Gene names]])*1, 0))</f>
        <v>0</v>
      </c>
      <c r="G132" cm="1">
        <f t="array" ref="G132">INDEX(Table1[riBAQ 20], MATCH(1, (Table3[[#This Row],[Gene names]:[Gene names]] = Table1[[Gene names]:[Gene names]])*1, 0))</f>
        <v>0</v>
      </c>
      <c r="H132" cm="1">
        <f t="array" ref="H132">INDEX(Table1[riBAQ 21], MATCH(1, (Table3[[#This Row],[Gene names]:[Gene names]] = Table1[[Gene names]:[Gene names]])*1, 0))</f>
        <v>0</v>
      </c>
      <c r="I132" cm="1">
        <f t="array" ref="I132">INDEX(Table1[riBAQ 22], MATCH(1, (Table3[[#This Row],[Gene names]:[Gene names]] = Table1[[Gene names]:[Gene names]])*1, 0))</f>
        <v>0</v>
      </c>
      <c r="J132" cm="1">
        <f t="array" ref="J132">INDEX(Table1[riBAQ 23], MATCH(1, (Table3[[#This Row],[Gene names]:[Gene names]] = Table1[[Gene names]:[Gene names]])*1, 0))</f>
        <v>0</v>
      </c>
      <c r="K132" cm="1">
        <f t="array" ref="K132">INDEX(Table1[riBAQ 37], MATCH(1, (Table3[[#This Row],[Gene names]:[Gene names]] = Table1[[Gene names]:[Gene names]])*1, 0))</f>
        <v>0</v>
      </c>
      <c r="L132" cm="1">
        <f t="array" ref="L132">INDEX(Table1[riBAQ 38], MATCH(1, (Table3[[#This Row],[Gene names]:[Gene names]] = Table1[[Gene names]:[Gene names]])*1, 0))</f>
        <v>0</v>
      </c>
      <c r="M132" cm="1">
        <f t="array" ref="M132">INDEX(Table1[riBAQ 39], MATCH(1, (Table3[[#This Row],[Gene names]:[Gene names]] = Table1[[Gene names]:[Gene names]])*1, 0))</f>
        <v>0</v>
      </c>
      <c r="N132" cm="1">
        <f t="array" ref="N132">INDEX(Table1[riBAQ 40], MATCH(1, (Table3[[#This Row],[Gene names]:[Gene names]] = Table1[[Gene names]:[Gene names]])*1, 0))</f>
        <v>0</v>
      </c>
      <c r="O132" cm="1">
        <f t="array" ref="O132">INDEX(Table1[riBAQ 41], MATCH(1, (Table3[[#This Row],[Gene names]:[Gene names]] = Table1[[Gene names]:[Gene names]])*1, 0))</f>
        <v>0</v>
      </c>
      <c r="P132" cm="1">
        <f t="array" ref="P132">INDEX(Table1[riBAQ 24], MATCH(1, (Table3[[#This Row],[Gene names]:[Gene names]] = Table1[[Gene names]:[Gene names]])*1, 0))</f>
        <v>0</v>
      </c>
      <c r="Q132" cm="1">
        <f t="array" ref="Q132">INDEX(Table1[riBAQ 25], MATCH(1, (Table3[[#This Row],[Gene names]:[Gene names]] = Table1[[Gene names]:[Gene names]])*1, 0))</f>
        <v>7.8599999999999993E-6</v>
      </c>
      <c r="R132" cm="1">
        <f t="array" ref="R132">INDEX(Table1[riBAQ 26], MATCH(1, (Table3[[#This Row],[Gene names]:[Gene names]] = Table1[[Gene names]:[Gene names]])*1, 0))</f>
        <v>1.63E-5</v>
      </c>
      <c r="S132" cm="1">
        <f t="array" ref="S132">INDEX(Table1[riBAQ 42], MATCH(1, (Table3[[#This Row],[Gene names]:[Gene names]] = Table1[[Gene names]:[Gene names]])*1, 0))</f>
        <v>2.0699999999999998E-5</v>
      </c>
      <c r="T132" cm="1">
        <f t="array" ref="T132">INDEX(Table1[riBAQ 43], MATCH(1, (Table3[[#This Row],[Gene names]:[Gene names]] = Table1[[Gene names]:[Gene names]])*1, 0))</f>
        <v>1.4100000000000001E-5</v>
      </c>
    </row>
    <row r="133" spans="1:20" x14ac:dyDescent="0.25">
      <c r="A133" t="s">
        <v>1776</v>
      </c>
      <c r="B133" cm="1">
        <f t="array" ref="B133">INDEX(Table1[riBAQ 17], MATCH(1, (Table3[[#This Row],[Gene names]:[Gene names]] = Table1[[Gene names]:[Gene names]])*1, 0))</f>
        <v>7.5699999999999997E-5</v>
      </c>
      <c r="C133" cm="1">
        <f t="array" ref="C133">INDEX(Table1[riBAQ 18], MATCH(1, (Table3[[#This Row],[Gene names]:[Gene names]] = Table1[[Gene names]:[Gene names]])*1, 0))</f>
        <v>2.5400000000000001E-5</v>
      </c>
      <c r="D133" cm="1">
        <f t="array" ref="D133">INDEX(Table1[riBAQ 35], MATCH(1, (Table3[[#This Row],[Gene names]:[Gene names]] = Table1[[Gene names]:[Gene names]])*1, 0))</f>
        <v>1.84E-5</v>
      </c>
      <c r="E133" cm="1">
        <f t="array" ref="E133">INDEX(Table1[riBAQ 36], MATCH(1, (Table3[[#This Row],[Gene names]:[Gene names]] = Table1[[Gene names]:[Gene names]])*1, 0))</f>
        <v>2.0400000000000001E-5</v>
      </c>
      <c r="F133" cm="1">
        <f t="array" ref="F133">INDEX(Table1[riBAQ 19], MATCH(1, (Table3[[#This Row],[Gene names]:[Gene names]] = Table1[[Gene names]:[Gene names]])*1, 0))</f>
        <v>1.3395799999999999E-4</v>
      </c>
      <c r="G133" cm="1">
        <f t="array" ref="G133">INDEX(Table1[riBAQ 20], MATCH(1, (Table3[[#This Row],[Gene names]:[Gene names]] = Table1[[Gene names]:[Gene names]])*1, 0))</f>
        <v>1.94895E-4</v>
      </c>
      <c r="H133" cm="1">
        <f t="array" ref="H133">INDEX(Table1[riBAQ 21], MATCH(1, (Table3[[#This Row],[Gene names]:[Gene names]] = Table1[[Gene names]:[Gene names]])*1, 0))</f>
        <v>1.4581300000000001E-4</v>
      </c>
      <c r="I133" cm="1">
        <f t="array" ref="I133">INDEX(Table1[riBAQ 22], MATCH(1, (Table3[[#This Row],[Gene names]:[Gene names]] = Table1[[Gene names]:[Gene names]])*1, 0))</f>
        <v>1.5102799999999999E-4</v>
      </c>
      <c r="J133" cm="1">
        <f t="array" ref="J133">INDEX(Table1[riBAQ 23], MATCH(1, (Table3[[#This Row],[Gene names]:[Gene names]] = Table1[[Gene names]:[Gene names]])*1, 0))</f>
        <v>1.2657200000000001E-4</v>
      </c>
      <c r="K133" cm="1">
        <f t="array" ref="K133">INDEX(Table1[riBAQ 37], MATCH(1, (Table3[[#This Row],[Gene names]:[Gene names]] = Table1[[Gene names]:[Gene names]])*1, 0))</f>
        <v>1.36441E-4</v>
      </c>
      <c r="L133" cm="1">
        <f t="array" ref="L133">INDEX(Table1[riBAQ 38], MATCH(1, (Table3[[#This Row],[Gene names]:[Gene names]] = Table1[[Gene names]:[Gene names]])*1, 0))</f>
        <v>6.69E-5</v>
      </c>
      <c r="M133" cm="1">
        <f t="array" ref="M133">INDEX(Table1[riBAQ 39], MATCH(1, (Table3[[#This Row],[Gene names]:[Gene names]] = Table1[[Gene names]:[Gene names]])*1, 0))</f>
        <v>7.0400000000000004E-5</v>
      </c>
      <c r="N133" cm="1">
        <f t="array" ref="N133">INDEX(Table1[riBAQ 40], MATCH(1, (Table3[[#This Row],[Gene names]:[Gene names]] = Table1[[Gene names]:[Gene names]])*1, 0))</f>
        <v>5.5000000000000002E-5</v>
      </c>
      <c r="O133" cm="1">
        <f t="array" ref="O133">INDEX(Table1[riBAQ 41], MATCH(1, (Table3[[#This Row],[Gene names]:[Gene names]] = Table1[[Gene names]:[Gene names]])*1, 0))</f>
        <v>3.3899999999999997E-5</v>
      </c>
      <c r="P133" cm="1">
        <f t="array" ref="P133">INDEX(Table1[riBAQ 24], MATCH(1, (Table3[[#This Row],[Gene names]:[Gene names]] = Table1[[Gene names]:[Gene names]])*1, 0))</f>
        <v>3.4619300000000001E-4</v>
      </c>
      <c r="Q133" cm="1">
        <f t="array" ref="Q133">INDEX(Table1[riBAQ 25], MATCH(1, (Table3[[#This Row],[Gene names]:[Gene names]] = Table1[[Gene names]:[Gene names]])*1, 0))</f>
        <v>9.2403799999999996E-4</v>
      </c>
      <c r="R133" cm="1">
        <f t="array" ref="R133">INDEX(Table1[riBAQ 26], MATCH(1, (Table3[[#This Row],[Gene names]:[Gene names]] = Table1[[Gene names]:[Gene names]])*1, 0))</f>
        <v>7.5156099999999998E-4</v>
      </c>
      <c r="S133" cm="1">
        <f t="array" ref="S133">INDEX(Table1[riBAQ 42], MATCH(1, (Table3[[#This Row],[Gene names]:[Gene names]] = Table1[[Gene names]:[Gene names]])*1, 0))</f>
        <v>3.07421E-4</v>
      </c>
      <c r="T133" cm="1">
        <f t="array" ref="T133">INDEX(Table1[riBAQ 43], MATCH(1, (Table3[[#This Row],[Gene names]:[Gene names]] = Table1[[Gene names]:[Gene names]])*1, 0))</f>
        <v>1.4680990000000001E-3</v>
      </c>
    </row>
    <row r="134" spans="1:20" x14ac:dyDescent="0.25">
      <c r="A134" t="s">
        <v>1737</v>
      </c>
      <c r="B134" cm="1">
        <f t="array" ref="B134">INDEX(Table1[riBAQ 17], MATCH(1, (Table3[[#This Row],[Gene names]:[Gene names]] = Table1[[Gene names]:[Gene names]])*1, 0))</f>
        <v>2.8399999999999999E-5</v>
      </c>
      <c r="C134" cm="1">
        <f t="array" ref="C134">INDEX(Table1[riBAQ 18], MATCH(1, (Table3[[#This Row],[Gene names]:[Gene names]] = Table1[[Gene names]:[Gene names]])*1, 0))</f>
        <v>0</v>
      </c>
      <c r="D134" cm="1">
        <f t="array" ref="D134">INDEX(Table1[riBAQ 35], MATCH(1, (Table3[[#This Row],[Gene names]:[Gene names]] = Table1[[Gene names]:[Gene names]])*1, 0))</f>
        <v>0</v>
      </c>
      <c r="E134" cm="1">
        <f t="array" ref="E134">INDEX(Table1[riBAQ 36], MATCH(1, (Table3[[#This Row],[Gene names]:[Gene names]] = Table1[[Gene names]:[Gene names]])*1, 0))</f>
        <v>0</v>
      </c>
      <c r="F134" cm="1">
        <f t="array" ref="F134">INDEX(Table1[riBAQ 19], MATCH(1, (Table3[[#This Row],[Gene names]:[Gene names]] = Table1[[Gene names]:[Gene names]])*1, 0))</f>
        <v>0</v>
      </c>
      <c r="G134" cm="1">
        <f t="array" ref="G134">INDEX(Table1[riBAQ 20], MATCH(1, (Table3[[#This Row],[Gene names]:[Gene names]] = Table1[[Gene names]:[Gene names]])*1, 0))</f>
        <v>0</v>
      </c>
      <c r="H134" cm="1">
        <f t="array" ref="H134">INDEX(Table1[riBAQ 21], MATCH(1, (Table3[[#This Row],[Gene names]:[Gene names]] = Table1[[Gene names]:[Gene names]])*1, 0))</f>
        <v>0</v>
      </c>
      <c r="I134" cm="1">
        <f t="array" ref="I134">INDEX(Table1[riBAQ 22], MATCH(1, (Table3[[#This Row],[Gene names]:[Gene names]] = Table1[[Gene names]:[Gene names]])*1, 0))</f>
        <v>0</v>
      </c>
      <c r="J134" cm="1">
        <f t="array" ref="J134">INDEX(Table1[riBAQ 23], MATCH(1, (Table3[[#This Row],[Gene names]:[Gene names]] = Table1[[Gene names]:[Gene names]])*1, 0))</f>
        <v>2.8500000000000002E-5</v>
      </c>
      <c r="K134" cm="1">
        <f t="array" ref="K134">INDEX(Table1[riBAQ 37], MATCH(1, (Table3[[#This Row],[Gene names]:[Gene names]] = Table1[[Gene names]:[Gene names]])*1, 0))</f>
        <v>0</v>
      </c>
      <c r="L134" cm="1">
        <f t="array" ref="L134">INDEX(Table1[riBAQ 38], MATCH(1, (Table3[[#This Row],[Gene names]:[Gene names]] = Table1[[Gene names]:[Gene names]])*1, 0))</f>
        <v>0</v>
      </c>
      <c r="M134" cm="1">
        <f t="array" ref="M134">INDEX(Table1[riBAQ 39], MATCH(1, (Table3[[#This Row],[Gene names]:[Gene names]] = Table1[[Gene names]:[Gene names]])*1, 0))</f>
        <v>2.34E-5</v>
      </c>
      <c r="N134" cm="1">
        <f t="array" ref="N134">INDEX(Table1[riBAQ 40], MATCH(1, (Table3[[#This Row],[Gene names]:[Gene names]] = Table1[[Gene names]:[Gene names]])*1, 0))</f>
        <v>3.4900000000000001E-5</v>
      </c>
      <c r="O134" cm="1">
        <f t="array" ref="O134">INDEX(Table1[riBAQ 41], MATCH(1, (Table3[[#This Row],[Gene names]:[Gene names]] = Table1[[Gene names]:[Gene names]])*1, 0))</f>
        <v>2.4000000000000001E-5</v>
      </c>
      <c r="P134" cm="1">
        <f t="array" ref="P134">INDEX(Table1[riBAQ 24], MATCH(1, (Table3[[#This Row],[Gene names]:[Gene names]] = Table1[[Gene names]:[Gene names]])*1, 0))</f>
        <v>0</v>
      </c>
      <c r="Q134" cm="1">
        <f t="array" ref="Q134">INDEX(Table1[riBAQ 25], MATCH(1, (Table3[[#This Row],[Gene names]:[Gene names]] = Table1[[Gene names]:[Gene names]])*1, 0))</f>
        <v>1.4406400000000001E-4</v>
      </c>
      <c r="R134" cm="1">
        <f t="array" ref="R134">INDEX(Table1[riBAQ 26], MATCH(1, (Table3[[#This Row],[Gene names]:[Gene names]] = Table1[[Gene names]:[Gene names]])*1, 0))</f>
        <v>8.9699999999999998E-5</v>
      </c>
      <c r="S134" cm="1">
        <f t="array" ref="S134">INDEX(Table1[riBAQ 42], MATCH(1, (Table3[[#This Row],[Gene names]:[Gene names]] = Table1[[Gene names]:[Gene names]])*1, 0))</f>
        <v>7.2200000000000007E-5</v>
      </c>
      <c r="T134" cm="1">
        <f t="array" ref="T134">INDEX(Table1[riBAQ 43], MATCH(1, (Table3[[#This Row],[Gene names]:[Gene names]] = Table1[[Gene names]:[Gene names]])*1, 0))</f>
        <v>1.0188600000000001E-4</v>
      </c>
    </row>
    <row r="135" spans="1:20" x14ac:dyDescent="0.25">
      <c r="A135" t="s">
        <v>1775</v>
      </c>
      <c r="B135" cm="1">
        <f t="array" ref="B135">INDEX(Table1[riBAQ 17], MATCH(1, (Table3[[#This Row],[Gene names]:[Gene names]] = Table1[[Gene names]:[Gene names]])*1, 0))</f>
        <v>1.07995E-4</v>
      </c>
      <c r="C135" cm="1">
        <f t="array" ref="C135">INDEX(Table1[riBAQ 18], MATCH(1, (Table3[[#This Row],[Gene names]:[Gene names]] = Table1[[Gene names]:[Gene names]])*1, 0))</f>
        <v>2.6299999999999999E-5</v>
      </c>
      <c r="D135" cm="1">
        <f t="array" ref="D135">INDEX(Table1[riBAQ 35], MATCH(1, (Table3[[#This Row],[Gene names]:[Gene names]] = Table1[[Gene names]:[Gene names]])*1, 0))</f>
        <v>2.4199999999999999E-5</v>
      </c>
      <c r="E135" cm="1">
        <f t="array" ref="E135">INDEX(Table1[riBAQ 36], MATCH(1, (Table3[[#This Row],[Gene names]:[Gene names]] = Table1[[Gene names]:[Gene names]])*1, 0))</f>
        <v>3.4799999999999999E-5</v>
      </c>
      <c r="F135" cm="1">
        <f t="array" ref="F135">INDEX(Table1[riBAQ 19], MATCH(1, (Table3[[#This Row],[Gene names]:[Gene names]] = Table1[[Gene names]:[Gene names]])*1, 0))</f>
        <v>2.01776E-4</v>
      </c>
      <c r="G135" cm="1">
        <f t="array" ref="G135">INDEX(Table1[riBAQ 20], MATCH(1, (Table3[[#This Row],[Gene names]:[Gene names]] = Table1[[Gene names]:[Gene names]])*1, 0))</f>
        <v>2.6389799999999999E-4</v>
      </c>
      <c r="H135" cm="1">
        <f t="array" ref="H135">INDEX(Table1[riBAQ 21], MATCH(1, (Table3[[#This Row],[Gene names]:[Gene names]] = Table1[[Gene names]:[Gene names]])*1, 0))</f>
        <v>1.3773400000000001E-4</v>
      </c>
      <c r="I135" cm="1">
        <f t="array" ref="I135">INDEX(Table1[riBAQ 22], MATCH(1, (Table3[[#This Row],[Gene names]:[Gene names]] = Table1[[Gene names]:[Gene names]])*1, 0))</f>
        <v>1.38949E-4</v>
      </c>
      <c r="J135" cm="1">
        <f t="array" ref="J135">INDEX(Table1[riBAQ 23], MATCH(1, (Table3[[#This Row],[Gene names]:[Gene names]] = Table1[[Gene names]:[Gene names]])*1, 0))</f>
        <v>1.3103E-4</v>
      </c>
      <c r="K135" cm="1">
        <f t="array" ref="K135">INDEX(Table1[riBAQ 37], MATCH(1, (Table3[[#This Row],[Gene names]:[Gene names]] = Table1[[Gene names]:[Gene names]])*1, 0))</f>
        <v>1.9486899999999999E-4</v>
      </c>
      <c r="L135" cm="1">
        <f t="array" ref="L135">INDEX(Table1[riBAQ 38], MATCH(1, (Table3[[#This Row],[Gene names]:[Gene names]] = Table1[[Gene names]:[Gene names]])*1, 0))</f>
        <v>6.0300000000000002E-5</v>
      </c>
      <c r="M135" cm="1">
        <f t="array" ref="M135">INDEX(Table1[riBAQ 39], MATCH(1, (Table3[[#This Row],[Gene names]:[Gene names]] = Table1[[Gene names]:[Gene names]])*1, 0))</f>
        <v>7.7600000000000002E-5</v>
      </c>
      <c r="N135" cm="1">
        <f t="array" ref="N135">INDEX(Table1[riBAQ 40], MATCH(1, (Table3[[#This Row],[Gene names]:[Gene names]] = Table1[[Gene names]:[Gene names]])*1, 0))</f>
        <v>7.0500000000000006E-5</v>
      </c>
      <c r="O135" cm="1">
        <f t="array" ref="O135">INDEX(Table1[riBAQ 41], MATCH(1, (Table3[[#This Row],[Gene names]:[Gene names]] = Table1[[Gene names]:[Gene names]])*1, 0))</f>
        <v>3.2799999999999998E-5</v>
      </c>
      <c r="P135" cm="1">
        <f t="array" ref="P135">INDEX(Table1[riBAQ 24], MATCH(1, (Table3[[#This Row],[Gene names]:[Gene names]] = Table1[[Gene names]:[Gene names]])*1, 0))</f>
        <v>4.1629999999999998E-4</v>
      </c>
      <c r="Q135" cm="1">
        <f t="array" ref="Q135">INDEX(Table1[riBAQ 25], MATCH(1, (Table3[[#This Row],[Gene names]:[Gene names]] = Table1[[Gene names]:[Gene names]])*1, 0))</f>
        <v>1.1349699999999999E-3</v>
      </c>
      <c r="R135" cm="1">
        <f t="array" ref="R135">INDEX(Table1[riBAQ 26], MATCH(1, (Table3[[#This Row],[Gene names]:[Gene names]] = Table1[[Gene names]:[Gene names]])*1, 0))</f>
        <v>6.6581699999999997E-4</v>
      </c>
      <c r="S135" cm="1">
        <f t="array" ref="S135">INDEX(Table1[riBAQ 42], MATCH(1, (Table3[[#This Row],[Gene names]:[Gene names]] = Table1[[Gene names]:[Gene names]])*1, 0))</f>
        <v>3.7123400000000002E-4</v>
      </c>
      <c r="T135" cm="1">
        <f t="array" ref="T135">INDEX(Table1[riBAQ 43], MATCH(1, (Table3[[#This Row],[Gene names]:[Gene names]] = Table1[[Gene names]:[Gene names]])*1, 0))</f>
        <v>1.733095E-3</v>
      </c>
    </row>
    <row r="136" spans="1:20" x14ac:dyDescent="0.25">
      <c r="A136" t="s">
        <v>1443</v>
      </c>
      <c r="B136" cm="1">
        <f t="array" ref="B136">INDEX(Table1[riBAQ 17], MATCH(1, (Table3[[#This Row],[Gene names]:[Gene names]] = Table1[[Gene names]:[Gene names]])*1, 0))</f>
        <v>1.66E-5</v>
      </c>
      <c r="C136" cm="1">
        <f t="array" ref="C136">INDEX(Table1[riBAQ 18], MATCH(1, (Table3[[#This Row],[Gene names]:[Gene names]] = Table1[[Gene names]:[Gene names]])*1, 0))</f>
        <v>1.4399999999999999E-5</v>
      </c>
      <c r="D136" cm="1">
        <f t="array" ref="D136">INDEX(Table1[riBAQ 35], MATCH(1, (Table3[[#This Row],[Gene names]:[Gene names]] = Table1[[Gene names]:[Gene names]])*1, 0))</f>
        <v>1.4100000000000001E-5</v>
      </c>
      <c r="E136" cm="1">
        <f t="array" ref="E136">INDEX(Table1[riBAQ 36], MATCH(1, (Table3[[#This Row],[Gene names]:[Gene names]] = Table1[[Gene names]:[Gene names]])*1, 0))</f>
        <v>1.26E-5</v>
      </c>
      <c r="F136" cm="1">
        <f t="array" ref="F136">INDEX(Table1[riBAQ 19], MATCH(1, (Table3[[#This Row],[Gene names]:[Gene names]] = Table1[[Gene names]:[Gene names]])*1, 0))</f>
        <v>2.5700000000000001E-5</v>
      </c>
      <c r="G136" cm="1">
        <f t="array" ref="G136">INDEX(Table1[riBAQ 20], MATCH(1, (Table3[[#This Row],[Gene names]:[Gene names]] = Table1[[Gene names]:[Gene names]])*1, 0))</f>
        <v>1.56E-5</v>
      </c>
      <c r="H136" cm="1">
        <f t="array" ref="H136">INDEX(Table1[riBAQ 21], MATCH(1, (Table3[[#This Row],[Gene names]:[Gene names]] = Table1[[Gene names]:[Gene names]])*1, 0))</f>
        <v>1.63E-5</v>
      </c>
      <c r="I136" cm="1">
        <f t="array" ref="I136">INDEX(Table1[riBAQ 22], MATCH(1, (Table3[[#This Row],[Gene names]:[Gene names]] = Table1[[Gene names]:[Gene names]])*1, 0))</f>
        <v>1.5699999999999999E-5</v>
      </c>
      <c r="J136" cm="1">
        <f t="array" ref="J136">INDEX(Table1[riBAQ 23], MATCH(1, (Table3[[#This Row],[Gene names]:[Gene names]] = Table1[[Gene names]:[Gene names]])*1, 0))</f>
        <v>1.43E-5</v>
      </c>
      <c r="K136" cm="1">
        <f t="array" ref="K136">INDEX(Table1[riBAQ 37], MATCH(1, (Table3[[#This Row],[Gene names]:[Gene names]] = Table1[[Gene names]:[Gene names]])*1, 0))</f>
        <v>1.5E-5</v>
      </c>
      <c r="L136" cm="1">
        <f t="array" ref="L136">INDEX(Table1[riBAQ 38], MATCH(1, (Table3[[#This Row],[Gene names]:[Gene names]] = Table1[[Gene names]:[Gene names]])*1, 0))</f>
        <v>2.65E-5</v>
      </c>
      <c r="M136" cm="1">
        <f t="array" ref="M136">INDEX(Table1[riBAQ 39], MATCH(1, (Table3[[#This Row],[Gene names]:[Gene names]] = Table1[[Gene names]:[Gene names]])*1, 0))</f>
        <v>1.5E-5</v>
      </c>
      <c r="N136" cm="1">
        <f t="array" ref="N136">INDEX(Table1[riBAQ 40], MATCH(1, (Table3[[#This Row],[Gene names]:[Gene names]] = Table1[[Gene names]:[Gene names]])*1, 0))</f>
        <v>1.13E-5</v>
      </c>
      <c r="O136" cm="1">
        <f t="array" ref="O136">INDEX(Table1[riBAQ 41], MATCH(1, (Table3[[#This Row],[Gene names]:[Gene names]] = Table1[[Gene names]:[Gene names]])*1, 0))</f>
        <v>1.7900000000000001E-5</v>
      </c>
      <c r="P136" cm="1">
        <f t="array" ref="P136">INDEX(Table1[riBAQ 24], MATCH(1, (Table3[[#This Row],[Gene names]:[Gene names]] = Table1[[Gene names]:[Gene names]])*1, 0))</f>
        <v>1.29E-5</v>
      </c>
      <c r="Q136" cm="1">
        <f t="array" ref="Q136">INDEX(Table1[riBAQ 25], MATCH(1, (Table3[[#This Row],[Gene names]:[Gene names]] = Table1[[Gene names]:[Gene names]])*1, 0))</f>
        <v>3.8999999999999999E-5</v>
      </c>
      <c r="R136" cm="1">
        <f t="array" ref="R136">INDEX(Table1[riBAQ 26], MATCH(1, (Table3[[#This Row],[Gene names]:[Gene names]] = Table1[[Gene names]:[Gene names]])*1, 0))</f>
        <v>4.1699999999999997E-5</v>
      </c>
      <c r="S136" cm="1">
        <f t="array" ref="S136">INDEX(Table1[riBAQ 42], MATCH(1, (Table3[[#This Row],[Gene names]:[Gene names]] = Table1[[Gene names]:[Gene names]])*1, 0))</f>
        <v>3.8600000000000003E-5</v>
      </c>
      <c r="T136" cm="1">
        <f t="array" ref="T136">INDEX(Table1[riBAQ 43], MATCH(1, (Table3[[#This Row],[Gene names]:[Gene names]] = Table1[[Gene names]:[Gene names]])*1, 0))</f>
        <v>3.1900000000000003E-5</v>
      </c>
    </row>
    <row r="137" spans="1:20" x14ac:dyDescent="0.25">
      <c r="A137" t="s">
        <v>1574</v>
      </c>
      <c r="B137" cm="1">
        <f t="array" ref="B137">INDEX(Table1[riBAQ 17], MATCH(1, (Table3[[#This Row],[Gene names]:[Gene names]] = Table1[[Gene names]:[Gene names]])*1, 0))</f>
        <v>0</v>
      </c>
      <c r="C137" cm="1">
        <f t="array" ref="C137">INDEX(Table1[riBAQ 18], MATCH(1, (Table3[[#This Row],[Gene names]:[Gene names]] = Table1[[Gene names]:[Gene names]])*1, 0))</f>
        <v>3.6100000000000003E-5</v>
      </c>
      <c r="D137" cm="1">
        <f t="array" ref="D137">INDEX(Table1[riBAQ 35], MATCH(1, (Table3[[#This Row],[Gene names]:[Gene names]] = Table1[[Gene names]:[Gene names]])*1, 0))</f>
        <v>2.8399999999999999E-5</v>
      </c>
      <c r="E137" cm="1">
        <f t="array" ref="E137">INDEX(Table1[riBAQ 36], MATCH(1, (Table3[[#This Row],[Gene names]:[Gene names]] = Table1[[Gene names]:[Gene names]])*1, 0))</f>
        <v>0</v>
      </c>
      <c r="F137" cm="1">
        <f t="array" ref="F137">INDEX(Table1[riBAQ 19], MATCH(1, (Table3[[#This Row],[Gene names]:[Gene names]] = Table1[[Gene names]:[Gene names]])*1, 0))</f>
        <v>1.08866E-4</v>
      </c>
      <c r="G137" cm="1">
        <f t="array" ref="G137">INDEX(Table1[riBAQ 20], MATCH(1, (Table3[[#This Row],[Gene names]:[Gene names]] = Table1[[Gene names]:[Gene names]])*1, 0))</f>
        <v>1.3397999999999999E-4</v>
      </c>
      <c r="H137" cm="1">
        <f t="array" ref="H137">INDEX(Table1[riBAQ 21], MATCH(1, (Table3[[#This Row],[Gene names]:[Gene names]] = Table1[[Gene names]:[Gene names]])*1, 0))</f>
        <v>0</v>
      </c>
      <c r="I137" cm="1">
        <f t="array" ref="I137">INDEX(Table1[riBAQ 22], MATCH(1, (Table3[[#This Row],[Gene names]:[Gene names]] = Table1[[Gene names]:[Gene names]])*1, 0))</f>
        <v>0</v>
      </c>
      <c r="J137" cm="1">
        <f t="array" ref="J137">INDEX(Table1[riBAQ 23], MATCH(1, (Table3[[#This Row],[Gene names]:[Gene names]] = Table1[[Gene names]:[Gene names]])*1, 0))</f>
        <v>0</v>
      </c>
      <c r="K137" cm="1">
        <f t="array" ref="K137">INDEX(Table1[riBAQ 37], MATCH(1, (Table3[[#This Row],[Gene names]:[Gene names]] = Table1[[Gene names]:[Gene names]])*1, 0))</f>
        <v>9.4699999999999998E-5</v>
      </c>
      <c r="L137" cm="1">
        <f t="array" ref="L137">INDEX(Table1[riBAQ 38], MATCH(1, (Table3[[#This Row],[Gene names]:[Gene names]] = Table1[[Gene names]:[Gene names]])*1, 0))</f>
        <v>0</v>
      </c>
      <c r="M137" cm="1">
        <f t="array" ref="M137">INDEX(Table1[riBAQ 39], MATCH(1, (Table3[[#This Row],[Gene names]:[Gene names]] = Table1[[Gene names]:[Gene names]])*1, 0))</f>
        <v>0</v>
      </c>
      <c r="N137" cm="1">
        <f t="array" ref="N137">INDEX(Table1[riBAQ 40], MATCH(1, (Table3[[#This Row],[Gene names]:[Gene names]] = Table1[[Gene names]:[Gene names]])*1, 0))</f>
        <v>0</v>
      </c>
      <c r="O137" cm="1">
        <f t="array" ref="O137">INDEX(Table1[riBAQ 41], MATCH(1, (Table3[[#This Row],[Gene names]:[Gene names]] = Table1[[Gene names]:[Gene names]])*1, 0))</f>
        <v>0</v>
      </c>
      <c r="P137" cm="1">
        <f t="array" ref="P137">INDEX(Table1[riBAQ 24], MATCH(1, (Table3[[#This Row],[Gene names]:[Gene names]] = Table1[[Gene names]:[Gene names]])*1, 0))</f>
        <v>2.12981E-4</v>
      </c>
      <c r="Q137" cm="1">
        <f t="array" ref="Q137">INDEX(Table1[riBAQ 25], MATCH(1, (Table3[[#This Row],[Gene names]:[Gene names]] = Table1[[Gene names]:[Gene names]])*1, 0))</f>
        <v>4.9470600000000003E-4</v>
      </c>
      <c r="R137" cm="1">
        <f t="array" ref="R137">INDEX(Table1[riBAQ 26], MATCH(1, (Table3[[#This Row],[Gene names]:[Gene names]] = Table1[[Gene names]:[Gene names]])*1, 0))</f>
        <v>3.75781E-4</v>
      </c>
      <c r="S137" cm="1">
        <f t="array" ref="S137">INDEX(Table1[riBAQ 42], MATCH(1, (Table3[[#This Row],[Gene names]:[Gene names]] = Table1[[Gene names]:[Gene names]])*1, 0))</f>
        <v>1.8209000000000001E-4</v>
      </c>
      <c r="T137" cm="1">
        <f t="array" ref="T137">INDEX(Table1[riBAQ 43], MATCH(1, (Table3[[#This Row],[Gene names]:[Gene names]] = Table1[[Gene names]:[Gene names]])*1, 0))</f>
        <v>5.5141399999999996E-4</v>
      </c>
    </row>
    <row r="138" spans="1:20" x14ac:dyDescent="0.25">
      <c r="A138" t="s">
        <v>1774</v>
      </c>
      <c r="B138" cm="1">
        <f t="array" ref="B138">INDEX(Table1[riBAQ 17], MATCH(1, (Table3[[#This Row],[Gene names]:[Gene names]] = Table1[[Gene names]:[Gene names]])*1, 0))</f>
        <v>1.4278500000000001E-4</v>
      </c>
      <c r="C138" cm="1">
        <f t="array" ref="C138">INDEX(Table1[riBAQ 18], MATCH(1, (Table3[[#This Row],[Gene names]:[Gene names]] = Table1[[Gene names]:[Gene names]])*1, 0))</f>
        <v>0</v>
      </c>
      <c r="D138" cm="1">
        <f t="array" ref="D138">INDEX(Table1[riBAQ 35], MATCH(1, (Table3[[#This Row],[Gene names]:[Gene names]] = Table1[[Gene names]:[Gene names]])*1, 0))</f>
        <v>0</v>
      </c>
      <c r="E138" cm="1">
        <f t="array" ref="E138">INDEX(Table1[riBAQ 36], MATCH(1, (Table3[[#This Row],[Gene names]:[Gene names]] = Table1[[Gene names]:[Gene names]])*1, 0))</f>
        <v>0</v>
      </c>
      <c r="F138" cm="1">
        <f t="array" ref="F138">INDEX(Table1[riBAQ 19], MATCH(1, (Table3[[#This Row],[Gene names]:[Gene names]] = Table1[[Gene names]:[Gene names]])*1, 0))</f>
        <v>2.28497E-4</v>
      </c>
      <c r="G138" cm="1">
        <f t="array" ref="G138">INDEX(Table1[riBAQ 20], MATCH(1, (Table3[[#This Row],[Gene names]:[Gene names]] = Table1[[Gene names]:[Gene names]])*1, 0))</f>
        <v>2.1728900000000001E-4</v>
      </c>
      <c r="H138" cm="1">
        <f t="array" ref="H138">INDEX(Table1[riBAQ 21], MATCH(1, (Table3[[#This Row],[Gene names]:[Gene names]] = Table1[[Gene names]:[Gene names]])*1, 0))</f>
        <v>1.5600499999999999E-4</v>
      </c>
      <c r="I138" cm="1">
        <f t="array" ref="I138">INDEX(Table1[riBAQ 22], MATCH(1, (Table3[[#This Row],[Gene names]:[Gene names]] = Table1[[Gene names]:[Gene names]])*1, 0))</f>
        <v>1.14369E-4</v>
      </c>
      <c r="J138" cm="1">
        <f t="array" ref="J138">INDEX(Table1[riBAQ 23], MATCH(1, (Table3[[#This Row],[Gene names]:[Gene names]] = Table1[[Gene names]:[Gene names]])*1, 0))</f>
        <v>1.60509E-4</v>
      </c>
      <c r="K138" cm="1">
        <f t="array" ref="K138">INDEX(Table1[riBAQ 37], MATCH(1, (Table3[[#This Row],[Gene names]:[Gene names]] = Table1[[Gene names]:[Gene names]])*1, 0))</f>
        <v>1.61278E-4</v>
      </c>
      <c r="L138" cm="1">
        <f t="array" ref="L138">INDEX(Table1[riBAQ 38], MATCH(1, (Table3[[#This Row],[Gene names]:[Gene names]] = Table1[[Gene names]:[Gene names]])*1, 0))</f>
        <v>5.9200000000000002E-5</v>
      </c>
      <c r="M138" cm="1">
        <f t="array" ref="M138">INDEX(Table1[riBAQ 39], MATCH(1, (Table3[[#This Row],[Gene names]:[Gene names]] = Table1[[Gene names]:[Gene names]])*1, 0))</f>
        <v>0</v>
      </c>
      <c r="N138" cm="1">
        <f t="array" ref="N138">INDEX(Table1[riBAQ 40], MATCH(1, (Table3[[#This Row],[Gene names]:[Gene names]] = Table1[[Gene names]:[Gene names]])*1, 0))</f>
        <v>1.19486E-4</v>
      </c>
      <c r="O138" cm="1">
        <f t="array" ref="O138">INDEX(Table1[riBAQ 41], MATCH(1, (Table3[[#This Row],[Gene names]:[Gene names]] = Table1[[Gene names]:[Gene names]])*1, 0))</f>
        <v>0</v>
      </c>
      <c r="P138" cm="1">
        <f t="array" ref="P138">INDEX(Table1[riBAQ 24], MATCH(1, (Table3[[#This Row],[Gene names]:[Gene names]] = Table1[[Gene names]:[Gene names]])*1, 0))</f>
        <v>4.5881699999999998E-4</v>
      </c>
      <c r="Q138" cm="1">
        <f t="array" ref="Q138">INDEX(Table1[riBAQ 25], MATCH(1, (Table3[[#This Row],[Gene names]:[Gene names]] = Table1[[Gene names]:[Gene names]])*1, 0))</f>
        <v>1.070554E-3</v>
      </c>
      <c r="R138" cm="1">
        <f t="array" ref="R138">INDEX(Table1[riBAQ 26], MATCH(1, (Table3[[#This Row],[Gene names]:[Gene names]] = Table1[[Gene names]:[Gene names]])*1, 0))</f>
        <v>5.26228E-4</v>
      </c>
      <c r="S138" cm="1">
        <f t="array" ref="S138">INDEX(Table1[riBAQ 42], MATCH(1, (Table3[[#This Row],[Gene names]:[Gene names]] = Table1[[Gene names]:[Gene names]])*1, 0))</f>
        <v>3.5318600000000002E-4</v>
      </c>
      <c r="T138" cm="1">
        <f t="array" ref="T138">INDEX(Table1[riBAQ 43], MATCH(1, (Table3[[#This Row],[Gene names]:[Gene names]] = Table1[[Gene names]:[Gene names]])*1, 0))</f>
        <v>1.319347E-3</v>
      </c>
    </row>
    <row r="139" spans="1:20" x14ac:dyDescent="0.25">
      <c r="A139" t="s">
        <v>1572</v>
      </c>
      <c r="B139" cm="1">
        <f t="array" ref="B139">INDEX(Table1[riBAQ 17], MATCH(1, (Table3[[#This Row],[Gene names]:[Gene names]] = Table1[[Gene names]:[Gene names]])*1, 0))</f>
        <v>2.3476500000000001E-4</v>
      </c>
      <c r="C139" cm="1">
        <f t="array" ref="C139">INDEX(Table1[riBAQ 18], MATCH(1, (Table3[[#This Row],[Gene names]:[Gene names]] = Table1[[Gene names]:[Gene names]])*1, 0))</f>
        <v>8.6600000000000004E-5</v>
      </c>
      <c r="D139" cm="1">
        <f t="array" ref="D139">INDEX(Table1[riBAQ 35], MATCH(1, (Table3[[#This Row],[Gene names]:[Gene names]] = Table1[[Gene names]:[Gene names]])*1, 0))</f>
        <v>1.21561E-4</v>
      </c>
      <c r="E139" cm="1">
        <f t="array" ref="E139">INDEX(Table1[riBAQ 36], MATCH(1, (Table3[[#This Row],[Gene names]:[Gene names]] = Table1[[Gene names]:[Gene names]])*1, 0))</f>
        <v>1.1938999999999999E-4</v>
      </c>
      <c r="F139" cm="1">
        <f t="array" ref="F139">INDEX(Table1[riBAQ 19], MATCH(1, (Table3[[#This Row],[Gene names]:[Gene names]] = Table1[[Gene names]:[Gene names]])*1, 0))</f>
        <v>3.4051200000000001E-4</v>
      </c>
      <c r="G139" cm="1">
        <f t="array" ref="G139">INDEX(Table1[riBAQ 20], MATCH(1, (Table3[[#This Row],[Gene names]:[Gene names]] = Table1[[Gene names]:[Gene names]])*1, 0))</f>
        <v>4.56126E-4</v>
      </c>
      <c r="H139" cm="1">
        <f t="array" ref="H139">INDEX(Table1[riBAQ 21], MATCH(1, (Table3[[#This Row],[Gene names]:[Gene names]] = Table1[[Gene names]:[Gene names]])*1, 0))</f>
        <v>3.3207100000000003E-4</v>
      </c>
      <c r="I139" cm="1">
        <f t="array" ref="I139">INDEX(Table1[riBAQ 22], MATCH(1, (Table3[[#This Row],[Gene names]:[Gene names]] = Table1[[Gene names]:[Gene names]])*1, 0))</f>
        <v>3.3845099999999998E-4</v>
      </c>
      <c r="J139" cm="1">
        <f t="array" ref="J139">INDEX(Table1[riBAQ 23], MATCH(1, (Table3[[#This Row],[Gene names]:[Gene names]] = Table1[[Gene names]:[Gene names]])*1, 0))</f>
        <v>2.6741999999999998E-4</v>
      </c>
      <c r="K139" cm="1">
        <f t="array" ref="K139">INDEX(Table1[riBAQ 37], MATCH(1, (Table3[[#This Row],[Gene names]:[Gene names]] = Table1[[Gene names]:[Gene names]])*1, 0))</f>
        <v>2.7754199999999998E-4</v>
      </c>
      <c r="L139" cm="1">
        <f t="array" ref="L139">INDEX(Table1[riBAQ 38], MATCH(1, (Table3[[#This Row],[Gene names]:[Gene names]] = Table1[[Gene names]:[Gene names]])*1, 0))</f>
        <v>1.74155E-4</v>
      </c>
      <c r="M139" cm="1">
        <f t="array" ref="M139">INDEX(Table1[riBAQ 39], MATCH(1, (Table3[[#This Row],[Gene names]:[Gene names]] = Table1[[Gene names]:[Gene names]])*1, 0))</f>
        <v>2.2768500000000001E-4</v>
      </c>
      <c r="N139" cm="1">
        <f t="array" ref="N139">INDEX(Table1[riBAQ 40], MATCH(1, (Table3[[#This Row],[Gene names]:[Gene names]] = Table1[[Gene names]:[Gene names]])*1, 0))</f>
        <v>1.48109E-4</v>
      </c>
      <c r="O139" cm="1">
        <f t="array" ref="O139">INDEX(Table1[riBAQ 41], MATCH(1, (Table3[[#This Row],[Gene names]:[Gene names]] = Table1[[Gene names]:[Gene names]])*1, 0))</f>
        <v>7.4200000000000001E-5</v>
      </c>
      <c r="P139" cm="1">
        <f t="array" ref="P139">INDEX(Table1[riBAQ 24], MATCH(1, (Table3[[#This Row],[Gene names]:[Gene names]] = Table1[[Gene names]:[Gene names]])*1, 0))</f>
        <v>8.1587599999999999E-4</v>
      </c>
      <c r="Q139" cm="1">
        <f t="array" ref="Q139">INDEX(Table1[riBAQ 25], MATCH(1, (Table3[[#This Row],[Gene names]:[Gene names]] = Table1[[Gene names]:[Gene names]])*1, 0))</f>
        <v>1.9070339999999999E-3</v>
      </c>
      <c r="R139" cm="1">
        <f t="array" ref="R139">INDEX(Table1[riBAQ 26], MATCH(1, (Table3[[#This Row],[Gene names]:[Gene names]] = Table1[[Gene names]:[Gene names]])*1, 0))</f>
        <v>1.2339779999999999E-3</v>
      </c>
      <c r="S139" cm="1">
        <f t="array" ref="S139">INDEX(Table1[riBAQ 42], MATCH(1, (Table3[[#This Row],[Gene names]:[Gene names]] = Table1[[Gene names]:[Gene names]])*1, 0))</f>
        <v>6.43846E-4</v>
      </c>
      <c r="T139" cm="1">
        <f t="array" ref="T139">INDEX(Table1[riBAQ 43], MATCH(1, (Table3[[#This Row],[Gene names]:[Gene names]] = Table1[[Gene names]:[Gene names]])*1, 0))</f>
        <v>2.2714430000000002E-3</v>
      </c>
    </row>
    <row r="140" spans="1:20" x14ac:dyDescent="0.25">
      <c r="A140" t="s">
        <v>1573</v>
      </c>
      <c r="B140" cm="1">
        <f t="array" ref="B140">INDEX(Table1[riBAQ 17], MATCH(1, (Table3[[#This Row],[Gene names]:[Gene names]] = Table1[[Gene names]:[Gene names]])*1, 0))</f>
        <v>0</v>
      </c>
      <c r="C140" cm="1">
        <f t="array" ref="C140">INDEX(Table1[riBAQ 18], MATCH(1, (Table3[[#This Row],[Gene names]:[Gene names]] = Table1[[Gene names]:[Gene names]])*1, 0))</f>
        <v>0</v>
      </c>
      <c r="D140" cm="1">
        <f t="array" ref="D140">INDEX(Table1[riBAQ 35], MATCH(1, (Table3[[#This Row],[Gene names]:[Gene names]] = Table1[[Gene names]:[Gene names]])*1, 0))</f>
        <v>0</v>
      </c>
      <c r="E140" cm="1">
        <f t="array" ref="E140">INDEX(Table1[riBAQ 36], MATCH(1, (Table3[[#This Row],[Gene names]:[Gene names]] = Table1[[Gene names]:[Gene names]])*1, 0))</f>
        <v>0</v>
      </c>
      <c r="F140" cm="1">
        <f t="array" ref="F140">INDEX(Table1[riBAQ 19], MATCH(1, (Table3[[#This Row],[Gene names]:[Gene names]] = Table1[[Gene names]:[Gene names]])*1, 0))</f>
        <v>0</v>
      </c>
      <c r="G140" cm="1">
        <f t="array" ref="G140">INDEX(Table1[riBAQ 20], MATCH(1, (Table3[[#This Row],[Gene names]:[Gene names]] = Table1[[Gene names]:[Gene names]])*1, 0))</f>
        <v>5.6400000000000002E-5</v>
      </c>
      <c r="H140" cm="1">
        <f t="array" ref="H140">INDEX(Table1[riBAQ 21], MATCH(1, (Table3[[#This Row],[Gene names]:[Gene names]] = Table1[[Gene names]:[Gene names]])*1, 0))</f>
        <v>0</v>
      </c>
      <c r="I140" cm="1">
        <f t="array" ref="I140">INDEX(Table1[riBAQ 22], MATCH(1, (Table3[[#This Row],[Gene names]:[Gene names]] = Table1[[Gene names]:[Gene names]])*1, 0))</f>
        <v>0</v>
      </c>
      <c r="J140" cm="1">
        <f t="array" ref="J140">INDEX(Table1[riBAQ 23], MATCH(1, (Table3[[#This Row],[Gene names]:[Gene names]] = Table1[[Gene names]:[Gene names]])*1, 0))</f>
        <v>0</v>
      </c>
      <c r="K140" cm="1">
        <f t="array" ref="K140">INDEX(Table1[riBAQ 37], MATCH(1, (Table3[[#This Row],[Gene names]:[Gene names]] = Table1[[Gene names]:[Gene names]])*1, 0))</f>
        <v>0</v>
      </c>
      <c r="L140" cm="1">
        <f t="array" ref="L140">INDEX(Table1[riBAQ 38], MATCH(1, (Table3[[#This Row],[Gene names]:[Gene names]] = Table1[[Gene names]:[Gene names]])*1, 0))</f>
        <v>0</v>
      </c>
      <c r="M140" cm="1">
        <f t="array" ref="M140">INDEX(Table1[riBAQ 39], MATCH(1, (Table3[[#This Row],[Gene names]:[Gene names]] = Table1[[Gene names]:[Gene names]])*1, 0))</f>
        <v>0</v>
      </c>
      <c r="N140" cm="1">
        <f t="array" ref="N140">INDEX(Table1[riBAQ 40], MATCH(1, (Table3[[#This Row],[Gene names]:[Gene names]] = Table1[[Gene names]:[Gene names]])*1, 0))</f>
        <v>0</v>
      </c>
      <c r="O140" cm="1">
        <f t="array" ref="O140">INDEX(Table1[riBAQ 41], MATCH(1, (Table3[[#This Row],[Gene names]:[Gene names]] = Table1[[Gene names]:[Gene names]])*1, 0))</f>
        <v>0</v>
      </c>
      <c r="P140" cm="1">
        <f t="array" ref="P140">INDEX(Table1[riBAQ 24], MATCH(1, (Table3[[#This Row],[Gene names]:[Gene names]] = Table1[[Gene names]:[Gene names]])*1, 0))</f>
        <v>1.0103E-4</v>
      </c>
      <c r="Q140" cm="1">
        <f t="array" ref="Q140">INDEX(Table1[riBAQ 25], MATCH(1, (Table3[[#This Row],[Gene names]:[Gene names]] = Table1[[Gene names]:[Gene names]])*1, 0))</f>
        <v>2.0515400000000001E-4</v>
      </c>
      <c r="R140" cm="1">
        <f t="array" ref="R140">INDEX(Table1[riBAQ 26], MATCH(1, (Table3[[#This Row],[Gene names]:[Gene names]] = Table1[[Gene names]:[Gene names]])*1, 0))</f>
        <v>1.6268200000000001E-4</v>
      </c>
      <c r="S140" cm="1">
        <f t="array" ref="S140">INDEX(Table1[riBAQ 42], MATCH(1, (Table3[[#This Row],[Gene names]:[Gene names]] = Table1[[Gene names]:[Gene names]])*1, 0))</f>
        <v>6.9999999999999994E-5</v>
      </c>
      <c r="T140" cm="1">
        <f t="array" ref="T140">INDEX(Table1[riBAQ 43], MATCH(1, (Table3[[#This Row],[Gene names]:[Gene names]] = Table1[[Gene names]:[Gene names]])*1, 0))</f>
        <v>1.9807399999999999E-4</v>
      </c>
    </row>
    <row r="141" spans="1:20" x14ac:dyDescent="0.25">
      <c r="A141" t="s">
        <v>329</v>
      </c>
      <c r="B141" cm="1">
        <f t="array" ref="B141">INDEX(Table1[riBAQ 17], MATCH(1, (Table3[[#This Row],[Gene names]:[Gene names]] = Table1[[Gene names]:[Gene names]])*1, 0))</f>
        <v>1.98E-5</v>
      </c>
      <c r="C141" cm="1">
        <f t="array" ref="C141">INDEX(Table1[riBAQ 18], MATCH(1, (Table3[[#This Row],[Gene names]:[Gene names]] = Table1[[Gene names]:[Gene names]])*1, 0))</f>
        <v>0</v>
      </c>
      <c r="D141" cm="1">
        <f t="array" ref="D141">INDEX(Table1[riBAQ 35], MATCH(1, (Table3[[#This Row],[Gene names]:[Gene names]] = Table1[[Gene names]:[Gene names]])*1, 0))</f>
        <v>0</v>
      </c>
      <c r="E141" cm="1">
        <f t="array" ref="E141">INDEX(Table1[riBAQ 36], MATCH(1, (Table3[[#This Row],[Gene names]:[Gene names]] = Table1[[Gene names]:[Gene names]])*1, 0))</f>
        <v>0</v>
      </c>
      <c r="F141" cm="1">
        <f t="array" ref="F141">INDEX(Table1[riBAQ 19], MATCH(1, (Table3[[#This Row],[Gene names]:[Gene names]] = Table1[[Gene names]:[Gene names]])*1, 0))</f>
        <v>0</v>
      </c>
      <c r="G141" cm="1">
        <f t="array" ref="G141">INDEX(Table1[riBAQ 20], MATCH(1, (Table3[[#This Row],[Gene names]:[Gene names]] = Table1[[Gene names]:[Gene names]])*1, 0))</f>
        <v>0</v>
      </c>
      <c r="H141" cm="1">
        <f t="array" ref="H141">INDEX(Table1[riBAQ 21], MATCH(1, (Table3[[#This Row],[Gene names]:[Gene names]] = Table1[[Gene names]:[Gene names]])*1, 0))</f>
        <v>0</v>
      </c>
      <c r="I141" cm="1">
        <f t="array" ref="I141">INDEX(Table1[riBAQ 22], MATCH(1, (Table3[[#This Row],[Gene names]:[Gene names]] = Table1[[Gene names]:[Gene names]])*1, 0))</f>
        <v>0</v>
      </c>
      <c r="J141" cm="1">
        <f t="array" ref="J141">INDEX(Table1[riBAQ 23], MATCH(1, (Table3[[#This Row],[Gene names]:[Gene names]] = Table1[[Gene names]:[Gene names]])*1, 0))</f>
        <v>0</v>
      </c>
      <c r="K141" cm="1">
        <f t="array" ref="K141">INDEX(Table1[riBAQ 37], MATCH(1, (Table3[[#This Row],[Gene names]:[Gene names]] = Table1[[Gene names]:[Gene names]])*1, 0))</f>
        <v>0</v>
      </c>
      <c r="L141" cm="1">
        <f t="array" ref="L141">INDEX(Table1[riBAQ 38], MATCH(1, (Table3[[#This Row],[Gene names]:[Gene names]] = Table1[[Gene names]:[Gene names]])*1, 0))</f>
        <v>0</v>
      </c>
      <c r="M141" cm="1">
        <f t="array" ref="M141">INDEX(Table1[riBAQ 39], MATCH(1, (Table3[[#This Row],[Gene names]:[Gene names]] = Table1[[Gene names]:[Gene names]])*1, 0))</f>
        <v>2.7699999999999999E-5</v>
      </c>
      <c r="N141" cm="1">
        <f t="array" ref="N141">INDEX(Table1[riBAQ 40], MATCH(1, (Table3[[#This Row],[Gene names]:[Gene names]] = Table1[[Gene names]:[Gene names]])*1, 0))</f>
        <v>2.5999999999999998E-5</v>
      </c>
      <c r="O141" cm="1">
        <f t="array" ref="O141">INDEX(Table1[riBAQ 41], MATCH(1, (Table3[[#This Row],[Gene names]:[Gene names]] = Table1[[Gene names]:[Gene names]])*1, 0))</f>
        <v>0</v>
      </c>
      <c r="P141" cm="1">
        <f t="array" ref="P141">INDEX(Table1[riBAQ 24], MATCH(1, (Table3[[#This Row],[Gene names]:[Gene names]] = Table1[[Gene names]:[Gene names]])*1, 0))</f>
        <v>0</v>
      </c>
      <c r="Q141" cm="1">
        <f t="array" ref="Q141">INDEX(Table1[riBAQ 25], MATCH(1, (Table3[[#This Row],[Gene names]:[Gene names]] = Table1[[Gene names]:[Gene names]])*1, 0))</f>
        <v>5.8100000000000003E-5</v>
      </c>
      <c r="R141" cm="1">
        <f t="array" ref="R141">INDEX(Table1[riBAQ 26], MATCH(1, (Table3[[#This Row],[Gene names]:[Gene names]] = Table1[[Gene names]:[Gene names]])*1, 0))</f>
        <v>5.0899999999999997E-5</v>
      </c>
      <c r="S141" cm="1">
        <f t="array" ref="S141">INDEX(Table1[riBAQ 42], MATCH(1, (Table3[[#This Row],[Gene names]:[Gene names]] = Table1[[Gene names]:[Gene names]])*1, 0))</f>
        <v>5.0099999999999998E-5</v>
      </c>
      <c r="T141" cm="1">
        <f t="array" ref="T141">INDEX(Table1[riBAQ 43], MATCH(1, (Table3[[#This Row],[Gene names]:[Gene names]] = Table1[[Gene names]:[Gene names]])*1, 0))</f>
        <v>4.2599999999999999E-5</v>
      </c>
    </row>
    <row r="142" spans="1:20" x14ac:dyDescent="0.25">
      <c r="A142" t="s">
        <v>333</v>
      </c>
      <c r="B142" cm="1">
        <f t="array" ref="B142">INDEX(Table1[riBAQ 17], MATCH(1, (Table3[[#This Row],[Gene names]:[Gene names]] = Table1[[Gene names]:[Gene names]])*1, 0))</f>
        <v>0</v>
      </c>
      <c r="C142" cm="1">
        <f t="array" ref="C142">INDEX(Table1[riBAQ 18], MATCH(1, (Table3[[#This Row],[Gene names]:[Gene names]] = Table1[[Gene names]:[Gene names]])*1, 0))</f>
        <v>0</v>
      </c>
      <c r="D142" cm="1">
        <f t="array" ref="D142">INDEX(Table1[riBAQ 35], MATCH(1, (Table3[[#This Row],[Gene names]:[Gene names]] = Table1[[Gene names]:[Gene names]])*1, 0))</f>
        <v>0</v>
      </c>
      <c r="E142" cm="1">
        <f t="array" ref="E142">INDEX(Table1[riBAQ 36], MATCH(1, (Table3[[#This Row],[Gene names]:[Gene names]] = Table1[[Gene names]:[Gene names]])*1, 0))</f>
        <v>0</v>
      </c>
      <c r="F142" cm="1">
        <f t="array" ref="F142">INDEX(Table1[riBAQ 19], MATCH(1, (Table3[[#This Row],[Gene names]:[Gene names]] = Table1[[Gene names]:[Gene names]])*1, 0))</f>
        <v>0</v>
      </c>
      <c r="G142" cm="1">
        <f t="array" ref="G142">INDEX(Table1[riBAQ 20], MATCH(1, (Table3[[#This Row],[Gene names]:[Gene names]] = Table1[[Gene names]:[Gene names]])*1, 0))</f>
        <v>0</v>
      </c>
      <c r="H142" cm="1">
        <f t="array" ref="H142">INDEX(Table1[riBAQ 21], MATCH(1, (Table3[[#This Row],[Gene names]:[Gene names]] = Table1[[Gene names]:[Gene names]])*1, 0))</f>
        <v>0</v>
      </c>
      <c r="I142" cm="1">
        <f t="array" ref="I142">INDEX(Table1[riBAQ 22], MATCH(1, (Table3[[#This Row],[Gene names]:[Gene names]] = Table1[[Gene names]:[Gene names]])*1, 0))</f>
        <v>0</v>
      </c>
      <c r="J142" cm="1">
        <f t="array" ref="J142">INDEX(Table1[riBAQ 23], MATCH(1, (Table3[[#This Row],[Gene names]:[Gene names]] = Table1[[Gene names]:[Gene names]])*1, 0))</f>
        <v>0</v>
      </c>
      <c r="K142" cm="1">
        <f t="array" ref="K142">INDEX(Table1[riBAQ 37], MATCH(1, (Table3[[#This Row],[Gene names]:[Gene names]] = Table1[[Gene names]:[Gene names]])*1, 0))</f>
        <v>0</v>
      </c>
      <c r="L142" cm="1">
        <f t="array" ref="L142">INDEX(Table1[riBAQ 38], MATCH(1, (Table3[[#This Row],[Gene names]:[Gene names]] = Table1[[Gene names]:[Gene names]])*1, 0))</f>
        <v>0</v>
      </c>
      <c r="M142" cm="1">
        <f t="array" ref="M142">INDEX(Table1[riBAQ 39], MATCH(1, (Table3[[#This Row],[Gene names]:[Gene names]] = Table1[[Gene names]:[Gene names]])*1, 0))</f>
        <v>0</v>
      </c>
      <c r="N142" cm="1">
        <f t="array" ref="N142">INDEX(Table1[riBAQ 40], MATCH(1, (Table3[[#This Row],[Gene names]:[Gene names]] = Table1[[Gene names]:[Gene names]])*1, 0))</f>
        <v>0</v>
      </c>
      <c r="O142" cm="1">
        <f t="array" ref="O142">INDEX(Table1[riBAQ 41], MATCH(1, (Table3[[#This Row],[Gene names]:[Gene names]] = Table1[[Gene names]:[Gene names]])*1, 0))</f>
        <v>0</v>
      </c>
      <c r="P142" cm="1">
        <f t="array" ref="P142">INDEX(Table1[riBAQ 24], MATCH(1, (Table3[[#This Row],[Gene names]:[Gene names]] = Table1[[Gene names]:[Gene names]])*1, 0))</f>
        <v>0</v>
      </c>
      <c r="Q142" cm="1">
        <f t="array" ref="Q142">INDEX(Table1[riBAQ 25], MATCH(1, (Table3[[#This Row],[Gene names]:[Gene names]] = Table1[[Gene names]:[Gene names]])*1, 0))</f>
        <v>1.2999999999999999E-5</v>
      </c>
      <c r="R142" cm="1">
        <f t="array" ref="R142">INDEX(Table1[riBAQ 26], MATCH(1, (Table3[[#This Row],[Gene names]:[Gene names]] = Table1[[Gene names]:[Gene names]])*1, 0))</f>
        <v>7.4000000000000003E-6</v>
      </c>
      <c r="S142" cm="1">
        <f t="array" ref="S142">INDEX(Table1[riBAQ 42], MATCH(1, (Table3[[#This Row],[Gene names]:[Gene names]] = Table1[[Gene names]:[Gene names]])*1, 0))</f>
        <v>1.7099999999999999E-5</v>
      </c>
      <c r="T142" cm="1">
        <f t="array" ref="T142">INDEX(Table1[riBAQ 43], MATCH(1, (Table3[[#This Row],[Gene names]:[Gene names]] = Table1[[Gene names]:[Gene names]])*1, 0))</f>
        <v>1.66E-5</v>
      </c>
    </row>
    <row r="143" spans="1:20" x14ac:dyDescent="0.25">
      <c r="A143" t="s">
        <v>812</v>
      </c>
      <c r="B143" cm="1">
        <f t="array" ref="B143">INDEX(Table1[riBAQ 17], MATCH(1, (Table3[[#This Row],[Gene names]:[Gene names]] = Table1[[Gene names]:[Gene names]])*1, 0))</f>
        <v>2.0299999999999999E-5</v>
      </c>
      <c r="C143" cm="1">
        <f t="array" ref="C143">INDEX(Table1[riBAQ 18], MATCH(1, (Table3[[#This Row],[Gene names]:[Gene names]] = Table1[[Gene names]:[Gene names]])*1, 0))</f>
        <v>0</v>
      </c>
      <c r="D143" cm="1">
        <f t="array" ref="D143">INDEX(Table1[riBAQ 35], MATCH(1, (Table3[[#This Row],[Gene names]:[Gene names]] = Table1[[Gene names]:[Gene names]])*1, 0))</f>
        <v>0</v>
      </c>
      <c r="E143" cm="1">
        <f t="array" ref="E143">INDEX(Table1[riBAQ 36], MATCH(1, (Table3[[#This Row],[Gene names]:[Gene names]] = Table1[[Gene names]:[Gene names]])*1, 0))</f>
        <v>0</v>
      </c>
      <c r="F143" cm="1">
        <f t="array" ref="F143">INDEX(Table1[riBAQ 19], MATCH(1, (Table3[[#This Row],[Gene names]:[Gene names]] = Table1[[Gene names]:[Gene names]])*1, 0))</f>
        <v>0</v>
      </c>
      <c r="G143" cm="1">
        <f t="array" ref="G143">INDEX(Table1[riBAQ 20], MATCH(1, (Table3[[#This Row],[Gene names]:[Gene names]] = Table1[[Gene names]:[Gene names]])*1, 0))</f>
        <v>9.4599999999999992E-6</v>
      </c>
      <c r="H143" cm="1">
        <f t="array" ref="H143">INDEX(Table1[riBAQ 21], MATCH(1, (Table3[[#This Row],[Gene names]:[Gene names]] = Table1[[Gene names]:[Gene names]])*1, 0))</f>
        <v>2.2900000000000001E-5</v>
      </c>
      <c r="I143" cm="1">
        <f t="array" ref="I143">INDEX(Table1[riBAQ 22], MATCH(1, (Table3[[#This Row],[Gene names]:[Gene names]] = Table1[[Gene names]:[Gene names]])*1, 0))</f>
        <v>0</v>
      </c>
      <c r="J143" cm="1">
        <f t="array" ref="J143">INDEX(Table1[riBAQ 23], MATCH(1, (Table3[[#This Row],[Gene names]:[Gene names]] = Table1[[Gene names]:[Gene names]])*1, 0))</f>
        <v>2.0100000000000001E-5</v>
      </c>
      <c r="K143" cm="1">
        <f t="array" ref="K143">INDEX(Table1[riBAQ 37], MATCH(1, (Table3[[#This Row],[Gene names]:[Gene names]] = Table1[[Gene names]:[Gene names]])*1, 0))</f>
        <v>0</v>
      </c>
      <c r="L143" cm="1">
        <f t="array" ref="L143">INDEX(Table1[riBAQ 38], MATCH(1, (Table3[[#This Row],[Gene names]:[Gene names]] = Table1[[Gene names]:[Gene names]])*1, 0))</f>
        <v>0</v>
      </c>
      <c r="M143" cm="1">
        <f t="array" ref="M143">INDEX(Table1[riBAQ 39], MATCH(1, (Table3[[#This Row],[Gene names]:[Gene names]] = Table1[[Gene names]:[Gene names]])*1, 0))</f>
        <v>0</v>
      </c>
      <c r="N143" cm="1">
        <f t="array" ref="N143">INDEX(Table1[riBAQ 40], MATCH(1, (Table3[[#This Row],[Gene names]:[Gene names]] = Table1[[Gene names]:[Gene names]])*1, 0))</f>
        <v>2.0000000000000002E-5</v>
      </c>
      <c r="O143" cm="1">
        <f t="array" ref="O143">INDEX(Table1[riBAQ 41], MATCH(1, (Table3[[#This Row],[Gene names]:[Gene names]] = Table1[[Gene names]:[Gene names]])*1, 0))</f>
        <v>1.5800000000000001E-5</v>
      </c>
      <c r="P143" cm="1">
        <f t="array" ref="P143">INDEX(Table1[riBAQ 24], MATCH(1, (Table3[[#This Row],[Gene names]:[Gene names]] = Table1[[Gene names]:[Gene names]])*1, 0))</f>
        <v>3.6399999999999997E-5</v>
      </c>
      <c r="Q143" cm="1">
        <f t="array" ref="Q143">INDEX(Table1[riBAQ 25], MATCH(1, (Table3[[#This Row],[Gene names]:[Gene names]] = Table1[[Gene names]:[Gene names]])*1, 0))</f>
        <v>6.8399999999999996E-5</v>
      </c>
      <c r="R143" cm="1">
        <f t="array" ref="R143">INDEX(Table1[riBAQ 26], MATCH(1, (Table3[[#This Row],[Gene names]:[Gene names]] = Table1[[Gene names]:[Gene names]])*1, 0))</f>
        <v>5.7200000000000001E-5</v>
      </c>
      <c r="S143" cm="1">
        <f t="array" ref="S143">INDEX(Table1[riBAQ 42], MATCH(1, (Table3[[#This Row],[Gene names]:[Gene names]] = Table1[[Gene names]:[Gene names]])*1, 0))</f>
        <v>6.7399999999999998E-5</v>
      </c>
      <c r="T143" cm="1">
        <f t="array" ref="T143">INDEX(Table1[riBAQ 43], MATCH(1, (Table3[[#This Row],[Gene names]:[Gene names]] = Table1[[Gene names]:[Gene names]])*1, 0))</f>
        <v>9.2899999999999995E-5</v>
      </c>
    </row>
    <row r="144" spans="1:20" x14ac:dyDescent="0.25">
      <c r="A144" t="s">
        <v>1516</v>
      </c>
      <c r="B144" cm="1">
        <f t="array" ref="B144">INDEX(Table1[riBAQ 17], MATCH(1, (Table3[[#This Row],[Gene names]:[Gene names]] = Table1[[Gene names]:[Gene names]])*1, 0))</f>
        <v>0</v>
      </c>
      <c r="C144" cm="1">
        <f t="array" ref="C144">INDEX(Table1[riBAQ 18], MATCH(1, (Table3[[#This Row],[Gene names]:[Gene names]] = Table1[[Gene names]:[Gene names]])*1, 0))</f>
        <v>0</v>
      </c>
      <c r="D144" cm="1">
        <f t="array" ref="D144">INDEX(Table1[riBAQ 35], MATCH(1, (Table3[[#This Row],[Gene names]:[Gene names]] = Table1[[Gene names]:[Gene names]])*1, 0))</f>
        <v>0</v>
      </c>
      <c r="E144" cm="1">
        <f t="array" ref="E144">INDEX(Table1[riBAQ 36], MATCH(1, (Table3[[#This Row],[Gene names]:[Gene names]] = Table1[[Gene names]:[Gene names]])*1, 0))</f>
        <v>0</v>
      </c>
      <c r="F144" cm="1">
        <f t="array" ref="F144">INDEX(Table1[riBAQ 19], MATCH(1, (Table3[[#This Row],[Gene names]:[Gene names]] = Table1[[Gene names]:[Gene names]])*1, 0))</f>
        <v>1.7600000000000001E-5</v>
      </c>
      <c r="G144" cm="1">
        <f t="array" ref="G144">INDEX(Table1[riBAQ 20], MATCH(1, (Table3[[#This Row],[Gene names]:[Gene names]] = Table1[[Gene names]:[Gene names]])*1, 0))</f>
        <v>0</v>
      </c>
      <c r="H144" cm="1">
        <f t="array" ref="H144">INDEX(Table1[riBAQ 21], MATCH(1, (Table3[[#This Row],[Gene names]:[Gene names]] = Table1[[Gene names]:[Gene names]])*1, 0))</f>
        <v>0</v>
      </c>
      <c r="I144" cm="1">
        <f t="array" ref="I144">INDEX(Table1[riBAQ 22], MATCH(1, (Table3[[#This Row],[Gene names]:[Gene names]] = Table1[[Gene names]:[Gene names]])*1, 0))</f>
        <v>0</v>
      </c>
      <c r="J144" cm="1">
        <f t="array" ref="J144">INDEX(Table1[riBAQ 23], MATCH(1, (Table3[[#This Row],[Gene names]:[Gene names]] = Table1[[Gene names]:[Gene names]])*1, 0))</f>
        <v>0</v>
      </c>
      <c r="K144" cm="1">
        <f t="array" ref="K144">INDEX(Table1[riBAQ 37], MATCH(1, (Table3[[#This Row],[Gene names]:[Gene names]] = Table1[[Gene names]:[Gene names]])*1, 0))</f>
        <v>0</v>
      </c>
      <c r="L144" cm="1">
        <f t="array" ref="L144">INDEX(Table1[riBAQ 38], MATCH(1, (Table3[[#This Row],[Gene names]:[Gene names]] = Table1[[Gene names]:[Gene names]])*1, 0))</f>
        <v>0</v>
      </c>
      <c r="M144" cm="1">
        <f t="array" ref="M144">INDEX(Table1[riBAQ 39], MATCH(1, (Table3[[#This Row],[Gene names]:[Gene names]] = Table1[[Gene names]:[Gene names]])*1, 0))</f>
        <v>0</v>
      </c>
      <c r="N144" cm="1">
        <f t="array" ref="N144">INDEX(Table1[riBAQ 40], MATCH(1, (Table3[[#This Row],[Gene names]:[Gene names]] = Table1[[Gene names]:[Gene names]])*1, 0))</f>
        <v>9.8400000000000007E-6</v>
      </c>
      <c r="O144" cm="1">
        <f t="array" ref="O144">INDEX(Table1[riBAQ 41], MATCH(1, (Table3[[#This Row],[Gene names]:[Gene names]] = Table1[[Gene names]:[Gene names]])*1, 0))</f>
        <v>8.9500000000000007E-6</v>
      </c>
      <c r="P144" cm="1">
        <f t="array" ref="P144">INDEX(Table1[riBAQ 24], MATCH(1, (Table3[[#This Row],[Gene names]:[Gene names]] = Table1[[Gene names]:[Gene names]])*1, 0))</f>
        <v>8.9199999999999993E-6</v>
      </c>
      <c r="Q144" cm="1">
        <f t="array" ref="Q144">INDEX(Table1[riBAQ 25], MATCH(1, (Table3[[#This Row],[Gene names]:[Gene names]] = Table1[[Gene names]:[Gene names]])*1, 0))</f>
        <v>1.26E-5</v>
      </c>
      <c r="R144" cm="1">
        <f t="array" ref="R144">INDEX(Table1[riBAQ 26], MATCH(1, (Table3[[#This Row],[Gene names]:[Gene names]] = Table1[[Gene names]:[Gene names]])*1, 0))</f>
        <v>2.1699999999999999E-5</v>
      </c>
      <c r="S144" cm="1">
        <f t="array" ref="S144">INDEX(Table1[riBAQ 42], MATCH(1, (Table3[[#This Row],[Gene names]:[Gene names]] = Table1[[Gene names]:[Gene names]])*1, 0))</f>
        <v>4.3600000000000003E-5</v>
      </c>
      <c r="T144" cm="1">
        <f t="array" ref="T144">INDEX(Table1[riBAQ 43], MATCH(1, (Table3[[#This Row],[Gene names]:[Gene names]] = Table1[[Gene names]:[Gene names]])*1, 0))</f>
        <v>1.6500000000000001E-5</v>
      </c>
    </row>
    <row r="145" spans="1:20" x14ac:dyDescent="0.25">
      <c r="A145" t="s">
        <v>1735</v>
      </c>
      <c r="B145" cm="1">
        <f t="array" ref="B145">INDEX(Table1[riBAQ 17], MATCH(1, (Table3[[#This Row],[Gene names]:[Gene names]] = Table1[[Gene names]:[Gene names]])*1, 0))</f>
        <v>0</v>
      </c>
      <c r="C145" cm="1">
        <f t="array" ref="C145">INDEX(Table1[riBAQ 18], MATCH(1, (Table3[[#This Row],[Gene names]:[Gene names]] = Table1[[Gene names]:[Gene names]])*1, 0))</f>
        <v>0</v>
      </c>
      <c r="D145" cm="1">
        <f t="array" ref="D145">INDEX(Table1[riBAQ 35], MATCH(1, (Table3[[#This Row],[Gene names]:[Gene names]] = Table1[[Gene names]:[Gene names]])*1, 0))</f>
        <v>0</v>
      </c>
      <c r="E145" cm="1">
        <f t="array" ref="E145">INDEX(Table1[riBAQ 36], MATCH(1, (Table3[[#This Row],[Gene names]:[Gene names]] = Table1[[Gene names]:[Gene names]])*1, 0))</f>
        <v>0</v>
      </c>
      <c r="F145" cm="1">
        <f t="array" ref="F145">INDEX(Table1[riBAQ 19], MATCH(1, (Table3[[#This Row],[Gene names]:[Gene names]] = Table1[[Gene names]:[Gene names]])*1, 0))</f>
        <v>0</v>
      </c>
      <c r="G145" cm="1">
        <f t="array" ref="G145">INDEX(Table1[riBAQ 20], MATCH(1, (Table3[[#This Row],[Gene names]:[Gene names]] = Table1[[Gene names]:[Gene names]])*1, 0))</f>
        <v>0</v>
      </c>
      <c r="H145" cm="1">
        <f t="array" ref="H145">INDEX(Table1[riBAQ 21], MATCH(1, (Table3[[#This Row],[Gene names]:[Gene names]] = Table1[[Gene names]:[Gene names]])*1, 0))</f>
        <v>3.1099999999999997E-5</v>
      </c>
      <c r="I145" cm="1">
        <f t="array" ref="I145">INDEX(Table1[riBAQ 22], MATCH(1, (Table3[[#This Row],[Gene names]:[Gene names]] = Table1[[Gene names]:[Gene names]])*1, 0))</f>
        <v>0</v>
      </c>
      <c r="J145" cm="1">
        <f t="array" ref="J145">INDEX(Table1[riBAQ 23], MATCH(1, (Table3[[#This Row],[Gene names]:[Gene names]] = Table1[[Gene names]:[Gene names]])*1, 0))</f>
        <v>0</v>
      </c>
      <c r="K145" cm="1">
        <f t="array" ref="K145">INDEX(Table1[riBAQ 37], MATCH(1, (Table3[[#This Row],[Gene names]:[Gene names]] = Table1[[Gene names]:[Gene names]])*1, 0))</f>
        <v>2.3900000000000002E-5</v>
      </c>
      <c r="L145" cm="1">
        <f t="array" ref="L145">INDEX(Table1[riBAQ 38], MATCH(1, (Table3[[#This Row],[Gene names]:[Gene names]] = Table1[[Gene names]:[Gene names]])*1, 0))</f>
        <v>0</v>
      </c>
      <c r="M145" cm="1">
        <f t="array" ref="M145">INDEX(Table1[riBAQ 39], MATCH(1, (Table3[[#This Row],[Gene names]:[Gene names]] = Table1[[Gene names]:[Gene names]])*1, 0))</f>
        <v>0</v>
      </c>
      <c r="N145" cm="1">
        <f t="array" ref="N145">INDEX(Table1[riBAQ 40], MATCH(1, (Table3[[#This Row],[Gene names]:[Gene names]] = Table1[[Gene names]:[Gene names]])*1, 0))</f>
        <v>0</v>
      </c>
      <c r="O145" cm="1">
        <f t="array" ref="O145">INDEX(Table1[riBAQ 41], MATCH(1, (Table3[[#This Row],[Gene names]:[Gene names]] = Table1[[Gene names]:[Gene names]])*1, 0))</f>
        <v>0</v>
      </c>
      <c r="P145" cm="1">
        <f t="array" ref="P145">INDEX(Table1[riBAQ 24], MATCH(1, (Table3[[#This Row],[Gene names]:[Gene names]] = Table1[[Gene names]:[Gene names]])*1, 0))</f>
        <v>1.56E-5</v>
      </c>
      <c r="Q145" cm="1">
        <f t="array" ref="Q145">INDEX(Table1[riBAQ 25], MATCH(1, (Table3[[#This Row],[Gene names]:[Gene names]] = Table1[[Gene names]:[Gene names]])*1, 0))</f>
        <v>3.3599999999999997E-5</v>
      </c>
      <c r="R145" cm="1">
        <f t="array" ref="R145">INDEX(Table1[riBAQ 26], MATCH(1, (Table3[[#This Row],[Gene names]:[Gene names]] = Table1[[Gene names]:[Gene names]])*1, 0))</f>
        <v>3.8099999999999998E-5</v>
      </c>
      <c r="S145" cm="1">
        <f t="array" ref="S145">INDEX(Table1[riBAQ 42], MATCH(1, (Table3[[#This Row],[Gene names]:[Gene names]] = Table1[[Gene names]:[Gene names]])*1, 0))</f>
        <v>0</v>
      </c>
      <c r="T145" cm="1">
        <f t="array" ref="T145">INDEX(Table1[riBAQ 43], MATCH(1, (Table3[[#This Row],[Gene names]:[Gene names]] = Table1[[Gene names]:[Gene names]])*1, 0))</f>
        <v>7.9099999999999998E-5</v>
      </c>
    </row>
    <row r="146" spans="1:20" x14ac:dyDescent="0.25">
      <c r="A146" t="s">
        <v>1497</v>
      </c>
      <c r="B146" cm="1">
        <f t="array" ref="B146">INDEX(Table1[riBAQ 17], MATCH(1, (Table3[[#This Row],[Gene names]:[Gene names]] = Table1[[Gene names]:[Gene names]])*1, 0))</f>
        <v>4.1751800000000002E-4</v>
      </c>
      <c r="C146" cm="1">
        <f t="array" ref="C146">INDEX(Table1[riBAQ 18], MATCH(1, (Table3[[#This Row],[Gene names]:[Gene names]] = Table1[[Gene names]:[Gene names]])*1, 0))</f>
        <v>2.4742200000000002E-4</v>
      </c>
      <c r="D146" cm="1">
        <f t="array" ref="D146">INDEX(Table1[riBAQ 35], MATCH(1, (Table3[[#This Row],[Gene names]:[Gene names]] = Table1[[Gene names]:[Gene names]])*1, 0))</f>
        <v>0</v>
      </c>
      <c r="E146" cm="1">
        <f t="array" ref="E146">INDEX(Table1[riBAQ 36], MATCH(1, (Table3[[#This Row],[Gene names]:[Gene names]] = Table1[[Gene names]:[Gene names]])*1, 0))</f>
        <v>0</v>
      </c>
      <c r="F146" cm="1">
        <f t="array" ref="F146">INDEX(Table1[riBAQ 19], MATCH(1, (Table3[[#This Row],[Gene names]:[Gene names]] = Table1[[Gene names]:[Gene names]])*1, 0))</f>
        <v>4.5413099999999998E-4</v>
      </c>
      <c r="G146" cm="1">
        <f t="array" ref="G146">INDEX(Table1[riBAQ 20], MATCH(1, (Table3[[#This Row],[Gene names]:[Gene names]] = Table1[[Gene names]:[Gene names]])*1, 0))</f>
        <v>0</v>
      </c>
      <c r="H146" cm="1">
        <f t="array" ref="H146">INDEX(Table1[riBAQ 21], MATCH(1, (Table3[[#This Row],[Gene names]:[Gene names]] = Table1[[Gene names]:[Gene names]])*1, 0))</f>
        <v>2.5216300000000002E-4</v>
      </c>
      <c r="I146" cm="1">
        <f t="array" ref="I146">INDEX(Table1[riBAQ 22], MATCH(1, (Table3[[#This Row],[Gene names]:[Gene names]] = Table1[[Gene names]:[Gene names]])*1, 0))</f>
        <v>1.17269E-4</v>
      </c>
      <c r="J146" cm="1">
        <f t="array" ref="J146">INDEX(Table1[riBAQ 23], MATCH(1, (Table3[[#This Row],[Gene names]:[Gene names]] = Table1[[Gene names]:[Gene names]])*1, 0))</f>
        <v>5.3588599999999996E-4</v>
      </c>
      <c r="K146" cm="1">
        <f t="array" ref="K146">INDEX(Table1[riBAQ 37], MATCH(1, (Table3[[#This Row],[Gene names]:[Gene names]] = Table1[[Gene names]:[Gene names]])*1, 0))</f>
        <v>7.5960299999999997E-4</v>
      </c>
      <c r="L146" cm="1">
        <f t="array" ref="L146">INDEX(Table1[riBAQ 38], MATCH(1, (Table3[[#This Row],[Gene names]:[Gene names]] = Table1[[Gene names]:[Gene names]])*1, 0))</f>
        <v>3.0177600000000002E-4</v>
      </c>
      <c r="M146" cm="1">
        <f t="array" ref="M146">INDEX(Table1[riBAQ 39], MATCH(1, (Table3[[#This Row],[Gene names]:[Gene names]] = Table1[[Gene names]:[Gene names]])*1, 0))</f>
        <v>4.7853000000000001E-4</v>
      </c>
      <c r="N146" cm="1">
        <f t="array" ref="N146">INDEX(Table1[riBAQ 40], MATCH(1, (Table3[[#This Row],[Gene names]:[Gene names]] = Table1[[Gene names]:[Gene names]])*1, 0))</f>
        <v>3.8685500000000002E-4</v>
      </c>
      <c r="O146" cm="1">
        <f t="array" ref="O146">INDEX(Table1[riBAQ 41], MATCH(1, (Table3[[#This Row],[Gene names]:[Gene names]] = Table1[[Gene names]:[Gene names]])*1, 0))</f>
        <v>2.1351599999999999E-4</v>
      </c>
      <c r="P146" cm="1">
        <f t="array" ref="P146">INDEX(Table1[riBAQ 24], MATCH(1, (Table3[[#This Row],[Gene names]:[Gene names]] = Table1[[Gene names]:[Gene names]])*1, 0))</f>
        <v>1.2649460000000001E-3</v>
      </c>
      <c r="Q146" cm="1">
        <f t="array" ref="Q146">INDEX(Table1[riBAQ 25], MATCH(1, (Table3[[#This Row],[Gene names]:[Gene names]] = Table1[[Gene names]:[Gene names]])*1, 0))</f>
        <v>1.307756E-3</v>
      </c>
      <c r="R146" cm="1">
        <f t="array" ref="R146">INDEX(Table1[riBAQ 26], MATCH(1, (Table3[[#This Row],[Gene names]:[Gene names]] = Table1[[Gene names]:[Gene names]])*1, 0))</f>
        <v>9.1561099999999999E-4</v>
      </c>
      <c r="S146" cm="1">
        <f t="array" ref="S146">INDEX(Table1[riBAQ 42], MATCH(1, (Table3[[#This Row],[Gene names]:[Gene names]] = Table1[[Gene names]:[Gene names]])*1, 0))</f>
        <v>1.9430929999999999E-3</v>
      </c>
      <c r="T146" cm="1">
        <f t="array" ref="T146">INDEX(Table1[riBAQ 43], MATCH(1, (Table3[[#This Row],[Gene names]:[Gene names]] = Table1[[Gene names]:[Gene names]])*1, 0))</f>
        <v>1.3071269999999999E-3</v>
      </c>
    </row>
    <row r="147" spans="1:20" x14ac:dyDescent="0.25">
      <c r="A147" t="s">
        <v>218</v>
      </c>
      <c r="B147" cm="1">
        <f t="array" ref="B147">INDEX(Table1[riBAQ 17], MATCH(1, (Table3[[#This Row],[Gene names]:[Gene names]] = Table1[[Gene names]:[Gene names]])*1, 0))</f>
        <v>0</v>
      </c>
      <c r="C147" cm="1">
        <f t="array" ref="C147">INDEX(Table1[riBAQ 18], MATCH(1, (Table3[[#This Row],[Gene names]:[Gene names]] = Table1[[Gene names]:[Gene names]])*1, 0))</f>
        <v>0</v>
      </c>
      <c r="D147" cm="1">
        <f t="array" ref="D147">INDEX(Table1[riBAQ 35], MATCH(1, (Table3[[#This Row],[Gene names]:[Gene names]] = Table1[[Gene names]:[Gene names]])*1, 0))</f>
        <v>0</v>
      </c>
      <c r="E147" cm="1">
        <f t="array" ref="E147">INDEX(Table1[riBAQ 36], MATCH(1, (Table3[[#This Row],[Gene names]:[Gene names]] = Table1[[Gene names]:[Gene names]])*1, 0))</f>
        <v>0</v>
      </c>
      <c r="F147" cm="1">
        <f t="array" ref="F147">INDEX(Table1[riBAQ 19], MATCH(1, (Table3[[#This Row],[Gene names]:[Gene names]] = Table1[[Gene names]:[Gene names]])*1, 0))</f>
        <v>0</v>
      </c>
      <c r="G147" cm="1">
        <f t="array" ref="G147">INDEX(Table1[riBAQ 20], MATCH(1, (Table3[[#This Row],[Gene names]:[Gene names]] = Table1[[Gene names]:[Gene names]])*1, 0))</f>
        <v>0</v>
      </c>
      <c r="H147" cm="1">
        <f t="array" ref="H147">INDEX(Table1[riBAQ 21], MATCH(1, (Table3[[#This Row],[Gene names]:[Gene names]] = Table1[[Gene names]:[Gene names]])*1, 0))</f>
        <v>1.3286299999999999E-4</v>
      </c>
      <c r="I147" cm="1">
        <f t="array" ref="I147">INDEX(Table1[riBAQ 22], MATCH(1, (Table3[[#This Row],[Gene names]:[Gene names]] = Table1[[Gene names]:[Gene names]])*1, 0))</f>
        <v>1.00769E-4</v>
      </c>
      <c r="J147" cm="1">
        <f t="array" ref="J147">INDEX(Table1[riBAQ 23], MATCH(1, (Table3[[#This Row],[Gene names]:[Gene names]] = Table1[[Gene names]:[Gene names]])*1, 0))</f>
        <v>0</v>
      </c>
      <c r="K147" cm="1">
        <f t="array" ref="K147">INDEX(Table1[riBAQ 37], MATCH(1, (Table3[[#This Row],[Gene names]:[Gene names]] = Table1[[Gene names]:[Gene names]])*1, 0))</f>
        <v>0</v>
      </c>
      <c r="L147" cm="1">
        <f t="array" ref="L147">INDEX(Table1[riBAQ 38], MATCH(1, (Table3[[#This Row],[Gene names]:[Gene names]] = Table1[[Gene names]:[Gene names]])*1, 0))</f>
        <v>0</v>
      </c>
      <c r="M147" cm="1">
        <f t="array" ref="M147">INDEX(Table1[riBAQ 39], MATCH(1, (Table3[[#This Row],[Gene names]:[Gene names]] = Table1[[Gene names]:[Gene names]])*1, 0))</f>
        <v>0</v>
      </c>
      <c r="N147" cm="1">
        <f t="array" ref="N147">INDEX(Table1[riBAQ 40], MATCH(1, (Table3[[#This Row],[Gene names]:[Gene names]] = Table1[[Gene names]:[Gene names]])*1, 0))</f>
        <v>0</v>
      </c>
      <c r="O147" cm="1">
        <f t="array" ref="O147">INDEX(Table1[riBAQ 41], MATCH(1, (Table3[[#This Row],[Gene names]:[Gene names]] = Table1[[Gene names]:[Gene names]])*1, 0))</f>
        <v>0</v>
      </c>
      <c r="P147" cm="1">
        <f t="array" ref="P147">INDEX(Table1[riBAQ 24], MATCH(1, (Table3[[#This Row],[Gene names]:[Gene names]] = Table1[[Gene names]:[Gene names]])*1, 0))</f>
        <v>7.8200000000000003E-5</v>
      </c>
      <c r="Q147" cm="1">
        <f t="array" ref="Q147">INDEX(Table1[riBAQ 25], MATCH(1, (Table3[[#This Row],[Gene names]:[Gene names]] = Table1[[Gene names]:[Gene names]])*1, 0))</f>
        <v>7.8100000000000001E-5</v>
      </c>
      <c r="R147" cm="1">
        <f t="array" ref="R147">INDEX(Table1[riBAQ 26], MATCH(1, (Table3[[#This Row],[Gene names]:[Gene names]] = Table1[[Gene names]:[Gene names]])*1, 0))</f>
        <v>7.1600000000000006E-5</v>
      </c>
      <c r="S147" cm="1">
        <f t="array" ref="S147">INDEX(Table1[riBAQ 42], MATCH(1, (Table3[[#This Row],[Gene names]:[Gene names]] = Table1[[Gene names]:[Gene names]])*1, 0))</f>
        <v>1.56754E-4</v>
      </c>
      <c r="T147" cm="1">
        <f t="array" ref="T147">INDEX(Table1[riBAQ 43], MATCH(1, (Table3[[#This Row],[Gene names]:[Gene names]] = Table1[[Gene names]:[Gene names]])*1, 0))</f>
        <v>1.51865E-4</v>
      </c>
    </row>
    <row r="148" spans="1:20" x14ac:dyDescent="0.25">
      <c r="A148" t="s">
        <v>1229</v>
      </c>
      <c r="B148" cm="1">
        <f t="array" ref="B148">INDEX(Table1[riBAQ 17], MATCH(1, (Table3[[#This Row],[Gene names]:[Gene names]] = Table1[[Gene names]:[Gene names]])*1, 0))</f>
        <v>0</v>
      </c>
      <c r="C148" cm="1">
        <f t="array" ref="C148">INDEX(Table1[riBAQ 18], MATCH(1, (Table3[[#This Row],[Gene names]:[Gene names]] = Table1[[Gene names]:[Gene names]])*1, 0))</f>
        <v>0</v>
      </c>
      <c r="D148" cm="1">
        <f t="array" ref="D148">INDEX(Table1[riBAQ 35], MATCH(1, (Table3[[#This Row],[Gene names]:[Gene names]] = Table1[[Gene names]:[Gene names]])*1, 0))</f>
        <v>0</v>
      </c>
      <c r="E148" cm="1">
        <f t="array" ref="E148">INDEX(Table1[riBAQ 36], MATCH(1, (Table3[[#This Row],[Gene names]:[Gene names]] = Table1[[Gene names]:[Gene names]])*1, 0))</f>
        <v>0</v>
      </c>
      <c r="F148" cm="1">
        <f t="array" ref="F148">INDEX(Table1[riBAQ 19], MATCH(1, (Table3[[#This Row],[Gene names]:[Gene names]] = Table1[[Gene names]:[Gene names]])*1, 0))</f>
        <v>0</v>
      </c>
      <c r="G148" cm="1">
        <f t="array" ref="G148">INDEX(Table1[riBAQ 20], MATCH(1, (Table3[[#This Row],[Gene names]:[Gene names]] = Table1[[Gene names]:[Gene names]])*1, 0))</f>
        <v>4.2799999999999997E-5</v>
      </c>
      <c r="H148" cm="1">
        <f t="array" ref="H148">INDEX(Table1[riBAQ 21], MATCH(1, (Table3[[#This Row],[Gene names]:[Gene names]] = Table1[[Gene names]:[Gene names]])*1, 0))</f>
        <v>0</v>
      </c>
      <c r="I148" cm="1">
        <f t="array" ref="I148">INDEX(Table1[riBAQ 22], MATCH(1, (Table3[[#This Row],[Gene names]:[Gene names]] = Table1[[Gene names]:[Gene names]])*1, 0))</f>
        <v>0</v>
      </c>
      <c r="J148" cm="1">
        <f t="array" ref="J148">INDEX(Table1[riBAQ 23], MATCH(1, (Table3[[#This Row],[Gene names]:[Gene names]] = Table1[[Gene names]:[Gene names]])*1, 0))</f>
        <v>0</v>
      </c>
      <c r="K148" cm="1">
        <f t="array" ref="K148">INDEX(Table1[riBAQ 37], MATCH(1, (Table3[[#This Row],[Gene names]:[Gene names]] = Table1[[Gene names]:[Gene names]])*1, 0))</f>
        <v>0</v>
      </c>
      <c r="L148" cm="1">
        <f t="array" ref="L148">INDEX(Table1[riBAQ 38], MATCH(1, (Table3[[#This Row],[Gene names]:[Gene names]] = Table1[[Gene names]:[Gene names]])*1, 0))</f>
        <v>0</v>
      </c>
      <c r="M148" cm="1">
        <f t="array" ref="M148">INDEX(Table1[riBAQ 39], MATCH(1, (Table3[[#This Row],[Gene names]:[Gene names]] = Table1[[Gene names]:[Gene names]])*1, 0))</f>
        <v>0</v>
      </c>
      <c r="N148" cm="1">
        <f t="array" ref="N148">INDEX(Table1[riBAQ 40], MATCH(1, (Table3[[#This Row],[Gene names]:[Gene names]] = Table1[[Gene names]:[Gene names]])*1, 0))</f>
        <v>0</v>
      </c>
      <c r="O148" cm="1">
        <f t="array" ref="O148">INDEX(Table1[riBAQ 41], MATCH(1, (Table3[[#This Row],[Gene names]:[Gene names]] = Table1[[Gene names]:[Gene names]])*1, 0))</f>
        <v>0</v>
      </c>
      <c r="P148" cm="1">
        <f t="array" ref="P148">INDEX(Table1[riBAQ 24], MATCH(1, (Table3[[#This Row],[Gene names]:[Gene names]] = Table1[[Gene names]:[Gene names]])*1, 0))</f>
        <v>4.1999999999999998E-5</v>
      </c>
      <c r="Q148" cm="1">
        <f t="array" ref="Q148">INDEX(Table1[riBAQ 25], MATCH(1, (Table3[[#This Row],[Gene names]:[Gene names]] = Table1[[Gene names]:[Gene names]])*1, 0))</f>
        <v>2.1368599999999999E-4</v>
      </c>
      <c r="R148" cm="1">
        <f t="array" ref="R148">INDEX(Table1[riBAQ 26], MATCH(1, (Table3[[#This Row],[Gene names]:[Gene names]] = Table1[[Gene names]:[Gene names]])*1, 0))</f>
        <v>5.1900000000000001E-5</v>
      </c>
      <c r="S148" cm="1">
        <f t="array" ref="S148">INDEX(Table1[riBAQ 42], MATCH(1, (Table3[[#This Row],[Gene names]:[Gene names]] = Table1[[Gene names]:[Gene names]])*1, 0))</f>
        <v>1.30168E-4</v>
      </c>
      <c r="T148" cm="1">
        <f t="array" ref="T148">INDEX(Table1[riBAQ 43], MATCH(1, (Table3[[#This Row],[Gene names]:[Gene names]] = Table1[[Gene names]:[Gene names]])*1, 0))</f>
        <v>2.4372599999999999E-4</v>
      </c>
    </row>
    <row r="149" spans="1:20" x14ac:dyDescent="0.25">
      <c r="A149" t="s">
        <v>223</v>
      </c>
      <c r="B149" cm="1">
        <f t="array" ref="B149">INDEX(Table1[riBAQ 17], MATCH(1, (Table3[[#This Row],[Gene names]:[Gene names]] = Table1[[Gene names]:[Gene names]])*1, 0))</f>
        <v>6.0100000000000001E-6</v>
      </c>
      <c r="C149" cm="1">
        <f t="array" ref="C149">INDEX(Table1[riBAQ 18], MATCH(1, (Table3[[#This Row],[Gene names]:[Gene names]] = Table1[[Gene names]:[Gene names]])*1, 0))</f>
        <v>6.4200000000000004E-6</v>
      </c>
      <c r="D149" cm="1">
        <f t="array" ref="D149">INDEX(Table1[riBAQ 35], MATCH(1, (Table3[[#This Row],[Gene names]:[Gene names]] = Table1[[Gene names]:[Gene names]])*1, 0))</f>
        <v>7.3100000000000003E-6</v>
      </c>
      <c r="E149" cm="1">
        <f t="array" ref="E149">INDEX(Table1[riBAQ 36], MATCH(1, (Table3[[#This Row],[Gene names]:[Gene names]] = Table1[[Gene names]:[Gene names]])*1, 0))</f>
        <v>6.7599999999999997E-6</v>
      </c>
      <c r="F149" cm="1">
        <f t="array" ref="F149">INDEX(Table1[riBAQ 19], MATCH(1, (Table3[[#This Row],[Gene names]:[Gene names]] = Table1[[Gene names]:[Gene names]])*1, 0))</f>
        <v>8.2199999999999992E-6</v>
      </c>
      <c r="G149" cm="1">
        <f t="array" ref="G149">INDEX(Table1[riBAQ 20], MATCH(1, (Table3[[#This Row],[Gene names]:[Gene names]] = Table1[[Gene names]:[Gene names]])*1, 0))</f>
        <v>6.4300000000000003E-6</v>
      </c>
      <c r="H149" cm="1">
        <f t="array" ref="H149">INDEX(Table1[riBAQ 21], MATCH(1, (Table3[[#This Row],[Gene names]:[Gene names]] = Table1[[Gene names]:[Gene names]])*1, 0))</f>
        <v>7.3000000000000004E-6</v>
      </c>
      <c r="I149" cm="1">
        <f t="array" ref="I149">INDEX(Table1[riBAQ 22], MATCH(1, (Table3[[#This Row],[Gene names]:[Gene names]] = Table1[[Gene names]:[Gene names]])*1, 0))</f>
        <v>5.3700000000000003E-6</v>
      </c>
      <c r="J149" cm="1">
        <f t="array" ref="J149">INDEX(Table1[riBAQ 23], MATCH(1, (Table3[[#This Row],[Gene names]:[Gene names]] = Table1[[Gene names]:[Gene names]])*1, 0))</f>
        <v>5.4500000000000003E-6</v>
      </c>
      <c r="K149" cm="1">
        <f t="array" ref="K149">INDEX(Table1[riBAQ 37], MATCH(1, (Table3[[#This Row],[Gene names]:[Gene names]] = Table1[[Gene names]:[Gene names]])*1, 0))</f>
        <v>5.5199999999999997E-6</v>
      </c>
      <c r="L149" cm="1">
        <f t="array" ref="L149">INDEX(Table1[riBAQ 38], MATCH(1, (Table3[[#This Row],[Gene names]:[Gene names]] = Table1[[Gene names]:[Gene names]])*1, 0))</f>
        <v>6.0900000000000001E-6</v>
      </c>
      <c r="M149" cm="1">
        <f t="array" ref="M149">INDEX(Table1[riBAQ 39], MATCH(1, (Table3[[#This Row],[Gene names]:[Gene names]] = Table1[[Gene names]:[Gene names]])*1, 0))</f>
        <v>6.0000000000000002E-6</v>
      </c>
      <c r="N149" cm="1">
        <f t="array" ref="N149">INDEX(Table1[riBAQ 40], MATCH(1, (Table3[[#This Row],[Gene names]:[Gene names]] = Table1[[Gene names]:[Gene names]])*1, 0))</f>
        <v>0</v>
      </c>
      <c r="O149" cm="1">
        <f t="array" ref="O149">INDEX(Table1[riBAQ 41], MATCH(1, (Table3[[#This Row],[Gene names]:[Gene names]] = Table1[[Gene names]:[Gene names]])*1, 0))</f>
        <v>5.4E-6</v>
      </c>
      <c r="P149" cm="1">
        <f t="array" ref="P149">INDEX(Table1[riBAQ 24], MATCH(1, (Table3[[#This Row],[Gene names]:[Gene names]] = Table1[[Gene names]:[Gene names]])*1, 0))</f>
        <v>0</v>
      </c>
      <c r="Q149" cm="1">
        <f t="array" ref="Q149">INDEX(Table1[riBAQ 25], MATCH(1, (Table3[[#This Row],[Gene names]:[Gene names]] = Table1[[Gene names]:[Gene names]])*1, 0))</f>
        <v>0</v>
      </c>
      <c r="R149" cm="1">
        <f t="array" ref="R149">INDEX(Table1[riBAQ 26], MATCH(1, (Table3[[#This Row],[Gene names]:[Gene names]] = Table1[[Gene names]:[Gene names]])*1, 0))</f>
        <v>5.5899999999999998E-6</v>
      </c>
      <c r="S149" cm="1">
        <f t="array" ref="S149">INDEX(Table1[riBAQ 42], MATCH(1, (Table3[[#This Row],[Gene names]:[Gene names]] = Table1[[Gene names]:[Gene names]])*1, 0))</f>
        <v>4.2100000000000003E-6</v>
      </c>
      <c r="T149" cm="1">
        <f t="array" ref="T149">INDEX(Table1[riBAQ 43], MATCH(1, (Table3[[#This Row],[Gene names]:[Gene names]] = Table1[[Gene names]:[Gene names]])*1, 0))</f>
        <v>3.3500000000000001E-6</v>
      </c>
    </row>
    <row r="150" spans="1:20" x14ac:dyDescent="0.25">
      <c r="A150" t="s">
        <v>965</v>
      </c>
      <c r="B150" cm="1">
        <f t="array" ref="B150">INDEX(Table1[riBAQ 17], MATCH(1, (Table3[[#This Row],[Gene names]:[Gene names]] = Table1[[Gene names]:[Gene names]])*1, 0))</f>
        <v>4.18E-5</v>
      </c>
      <c r="C150" cm="1">
        <f t="array" ref="C150">INDEX(Table1[riBAQ 18], MATCH(1, (Table3[[#This Row],[Gene names]:[Gene names]] = Table1[[Gene names]:[Gene names]])*1, 0))</f>
        <v>2.8900000000000001E-5</v>
      </c>
      <c r="D150" cm="1">
        <f t="array" ref="D150">INDEX(Table1[riBAQ 35], MATCH(1, (Table3[[#This Row],[Gene names]:[Gene names]] = Table1[[Gene names]:[Gene names]])*1, 0))</f>
        <v>1.5299999999999999E-5</v>
      </c>
      <c r="E150" cm="1">
        <f t="array" ref="E150">INDEX(Table1[riBAQ 36], MATCH(1, (Table3[[#This Row],[Gene names]:[Gene names]] = Table1[[Gene names]:[Gene names]])*1, 0))</f>
        <v>0</v>
      </c>
      <c r="F150" cm="1">
        <f t="array" ref="F150">INDEX(Table1[riBAQ 19], MATCH(1, (Table3[[#This Row],[Gene names]:[Gene names]] = Table1[[Gene names]:[Gene names]])*1, 0))</f>
        <v>0</v>
      </c>
      <c r="G150" cm="1">
        <f t="array" ref="G150">INDEX(Table1[riBAQ 20], MATCH(1, (Table3[[#This Row],[Gene names]:[Gene names]] = Table1[[Gene names]:[Gene names]])*1, 0))</f>
        <v>5.1999999999999997E-5</v>
      </c>
      <c r="H150" cm="1">
        <f t="array" ref="H150">INDEX(Table1[riBAQ 21], MATCH(1, (Table3[[#This Row],[Gene names]:[Gene names]] = Table1[[Gene names]:[Gene names]])*1, 0))</f>
        <v>6.5900000000000003E-5</v>
      </c>
      <c r="I150" cm="1">
        <f t="array" ref="I150">INDEX(Table1[riBAQ 22], MATCH(1, (Table3[[#This Row],[Gene names]:[Gene names]] = Table1[[Gene names]:[Gene names]])*1, 0))</f>
        <v>3.4999999999999997E-5</v>
      </c>
      <c r="J150" cm="1">
        <f t="array" ref="J150">INDEX(Table1[riBAQ 23], MATCH(1, (Table3[[#This Row],[Gene names]:[Gene names]] = Table1[[Gene names]:[Gene names]])*1, 0))</f>
        <v>4.8000000000000001E-5</v>
      </c>
      <c r="K150" cm="1">
        <f t="array" ref="K150">INDEX(Table1[riBAQ 37], MATCH(1, (Table3[[#This Row],[Gene names]:[Gene names]] = Table1[[Gene names]:[Gene names]])*1, 0))</f>
        <v>2.4700000000000001E-5</v>
      </c>
      <c r="L150" cm="1">
        <f t="array" ref="L150">INDEX(Table1[riBAQ 38], MATCH(1, (Table3[[#This Row],[Gene names]:[Gene names]] = Table1[[Gene names]:[Gene names]])*1, 0))</f>
        <v>6.9999999999999994E-5</v>
      </c>
      <c r="M150" cm="1">
        <f t="array" ref="M150">INDEX(Table1[riBAQ 39], MATCH(1, (Table3[[#This Row],[Gene names]:[Gene names]] = Table1[[Gene names]:[Gene names]])*1, 0))</f>
        <v>6.2100000000000005E-5</v>
      </c>
      <c r="N150" cm="1">
        <f t="array" ref="N150">INDEX(Table1[riBAQ 40], MATCH(1, (Table3[[#This Row],[Gene names]:[Gene names]] = Table1[[Gene names]:[Gene names]])*1, 0))</f>
        <v>1.3407299999999999E-4</v>
      </c>
      <c r="O150" cm="1">
        <f t="array" ref="O150">INDEX(Table1[riBAQ 41], MATCH(1, (Table3[[#This Row],[Gene names]:[Gene names]] = Table1[[Gene names]:[Gene names]])*1, 0))</f>
        <v>4.0099999999999999E-5</v>
      </c>
      <c r="P150" cm="1">
        <f t="array" ref="P150">INDEX(Table1[riBAQ 24], MATCH(1, (Table3[[#This Row],[Gene names]:[Gene names]] = Table1[[Gene names]:[Gene names]])*1, 0))</f>
        <v>1.8463400000000001E-4</v>
      </c>
      <c r="Q150" cm="1">
        <f t="array" ref="Q150">INDEX(Table1[riBAQ 25], MATCH(1, (Table3[[#This Row],[Gene names]:[Gene names]] = Table1[[Gene names]:[Gene names]])*1, 0))</f>
        <v>2.7983199999999999E-4</v>
      </c>
      <c r="R150" cm="1">
        <f t="array" ref="R150">INDEX(Table1[riBAQ 26], MATCH(1, (Table3[[#This Row],[Gene names]:[Gene names]] = Table1[[Gene names]:[Gene names]])*1, 0))</f>
        <v>1.4037399999999999E-4</v>
      </c>
      <c r="S150" cm="1">
        <f t="array" ref="S150">INDEX(Table1[riBAQ 42], MATCH(1, (Table3[[#This Row],[Gene names]:[Gene names]] = Table1[[Gene names]:[Gene names]])*1, 0))</f>
        <v>0</v>
      </c>
      <c r="T150" cm="1">
        <f t="array" ref="T150">INDEX(Table1[riBAQ 43], MATCH(1, (Table3[[#This Row],[Gene names]:[Gene names]] = Table1[[Gene names]:[Gene names]])*1, 0))</f>
        <v>8.92E-5</v>
      </c>
    </row>
    <row r="151" spans="1:20" x14ac:dyDescent="0.25">
      <c r="A151" t="s">
        <v>1292</v>
      </c>
      <c r="B151" cm="1">
        <f t="array" ref="B151">INDEX(Table1[riBAQ 17], MATCH(1, (Table3[[#This Row],[Gene names]:[Gene names]] = Table1[[Gene names]:[Gene names]])*1, 0))</f>
        <v>4.824175E-3</v>
      </c>
      <c r="C151" cm="1">
        <f t="array" ref="C151">INDEX(Table1[riBAQ 18], MATCH(1, (Table3[[#This Row],[Gene names]:[Gene names]] = Table1[[Gene names]:[Gene names]])*1, 0))</f>
        <v>3.4674649999999999E-3</v>
      </c>
      <c r="D151" cm="1">
        <f t="array" ref="D151">INDEX(Table1[riBAQ 35], MATCH(1, (Table3[[#This Row],[Gene names]:[Gene names]] = Table1[[Gene names]:[Gene names]])*1, 0))</f>
        <v>3.719642E-3</v>
      </c>
      <c r="E151" cm="1">
        <f t="array" ref="E151">INDEX(Table1[riBAQ 36], MATCH(1, (Table3[[#This Row],[Gene names]:[Gene names]] = Table1[[Gene names]:[Gene names]])*1, 0))</f>
        <v>3.6107069999999999E-3</v>
      </c>
      <c r="F151" cm="1">
        <f t="array" ref="F151">INDEX(Table1[riBAQ 19], MATCH(1, (Table3[[#This Row],[Gene names]:[Gene names]] = Table1[[Gene names]:[Gene names]])*1, 0))</f>
        <v>4.3350000000000003E-3</v>
      </c>
      <c r="G151" cm="1">
        <f t="array" ref="G151">INDEX(Table1[riBAQ 20], MATCH(1, (Table3[[#This Row],[Gene names]:[Gene names]] = Table1[[Gene names]:[Gene names]])*1, 0))</f>
        <v>3.3140779999999998E-3</v>
      </c>
      <c r="H151" cm="1">
        <f t="array" ref="H151">INDEX(Table1[riBAQ 21], MATCH(1, (Table3[[#This Row],[Gene names]:[Gene names]] = Table1[[Gene names]:[Gene names]])*1, 0))</f>
        <v>3.3842579999999998E-3</v>
      </c>
      <c r="I151" cm="1">
        <f t="array" ref="I151">INDEX(Table1[riBAQ 22], MATCH(1, (Table3[[#This Row],[Gene names]:[Gene names]] = Table1[[Gene names]:[Gene names]])*1, 0))</f>
        <v>4.1806439999999999E-3</v>
      </c>
      <c r="J151" cm="1">
        <f t="array" ref="J151">INDEX(Table1[riBAQ 23], MATCH(1, (Table3[[#This Row],[Gene names]:[Gene names]] = Table1[[Gene names]:[Gene names]])*1, 0))</f>
        <v>4.5601909999999999E-3</v>
      </c>
      <c r="K151" cm="1">
        <f t="array" ref="K151">INDEX(Table1[riBAQ 37], MATCH(1, (Table3[[#This Row],[Gene names]:[Gene names]] = Table1[[Gene names]:[Gene names]])*1, 0))</f>
        <v>3.4710029999999998E-3</v>
      </c>
      <c r="L151" cm="1">
        <f t="array" ref="L151">INDEX(Table1[riBAQ 38], MATCH(1, (Table3[[#This Row],[Gene names]:[Gene names]] = Table1[[Gene names]:[Gene names]])*1, 0))</f>
        <v>3.489565E-3</v>
      </c>
      <c r="M151" cm="1">
        <f t="array" ref="M151">INDEX(Table1[riBAQ 39], MATCH(1, (Table3[[#This Row],[Gene names]:[Gene names]] = Table1[[Gene names]:[Gene names]])*1, 0))</f>
        <v>4.2092099999999997E-3</v>
      </c>
      <c r="N151" cm="1">
        <f t="array" ref="N151">INDEX(Table1[riBAQ 40], MATCH(1, (Table3[[#This Row],[Gene names]:[Gene names]] = Table1[[Gene names]:[Gene names]])*1, 0))</f>
        <v>4.3817639999999998E-3</v>
      </c>
      <c r="O151" cm="1">
        <f t="array" ref="O151">INDEX(Table1[riBAQ 41], MATCH(1, (Table3[[#This Row],[Gene names]:[Gene names]] = Table1[[Gene names]:[Gene names]])*1, 0))</f>
        <v>4.9022479999999997E-3</v>
      </c>
      <c r="P151" cm="1">
        <f t="array" ref="P151">INDEX(Table1[riBAQ 24], MATCH(1, (Table3[[#This Row],[Gene names]:[Gene names]] = Table1[[Gene names]:[Gene names]])*1, 0))</f>
        <v>4.4348820000000002E-3</v>
      </c>
      <c r="Q151" cm="1">
        <f t="array" ref="Q151">INDEX(Table1[riBAQ 25], MATCH(1, (Table3[[#This Row],[Gene names]:[Gene names]] = Table1[[Gene names]:[Gene names]])*1, 0))</f>
        <v>2.9541260000000001E-3</v>
      </c>
      <c r="R151" cm="1">
        <f t="array" ref="R151">INDEX(Table1[riBAQ 26], MATCH(1, (Table3[[#This Row],[Gene names]:[Gene names]] = Table1[[Gene names]:[Gene names]])*1, 0))</f>
        <v>2.6551140000000001E-3</v>
      </c>
      <c r="S151" cm="1">
        <f t="array" ref="S151">INDEX(Table1[riBAQ 42], MATCH(1, (Table3[[#This Row],[Gene names]:[Gene names]] = Table1[[Gene names]:[Gene names]])*1, 0))</f>
        <v>2.7651339999999998E-3</v>
      </c>
      <c r="T151" cm="1">
        <f t="array" ref="T151">INDEX(Table1[riBAQ 43], MATCH(1, (Table3[[#This Row],[Gene names]:[Gene names]] = Table1[[Gene names]:[Gene names]])*1, 0))</f>
        <v>2.6276649999999999E-3</v>
      </c>
    </row>
    <row r="152" spans="1:20" x14ac:dyDescent="0.25">
      <c r="A152" t="s">
        <v>446</v>
      </c>
      <c r="B152" cm="1">
        <f t="array" ref="B152">INDEX(Table1[riBAQ 17], MATCH(1, (Table3[[#This Row],[Gene names]:[Gene names]] = Table1[[Gene names]:[Gene names]])*1, 0))</f>
        <v>5.9200000000000002E-5</v>
      </c>
      <c r="C152" cm="1">
        <f t="array" ref="C152">INDEX(Table1[riBAQ 18], MATCH(1, (Table3[[#This Row],[Gene names]:[Gene names]] = Table1[[Gene names]:[Gene names]])*1, 0))</f>
        <v>5.8900000000000002E-5</v>
      </c>
      <c r="D152" cm="1">
        <f t="array" ref="D152">INDEX(Table1[riBAQ 35], MATCH(1, (Table3[[#This Row],[Gene names]:[Gene names]] = Table1[[Gene names]:[Gene names]])*1, 0))</f>
        <v>7.7399999999999998E-5</v>
      </c>
      <c r="E152" cm="1">
        <f t="array" ref="E152">INDEX(Table1[riBAQ 36], MATCH(1, (Table3[[#This Row],[Gene names]:[Gene names]] = Table1[[Gene names]:[Gene names]])*1, 0))</f>
        <v>7.1099999999999994E-5</v>
      </c>
      <c r="F152" cm="1">
        <f t="array" ref="F152">INDEX(Table1[riBAQ 19], MATCH(1, (Table3[[#This Row],[Gene names]:[Gene names]] = Table1[[Gene names]:[Gene names]])*1, 0))</f>
        <v>7.1099999999999994E-5</v>
      </c>
      <c r="G152" cm="1">
        <f t="array" ref="G152">INDEX(Table1[riBAQ 20], MATCH(1, (Table3[[#This Row],[Gene names]:[Gene names]] = Table1[[Gene names]:[Gene names]])*1, 0))</f>
        <v>5.8699999999999997E-5</v>
      </c>
      <c r="H152" cm="1">
        <f t="array" ref="H152">INDEX(Table1[riBAQ 21], MATCH(1, (Table3[[#This Row],[Gene names]:[Gene names]] = Table1[[Gene names]:[Gene names]])*1, 0))</f>
        <v>7.0699999999999997E-5</v>
      </c>
      <c r="I152" cm="1">
        <f t="array" ref="I152">INDEX(Table1[riBAQ 22], MATCH(1, (Table3[[#This Row],[Gene names]:[Gene names]] = Table1[[Gene names]:[Gene names]])*1, 0))</f>
        <v>6.8499999999999998E-5</v>
      </c>
      <c r="J152" cm="1">
        <f t="array" ref="J152">INDEX(Table1[riBAQ 23], MATCH(1, (Table3[[#This Row],[Gene names]:[Gene names]] = Table1[[Gene names]:[Gene names]])*1, 0))</f>
        <v>5.9500000000000003E-5</v>
      </c>
      <c r="K152" cm="1">
        <f t="array" ref="K152">INDEX(Table1[riBAQ 37], MATCH(1, (Table3[[#This Row],[Gene names]:[Gene names]] = Table1[[Gene names]:[Gene names]])*1, 0))</f>
        <v>6.9099999999999999E-5</v>
      </c>
      <c r="L152" cm="1">
        <f t="array" ref="L152">INDEX(Table1[riBAQ 38], MATCH(1, (Table3[[#This Row],[Gene names]:[Gene names]] = Table1[[Gene names]:[Gene names]])*1, 0))</f>
        <v>6.4399999999999993E-5</v>
      </c>
      <c r="M152" cm="1">
        <f t="array" ref="M152">INDEX(Table1[riBAQ 39], MATCH(1, (Table3[[#This Row],[Gene names]:[Gene names]] = Table1[[Gene names]:[Gene names]])*1, 0))</f>
        <v>5.6799999999999998E-5</v>
      </c>
      <c r="N152" cm="1">
        <f t="array" ref="N152">INDEX(Table1[riBAQ 40], MATCH(1, (Table3[[#This Row],[Gene names]:[Gene names]] = Table1[[Gene names]:[Gene names]])*1, 0))</f>
        <v>3.4199999999999998E-5</v>
      </c>
      <c r="O152" cm="1">
        <f t="array" ref="O152">INDEX(Table1[riBAQ 41], MATCH(1, (Table3[[#This Row],[Gene names]:[Gene names]] = Table1[[Gene names]:[Gene names]])*1, 0))</f>
        <v>6.2899999999999997E-5</v>
      </c>
      <c r="P152" cm="1">
        <f t="array" ref="P152">INDEX(Table1[riBAQ 24], MATCH(1, (Table3[[#This Row],[Gene names]:[Gene names]] = Table1[[Gene names]:[Gene names]])*1, 0))</f>
        <v>3.9400000000000002E-5</v>
      </c>
      <c r="Q152" cm="1">
        <f t="array" ref="Q152">INDEX(Table1[riBAQ 25], MATCH(1, (Table3[[#This Row],[Gene names]:[Gene names]] = Table1[[Gene names]:[Gene names]])*1, 0))</f>
        <v>2.8500000000000002E-5</v>
      </c>
      <c r="R152" cm="1">
        <f t="array" ref="R152">INDEX(Table1[riBAQ 26], MATCH(1, (Table3[[#This Row],[Gene names]:[Gene names]] = Table1[[Gene names]:[Gene names]])*1, 0))</f>
        <v>4.3800000000000001E-5</v>
      </c>
      <c r="S152" cm="1">
        <f t="array" ref="S152">INDEX(Table1[riBAQ 42], MATCH(1, (Table3[[#This Row],[Gene names]:[Gene names]] = Table1[[Gene names]:[Gene names]])*1, 0))</f>
        <v>3.7599999999999999E-5</v>
      </c>
      <c r="T152" cm="1">
        <f t="array" ref="T152">INDEX(Table1[riBAQ 43], MATCH(1, (Table3[[#This Row],[Gene names]:[Gene names]] = Table1[[Gene names]:[Gene names]])*1, 0))</f>
        <v>2.7800000000000001E-5</v>
      </c>
    </row>
    <row r="153" spans="1:20" x14ac:dyDescent="0.25">
      <c r="A153" t="s">
        <v>101</v>
      </c>
      <c r="B153" cm="1">
        <f t="array" ref="B153">INDEX(Table1[riBAQ 17], MATCH(1, (Table3[[#This Row],[Gene names]:[Gene names]] = Table1[[Gene names]:[Gene names]])*1, 0))</f>
        <v>1.48224E-4</v>
      </c>
      <c r="C153" cm="1">
        <f t="array" ref="C153">INDEX(Table1[riBAQ 18], MATCH(1, (Table3[[#This Row],[Gene names]:[Gene names]] = Table1[[Gene names]:[Gene names]])*1, 0))</f>
        <v>1.1955699999999999E-4</v>
      </c>
      <c r="D153" cm="1">
        <f t="array" ref="D153">INDEX(Table1[riBAQ 35], MATCH(1, (Table3[[#This Row],[Gene names]:[Gene names]] = Table1[[Gene names]:[Gene names]])*1, 0))</f>
        <v>1.4930499999999999E-4</v>
      </c>
      <c r="E153" cm="1">
        <f t="array" ref="E153">INDEX(Table1[riBAQ 36], MATCH(1, (Table3[[#This Row],[Gene names]:[Gene names]] = Table1[[Gene names]:[Gene names]])*1, 0))</f>
        <v>1.16593E-4</v>
      </c>
      <c r="F153" cm="1">
        <f t="array" ref="F153">INDEX(Table1[riBAQ 19], MATCH(1, (Table3[[#This Row],[Gene names]:[Gene names]] = Table1[[Gene names]:[Gene names]])*1, 0))</f>
        <v>1.7369299999999999E-4</v>
      </c>
      <c r="G153" cm="1">
        <f t="array" ref="G153">INDEX(Table1[riBAQ 20], MATCH(1, (Table3[[#This Row],[Gene names]:[Gene names]] = Table1[[Gene names]:[Gene names]])*1, 0))</f>
        <v>1.2757099999999999E-4</v>
      </c>
      <c r="H153" cm="1">
        <f t="array" ref="H153">INDEX(Table1[riBAQ 21], MATCH(1, (Table3[[#This Row],[Gene names]:[Gene names]] = Table1[[Gene names]:[Gene names]])*1, 0))</f>
        <v>1.47904E-4</v>
      </c>
      <c r="I153" cm="1">
        <f t="array" ref="I153">INDEX(Table1[riBAQ 22], MATCH(1, (Table3[[#This Row],[Gene names]:[Gene names]] = Table1[[Gene names]:[Gene names]])*1, 0))</f>
        <v>1.5816499999999999E-4</v>
      </c>
      <c r="J153" cm="1">
        <f t="array" ref="J153">INDEX(Table1[riBAQ 23], MATCH(1, (Table3[[#This Row],[Gene names]:[Gene names]] = Table1[[Gene names]:[Gene names]])*1, 0))</f>
        <v>1.47009E-4</v>
      </c>
      <c r="K153" cm="1">
        <f t="array" ref="K153">INDEX(Table1[riBAQ 37], MATCH(1, (Table3[[#This Row],[Gene names]:[Gene names]] = Table1[[Gene names]:[Gene names]])*1, 0))</f>
        <v>1.44368E-4</v>
      </c>
      <c r="L153" cm="1">
        <f t="array" ref="L153">INDEX(Table1[riBAQ 38], MATCH(1, (Table3[[#This Row],[Gene names]:[Gene names]] = Table1[[Gene names]:[Gene names]])*1, 0))</f>
        <v>1.57591E-4</v>
      </c>
      <c r="M153" cm="1">
        <f t="array" ref="M153">INDEX(Table1[riBAQ 39], MATCH(1, (Table3[[#This Row],[Gene names]:[Gene names]] = Table1[[Gene names]:[Gene names]])*1, 0))</f>
        <v>1.89247E-4</v>
      </c>
      <c r="N153" cm="1">
        <f t="array" ref="N153">INDEX(Table1[riBAQ 40], MATCH(1, (Table3[[#This Row],[Gene names]:[Gene names]] = Table1[[Gene names]:[Gene names]])*1, 0))</f>
        <v>2.21256E-4</v>
      </c>
      <c r="O153" cm="1">
        <f t="array" ref="O153">INDEX(Table1[riBAQ 41], MATCH(1, (Table3[[#This Row],[Gene names]:[Gene names]] = Table1[[Gene names]:[Gene names]])*1, 0))</f>
        <v>1.32764E-4</v>
      </c>
      <c r="P153" cm="1">
        <f t="array" ref="P153">INDEX(Table1[riBAQ 24], MATCH(1, (Table3[[#This Row],[Gene names]:[Gene names]] = Table1[[Gene names]:[Gene names]])*1, 0))</f>
        <v>2.1708799999999999E-4</v>
      </c>
      <c r="Q153" cm="1">
        <f t="array" ref="Q153">INDEX(Table1[riBAQ 25], MATCH(1, (Table3[[#This Row],[Gene names]:[Gene names]] = Table1[[Gene names]:[Gene names]])*1, 0))</f>
        <v>3.2485599999999999E-4</v>
      </c>
      <c r="R153" cm="1">
        <f t="array" ref="R153">INDEX(Table1[riBAQ 26], MATCH(1, (Table3[[#This Row],[Gene names]:[Gene names]] = Table1[[Gene names]:[Gene names]])*1, 0))</f>
        <v>2.82563E-4</v>
      </c>
      <c r="S153" cm="1">
        <f t="array" ref="S153">INDEX(Table1[riBAQ 42], MATCH(1, (Table3[[#This Row],[Gene names]:[Gene names]] = Table1[[Gene names]:[Gene names]])*1, 0))</f>
        <v>3.8753700000000003E-4</v>
      </c>
      <c r="T153" cm="1">
        <f t="array" ref="T153">INDEX(Table1[riBAQ 43], MATCH(1, (Table3[[#This Row],[Gene names]:[Gene names]] = Table1[[Gene names]:[Gene names]])*1, 0))</f>
        <v>4.0740699999999998E-4</v>
      </c>
    </row>
    <row r="154" spans="1:20" x14ac:dyDescent="0.25">
      <c r="A154" t="s">
        <v>1620</v>
      </c>
      <c r="B154" cm="1">
        <f t="array" ref="B154">INDEX(Table1[riBAQ 17], MATCH(1, (Table3[[#This Row],[Gene names]:[Gene names]] = Table1[[Gene names]:[Gene names]])*1, 0))</f>
        <v>0</v>
      </c>
      <c r="C154" cm="1">
        <f t="array" ref="C154">INDEX(Table1[riBAQ 18], MATCH(1, (Table3[[#This Row],[Gene names]:[Gene names]] = Table1[[Gene names]:[Gene names]])*1, 0))</f>
        <v>0</v>
      </c>
      <c r="D154" cm="1">
        <f t="array" ref="D154">INDEX(Table1[riBAQ 35], MATCH(1, (Table3[[#This Row],[Gene names]:[Gene names]] = Table1[[Gene names]:[Gene names]])*1, 0))</f>
        <v>0</v>
      </c>
      <c r="E154" cm="1">
        <f t="array" ref="E154">INDEX(Table1[riBAQ 36], MATCH(1, (Table3[[#This Row],[Gene names]:[Gene names]] = Table1[[Gene names]:[Gene names]])*1, 0))</f>
        <v>0</v>
      </c>
      <c r="F154" cm="1">
        <f t="array" ref="F154">INDEX(Table1[riBAQ 19], MATCH(1, (Table3[[#This Row],[Gene names]:[Gene names]] = Table1[[Gene names]:[Gene names]])*1, 0))</f>
        <v>2.2200000000000001E-5</v>
      </c>
      <c r="G154" cm="1">
        <f t="array" ref="G154">INDEX(Table1[riBAQ 20], MATCH(1, (Table3[[#This Row],[Gene names]:[Gene names]] = Table1[[Gene names]:[Gene names]])*1, 0))</f>
        <v>3.9100000000000002E-5</v>
      </c>
      <c r="H154" cm="1">
        <f t="array" ref="H154">INDEX(Table1[riBAQ 21], MATCH(1, (Table3[[#This Row],[Gene names]:[Gene names]] = Table1[[Gene names]:[Gene names]])*1, 0))</f>
        <v>2.5000000000000001E-5</v>
      </c>
      <c r="I154" cm="1">
        <f t="array" ref="I154">INDEX(Table1[riBAQ 22], MATCH(1, (Table3[[#This Row],[Gene names]:[Gene names]] = Table1[[Gene names]:[Gene names]])*1, 0))</f>
        <v>1.2999999999999999E-5</v>
      </c>
      <c r="J154" cm="1">
        <f t="array" ref="J154">INDEX(Table1[riBAQ 23], MATCH(1, (Table3[[#This Row],[Gene names]:[Gene names]] = Table1[[Gene names]:[Gene names]])*1, 0))</f>
        <v>0</v>
      </c>
      <c r="K154" cm="1">
        <f t="array" ref="K154">INDEX(Table1[riBAQ 37], MATCH(1, (Table3[[#This Row],[Gene names]:[Gene names]] = Table1[[Gene names]:[Gene names]])*1, 0))</f>
        <v>1.6699999999999999E-5</v>
      </c>
      <c r="L154" cm="1">
        <f t="array" ref="L154">INDEX(Table1[riBAQ 38], MATCH(1, (Table3[[#This Row],[Gene names]:[Gene names]] = Table1[[Gene names]:[Gene names]])*1, 0))</f>
        <v>1.8700000000000001E-5</v>
      </c>
      <c r="M154" cm="1">
        <f t="array" ref="M154">INDEX(Table1[riBAQ 39], MATCH(1, (Table3[[#This Row],[Gene names]:[Gene names]] = Table1[[Gene names]:[Gene names]])*1, 0))</f>
        <v>1.27E-5</v>
      </c>
      <c r="N154" cm="1">
        <f t="array" ref="N154">INDEX(Table1[riBAQ 40], MATCH(1, (Table3[[#This Row],[Gene names]:[Gene names]] = Table1[[Gene names]:[Gene names]])*1, 0))</f>
        <v>0</v>
      </c>
      <c r="O154" cm="1">
        <f t="array" ref="O154">INDEX(Table1[riBAQ 41], MATCH(1, (Table3[[#This Row],[Gene names]:[Gene names]] = Table1[[Gene names]:[Gene names]])*1, 0))</f>
        <v>7.6000000000000001E-6</v>
      </c>
      <c r="P154" cm="1">
        <f t="array" ref="P154">INDEX(Table1[riBAQ 24], MATCH(1, (Table3[[#This Row],[Gene names]:[Gene names]] = Table1[[Gene names]:[Gene names]])*1, 0))</f>
        <v>2.62E-5</v>
      </c>
      <c r="Q154" cm="1">
        <f t="array" ref="Q154">INDEX(Table1[riBAQ 25], MATCH(1, (Table3[[#This Row],[Gene names]:[Gene names]] = Table1[[Gene names]:[Gene names]])*1, 0))</f>
        <v>3.8899999999999997E-5</v>
      </c>
      <c r="R154" cm="1">
        <f t="array" ref="R154">INDEX(Table1[riBAQ 26], MATCH(1, (Table3[[#This Row],[Gene names]:[Gene names]] = Table1[[Gene names]:[Gene names]])*1, 0))</f>
        <v>3.2299999999999999E-5</v>
      </c>
      <c r="S154" cm="1">
        <f t="array" ref="S154">INDEX(Table1[riBAQ 42], MATCH(1, (Table3[[#This Row],[Gene names]:[Gene names]] = Table1[[Gene names]:[Gene names]])*1, 0))</f>
        <v>3.3399999999999999E-5</v>
      </c>
      <c r="T154" cm="1">
        <f t="array" ref="T154">INDEX(Table1[riBAQ 43], MATCH(1, (Table3[[#This Row],[Gene names]:[Gene names]] = Table1[[Gene names]:[Gene names]])*1, 0))</f>
        <v>5.8699999999999997E-5</v>
      </c>
    </row>
    <row r="155" spans="1:20" x14ac:dyDescent="0.25">
      <c r="A155" t="s">
        <v>239</v>
      </c>
      <c r="B155" cm="1">
        <f t="array" ref="B155">INDEX(Table1[riBAQ 17], MATCH(1, (Table3[[#This Row],[Gene names]:[Gene names]] = Table1[[Gene names]:[Gene names]])*1, 0))</f>
        <v>3.9826100000000001E-4</v>
      </c>
      <c r="C155" cm="1">
        <f t="array" ref="C155">INDEX(Table1[riBAQ 18], MATCH(1, (Table3[[#This Row],[Gene names]:[Gene names]] = Table1[[Gene names]:[Gene names]])*1, 0))</f>
        <v>6.3725800000000003E-4</v>
      </c>
      <c r="D155" cm="1">
        <f t="array" ref="D155">INDEX(Table1[riBAQ 35], MATCH(1, (Table3[[#This Row],[Gene names]:[Gene names]] = Table1[[Gene names]:[Gene names]])*1, 0))</f>
        <v>6.3055100000000003E-4</v>
      </c>
      <c r="E155" cm="1">
        <f t="array" ref="E155">INDEX(Table1[riBAQ 36], MATCH(1, (Table3[[#This Row],[Gene names]:[Gene names]] = Table1[[Gene names]:[Gene names]])*1, 0))</f>
        <v>6.1942799999999999E-4</v>
      </c>
      <c r="F155" cm="1">
        <f t="array" ref="F155">INDEX(Table1[riBAQ 19], MATCH(1, (Table3[[#This Row],[Gene names]:[Gene names]] = Table1[[Gene names]:[Gene names]])*1, 0))</f>
        <v>4.8285E-4</v>
      </c>
      <c r="G155" cm="1">
        <f t="array" ref="G155">INDEX(Table1[riBAQ 20], MATCH(1, (Table3[[#This Row],[Gene names]:[Gene names]] = Table1[[Gene names]:[Gene names]])*1, 0))</f>
        <v>7.1493100000000003E-4</v>
      </c>
      <c r="H155" cm="1">
        <f t="array" ref="H155">INDEX(Table1[riBAQ 21], MATCH(1, (Table3[[#This Row],[Gene names]:[Gene names]] = Table1[[Gene names]:[Gene names]])*1, 0))</f>
        <v>6.6759199999999995E-4</v>
      </c>
      <c r="I155" cm="1">
        <f t="array" ref="I155">INDEX(Table1[riBAQ 22], MATCH(1, (Table3[[#This Row],[Gene names]:[Gene names]] = Table1[[Gene names]:[Gene names]])*1, 0))</f>
        <v>5.61174E-4</v>
      </c>
      <c r="J155" cm="1">
        <f t="array" ref="J155">INDEX(Table1[riBAQ 23], MATCH(1, (Table3[[#This Row],[Gene names]:[Gene names]] = Table1[[Gene names]:[Gene names]])*1, 0))</f>
        <v>5.0278400000000004E-4</v>
      </c>
      <c r="K155" cm="1">
        <f t="array" ref="K155">INDEX(Table1[riBAQ 37], MATCH(1, (Table3[[#This Row],[Gene names]:[Gene names]] = Table1[[Gene names]:[Gene names]])*1, 0))</f>
        <v>5.8200199999999998E-4</v>
      </c>
      <c r="L155" cm="1">
        <f t="array" ref="L155">INDEX(Table1[riBAQ 38], MATCH(1, (Table3[[#This Row],[Gene names]:[Gene names]] = Table1[[Gene names]:[Gene names]])*1, 0))</f>
        <v>6.7935999999999995E-4</v>
      </c>
      <c r="M155" cm="1">
        <f t="array" ref="M155">INDEX(Table1[riBAQ 39], MATCH(1, (Table3[[#This Row],[Gene names]:[Gene names]] = Table1[[Gene names]:[Gene names]])*1, 0))</f>
        <v>4.3305600000000002E-4</v>
      </c>
      <c r="N155" cm="1">
        <f t="array" ref="N155">INDEX(Table1[riBAQ 40], MATCH(1, (Table3[[#This Row],[Gene names]:[Gene names]] = Table1[[Gene names]:[Gene names]])*1, 0))</f>
        <v>5.7989900000000004E-4</v>
      </c>
      <c r="O155" cm="1">
        <f t="array" ref="O155">INDEX(Table1[riBAQ 41], MATCH(1, (Table3[[#This Row],[Gene names]:[Gene names]] = Table1[[Gene names]:[Gene names]])*1, 0))</f>
        <v>7.6320299999999995E-4</v>
      </c>
      <c r="P155" cm="1">
        <f t="array" ref="P155">INDEX(Table1[riBAQ 24], MATCH(1, (Table3[[#This Row],[Gene names]:[Gene names]] = Table1[[Gene names]:[Gene names]])*1, 0))</f>
        <v>4.5897000000000001E-4</v>
      </c>
      <c r="Q155" cm="1">
        <f t="array" ref="Q155">INDEX(Table1[riBAQ 25], MATCH(1, (Table3[[#This Row],[Gene names]:[Gene names]] = Table1[[Gene names]:[Gene names]])*1, 0))</f>
        <v>2.08333E-4</v>
      </c>
      <c r="R155" cm="1">
        <f t="array" ref="R155">INDEX(Table1[riBAQ 26], MATCH(1, (Table3[[#This Row],[Gene names]:[Gene names]] = Table1[[Gene names]:[Gene names]])*1, 0))</f>
        <v>2.9870800000000001E-4</v>
      </c>
      <c r="S155" cm="1">
        <f t="array" ref="S155">INDEX(Table1[riBAQ 42], MATCH(1, (Table3[[#This Row],[Gene names]:[Gene names]] = Table1[[Gene names]:[Gene names]])*1, 0))</f>
        <v>1.5435399999999999E-4</v>
      </c>
      <c r="T155" cm="1">
        <f t="array" ref="T155">INDEX(Table1[riBAQ 43], MATCH(1, (Table3[[#This Row],[Gene names]:[Gene names]] = Table1[[Gene names]:[Gene names]])*1, 0))</f>
        <v>1.86171E-4</v>
      </c>
    </row>
    <row r="156" spans="1:20" x14ac:dyDescent="0.25">
      <c r="A156" t="s">
        <v>1523</v>
      </c>
      <c r="B156" cm="1">
        <f t="array" ref="B156">INDEX(Table1[riBAQ 17], MATCH(1, (Table3[[#This Row],[Gene names]:[Gene names]] = Table1[[Gene names]:[Gene names]])*1, 0))</f>
        <v>0</v>
      </c>
      <c r="C156" cm="1">
        <f t="array" ref="C156">INDEX(Table1[riBAQ 18], MATCH(1, (Table3[[#This Row],[Gene names]:[Gene names]] = Table1[[Gene names]:[Gene names]])*1, 0))</f>
        <v>0</v>
      </c>
      <c r="D156" cm="1">
        <f t="array" ref="D156">INDEX(Table1[riBAQ 35], MATCH(1, (Table3[[#This Row],[Gene names]:[Gene names]] = Table1[[Gene names]:[Gene names]])*1, 0))</f>
        <v>0</v>
      </c>
      <c r="E156" cm="1">
        <f t="array" ref="E156">INDEX(Table1[riBAQ 36], MATCH(1, (Table3[[#This Row],[Gene names]:[Gene names]] = Table1[[Gene names]:[Gene names]])*1, 0))</f>
        <v>0</v>
      </c>
      <c r="F156" cm="1">
        <f t="array" ref="F156">INDEX(Table1[riBAQ 19], MATCH(1, (Table3[[#This Row],[Gene names]:[Gene names]] = Table1[[Gene names]:[Gene names]])*1, 0))</f>
        <v>4.6999999999999997E-5</v>
      </c>
      <c r="G156" cm="1">
        <f t="array" ref="G156">INDEX(Table1[riBAQ 20], MATCH(1, (Table3[[#This Row],[Gene names]:[Gene names]] = Table1[[Gene names]:[Gene names]])*1, 0))</f>
        <v>3.5099999999999999E-5</v>
      </c>
      <c r="H156" cm="1">
        <f t="array" ref="H156">INDEX(Table1[riBAQ 21], MATCH(1, (Table3[[#This Row],[Gene names]:[Gene names]] = Table1[[Gene names]:[Gene names]])*1, 0))</f>
        <v>3.1000000000000001E-5</v>
      </c>
      <c r="I156" cm="1">
        <f t="array" ref="I156">INDEX(Table1[riBAQ 22], MATCH(1, (Table3[[#This Row],[Gene names]:[Gene names]] = Table1[[Gene names]:[Gene names]])*1, 0))</f>
        <v>0</v>
      </c>
      <c r="J156" cm="1">
        <f t="array" ref="J156">INDEX(Table1[riBAQ 23], MATCH(1, (Table3[[#This Row],[Gene names]:[Gene names]] = Table1[[Gene names]:[Gene names]])*1, 0))</f>
        <v>2.1299999999999999E-5</v>
      </c>
      <c r="K156" cm="1">
        <f t="array" ref="K156">INDEX(Table1[riBAQ 37], MATCH(1, (Table3[[#This Row],[Gene names]:[Gene names]] = Table1[[Gene names]:[Gene names]])*1, 0))</f>
        <v>2.72E-5</v>
      </c>
      <c r="L156" cm="1">
        <f t="array" ref="L156">INDEX(Table1[riBAQ 38], MATCH(1, (Table3[[#This Row],[Gene names]:[Gene names]] = Table1[[Gene names]:[Gene names]])*1, 0))</f>
        <v>0</v>
      </c>
      <c r="M156" cm="1">
        <f t="array" ref="M156">INDEX(Table1[riBAQ 39], MATCH(1, (Table3[[#This Row],[Gene names]:[Gene names]] = Table1[[Gene names]:[Gene names]])*1, 0))</f>
        <v>1.6799999999999998E-5</v>
      </c>
      <c r="N156" cm="1">
        <f t="array" ref="N156">INDEX(Table1[riBAQ 40], MATCH(1, (Table3[[#This Row],[Gene names]:[Gene names]] = Table1[[Gene names]:[Gene names]])*1, 0))</f>
        <v>2.1299999999999999E-5</v>
      </c>
      <c r="O156" cm="1">
        <f t="array" ref="O156">INDEX(Table1[riBAQ 41], MATCH(1, (Table3[[#This Row],[Gene names]:[Gene names]] = Table1[[Gene names]:[Gene names]])*1, 0))</f>
        <v>0</v>
      </c>
      <c r="P156" cm="1">
        <f t="array" ref="P156">INDEX(Table1[riBAQ 24], MATCH(1, (Table3[[#This Row],[Gene names]:[Gene names]] = Table1[[Gene names]:[Gene names]])*1, 0))</f>
        <v>6.3399999999999996E-5</v>
      </c>
      <c r="Q156" cm="1">
        <f t="array" ref="Q156">INDEX(Table1[riBAQ 25], MATCH(1, (Table3[[#This Row],[Gene names]:[Gene names]] = Table1[[Gene names]:[Gene names]])*1, 0))</f>
        <v>2.5167199999999999E-4</v>
      </c>
      <c r="R156" cm="1">
        <f t="array" ref="R156">INDEX(Table1[riBAQ 26], MATCH(1, (Table3[[#This Row],[Gene names]:[Gene names]] = Table1[[Gene names]:[Gene names]])*1, 0))</f>
        <v>1.7388599999999999E-4</v>
      </c>
      <c r="S156" cm="1">
        <f t="array" ref="S156">INDEX(Table1[riBAQ 42], MATCH(1, (Table3[[#This Row],[Gene names]:[Gene names]] = Table1[[Gene names]:[Gene names]])*1, 0))</f>
        <v>1.05284E-4</v>
      </c>
      <c r="T156" cm="1">
        <f t="array" ref="T156">INDEX(Table1[riBAQ 43], MATCH(1, (Table3[[#This Row],[Gene names]:[Gene names]] = Table1[[Gene names]:[Gene names]])*1, 0))</f>
        <v>3.9966399999999999E-4</v>
      </c>
    </row>
    <row r="157" spans="1:20" x14ac:dyDescent="0.25">
      <c r="A157" t="s">
        <v>447</v>
      </c>
      <c r="B157" cm="1">
        <f t="array" ref="B157">INDEX(Table1[riBAQ 17], MATCH(1, (Table3[[#This Row],[Gene names]:[Gene names]] = Table1[[Gene names]:[Gene names]])*1, 0))</f>
        <v>1.5500000000000001E-5</v>
      </c>
      <c r="C157" cm="1">
        <f t="array" ref="C157">INDEX(Table1[riBAQ 18], MATCH(1, (Table3[[#This Row],[Gene names]:[Gene names]] = Table1[[Gene names]:[Gene names]])*1, 0))</f>
        <v>1.6099999999999998E-5</v>
      </c>
      <c r="D157" cm="1">
        <f t="array" ref="D157">INDEX(Table1[riBAQ 35], MATCH(1, (Table3[[#This Row],[Gene names]:[Gene names]] = Table1[[Gene names]:[Gene names]])*1, 0))</f>
        <v>1.4800000000000001E-5</v>
      </c>
      <c r="E157" cm="1">
        <f t="array" ref="E157">INDEX(Table1[riBAQ 36], MATCH(1, (Table3[[#This Row],[Gene names]:[Gene names]] = Table1[[Gene names]:[Gene names]])*1, 0))</f>
        <v>1.0900000000000001E-5</v>
      </c>
      <c r="F157" cm="1">
        <f t="array" ref="F157">INDEX(Table1[riBAQ 19], MATCH(1, (Table3[[#This Row],[Gene names]:[Gene names]] = Table1[[Gene names]:[Gene names]])*1, 0))</f>
        <v>2.0599999999999999E-5</v>
      </c>
      <c r="G157" cm="1">
        <f t="array" ref="G157">INDEX(Table1[riBAQ 20], MATCH(1, (Table3[[#This Row],[Gene names]:[Gene names]] = Table1[[Gene names]:[Gene names]])*1, 0))</f>
        <v>1.5299999999999999E-5</v>
      </c>
      <c r="H157" cm="1">
        <f t="array" ref="H157">INDEX(Table1[riBAQ 21], MATCH(1, (Table3[[#This Row],[Gene names]:[Gene names]] = Table1[[Gene names]:[Gene names]])*1, 0))</f>
        <v>2.0599999999999999E-5</v>
      </c>
      <c r="I157" cm="1">
        <f t="array" ref="I157">INDEX(Table1[riBAQ 22], MATCH(1, (Table3[[#This Row],[Gene names]:[Gene names]] = Table1[[Gene names]:[Gene names]])*1, 0))</f>
        <v>2.41E-5</v>
      </c>
      <c r="J157" cm="1">
        <f t="array" ref="J157">INDEX(Table1[riBAQ 23], MATCH(1, (Table3[[#This Row],[Gene names]:[Gene names]] = Table1[[Gene names]:[Gene names]])*1, 0))</f>
        <v>2.6100000000000001E-5</v>
      </c>
      <c r="K157" cm="1">
        <f t="array" ref="K157">INDEX(Table1[riBAQ 37], MATCH(1, (Table3[[#This Row],[Gene names]:[Gene names]] = Table1[[Gene names]:[Gene names]])*1, 0))</f>
        <v>1.6900000000000001E-5</v>
      </c>
      <c r="L157" cm="1">
        <f t="array" ref="L157">INDEX(Table1[riBAQ 38], MATCH(1, (Table3[[#This Row],[Gene names]:[Gene names]] = Table1[[Gene names]:[Gene names]])*1, 0))</f>
        <v>1.5400000000000002E-5</v>
      </c>
      <c r="M157" cm="1">
        <f t="array" ref="M157">INDEX(Table1[riBAQ 39], MATCH(1, (Table3[[#This Row],[Gene names]:[Gene names]] = Table1[[Gene names]:[Gene names]])*1, 0))</f>
        <v>1.2300000000000001E-5</v>
      </c>
      <c r="N157" cm="1">
        <f t="array" ref="N157">INDEX(Table1[riBAQ 40], MATCH(1, (Table3[[#This Row],[Gene names]:[Gene names]] = Table1[[Gene names]:[Gene names]])*1, 0))</f>
        <v>6.8700000000000003E-6</v>
      </c>
      <c r="O157" cm="1">
        <f t="array" ref="O157">INDEX(Table1[riBAQ 41], MATCH(1, (Table3[[#This Row],[Gene names]:[Gene names]] = Table1[[Gene names]:[Gene names]])*1, 0))</f>
        <v>1.9599999999999999E-5</v>
      </c>
      <c r="P157" cm="1">
        <f t="array" ref="P157">INDEX(Table1[riBAQ 24], MATCH(1, (Table3[[#This Row],[Gene names]:[Gene names]] = Table1[[Gene names]:[Gene names]])*1, 0))</f>
        <v>1.0000000000000001E-5</v>
      </c>
      <c r="Q157" cm="1">
        <f t="array" ref="Q157">INDEX(Table1[riBAQ 25], MATCH(1, (Table3[[#This Row],[Gene names]:[Gene names]] = Table1[[Gene names]:[Gene names]])*1, 0))</f>
        <v>7.1099999999999997E-6</v>
      </c>
      <c r="R157" cm="1">
        <f t="array" ref="R157">INDEX(Table1[riBAQ 26], MATCH(1, (Table3[[#This Row],[Gene names]:[Gene names]] = Table1[[Gene names]:[Gene names]])*1, 0))</f>
        <v>7.9200000000000004E-6</v>
      </c>
      <c r="S157" cm="1">
        <f t="array" ref="S157">INDEX(Table1[riBAQ 42], MATCH(1, (Table3[[#This Row],[Gene names]:[Gene names]] = Table1[[Gene names]:[Gene names]])*1, 0))</f>
        <v>0</v>
      </c>
      <c r="T157" cm="1">
        <f t="array" ref="T157">INDEX(Table1[riBAQ 43], MATCH(1, (Table3[[#This Row],[Gene names]:[Gene names]] = Table1[[Gene names]:[Gene names]])*1, 0))</f>
        <v>1.0499999999999999E-5</v>
      </c>
    </row>
    <row r="158" spans="1:20" x14ac:dyDescent="0.25">
      <c r="A158" t="s">
        <v>164</v>
      </c>
      <c r="B158" cm="1">
        <f t="array" ref="B158">INDEX(Table1[riBAQ 17], MATCH(1, (Table3[[#This Row],[Gene names]:[Gene names]] = Table1[[Gene names]:[Gene names]])*1, 0))</f>
        <v>0</v>
      </c>
      <c r="C158" cm="1">
        <f t="array" ref="C158">INDEX(Table1[riBAQ 18], MATCH(1, (Table3[[#This Row],[Gene names]:[Gene names]] = Table1[[Gene names]:[Gene names]])*1, 0))</f>
        <v>0</v>
      </c>
      <c r="D158" cm="1">
        <f t="array" ref="D158">INDEX(Table1[riBAQ 35], MATCH(1, (Table3[[#This Row],[Gene names]:[Gene names]] = Table1[[Gene names]:[Gene names]])*1, 0))</f>
        <v>0</v>
      </c>
      <c r="E158" cm="1">
        <f t="array" ref="E158">INDEX(Table1[riBAQ 36], MATCH(1, (Table3[[#This Row],[Gene names]:[Gene names]] = Table1[[Gene names]:[Gene names]])*1, 0))</f>
        <v>4.2200000000000003E-5</v>
      </c>
      <c r="F158" cm="1">
        <f t="array" ref="F158">INDEX(Table1[riBAQ 19], MATCH(1, (Table3[[#This Row],[Gene names]:[Gene names]] = Table1[[Gene names]:[Gene names]])*1, 0))</f>
        <v>0</v>
      </c>
      <c r="G158" cm="1">
        <f t="array" ref="G158">INDEX(Table1[riBAQ 20], MATCH(1, (Table3[[#This Row],[Gene names]:[Gene names]] = Table1[[Gene names]:[Gene names]])*1, 0))</f>
        <v>3.6000000000000001E-5</v>
      </c>
      <c r="H158" cm="1">
        <f t="array" ref="H158">INDEX(Table1[riBAQ 21], MATCH(1, (Table3[[#This Row],[Gene names]:[Gene names]] = Table1[[Gene names]:[Gene names]])*1, 0))</f>
        <v>0</v>
      </c>
      <c r="I158" cm="1">
        <f t="array" ref="I158">INDEX(Table1[riBAQ 22], MATCH(1, (Table3[[#This Row],[Gene names]:[Gene names]] = Table1[[Gene names]:[Gene names]])*1, 0))</f>
        <v>0</v>
      </c>
      <c r="J158" cm="1">
        <f t="array" ref="J158">INDEX(Table1[riBAQ 23], MATCH(1, (Table3[[#This Row],[Gene names]:[Gene names]] = Table1[[Gene names]:[Gene names]])*1, 0))</f>
        <v>0</v>
      </c>
      <c r="K158" cm="1">
        <f t="array" ref="K158">INDEX(Table1[riBAQ 37], MATCH(1, (Table3[[#This Row],[Gene names]:[Gene names]] = Table1[[Gene names]:[Gene names]])*1, 0))</f>
        <v>0</v>
      </c>
      <c r="L158" cm="1">
        <f t="array" ref="L158">INDEX(Table1[riBAQ 38], MATCH(1, (Table3[[#This Row],[Gene names]:[Gene names]] = Table1[[Gene names]:[Gene names]])*1, 0))</f>
        <v>4.18E-5</v>
      </c>
      <c r="M158" cm="1">
        <f t="array" ref="M158">INDEX(Table1[riBAQ 39], MATCH(1, (Table3[[#This Row],[Gene names]:[Gene names]] = Table1[[Gene names]:[Gene names]])*1, 0))</f>
        <v>0</v>
      </c>
      <c r="N158" cm="1">
        <f t="array" ref="N158">INDEX(Table1[riBAQ 40], MATCH(1, (Table3[[#This Row],[Gene names]:[Gene names]] = Table1[[Gene names]:[Gene names]])*1, 0))</f>
        <v>4.32E-5</v>
      </c>
      <c r="O158" cm="1">
        <f t="array" ref="O158">INDEX(Table1[riBAQ 41], MATCH(1, (Table3[[#This Row],[Gene names]:[Gene names]] = Table1[[Gene names]:[Gene names]])*1, 0))</f>
        <v>5.8799999999999999E-5</v>
      </c>
      <c r="P158" cm="1">
        <f t="array" ref="P158">INDEX(Table1[riBAQ 24], MATCH(1, (Table3[[#This Row],[Gene names]:[Gene names]] = Table1[[Gene names]:[Gene names]])*1, 0))</f>
        <v>5.8699999999999997E-5</v>
      </c>
      <c r="Q158" cm="1">
        <f t="array" ref="Q158">INDEX(Table1[riBAQ 25], MATCH(1, (Table3[[#This Row],[Gene names]:[Gene names]] = Table1[[Gene names]:[Gene names]])*1, 0))</f>
        <v>5.5899999999999997E-5</v>
      </c>
      <c r="R158" cm="1">
        <f t="array" ref="R158">INDEX(Table1[riBAQ 26], MATCH(1, (Table3[[#This Row],[Gene names]:[Gene names]] = Table1[[Gene names]:[Gene names]])*1, 0))</f>
        <v>5.8600000000000001E-5</v>
      </c>
      <c r="S158" cm="1">
        <f t="array" ref="S158">INDEX(Table1[riBAQ 42], MATCH(1, (Table3[[#This Row],[Gene names]:[Gene names]] = Table1[[Gene names]:[Gene names]])*1, 0))</f>
        <v>6.8300000000000007E-5</v>
      </c>
      <c r="T158" cm="1">
        <f t="array" ref="T158">INDEX(Table1[riBAQ 43], MATCH(1, (Table3[[#This Row],[Gene names]:[Gene names]] = Table1[[Gene names]:[Gene names]])*1, 0))</f>
        <v>5.27E-5</v>
      </c>
    </row>
    <row r="159" spans="1:20" x14ac:dyDescent="0.25">
      <c r="A159" t="s">
        <v>50</v>
      </c>
      <c r="B159" cm="1">
        <f t="array" ref="B159">INDEX(Table1[riBAQ 17], MATCH(1, (Table3[[#This Row],[Gene names]:[Gene names]] = Table1[[Gene names]:[Gene names]])*1, 0))</f>
        <v>0</v>
      </c>
      <c r="C159" cm="1">
        <f t="array" ref="C159">INDEX(Table1[riBAQ 18], MATCH(1, (Table3[[#This Row],[Gene names]:[Gene names]] = Table1[[Gene names]:[Gene names]])*1, 0))</f>
        <v>0</v>
      </c>
      <c r="D159" cm="1">
        <f t="array" ref="D159">INDEX(Table1[riBAQ 35], MATCH(1, (Table3[[#This Row],[Gene names]:[Gene names]] = Table1[[Gene names]:[Gene names]])*1, 0))</f>
        <v>0</v>
      </c>
      <c r="E159" cm="1">
        <f t="array" ref="E159">INDEX(Table1[riBAQ 36], MATCH(1, (Table3[[#This Row],[Gene names]:[Gene names]] = Table1[[Gene names]:[Gene names]])*1, 0))</f>
        <v>0</v>
      </c>
      <c r="F159" cm="1">
        <f t="array" ref="F159">INDEX(Table1[riBAQ 19], MATCH(1, (Table3[[#This Row],[Gene names]:[Gene names]] = Table1[[Gene names]:[Gene names]])*1, 0))</f>
        <v>0</v>
      </c>
      <c r="G159" cm="1">
        <f t="array" ref="G159">INDEX(Table1[riBAQ 20], MATCH(1, (Table3[[#This Row],[Gene names]:[Gene names]] = Table1[[Gene names]:[Gene names]])*1, 0))</f>
        <v>2.5299999999999998E-5</v>
      </c>
      <c r="H159" cm="1">
        <f t="array" ref="H159">INDEX(Table1[riBAQ 21], MATCH(1, (Table3[[#This Row],[Gene names]:[Gene names]] = Table1[[Gene names]:[Gene names]])*1, 0))</f>
        <v>2.9499999999999999E-5</v>
      </c>
      <c r="I159" cm="1">
        <f t="array" ref="I159">INDEX(Table1[riBAQ 22], MATCH(1, (Table3[[#This Row],[Gene names]:[Gene names]] = Table1[[Gene names]:[Gene names]])*1, 0))</f>
        <v>2.1999999999999999E-5</v>
      </c>
      <c r="J159" cm="1">
        <f t="array" ref="J159">INDEX(Table1[riBAQ 23], MATCH(1, (Table3[[#This Row],[Gene names]:[Gene names]] = Table1[[Gene names]:[Gene names]])*1, 0))</f>
        <v>0</v>
      </c>
      <c r="K159" cm="1">
        <f t="array" ref="K159">INDEX(Table1[riBAQ 37], MATCH(1, (Table3[[#This Row],[Gene names]:[Gene names]] = Table1[[Gene names]:[Gene names]])*1, 0))</f>
        <v>0</v>
      </c>
      <c r="L159" cm="1">
        <f t="array" ref="L159">INDEX(Table1[riBAQ 38], MATCH(1, (Table3[[#This Row],[Gene names]:[Gene names]] = Table1[[Gene names]:[Gene names]])*1, 0))</f>
        <v>0</v>
      </c>
      <c r="M159" cm="1">
        <f t="array" ref="M159">INDEX(Table1[riBAQ 39], MATCH(1, (Table3[[#This Row],[Gene names]:[Gene names]] = Table1[[Gene names]:[Gene names]])*1, 0))</f>
        <v>2.3099999999999999E-5</v>
      </c>
      <c r="N159" cm="1">
        <f t="array" ref="N159">INDEX(Table1[riBAQ 40], MATCH(1, (Table3[[#This Row],[Gene names]:[Gene names]] = Table1[[Gene names]:[Gene names]])*1, 0))</f>
        <v>0</v>
      </c>
      <c r="O159" cm="1">
        <f t="array" ref="O159">INDEX(Table1[riBAQ 41], MATCH(1, (Table3[[#This Row],[Gene names]:[Gene names]] = Table1[[Gene names]:[Gene names]])*1, 0))</f>
        <v>0</v>
      </c>
      <c r="P159" cm="1">
        <f t="array" ref="P159">INDEX(Table1[riBAQ 24], MATCH(1, (Table3[[#This Row],[Gene names]:[Gene names]] = Table1[[Gene names]:[Gene names]])*1, 0))</f>
        <v>3.43E-5</v>
      </c>
      <c r="Q159" cm="1">
        <f t="array" ref="Q159">INDEX(Table1[riBAQ 25], MATCH(1, (Table3[[#This Row],[Gene names]:[Gene names]] = Table1[[Gene names]:[Gene names]])*1, 0))</f>
        <v>5.94E-5</v>
      </c>
      <c r="R159" cm="1">
        <f t="array" ref="R159">INDEX(Table1[riBAQ 26], MATCH(1, (Table3[[#This Row],[Gene names]:[Gene names]] = Table1[[Gene names]:[Gene names]])*1, 0))</f>
        <v>3.0499999999999999E-5</v>
      </c>
      <c r="S159" cm="1">
        <f t="array" ref="S159">INDEX(Table1[riBAQ 42], MATCH(1, (Table3[[#This Row],[Gene names]:[Gene names]] = Table1[[Gene names]:[Gene names]])*1, 0))</f>
        <v>2.41E-5</v>
      </c>
      <c r="T159" cm="1">
        <f t="array" ref="T159">INDEX(Table1[riBAQ 43], MATCH(1, (Table3[[#This Row],[Gene names]:[Gene names]] = Table1[[Gene names]:[Gene names]])*1, 0))</f>
        <v>4.6400000000000003E-5</v>
      </c>
    </row>
    <row r="160" spans="1:20" x14ac:dyDescent="0.25">
      <c r="A160" t="s">
        <v>48</v>
      </c>
      <c r="B160" cm="1">
        <f t="array" ref="B160">INDEX(Table1[riBAQ 17], MATCH(1, (Table3[[#This Row],[Gene names]:[Gene names]] = Table1[[Gene names]:[Gene names]])*1, 0))</f>
        <v>0</v>
      </c>
      <c r="C160" cm="1">
        <f t="array" ref="C160">INDEX(Table1[riBAQ 18], MATCH(1, (Table3[[#This Row],[Gene names]:[Gene names]] = Table1[[Gene names]:[Gene names]])*1, 0))</f>
        <v>0</v>
      </c>
      <c r="D160" cm="1">
        <f t="array" ref="D160">INDEX(Table1[riBAQ 35], MATCH(1, (Table3[[#This Row],[Gene names]:[Gene names]] = Table1[[Gene names]:[Gene names]])*1, 0))</f>
        <v>0</v>
      </c>
      <c r="E160" cm="1">
        <f t="array" ref="E160">INDEX(Table1[riBAQ 36], MATCH(1, (Table3[[#This Row],[Gene names]:[Gene names]] = Table1[[Gene names]:[Gene names]])*1, 0))</f>
        <v>0</v>
      </c>
      <c r="F160" cm="1">
        <f t="array" ref="F160">INDEX(Table1[riBAQ 19], MATCH(1, (Table3[[#This Row],[Gene names]:[Gene names]] = Table1[[Gene names]:[Gene names]])*1, 0))</f>
        <v>0</v>
      </c>
      <c r="G160" cm="1">
        <f t="array" ref="G160">INDEX(Table1[riBAQ 20], MATCH(1, (Table3[[#This Row],[Gene names]:[Gene names]] = Table1[[Gene names]:[Gene names]])*1, 0))</f>
        <v>0</v>
      </c>
      <c r="H160" cm="1">
        <f t="array" ref="H160">INDEX(Table1[riBAQ 21], MATCH(1, (Table3[[#This Row],[Gene names]:[Gene names]] = Table1[[Gene names]:[Gene names]])*1, 0))</f>
        <v>0</v>
      </c>
      <c r="I160" cm="1">
        <f t="array" ref="I160">INDEX(Table1[riBAQ 22], MATCH(1, (Table3[[#This Row],[Gene names]:[Gene names]] = Table1[[Gene names]:[Gene names]])*1, 0))</f>
        <v>0</v>
      </c>
      <c r="J160" cm="1">
        <f t="array" ref="J160">INDEX(Table1[riBAQ 23], MATCH(1, (Table3[[#This Row],[Gene names]:[Gene names]] = Table1[[Gene names]:[Gene names]])*1, 0))</f>
        <v>0</v>
      </c>
      <c r="K160" cm="1">
        <f t="array" ref="K160">INDEX(Table1[riBAQ 37], MATCH(1, (Table3[[#This Row],[Gene names]:[Gene names]] = Table1[[Gene names]:[Gene names]])*1, 0))</f>
        <v>0</v>
      </c>
      <c r="L160" cm="1">
        <f t="array" ref="L160">INDEX(Table1[riBAQ 38], MATCH(1, (Table3[[#This Row],[Gene names]:[Gene names]] = Table1[[Gene names]:[Gene names]])*1, 0))</f>
        <v>0</v>
      </c>
      <c r="M160" cm="1">
        <f t="array" ref="M160">INDEX(Table1[riBAQ 39], MATCH(1, (Table3[[#This Row],[Gene names]:[Gene names]] = Table1[[Gene names]:[Gene names]])*1, 0))</f>
        <v>0</v>
      </c>
      <c r="N160" cm="1">
        <f t="array" ref="N160">INDEX(Table1[riBAQ 40], MATCH(1, (Table3[[#This Row],[Gene names]:[Gene names]] = Table1[[Gene names]:[Gene names]])*1, 0))</f>
        <v>0</v>
      </c>
      <c r="O160" cm="1">
        <f t="array" ref="O160">INDEX(Table1[riBAQ 41], MATCH(1, (Table3[[#This Row],[Gene names]:[Gene names]] = Table1[[Gene names]:[Gene names]])*1, 0))</f>
        <v>0</v>
      </c>
      <c r="P160" cm="1">
        <f t="array" ref="P160">INDEX(Table1[riBAQ 24], MATCH(1, (Table3[[#This Row],[Gene names]:[Gene names]] = Table1[[Gene names]:[Gene names]])*1, 0))</f>
        <v>0</v>
      </c>
      <c r="Q160" cm="1">
        <f t="array" ref="Q160">INDEX(Table1[riBAQ 25], MATCH(1, (Table3[[#This Row],[Gene names]:[Gene names]] = Table1[[Gene names]:[Gene names]])*1, 0))</f>
        <v>2.0100000000000001E-5</v>
      </c>
      <c r="R160" cm="1">
        <f t="array" ref="R160">INDEX(Table1[riBAQ 26], MATCH(1, (Table3[[#This Row],[Gene names]:[Gene names]] = Table1[[Gene names]:[Gene names]])*1, 0))</f>
        <v>1.8300000000000001E-5</v>
      </c>
      <c r="S160" cm="1">
        <f t="array" ref="S160">INDEX(Table1[riBAQ 42], MATCH(1, (Table3[[#This Row],[Gene names]:[Gene names]] = Table1[[Gene names]:[Gene names]])*1, 0))</f>
        <v>3.3399999999999999E-5</v>
      </c>
      <c r="T160" cm="1">
        <f t="array" ref="T160">INDEX(Table1[riBAQ 43], MATCH(1, (Table3[[#This Row],[Gene names]:[Gene names]] = Table1[[Gene names]:[Gene names]])*1, 0))</f>
        <v>4.0399999999999999E-5</v>
      </c>
    </row>
    <row r="161" spans="1:20" x14ac:dyDescent="0.25">
      <c r="A161" t="s">
        <v>45</v>
      </c>
      <c r="B161" cm="1">
        <f t="array" ref="B161">INDEX(Table1[riBAQ 17], MATCH(1, (Table3[[#This Row],[Gene names]:[Gene names]] = Table1[[Gene names]:[Gene names]])*1, 0))</f>
        <v>5.1652700000000002E-4</v>
      </c>
      <c r="C161" cm="1">
        <f t="array" ref="C161">INDEX(Table1[riBAQ 18], MATCH(1, (Table3[[#This Row],[Gene names]:[Gene names]] = Table1[[Gene names]:[Gene names]])*1, 0))</f>
        <v>1.5043899999999999E-4</v>
      </c>
      <c r="D161" cm="1">
        <f t="array" ref="D161">INDEX(Table1[riBAQ 35], MATCH(1, (Table3[[#This Row],[Gene names]:[Gene names]] = Table1[[Gene names]:[Gene names]])*1, 0))</f>
        <v>3.2129000000000001E-4</v>
      </c>
      <c r="E161" cm="1">
        <f t="array" ref="E161">INDEX(Table1[riBAQ 36], MATCH(1, (Table3[[#This Row],[Gene names]:[Gene names]] = Table1[[Gene names]:[Gene names]])*1, 0))</f>
        <v>1.88844E-4</v>
      </c>
      <c r="F161" cm="1">
        <f t="array" ref="F161">INDEX(Table1[riBAQ 19], MATCH(1, (Table3[[#This Row],[Gene names]:[Gene names]] = Table1[[Gene names]:[Gene names]])*1, 0))</f>
        <v>3.6500900000000001E-4</v>
      </c>
      <c r="G161" cm="1">
        <f t="array" ref="G161">INDEX(Table1[riBAQ 20], MATCH(1, (Table3[[#This Row],[Gene names]:[Gene names]] = Table1[[Gene names]:[Gene names]])*1, 0))</f>
        <v>2.4028799999999999E-4</v>
      </c>
      <c r="H161" cm="1">
        <f t="array" ref="H161">INDEX(Table1[riBAQ 21], MATCH(1, (Table3[[#This Row],[Gene names]:[Gene names]] = Table1[[Gene names]:[Gene names]])*1, 0))</f>
        <v>4.8084799999999997E-4</v>
      </c>
      <c r="I161" cm="1">
        <f t="array" ref="I161">INDEX(Table1[riBAQ 22], MATCH(1, (Table3[[#This Row],[Gene names]:[Gene names]] = Table1[[Gene names]:[Gene names]])*1, 0))</f>
        <v>3.1241100000000001E-4</v>
      </c>
      <c r="J161" cm="1">
        <f t="array" ref="J161">INDEX(Table1[riBAQ 23], MATCH(1, (Table3[[#This Row],[Gene names]:[Gene names]] = Table1[[Gene names]:[Gene names]])*1, 0))</f>
        <v>4.46262E-4</v>
      </c>
      <c r="K161" cm="1">
        <f t="array" ref="K161">INDEX(Table1[riBAQ 37], MATCH(1, (Table3[[#This Row],[Gene names]:[Gene names]] = Table1[[Gene names]:[Gene names]])*1, 0))</f>
        <v>2.76624E-4</v>
      </c>
      <c r="L161" cm="1">
        <f t="array" ref="L161">INDEX(Table1[riBAQ 38], MATCH(1, (Table3[[#This Row],[Gene names]:[Gene names]] = Table1[[Gene names]:[Gene names]])*1, 0))</f>
        <v>2.0946499999999999E-4</v>
      </c>
      <c r="M161" cm="1">
        <f t="array" ref="M161">INDEX(Table1[riBAQ 39], MATCH(1, (Table3[[#This Row],[Gene names]:[Gene names]] = Table1[[Gene names]:[Gene names]])*1, 0))</f>
        <v>3.4516700000000001E-4</v>
      </c>
      <c r="N161" cm="1">
        <f t="array" ref="N161">INDEX(Table1[riBAQ 40], MATCH(1, (Table3[[#This Row],[Gene names]:[Gene names]] = Table1[[Gene names]:[Gene names]])*1, 0))</f>
        <v>5.56257E-4</v>
      </c>
      <c r="O161" cm="1">
        <f t="array" ref="O161">INDEX(Table1[riBAQ 41], MATCH(1, (Table3[[#This Row],[Gene names]:[Gene names]] = Table1[[Gene names]:[Gene names]])*1, 0))</f>
        <v>3.2741600000000002E-4</v>
      </c>
      <c r="P161" cm="1">
        <f t="array" ref="P161">INDEX(Table1[riBAQ 24], MATCH(1, (Table3[[#This Row],[Gene names]:[Gene names]] = Table1[[Gene names]:[Gene names]])*1, 0))</f>
        <v>5.7269500000000002E-4</v>
      </c>
      <c r="Q161" cm="1">
        <f t="array" ref="Q161">INDEX(Table1[riBAQ 25], MATCH(1, (Table3[[#This Row],[Gene names]:[Gene names]] = Table1[[Gene names]:[Gene names]])*1, 0))</f>
        <v>7.5048599999999997E-4</v>
      </c>
      <c r="R161" cm="1">
        <f t="array" ref="R161">INDEX(Table1[riBAQ 26], MATCH(1, (Table3[[#This Row],[Gene names]:[Gene names]] = Table1[[Gene names]:[Gene names]])*1, 0))</f>
        <v>8.1216899999999996E-4</v>
      </c>
      <c r="S161" cm="1">
        <f t="array" ref="S161">INDEX(Table1[riBAQ 42], MATCH(1, (Table3[[#This Row],[Gene names]:[Gene names]] = Table1[[Gene names]:[Gene names]])*1, 0))</f>
        <v>4.0978999999999999E-4</v>
      </c>
      <c r="T161" cm="1">
        <f t="array" ref="T161">INDEX(Table1[riBAQ 43], MATCH(1, (Table3[[#This Row],[Gene names]:[Gene names]] = Table1[[Gene names]:[Gene names]])*1, 0))</f>
        <v>8.5793000000000002E-4</v>
      </c>
    </row>
    <row r="162" spans="1:20" x14ac:dyDescent="0.25">
      <c r="A162" t="s">
        <v>518</v>
      </c>
      <c r="B162" cm="1">
        <f t="array" ref="B162">INDEX(Table1[riBAQ 17], MATCH(1, (Table3[[#This Row],[Gene names]:[Gene names]] = Table1[[Gene names]:[Gene names]])*1, 0))</f>
        <v>5.9761500000000002E-4</v>
      </c>
      <c r="C162" cm="1">
        <f t="array" ref="C162">INDEX(Table1[riBAQ 18], MATCH(1, (Table3[[#This Row],[Gene names]:[Gene names]] = Table1[[Gene names]:[Gene names]])*1, 0))</f>
        <v>5.9243100000000003E-4</v>
      </c>
      <c r="D162" cm="1">
        <f t="array" ref="D162">INDEX(Table1[riBAQ 35], MATCH(1, (Table3[[#This Row],[Gene names]:[Gene names]] = Table1[[Gene names]:[Gene names]])*1, 0))</f>
        <v>8.2466500000000003E-4</v>
      </c>
      <c r="E162" cm="1">
        <f t="array" ref="E162">INDEX(Table1[riBAQ 36], MATCH(1, (Table3[[#This Row],[Gene names]:[Gene names]] = Table1[[Gene names]:[Gene names]])*1, 0))</f>
        <v>7.7115799999999998E-4</v>
      </c>
      <c r="F162" cm="1">
        <f t="array" ref="F162">INDEX(Table1[riBAQ 19], MATCH(1, (Table3[[#This Row],[Gene names]:[Gene names]] = Table1[[Gene names]:[Gene names]])*1, 0))</f>
        <v>7.2369700000000003E-4</v>
      </c>
      <c r="G162" cm="1">
        <f t="array" ref="G162">INDEX(Table1[riBAQ 20], MATCH(1, (Table3[[#This Row],[Gene names]:[Gene names]] = Table1[[Gene names]:[Gene names]])*1, 0))</f>
        <v>6.0454699999999998E-4</v>
      </c>
      <c r="H162" cm="1">
        <f t="array" ref="H162">INDEX(Table1[riBAQ 21], MATCH(1, (Table3[[#This Row],[Gene names]:[Gene names]] = Table1[[Gene names]:[Gene names]])*1, 0))</f>
        <v>6.5134500000000001E-4</v>
      </c>
      <c r="I162" cm="1">
        <f t="array" ref="I162">INDEX(Table1[riBAQ 22], MATCH(1, (Table3[[#This Row],[Gene names]:[Gene names]] = Table1[[Gene names]:[Gene names]])*1, 0))</f>
        <v>7.4042699999999999E-4</v>
      </c>
      <c r="J162" cm="1">
        <f t="array" ref="J162">INDEX(Table1[riBAQ 23], MATCH(1, (Table3[[#This Row],[Gene names]:[Gene names]] = Table1[[Gene names]:[Gene names]])*1, 0))</f>
        <v>9.3779099999999999E-4</v>
      </c>
      <c r="K162" cm="1">
        <f t="array" ref="K162">INDEX(Table1[riBAQ 37], MATCH(1, (Table3[[#This Row],[Gene names]:[Gene names]] = Table1[[Gene names]:[Gene names]])*1, 0))</f>
        <v>8.3745100000000002E-4</v>
      </c>
      <c r="L162" cm="1">
        <f t="array" ref="L162">INDEX(Table1[riBAQ 38], MATCH(1, (Table3[[#This Row],[Gene names]:[Gene names]] = Table1[[Gene names]:[Gene names]])*1, 0))</f>
        <v>6.6053300000000004E-4</v>
      </c>
      <c r="M162" cm="1">
        <f t="array" ref="M162">INDEX(Table1[riBAQ 39], MATCH(1, (Table3[[#This Row],[Gene names]:[Gene names]] = Table1[[Gene names]:[Gene names]])*1, 0))</f>
        <v>7.6884299999999996E-4</v>
      </c>
      <c r="N162" cm="1">
        <f t="array" ref="N162">INDEX(Table1[riBAQ 40], MATCH(1, (Table3[[#This Row],[Gene names]:[Gene names]] = Table1[[Gene names]:[Gene names]])*1, 0))</f>
        <v>9.4464500000000003E-4</v>
      </c>
      <c r="O162" cm="1">
        <f t="array" ref="O162">INDEX(Table1[riBAQ 41], MATCH(1, (Table3[[#This Row],[Gene names]:[Gene names]] = Table1[[Gene names]:[Gene names]])*1, 0))</f>
        <v>1.0743440000000001E-3</v>
      </c>
      <c r="P162" cm="1">
        <f t="array" ref="P162">INDEX(Table1[riBAQ 24], MATCH(1, (Table3[[#This Row],[Gene names]:[Gene names]] = Table1[[Gene names]:[Gene names]])*1, 0))</f>
        <v>8.7989100000000005E-4</v>
      </c>
      <c r="Q162" cm="1">
        <f t="array" ref="Q162">INDEX(Table1[riBAQ 25], MATCH(1, (Table3[[#This Row],[Gene names]:[Gene names]] = Table1[[Gene names]:[Gene names]])*1, 0))</f>
        <v>9.6483300000000001E-4</v>
      </c>
      <c r="R162" cm="1">
        <f t="array" ref="R162">INDEX(Table1[riBAQ 26], MATCH(1, (Table3[[#This Row],[Gene names]:[Gene names]] = Table1[[Gene names]:[Gene names]])*1, 0))</f>
        <v>1.022322E-3</v>
      </c>
      <c r="S162" cm="1">
        <f t="array" ref="S162">INDEX(Table1[riBAQ 42], MATCH(1, (Table3[[#This Row],[Gene names]:[Gene names]] = Table1[[Gene names]:[Gene names]])*1, 0))</f>
        <v>1.299791E-3</v>
      </c>
      <c r="T162" cm="1">
        <f t="array" ref="T162">INDEX(Table1[riBAQ 43], MATCH(1, (Table3[[#This Row],[Gene names]:[Gene names]] = Table1[[Gene names]:[Gene names]])*1, 0))</f>
        <v>1.1812389999999999E-3</v>
      </c>
    </row>
    <row r="163" spans="1:20" x14ac:dyDescent="0.25">
      <c r="A163" t="s">
        <v>1522</v>
      </c>
      <c r="B163" cm="1">
        <f t="array" ref="B163">INDEX(Table1[riBAQ 17], MATCH(1, (Table3[[#This Row],[Gene names]:[Gene names]] = Table1[[Gene names]:[Gene names]])*1, 0))</f>
        <v>3.7299999999999999E-5</v>
      </c>
      <c r="C163" cm="1">
        <f t="array" ref="C163">INDEX(Table1[riBAQ 18], MATCH(1, (Table3[[#This Row],[Gene names]:[Gene names]] = Table1[[Gene names]:[Gene names]])*1, 0))</f>
        <v>0</v>
      </c>
      <c r="D163" cm="1">
        <f t="array" ref="D163">INDEX(Table1[riBAQ 35], MATCH(1, (Table3[[#This Row],[Gene names]:[Gene names]] = Table1[[Gene names]:[Gene names]])*1, 0))</f>
        <v>0</v>
      </c>
      <c r="E163" cm="1">
        <f t="array" ref="E163">INDEX(Table1[riBAQ 36], MATCH(1, (Table3[[#This Row],[Gene names]:[Gene names]] = Table1[[Gene names]:[Gene names]])*1, 0))</f>
        <v>0</v>
      </c>
      <c r="F163" cm="1">
        <f t="array" ref="F163">INDEX(Table1[riBAQ 19], MATCH(1, (Table3[[#This Row],[Gene names]:[Gene names]] = Table1[[Gene names]:[Gene names]])*1, 0))</f>
        <v>3.6900000000000002E-5</v>
      </c>
      <c r="G163" cm="1">
        <f t="array" ref="G163">INDEX(Table1[riBAQ 20], MATCH(1, (Table3[[#This Row],[Gene names]:[Gene names]] = Table1[[Gene names]:[Gene names]])*1, 0))</f>
        <v>5.7800000000000002E-5</v>
      </c>
      <c r="H163" cm="1">
        <f t="array" ref="H163">INDEX(Table1[riBAQ 21], MATCH(1, (Table3[[#This Row],[Gene names]:[Gene names]] = Table1[[Gene names]:[Gene names]])*1, 0))</f>
        <v>4.1600000000000002E-5</v>
      </c>
      <c r="I163" cm="1">
        <f t="array" ref="I163">INDEX(Table1[riBAQ 22], MATCH(1, (Table3[[#This Row],[Gene names]:[Gene names]] = Table1[[Gene names]:[Gene names]])*1, 0))</f>
        <v>3.3200000000000001E-5</v>
      </c>
      <c r="J163" cm="1">
        <f t="array" ref="J163">INDEX(Table1[riBAQ 23], MATCH(1, (Table3[[#This Row],[Gene names]:[Gene names]] = Table1[[Gene names]:[Gene names]])*1, 0))</f>
        <v>4.1E-5</v>
      </c>
      <c r="K163" cm="1">
        <f t="array" ref="K163">INDEX(Table1[riBAQ 37], MATCH(1, (Table3[[#This Row],[Gene names]:[Gene names]] = Table1[[Gene names]:[Gene names]])*1, 0))</f>
        <v>4.0299999999999997E-5</v>
      </c>
      <c r="L163" cm="1">
        <f t="array" ref="L163">INDEX(Table1[riBAQ 38], MATCH(1, (Table3[[#This Row],[Gene names]:[Gene names]] = Table1[[Gene names]:[Gene names]])*1, 0))</f>
        <v>9.4199999999999996E-6</v>
      </c>
      <c r="M163" cm="1">
        <f t="array" ref="M163">INDEX(Table1[riBAQ 39], MATCH(1, (Table3[[#This Row],[Gene names]:[Gene names]] = Table1[[Gene names]:[Gene names]])*1, 0))</f>
        <v>2.3499999999999999E-5</v>
      </c>
      <c r="N163" cm="1">
        <f t="array" ref="N163">INDEX(Table1[riBAQ 40], MATCH(1, (Table3[[#This Row],[Gene names]:[Gene names]] = Table1[[Gene names]:[Gene names]])*1, 0))</f>
        <v>1.1600000000000001E-5</v>
      </c>
      <c r="O163" cm="1">
        <f t="array" ref="O163">INDEX(Table1[riBAQ 41], MATCH(1, (Table3[[#This Row],[Gene names]:[Gene names]] = Table1[[Gene names]:[Gene names]])*1, 0))</f>
        <v>1.4800000000000001E-5</v>
      </c>
      <c r="P163" cm="1">
        <f t="array" ref="P163">INDEX(Table1[riBAQ 24], MATCH(1, (Table3[[#This Row],[Gene names]:[Gene names]] = Table1[[Gene names]:[Gene names]])*1, 0))</f>
        <v>9.59E-5</v>
      </c>
      <c r="Q163" cm="1">
        <f t="array" ref="Q163">INDEX(Table1[riBAQ 25], MATCH(1, (Table3[[#This Row],[Gene names]:[Gene names]] = Table1[[Gene names]:[Gene names]])*1, 0))</f>
        <v>2.4883400000000002E-4</v>
      </c>
      <c r="R163" cm="1">
        <f t="array" ref="R163">INDEX(Table1[riBAQ 26], MATCH(1, (Table3[[#This Row],[Gene names]:[Gene names]] = Table1[[Gene names]:[Gene names]])*1, 0))</f>
        <v>2.8175100000000001E-4</v>
      </c>
      <c r="S163" cm="1">
        <f t="array" ref="S163">INDEX(Table1[riBAQ 42], MATCH(1, (Table3[[#This Row],[Gene names]:[Gene names]] = Table1[[Gene names]:[Gene names]])*1, 0))</f>
        <v>1.4746400000000001E-4</v>
      </c>
      <c r="T163" cm="1">
        <f t="array" ref="T163">INDEX(Table1[riBAQ 43], MATCH(1, (Table3[[#This Row],[Gene names]:[Gene names]] = Table1[[Gene names]:[Gene names]])*1, 0))</f>
        <v>4.3836E-4</v>
      </c>
    </row>
    <row r="164" spans="1:20" x14ac:dyDescent="0.25">
      <c r="A164" t="s">
        <v>38</v>
      </c>
      <c r="B164" cm="1">
        <f t="array" ref="B164">INDEX(Table1[riBAQ 17], MATCH(1, (Table3[[#This Row],[Gene names]:[Gene names]] = Table1[[Gene names]:[Gene names]])*1, 0))</f>
        <v>1.5400000000000002E-5</v>
      </c>
      <c r="C164" cm="1">
        <f t="array" ref="C164">INDEX(Table1[riBAQ 18], MATCH(1, (Table3[[#This Row],[Gene names]:[Gene names]] = Table1[[Gene names]:[Gene names]])*1, 0))</f>
        <v>0</v>
      </c>
      <c r="D164" cm="1">
        <f t="array" ref="D164">INDEX(Table1[riBAQ 35], MATCH(1, (Table3[[#This Row],[Gene names]:[Gene names]] = Table1[[Gene names]:[Gene names]])*1, 0))</f>
        <v>0</v>
      </c>
      <c r="E164" cm="1">
        <f t="array" ref="E164">INDEX(Table1[riBAQ 36], MATCH(1, (Table3[[#This Row],[Gene names]:[Gene names]] = Table1[[Gene names]:[Gene names]])*1, 0))</f>
        <v>0</v>
      </c>
      <c r="F164" cm="1">
        <f t="array" ref="F164">INDEX(Table1[riBAQ 19], MATCH(1, (Table3[[#This Row],[Gene names]:[Gene names]] = Table1[[Gene names]:[Gene names]])*1, 0))</f>
        <v>2.1800000000000001E-5</v>
      </c>
      <c r="G164" cm="1">
        <f t="array" ref="G164">INDEX(Table1[riBAQ 20], MATCH(1, (Table3[[#This Row],[Gene names]:[Gene names]] = Table1[[Gene names]:[Gene names]])*1, 0))</f>
        <v>0</v>
      </c>
      <c r="H164" cm="1">
        <f t="array" ref="H164">INDEX(Table1[riBAQ 21], MATCH(1, (Table3[[#This Row],[Gene names]:[Gene names]] = Table1[[Gene names]:[Gene names]])*1, 0))</f>
        <v>1.29E-5</v>
      </c>
      <c r="I164" cm="1">
        <f t="array" ref="I164">INDEX(Table1[riBAQ 22], MATCH(1, (Table3[[#This Row],[Gene names]:[Gene names]] = Table1[[Gene names]:[Gene names]])*1, 0))</f>
        <v>0</v>
      </c>
      <c r="J164" cm="1">
        <f t="array" ref="J164">INDEX(Table1[riBAQ 23], MATCH(1, (Table3[[#This Row],[Gene names]:[Gene names]] = Table1[[Gene names]:[Gene names]])*1, 0))</f>
        <v>1.9000000000000001E-5</v>
      </c>
      <c r="K164" cm="1">
        <f t="array" ref="K164">INDEX(Table1[riBAQ 37], MATCH(1, (Table3[[#This Row],[Gene names]:[Gene names]] = Table1[[Gene names]:[Gene names]])*1, 0))</f>
        <v>7.8800000000000008E-6</v>
      </c>
      <c r="L164" cm="1">
        <f t="array" ref="L164">INDEX(Table1[riBAQ 38], MATCH(1, (Table3[[#This Row],[Gene names]:[Gene names]] = Table1[[Gene names]:[Gene names]])*1, 0))</f>
        <v>0</v>
      </c>
      <c r="M164" cm="1">
        <f t="array" ref="M164">INDEX(Table1[riBAQ 39], MATCH(1, (Table3[[#This Row],[Gene names]:[Gene names]] = Table1[[Gene names]:[Gene names]])*1, 0))</f>
        <v>0</v>
      </c>
      <c r="N164" cm="1">
        <f t="array" ref="N164">INDEX(Table1[riBAQ 40], MATCH(1, (Table3[[#This Row],[Gene names]:[Gene names]] = Table1[[Gene names]:[Gene names]])*1, 0))</f>
        <v>1.8700000000000001E-5</v>
      </c>
      <c r="O164" cm="1">
        <f t="array" ref="O164">INDEX(Table1[riBAQ 41], MATCH(1, (Table3[[#This Row],[Gene names]:[Gene names]] = Table1[[Gene names]:[Gene names]])*1, 0))</f>
        <v>4.6399999999999996E-6</v>
      </c>
      <c r="P164" cm="1">
        <f t="array" ref="P164">INDEX(Table1[riBAQ 24], MATCH(1, (Table3[[#This Row],[Gene names]:[Gene names]] = Table1[[Gene names]:[Gene names]])*1, 0))</f>
        <v>3.2299999999999999E-5</v>
      </c>
      <c r="Q164" cm="1">
        <f t="array" ref="Q164">INDEX(Table1[riBAQ 25], MATCH(1, (Table3[[#This Row],[Gene names]:[Gene names]] = Table1[[Gene names]:[Gene names]])*1, 0))</f>
        <v>7.9900000000000004E-5</v>
      </c>
      <c r="R164" cm="1">
        <f t="array" ref="R164">INDEX(Table1[riBAQ 26], MATCH(1, (Table3[[#This Row],[Gene names]:[Gene names]] = Table1[[Gene names]:[Gene names]])*1, 0))</f>
        <v>7.7200000000000006E-5</v>
      </c>
      <c r="S164" cm="1">
        <f t="array" ref="S164">INDEX(Table1[riBAQ 42], MATCH(1, (Table3[[#This Row],[Gene names]:[Gene names]] = Table1[[Gene names]:[Gene names]])*1, 0))</f>
        <v>2.5999999999999998E-5</v>
      </c>
      <c r="T164" cm="1">
        <f t="array" ref="T164">INDEX(Table1[riBAQ 43], MATCH(1, (Table3[[#This Row],[Gene names]:[Gene names]] = Table1[[Gene names]:[Gene names]])*1, 0))</f>
        <v>1.041E-4</v>
      </c>
    </row>
    <row r="165" spans="1:20" x14ac:dyDescent="0.25">
      <c r="A165" t="s">
        <v>1709</v>
      </c>
      <c r="B165" cm="1">
        <f t="array" ref="B165">INDEX(Table1[riBAQ 17], MATCH(1, (Table3[[#This Row],[Gene names]:[Gene names]] = Table1[[Gene names]:[Gene names]])*1, 0))</f>
        <v>1.2975505E-2</v>
      </c>
      <c r="C165" cm="1">
        <f t="array" ref="C165">INDEX(Table1[riBAQ 18], MATCH(1, (Table3[[#This Row],[Gene names]:[Gene names]] = Table1[[Gene names]:[Gene names]])*1, 0))</f>
        <v>1.333457E-2</v>
      </c>
      <c r="D165" cm="1">
        <f t="array" ref="D165">INDEX(Table1[riBAQ 35], MATCH(1, (Table3[[#This Row],[Gene names]:[Gene names]] = Table1[[Gene names]:[Gene names]])*1, 0))</f>
        <v>1.5114716E-2</v>
      </c>
      <c r="E165" cm="1">
        <f t="array" ref="E165">INDEX(Table1[riBAQ 36], MATCH(1, (Table3[[#This Row],[Gene names]:[Gene names]] = Table1[[Gene names]:[Gene names]])*1, 0))</f>
        <v>1.7732433999999998E-2</v>
      </c>
      <c r="F165" cm="1">
        <f t="array" ref="F165">INDEX(Table1[riBAQ 19], MATCH(1, (Table3[[#This Row],[Gene names]:[Gene names]] = Table1[[Gene names]:[Gene names]])*1, 0))</f>
        <v>1.2273422000000001E-2</v>
      </c>
      <c r="G165" cm="1">
        <f t="array" ref="G165">INDEX(Table1[riBAQ 20], MATCH(1, (Table3[[#This Row],[Gene names]:[Gene names]] = Table1[[Gene names]:[Gene names]])*1, 0))</f>
        <v>1.2589184999999999E-2</v>
      </c>
      <c r="H165" cm="1">
        <f t="array" ref="H165">INDEX(Table1[riBAQ 21], MATCH(1, (Table3[[#This Row],[Gene names]:[Gene names]] = Table1[[Gene names]:[Gene names]])*1, 0))</f>
        <v>8.7846520000000004E-3</v>
      </c>
      <c r="I165" cm="1">
        <f t="array" ref="I165">INDEX(Table1[riBAQ 22], MATCH(1, (Table3[[#This Row],[Gene names]:[Gene names]] = Table1[[Gene names]:[Gene names]])*1, 0))</f>
        <v>1.2024198E-2</v>
      </c>
      <c r="J165" cm="1">
        <f t="array" ref="J165">INDEX(Table1[riBAQ 23], MATCH(1, (Table3[[#This Row],[Gene names]:[Gene names]] = Table1[[Gene names]:[Gene names]])*1, 0))</f>
        <v>1.5070826000000001E-2</v>
      </c>
      <c r="K165" cm="1">
        <f t="array" ref="K165">INDEX(Table1[riBAQ 37], MATCH(1, (Table3[[#This Row],[Gene names]:[Gene names]] = Table1[[Gene names]:[Gene names]])*1, 0))</f>
        <v>1.4985326E-2</v>
      </c>
      <c r="L165" cm="1">
        <f t="array" ref="L165">INDEX(Table1[riBAQ 38], MATCH(1, (Table3[[#This Row],[Gene names]:[Gene names]] = Table1[[Gene names]:[Gene names]])*1, 0))</f>
        <v>1.1604000999999999E-2</v>
      </c>
      <c r="M165" cm="1">
        <f t="array" ref="M165">INDEX(Table1[riBAQ 39], MATCH(1, (Table3[[#This Row],[Gene names]:[Gene names]] = Table1[[Gene names]:[Gene names]])*1, 0))</f>
        <v>2.0155163E-2</v>
      </c>
      <c r="N165" cm="1">
        <f t="array" ref="N165">INDEX(Table1[riBAQ 40], MATCH(1, (Table3[[#This Row],[Gene names]:[Gene names]] = Table1[[Gene names]:[Gene names]])*1, 0))</f>
        <v>1.7432235000000001E-2</v>
      </c>
      <c r="O165" cm="1">
        <f t="array" ref="O165">INDEX(Table1[riBAQ 41], MATCH(1, (Table3[[#This Row],[Gene names]:[Gene names]] = Table1[[Gene names]:[Gene names]])*1, 0))</f>
        <v>1.9109398999999999E-2</v>
      </c>
      <c r="P165" cm="1">
        <f t="array" ref="P165">INDEX(Table1[riBAQ 24], MATCH(1, (Table3[[#This Row],[Gene names]:[Gene names]] = Table1[[Gene names]:[Gene names]])*1, 0))</f>
        <v>8.7689670000000008E-3</v>
      </c>
      <c r="Q165" cm="1">
        <f t="array" ref="Q165">INDEX(Table1[riBAQ 25], MATCH(1, (Table3[[#This Row],[Gene names]:[Gene names]] = Table1[[Gene names]:[Gene names]])*1, 0))</f>
        <v>5.8165760000000004E-3</v>
      </c>
      <c r="R165" cm="1">
        <f t="array" ref="R165">INDEX(Table1[riBAQ 26], MATCH(1, (Table3[[#This Row],[Gene names]:[Gene names]] = Table1[[Gene names]:[Gene names]])*1, 0))</f>
        <v>8.7153630000000003E-3</v>
      </c>
      <c r="S165" cm="1">
        <f t="array" ref="S165">INDEX(Table1[riBAQ 42], MATCH(1, (Table3[[#This Row],[Gene names]:[Gene names]] = Table1[[Gene names]:[Gene names]])*1, 0))</f>
        <v>9.5029480000000006E-3</v>
      </c>
      <c r="T165" cm="1">
        <f t="array" ref="T165">INDEX(Table1[riBAQ 43], MATCH(1, (Table3[[#This Row],[Gene names]:[Gene names]] = Table1[[Gene names]:[Gene names]])*1, 0))</f>
        <v>6.1197550000000002E-3</v>
      </c>
    </row>
    <row r="166" spans="1:20" x14ac:dyDescent="0.25">
      <c r="A166" t="s">
        <v>40</v>
      </c>
      <c r="B166" cm="1">
        <f t="array" ref="B166">INDEX(Table1[riBAQ 17], MATCH(1, (Table3[[#This Row],[Gene names]:[Gene names]] = Table1[[Gene names]:[Gene names]])*1, 0))</f>
        <v>7.7399999999999998E-5</v>
      </c>
      <c r="C166" cm="1">
        <f t="array" ref="C166">INDEX(Table1[riBAQ 18], MATCH(1, (Table3[[#This Row],[Gene names]:[Gene names]] = Table1[[Gene names]:[Gene names]])*1, 0))</f>
        <v>0</v>
      </c>
      <c r="D166" cm="1">
        <f t="array" ref="D166">INDEX(Table1[riBAQ 35], MATCH(1, (Table3[[#This Row],[Gene names]:[Gene names]] = Table1[[Gene names]:[Gene names]])*1, 0))</f>
        <v>3.5599999999999998E-5</v>
      </c>
      <c r="E166" cm="1">
        <f t="array" ref="E166">INDEX(Table1[riBAQ 36], MATCH(1, (Table3[[#This Row],[Gene names]:[Gene names]] = Table1[[Gene names]:[Gene names]])*1, 0))</f>
        <v>2.7100000000000001E-5</v>
      </c>
      <c r="F166" cm="1">
        <f t="array" ref="F166">INDEX(Table1[riBAQ 19], MATCH(1, (Table3[[#This Row],[Gene names]:[Gene names]] = Table1[[Gene names]:[Gene names]])*1, 0))</f>
        <v>4.1100000000000003E-5</v>
      </c>
      <c r="G166" cm="1">
        <f t="array" ref="G166">INDEX(Table1[riBAQ 20], MATCH(1, (Table3[[#This Row],[Gene names]:[Gene names]] = Table1[[Gene names]:[Gene names]])*1, 0))</f>
        <v>2.0400000000000001E-5</v>
      </c>
      <c r="H166" cm="1">
        <f t="array" ref="H166">INDEX(Table1[riBAQ 21], MATCH(1, (Table3[[#This Row],[Gene names]:[Gene names]] = Table1[[Gene names]:[Gene names]])*1, 0))</f>
        <v>7.9200000000000001E-5</v>
      </c>
      <c r="I166" cm="1">
        <f t="array" ref="I166">INDEX(Table1[riBAQ 22], MATCH(1, (Table3[[#This Row],[Gene names]:[Gene names]] = Table1[[Gene names]:[Gene names]])*1, 0))</f>
        <v>5.3199999999999999E-5</v>
      </c>
      <c r="J166" cm="1">
        <f t="array" ref="J166">INDEX(Table1[riBAQ 23], MATCH(1, (Table3[[#This Row],[Gene names]:[Gene names]] = Table1[[Gene names]:[Gene names]])*1, 0))</f>
        <v>8.7299999999999994E-5</v>
      </c>
      <c r="K166" cm="1">
        <f t="array" ref="K166">INDEX(Table1[riBAQ 37], MATCH(1, (Table3[[#This Row],[Gene names]:[Gene names]] = Table1[[Gene names]:[Gene names]])*1, 0))</f>
        <v>3.9900000000000001E-5</v>
      </c>
      <c r="L166" cm="1">
        <f t="array" ref="L166">INDEX(Table1[riBAQ 38], MATCH(1, (Table3[[#This Row],[Gene names]:[Gene names]] = Table1[[Gene names]:[Gene names]])*1, 0))</f>
        <v>2.26E-5</v>
      </c>
      <c r="M166" cm="1">
        <f t="array" ref="M166">INDEX(Table1[riBAQ 39], MATCH(1, (Table3[[#This Row],[Gene names]:[Gene names]] = Table1[[Gene names]:[Gene names]])*1, 0))</f>
        <v>5.77E-5</v>
      </c>
      <c r="N166" cm="1">
        <f t="array" ref="N166">INDEX(Table1[riBAQ 40], MATCH(1, (Table3[[#This Row],[Gene names]:[Gene names]] = Table1[[Gene names]:[Gene names]])*1, 0))</f>
        <v>8.9699999999999998E-5</v>
      </c>
      <c r="O166" cm="1">
        <f t="array" ref="O166">INDEX(Table1[riBAQ 41], MATCH(1, (Table3[[#This Row],[Gene names]:[Gene names]] = Table1[[Gene names]:[Gene names]])*1, 0))</f>
        <v>5.3699999999999997E-5</v>
      </c>
      <c r="P166" cm="1">
        <f t="array" ref="P166">INDEX(Table1[riBAQ 24], MATCH(1, (Table3[[#This Row],[Gene names]:[Gene names]] = Table1[[Gene names]:[Gene names]])*1, 0))</f>
        <v>9.5400000000000001E-5</v>
      </c>
      <c r="Q166" cm="1">
        <f t="array" ref="Q166">INDEX(Table1[riBAQ 25], MATCH(1, (Table3[[#This Row],[Gene names]:[Gene names]] = Table1[[Gene names]:[Gene names]])*1, 0))</f>
        <v>1.29646E-4</v>
      </c>
      <c r="R166" cm="1">
        <f t="array" ref="R166">INDEX(Table1[riBAQ 26], MATCH(1, (Table3[[#This Row],[Gene names]:[Gene names]] = Table1[[Gene names]:[Gene names]])*1, 0))</f>
        <v>1.2663999999999999E-4</v>
      </c>
      <c r="S166" cm="1">
        <f t="array" ref="S166">INDEX(Table1[riBAQ 42], MATCH(1, (Table3[[#This Row],[Gene names]:[Gene names]] = Table1[[Gene names]:[Gene names]])*1, 0))</f>
        <v>6.3899999999999995E-5</v>
      </c>
      <c r="T166" cm="1">
        <f t="array" ref="T166">INDEX(Table1[riBAQ 43], MATCH(1, (Table3[[#This Row],[Gene names]:[Gene names]] = Table1[[Gene names]:[Gene names]])*1, 0))</f>
        <v>1.46422E-4</v>
      </c>
    </row>
    <row r="167" spans="1:20" x14ac:dyDescent="0.25">
      <c r="A167" t="s">
        <v>1200</v>
      </c>
      <c r="B167" cm="1">
        <f t="array" ref="B167">INDEX(Table1[riBAQ 17], MATCH(1, (Table3[[#This Row],[Gene names]:[Gene names]] = Table1[[Gene names]:[Gene names]])*1, 0))</f>
        <v>1.0900000000000001E-5</v>
      </c>
      <c r="C167" cm="1">
        <f t="array" ref="C167">INDEX(Table1[riBAQ 18], MATCH(1, (Table3[[#This Row],[Gene names]:[Gene names]] = Table1[[Gene names]:[Gene names]])*1, 0))</f>
        <v>0</v>
      </c>
      <c r="D167" cm="1">
        <f t="array" ref="D167">INDEX(Table1[riBAQ 35], MATCH(1, (Table3[[#This Row],[Gene names]:[Gene names]] = Table1[[Gene names]:[Gene names]])*1, 0))</f>
        <v>0</v>
      </c>
      <c r="E167" cm="1">
        <f t="array" ref="E167">INDEX(Table1[riBAQ 36], MATCH(1, (Table3[[#This Row],[Gene names]:[Gene names]] = Table1[[Gene names]:[Gene names]])*1, 0))</f>
        <v>0</v>
      </c>
      <c r="F167" cm="1">
        <f t="array" ref="F167">INDEX(Table1[riBAQ 19], MATCH(1, (Table3[[#This Row],[Gene names]:[Gene names]] = Table1[[Gene names]:[Gene names]])*1, 0))</f>
        <v>1.7799999999999999E-5</v>
      </c>
      <c r="G167" cm="1">
        <f t="array" ref="G167">INDEX(Table1[riBAQ 20], MATCH(1, (Table3[[#This Row],[Gene names]:[Gene names]] = Table1[[Gene names]:[Gene names]])*1, 0))</f>
        <v>0</v>
      </c>
      <c r="H167" cm="1">
        <f t="array" ref="H167">INDEX(Table1[riBAQ 21], MATCH(1, (Table3[[#This Row],[Gene names]:[Gene names]] = Table1[[Gene names]:[Gene names]])*1, 0))</f>
        <v>1.4399999999999999E-5</v>
      </c>
      <c r="I167" cm="1">
        <f t="array" ref="I167">INDEX(Table1[riBAQ 22], MATCH(1, (Table3[[#This Row],[Gene names]:[Gene names]] = Table1[[Gene names]:[Gene names]])*1, 0))</f>
        <v>8.6999999999999997E-6</v>
      </c>
      <c r="J167" cm="1">
        <f t="array" ref="J167">INDEX(Table1[riBAQ 23], MATCH(1, (Table3[[#This Row],[Gene names]:[Gene names]] = Table1[[Gene names]:[Gene names]])*1, 0))</f>
        <v>0</v>
      </c>
      <c r="K167" cm="1">
        <f t="array" ref="K167">INDEX(Table1[riBAQ 37], MATCH(1, (Table3[[#This Row],[Gene names]:[Gene names]] = Table1[[Gene names]:[Gene names]])*1, 0))</f>
        <v>1.11E-5</v>
      </c>
      <c r="L167" cm="1">
        <f t="array" ref="L167">INDEX(Table1[riBAQ 38], MATCH(1, (Table3[[#This Row],[Gene names]:[Gene names]] = Table1[[Gene names]:[Gene names]])*1, 0))</f>
        <v>7.52E-6</v>
      </c>
      <c r="M167" cm="1">
        <f t="array" ref="M167">INDEX(Table1[riBAQ 39], MATCH(1, (Table3[[#This Row],[Gene names]:[Gene names]] = Table1[[Gene names]:[Gene names]])*1, 0))</f>
        <v>0</v>
      </c>
      <c r="N167" cm="1">
        <f t="array" ref="N167">INDEX(Table1[riBAQ 40], MATCH(1, (Table3[[#This Row],[Gene names]:[Gene names]] = Table1[[Gene names]:[Gene names]])*1, 0))</f>
        <v>0</v>
      </c>
      <c r="O167" cm="1">
        <f t="array" ref="O167">INDEX(Table1[riBAQ 41], MATCH(1, (Table3[[#This Row],[Gene names]:[Gene names]] = Table1[[Gene names]:[Gene names]])*1, 0))</f>
        <v>0</v>
      </c>
      <c r="P167" cm="1">
        <f t="array" ref="P167">INDEX(Table1[riBAQ 24], MATCH(1, (Table3[[#This Row],[Gene names]:[Gene names]] = Table1[[Gene names]:[Gene names]])*1, 0))</f>
        <v>1.98E-5</v>
      </c>
      <c r="Q167" cm="1">
        <f t="array" ref="Q167">INDEX(Table1[riBAQ 25], MATCH(1, (Table3[[#This Row],[Gene names]:[Gene names]] = Table1[[Gene names]:[Gene names]])*1, 0))</f>
        <v>3.0899999999999999E-5</v>
      </c>
      <c r="R167" cm="1">
        <f t="array" ref="R167">INDEX(Table1[riBAQ 26], MATCH(1, (Table3[[#This Row],[Gene names]:[Gene names]] = Table1[[Gene names]:[Gene names]])*1, 0))</f>
        <v>2.0100000000000001E-5</v>
      </c>
      <c r="S167" cm="1">
        <f t="array" ref="S167">INDEX(Table1[riBAQ 42], MATCH(1, (Table3[[#This Row],[Gene names]:[Gene names]] = Table1[[Gene names]:[Gene names]])*1, 0))</f>
        <v>1.5099999999999999E-5</v>
      </c>
      <c r="T167" cm="1">
        <f t="array" ref="T167">INDEX(Table1[riBAQ 43], MATCH(1, (Table3[[#This Row],[Gene names]:[Gene names]] = Table1[[Gene names]:[Gene names]])*1, 0))</f>
        <v>2.0800000000000001E-5</v>
      </c>
    </row>
    <row r="168" spans="1:20" x14ac:dyDescent="0.25">
      <c r="A168" t="s">
        <v>1291</v>
      </c>
      <c r="B168" cm="1">
        <f t="array" ref="B168">INDEX(Table1[riBAQ 17], MATCH(1, (Table3[[#This Row],[Gene names]:[Gene names]] = Table1[[Gene names]:[Gene names]])*1, 0))</f>
        <v>4.8500870000000003E-3</v>
      </c>
      <c r="C168" cm="1">
        <f t="array" ref="C168">INDEX(Table1[riBAQ 18], MATCH(1, (Table3[[#This Row],[Gene names]:[Gene names]] = Table1[[Gene names]:[Gene names]])*1, 0))</f>
        <v>3.6894079999999999E-3</v>
      </c>
      <c r="D168" cm="1">
        <f t="array" ref="D168">INDEX(Table1[riBAQ 35], MATCH(1, (Table3[[#This Row],[Gene names]:[Gene names]] = Table1[[Gene names]:[Gene names]])*1, 0))</f>
        <v>3.2981590000000002E-3</v>
      </c>
      <c r="E168" cm="1">
        <f t="array" ref="E168">INDEX(Table1[riBAQ 36], MATCH(1, (Table3[[#This Row],[Gene names]:[Gene names]] = Table1[[Gene names]:[Gene names]])*1, 0))</f>
        <v>3.5446150000000001E-3</v>
      </c>
      <c r="F168" cm="1">
        <f t="array" ref="F168">INDEX(Table1[riBAQ 19], MATCH(1, (Table3[[#This Row],[Gene names]:[Gene names]] = Table1[[Gene names]:[Gene names]])*1, 0))</f>
        <v>5.7465779999999996E-3</v>
      </c>
      <c r="G168" cm="1">
        <f t="array" ref="G168">INDEX(Table1[riBAQ 20], MATCH(1, (Table3[[#This Row],[Gene names]:[Gene names]] = Table1[[Gene names]:[Gene names]])*1, 0))</f>
        <v>4.385407E-3</v>
      </c>
      <c r="H168" cm="1">
        <f t="array" ref="H168">INDEX(Table1[riBAQ 21], MATCH(1, (Table3[[#This Row],[Gene names]:[Gene names]] = Table1[[Gene names]:[Gene names]])*1, 0))</f>
        <v>3.6719600000000002E-3</v>
      </c>
      <c r="I168" cm="1">
        <f t="array" ref="I168">INDEX(Table1[riBAQ 22], MATCH(1, (Table3[[#This Row],[Gene names]:[Gene names]] = Table1[[Gene names]:[Gene names]])*1, 0))</f>
        <v>5.2655660000000002E-3</v>
      </c>
      <c r="J168" cm="1">
        <f t="array" ref="J168">INDEX(Table1[riBAQ 23], MATCH(1, (Table3[[#This Row],[Gene names]:[Gene names]] = Table1[[Gene names]:[Gene names]])*1, 0))</f>
        <v>6.3562590000000004E-3</v>
      </c>
      <c r="K168" cm="1">
        <f t="array" ref="K168">INDEX(Table1[riBAQ 37], MATCH(1, (Table3[[#This Row],[Gene names]:[Gene names]] = Table1[[Gene names]:[Gene names]])*1, 0))</f>
        <v>3.3442490000000001E-3</v>
      </c>
      <c r="L168" cm="1">
        <f t="array" ref="L168">INDEX(Table1[riBAQ 38], MATCH(1, (Table3[[#This Row],[Gene names]:[Gene names]] = Table1[[Gene names]:[Gene names]])*1, 0))</f>
        <v>3.4888810000000001E-3</v>
      </c>
      <c r="M168" cm="1">
        <f t="array" ref="M168">INDEX(Table1[riBAQ 39], MATCH(1, (Table3[[#This Row],[Gene names]:[Gene names]] = Table1[[Gene names]:[Gene names]])*1, 0))</f>
        <v>4.756924E-3</v>
      </c>
      <c r="N168" cm="1">
        <f t="array" ref="N168">INDEX(Table1[riBAQ 40], MATCH(1, (Table3[[#This Row],[Gene names]:[Gene names]] = Table1[[Gene names]:[Gene names]])*1, 0))</f>
        <v>5.7143890000000003E-3</v>
      </c>
      <c r="O168" cm="1">
        <f t="array" ref="O168">INDEX(Table1[riBAQ 41], MATCH(1, (Table3[[#This Row],[Gene names]:[Gene names]] = Table1[[Gene names]:[Gene names]])*1, 0))</f>
        <v>5.2400399999999996E-3</v>
      </c>
      <c r="P168" cm="1">
        <f t="array" ref="P168">INDEX(Table1[riBAQ 24], MATCH(1, (Table3[[#This Row],[Gene names]:[Gene names]] = Table1[[Gene names]:[Gene names]])*1, 0))</f>
        <v>7.4801770000000002E-3</v>
      </c>
      <c r="Q168" cm="1">
        <f t="array" ref="Q168">INDEX(Table1[riBAQ 25], MATCH(1, (Table3[[#This Row],[Gene names]:[Gene names]] = Table1[[Gene names]:[Gene names]])*1, 0))</f>
        <v>9.0475820000000002E-3</v>
      </c>
      <c r="R168" cm="1">
        <f t="array" ref="R168">INDEX(Table1[riBAQ 26], MATCH(1, (Table3[[#This Row],[Gene names]:[Gene names]] = Table1[[Gene names]:[Gene names]])*1, 0))</f>
        <v>8.7822449999999993E-3</v>
      </c>
      <c r="S168" cm="1">
        <f t="array" ref="S168">INDEX(Table1[riBAQ 42], MATCH(1, (Table3[[#This Row],[Gene names]:[Gene names]] = Table1[[Gene names]:[Gene names]])*1, 0))</f>
        <v>8.8902789999999992E-3</v>
      </c>
      <c r="T168" cm="1">
        <f t="array" ref="T168">INDEX(Table1[riBAQ 43], MATCH(1, (Table3[[#This Row],[Gene names]:[Gene names]] = Table1[[Gene names]:[Gene names]])*1, 0))</f>
        <v>8.6052379999999994E-3</v>
      </c>
    </row>
    <row r="169" spans="1:20" x14ac:dyDescent="0.25">
      <c r="A169" t="s">
        <v>37</v>
      </c>
      <c r="B169" cm="1">
        <f t="array" ref="B169">INDEX(Table1[riBAQ 17], MATCH(1, (Table3[[#This Row],[Gene names]:[Gene names]] = Table1[[Gene names]:[Gene names]])*1, 0))</f>
        <v>1.66E-5</v>
      </c>
      <c r="C169" cm="1">
        <f t="array" ref="C169">INDEX(Table1[riBAQ 18], MATCH(1, (Table3[[#This Row],[Gene names]:[Gene names]] = Table1[[Gene names]:[Gene names]])*1, 0))</f>
        <v>0</v>
      </c>
      <c r="D169" cm="1">
        <f t="array" ref="D169">INDEX(Table1[riBAQ 35], MATCH(1, (Table3[[#This Row],[Gene names]:[Gene names]] = Table1[[Gene names]:[Gene names]])*1, 0))</f>
        <v>0</v>
      </c>
      <c r="E169" cm="1">
        <f t="array" ref="E169">INDEX(Table1[riBAQ 36], MATCH(1, (Table3[[#This Row],[Gene names]:[Gene names]] = Table1[[Gene names]:[Gene names]])*1, 0))</f>
        <v>0</v>
      </c>
      <c r="F169" cm="1">
        <f t="array" ref="F169">INDEX(Table1[riBAQ 19], MATCH(1, (Table3[[#This Row],[Gene names]:[Gene names]] = Table1[[Gene names]:[Gene names]])*1, 0))</f>
        <v>0</v>
      </c>
      <c r="G169" cm="1">
        <f t="array" ref="G169">INDEX(Table1[riBAQ 20], MATCH(1, (Table3[[#This Row],[Gene names]:[Gene names]] = Table1[[Gene names]:[Gene names]])*1, 0))</f>
        <v>0</v>
      </c>
      <c r="H169" cm="1">
        <f t="array" ref="H169">INDEX(Table1[riBAQ 21], MATCH(1, (Table3[[#This Row],[Gene names]:[Gene names]] = Table1[[Gene names]:[Gene names]])*1, 0))</f>
        <v>0</v>
      </c>
      <c r="I169" cm="1">
        <f t="array" ref="I169">INDEX(Table1[riBAQ 22], MATCH(1, (Table3[[#This Row],[Gene names]:[Gene names]] = Table1[[Gene names]:[Gene names]])*1, 0))</f>
        <v>0</v>
      </c>
      <c r="J169" cm="1">
        <f t="array" ref="J169">INDEX(Table1[riBAQ 23], MATCH(1, (Table3[[#This Row],[Gene names]:[Gene names]] = Table1[[Gene names]:[Gene names]])*1, 0))</f>
        <v>0</v>
      </c>
      <c r="K169" cm="1">
        <f t="array" ref="K169">INDEX(Table1[riBAQ 37], MATCH(1, (Table3[[#This Row],[Gene names]:[Gene names]] = Table1[[Gene names]:[Gene names]])*1, 0))</f>
        <v>0</v>
      </c>
      <c r="L169" cm="1">
        <f t="array" ref="L169">INDEX(Table1[riBAQ 38], MATCH(1, (Table3[[#This Row],[Gene names]:[Gene names]] = Table1[[Gene names]:[Gene names]])*1, 0))</f>
        <v>0</v>
      </c>
      <c r="M169" cm="1">
        <f t="array" ref="M169">INDEX(Table1[riBAQ 39], MATCH(1, (Table3[[#This Row],[Gene names]:[Gene names]] = Table1[[Gene names]:[Gene names]])*1, 0))</f>
        <v>0</v>
      </c>
      <c r="N169" cm="1">
        <f t="array" ref="N169">INDEX(Table1[riBAQ 40], MATCH(1, (Table3[[#This Row],[Gene names]:[Gene names]] = Table1[[Gene names]:[Gene names]])*1, 0))</f>
        <v>1.7099999999999999E-5</v>
      </c>
      <c r="O169" cm="1">
        <f t="array" ref="O169">INDEX(Table1[riBAQ 41], MATCH(1, (Table3[[#This Row],[Gene names]:[Gene names]] = Table1[[Gene names]:[Gene names]])*1, 0))</f>
        <v>0</v>
      </c>
      <c r="P169" cm="1">
        <f t="array" ref="P169">INDEX(Table1[riBAQ 24], MATCH(1, (Table3[[#This Row],[Gene names]:[Gene names]] = Table1[[Gene names]:[Gene names]])*1, 0))</f>
        <v>1.6900000000000001E-5</v>
      </c>
      <c r="Q169" cm="1">
        <f t="array" ref="Q169">INDEX(Table1[riBAQ 25], MATCH(1, (Table3[[#This Row],[Gene names]:[Gene names]] = Table1[[Gene names]:[Gene names]])*1, 0))</f>
        <v>3.2700000000000002E-5</v>
      </c>
      <c r="R169" cm="1">
        <f t="array" ref="R169">INDEX(Table1[riBAQ 26], MATCH(1, (Table3[[#This Row],[Gene names]:[Gene names]] = Table1[[Gene names]:[Gene names]])*1, 0))</f>
        <v>3.4499999999999998E-5</v>
      </c>
      <c r="S169" cm="1">
        <f t="array" ref="S169">INDEX(Table1[riBAQ 42], MATCH(1, (Table3[[#This Row],[Gene names]:[Gene names]] = Table1[[Gene names]:[Gene names]])*1, 0))</f>
        <v>0</v>
      </c>
      <c r="T169" cm="1">
        <f t="array" ref="T169">INDEX(Table1[riBAQ 43], MATCH(1, (Table3[[#This Row],[Gene names]:[Gene names]] = Table1[[Gene names]:[Gene names]])*1, 0))</f>
        <v>5.3399999999999997E-5</v>
      </c>
    </row>
    <row r="170" spans="1:20" x14ac:dyDescent="0.25">
      <c r="A170" t="s">
        <v>987</v>
      </c>
      <c r="B170" cm="1">
        <f t="array" ref="B170">INDEX(Table1[riBAQ 17], MATCH(1, (Table3[[#This Row],[Gene names]:[Gene names]] = Table1[[Gene names]:[Gene names]])*1, 0))</f>
        <v>2.2131609999999999E-3</v>
      </c>
      <c r="C170" cm="1">
        <f t="array" ref="C170">INDEX(Table1[riBAQ 18], MATCH(1, (Table3[[#This Row],[Gene names]:[Gene names]] = Table1[[Gene names]:[Gene names]])*1, 0))</f>
        <v>1.9822500000000001E-3</v>
      </c>
      <c r="D170" cm="1">
        <f t="array" ref="D170">INDEX(Table1[riBAQ 35], MATCH(1, (Table3[[#This Row],[Gene names]:[Gene names]] = Table1[[Gene names]:[Gene names]])*1, 0))</f>
        <v>2.4959919999999998E-3</v>
      </c>
      <c r="E170" cm="1">
        <f t="array" ref="E170">INDEX(Table1[riBAQ 36], MATCH(1, (Table3[[#This Row],[Gene names]:[Gene names]] = Table1[[Gene names]:[Gene names]])*1, 0))</f>
        <v>2.7282410000000002E-3</v>
      </c>
      <c r="F170" cm="1">
        <f t="array" ref="F170">INDEX(Table1[riBAQ 19], MATCH(1, (Table3[[#This Row],[Gene names]:[Gene names]] = Table1[[Gene names]:[Gene names]])*1, 0))</f>
        <v>3.012383E-3</v>
      </c>
      <c r="G170" cm="1">
        <f t="array" ref="G170">INDEX(Table1[riBAQ 20], MATCH(1, (Table3[[#This Row],[Gene names]:[Gene names]] = Table1[[Gene names]:[Gene names]])*1, 0))</f>
        <v>2.9458710000000001E-3</v>
      </c>
      <c r="H170" cm="1">
        <f t="array" ref="H170">INDEX(Table1[riBAQ 21], MATCH(1, (Table3[[#This Row],[Gene names]:[Gene names]] = Table1[[Gene names]:[Gene names]])*1, 0))</f>
        <v>2.2276750000000001E-3</v>
      </c>
      <c r="I170" cm="1">
        <f t="array" ref="I170">INDEX(Table1[riBAQ 22], MATCH(1, (Table3[[#This Row],[Gene names]:[Gene names]] = Table1[[Gene names]:[Gene names]])*1, 0))</f>
        <v>2.0334509999999999E-3</v>
      </c>
      <c r="J170" cm="1">
        <f t="array" ref="J170">INDEX(Table1[riBAQ 23], MATCH(1, (Table3[[#This Row],[Gene names]:[Gene names]] = Table1[[Gene names]:[Gene names]])*1, 0))</f>
        <v>3.168583E-3</v>
      </c>
      <c r="K170" cm="1">
        <f t="array" ref="K170">INDEX(Table1[riBAQ 37], MATCH(1, (Table3[[#This Row],[Gene names]:[Gene names]] = Table1[[Gene names]:[Gene names]])*1, 0))</f>
        <v>2.1107500000000002E-3</v>
      </c>
      <c r="L170" cm="1">
        <f t="array" ref="L170">INDEX(Table1[riBAQ 38], MATCH(1, (Table3[[#This Row],[Gene names]:[Gene names]] = Table1[[Gene names]:[Gene names]])*1, 0))</f>
        <v>2.6143249999999998E-3</v>
      </c>
      <c r="M170" cm="1">
        <f t="array" ref="M170">INDEX(Table1[riBAQ 39], MATCH(1, (Table3[[#This Row],[Gene names]:[Gene names]] = Table1[[Gene names]:[Gene names]])*1, 0))</f>
        <v>3.289471E-3</v>
      </c>
      <c r="N170" cm="1">
        <f t="array" ref="N170">INDEX(Table1[riBAQ 40], MATCH(1, (Table3[[#This Row],[Gene names]:[Gene names]] = Table1[[Gene names]:[Gene names]])*1, 0))</f>
        <v>2.4551070000000002E-3</v>
      </c>
      <c r="O170" cm="1">
        <f t="array" ref="O170">INDEX(Table1[riBAQ 41], MATCH(1, (Table3[[#This Row],[Gene names]:[Gene names]] = Table1[[Gene names]:[Gene names]])*1, 0))</f>
        <v>3.1789069999999999E-3</v>
      </c>
      <c r="P170" cm="1">
        <f t="array" ref="P170">INDEX(Table1[riBAQ 24], MATCH(1, (Table3[[#This Row],[Gene names]:[Gene names]] = Table1[[Gene names]:[Gene names]])*1, 0))</f>
        <v>3.103265E-3</v>
      </c>
      <c r="Q170" cm="1">
        <f t="array" ref="Q170">INDEX(Table1[riBAQ 25], MATCH(1, (Table3[[#This Row],[Gene names]:[Gene names]] = Table1[[Gene names]:[Gene names]])*1, 0))</f>
        <v>3.2887820000000001E-3</v>
      </c>
      <c r="R170" cm="1">
        <f t="array" ref="R170">INDEX(Table1[riBAQ 26], MATCH(1, (Table3[[#This Row],[Gene names]:[Gene names]] = Table1[[Gene names]:[Gene names]])*1, 0))</f>
        <v>2.91727E-3</v>
      </c>
      <c r="S170" cm="1">
        <f t="array" ref="S170">INDEX(Table1[riBAQ 42], MATCH(1, (Table3[[#This Row],[Gene names]:[Gene names]] = Table1[[Gene names]:[Gene names]])*1, 0))</f>
        <v>4.1940079999999999E-3</v>
      </c>
      <c r="T170" cm="1">
        <f t="array" ref="T170">INDEX(Table1[riBAQ 43], MATCH(1, (Table3[[#This Row],[Gene names]:[Gene names]] = Table1[[Gene names]:[Gene names]])*1, 0))</f>
        <v>3.5883500000000001E-3</v>
      </c>
    </row>
    <row r="171" spans="1:20" x14ac:dyDescent="0.25">
      <c r="A171" t="s">
        <v>1239</v>
      </c>
      <c r="B171" cm="1">
        <f t="array" ref="B171">INDEX(Table1[riBAQ 17], MATCH(1, (Table3[[#This Row],[Gene names]:[Gene names]] = Table1[[Gene names]:[Gene names]])*1, 0))</f>
        <v>2.10931E-4</v>
      </c>
      <c r="C171" cm="1">
        <f t="array" ref="C171">INDEX(Table1[riBAQ 18], MATCH(1, (Table3[[#This Row],[Gene names]:[Gene names]] = Table1[[Gene names]:[Gene names]])*1, 0))</f>
        <v>2.0871900000000001E-4</v>
      </c>
      <c r="D171" cm="1">
        <f t="array" ref="D171">INDEX(Table1[riBAQ 35], MATCH(1, (Table3[[#This Row],[Gene names]:[Gene names]] = Table1[[Gene names]:[Gene names]])*1, 0))</f>
        <v>2.3250899999999999E-4</v>
      </c>
      <c r="E171" cm="1">
        <f t="array" ref="E171">INDEX(Table1[riBAQ 36], MATCH(1, (Table3[[#This Row],[Gene names]:[Gene names]] = Table1[[Gene names]:[Gene names]])*1, 0))</f>
        <v>2.4505099999999998E-4</v>
      </c>
      <c r="F171" cm="1">
        <f t="array" ref="F171">INDEX(Table1[riBAQ 19], MATCH(1, (Table3[[#This Row],[Gene names]:[Gene names]] = Table1[[Gene names]:[Gene names]])*1, 0))</f>
        <v>2.5200400000000001E-4</v>
      </c>
      <c r="G171" cm="1">
        <f t="array" ref="G171">INDEX(Table1[riBAQ 20], MATCH(1, (Table3[[#This Row],[Gene names]:[Gene names]] = Table1[[Gene names]:[Gene names]])*1, 0))</f>
        <v>2.23329E-4</v>
      </c>
      <c r="H171" cm="1">
        <f t="array" ref="H171">INDEX(Table1[riBAQ 21], MATCH(1, (Table3[[#This Row],[Gene names]:[Gene names]] = Table1[[Gene names]:[Gene names]])*1, 0))</f>
        <v>1.5223E-4</v>
      </c>
      <c r="I171" cm="1">
        <f t="array" ref="I171">INDEX(Table1[riBAQ 22], MATCH(1, (Table3[[#This Row],[Gene names]:[Gene names]] = Table1[[Gene names]:[Gene names]])*1, 0))</f>
        <v>2.2612700000000001E-4</v>
      </c>
      <c r="J171" cm="1">
        <f t="array" ref="J171">INDEX(Table1[riBAQ 23], MATCH(1, (Table3[[#This Row],[Gene names]:[Gene names]] = Table1[[Gene names]:[Gene names]])*1, 0))</f>
        <v>1.77524E-4</v>
      </c>
      <c r="K171" cm="1">
        <f t="array" ref="K171">INDEX(Table1[riBAQ 37], MATCH(1, (Table3[[#This Row],[Gene names]:[Gene names]] = Table1[[Gene names]:[Gene names]])*1, 0))</f>
        <v>2.6246599999999999E-4</v>
      </c>
      <c r="L171" cm="1">
        <f t="array" ref="L171">INDEX(Table1[riBAQ 38], MATCH(1, (Table3[[#This Row],[Gene names]:[Gene names]] = Table1[[Gene names]:[Gene names]])*1, 0))</f>
        <v>2.6020200000000001E-4</v>
      </c>
      <c r="M171" cm="1">
        <f t="array" ref="M171">INDEX(Table1[riBAQ 39], MATCH(1, (Table3[[#This Row],[Gene names]:[Gene names]] = Table1[[Gene names]:[Gene names]])*1, 0))</f>
        <v>2.2440200000000001E-4</v>
      </c>
      <c r="N171" cm="1">
        <f t="array" ref="N171">INDEX(Table1[riBAQ 40], MATCH(1, (Table3[[#This Row],[Gene names]:[Gene names]] = Table1[[Gene names]:[Gene names]])*1, 0))</f>
        <v>3.3964800000000001E-4</v>
      </c>
      <c r="O171" cm="1">
        <f t="array" ref="O171">INDEX(Table1[riBAQ 41], MATCH(1, (Table3[[#This Row],[Gene names]:[Gene names]] = Table1[[Gene names]:[Gene names]])*1, 0))</f>
        <v>2.8945700000000002E-4</v>
      </c>
      <c r="P171" cm="1">
        <f t="array" ref="P171">INDEX(Table1[riBAQ 24], MATCH(1, (Table3[[#This Row],[Gene names]:[Gene names]] = Table1[[Gene names]:[Gene names]])*1, 0))</f>
        <v>1.5760399999999999E-4</v>
      </c>
      <c r="Q171" cm="1">
        <f t="array" ref="Q171">INDEX(Table1[riBAQ 25], MATCH(1, (Table3[[#This Row],[Gene names]:[Gene names]] = Table1[[Gene names]:[Gene names]])*1, 0))</f>
        <v>1.22655E-4</v>
      </c>
      <c r="R171" cm="1">
        <f t="array" ref="R171">INDEX(Table1[riBAQ 26], MATCH(1, (Table3[[#This Row],[Gene names]:[Gene names]] = Table1[[Gene names]:[Gene names]])*1, 0))</f>
        <v>1.21557E-4</v>
      </c>
      <c r="S171" cm="1">
        <f t="array" ref="S171">INDEX(Table1[riBAQ 42], MATCH(1, (Table3[[#This Row],[Gene names]:[Gene names]] = Table1[[Gene names]:[Gene names]])*1, 0))</f>
        <v>1.1677E-4</v>
      </c>
      <c r="T171" cm="1">
        <f t="array" ref="T171">INDEX(Table1[riBAQ 43], MATCH(1, (Table3[[#This Row],[Gene names]:[Gene names]] = Table1[[Gene names]:[Gene names]])*1, 0))</f>
        <v>1.5366199999999999E-4</v>
      </c>
    </row>
    <row r="172" spans="1:20" x14ac:dyDescent="0.25">
      <c r="A172" t="s">
        <v>690</v>
      </c>
      <c r="B172" cm="1">
        <f t="array" ref="B172">INDEX(Table1[riBAQ 17], MATCH(1, (Table3[[#This Row],[Gene names]:[Gene names]] = Table1[[Gene names]:[Gene names]])*1, 0))</f>
        <v>1.09867E-4</v>
      </c>
      <c r="C172" cm="1">
        <f t="array" ref="C172">INDEX(Table1[riBAQ 18], MATCH(1, (Table3[[#This Row],[Gene names]:[Gene names]] = Table1[[Gene names]:[Gene names]])*1, 0))</f>
        <v>0</v>
      </c>
      <c r="D172" cm="1">
        <f t="array" ref="D172">INDEX(Table1[riBAQ 35], MATCH(1, (Table3[[#This Row],[Gene names]:[Gene names]] = Table1[[Gene names]:[Gene names]])*1, 0))</f>
        <v>1.0005699999999999E-4</v>
      </c>
      <c r="E172" cm="1">
        <f t="array" ref="E172">INDEX(Table1[riBAQ 36], MATCH(1, (Table3[[#This Row],[Gene names]:[Gene names]] = Table1[[Gene names]:[Gene names]])*1, 0))</f>
        <v>1.5151699999999999E-4</v>
      </c>
      <c r="F172" cm="1">
        <f t="array" ref="F172">INDEX(Table1[riBAQ 19], MATCH(1, (Table3[[#This Row],[Gene names]:[Gene names]] = Table1[[Gene names]:[Gene names]])*1, 0))</f>
        <v>1.94427E-4</v>
      </c>
      <c r="G172" cm="1">
        <f t="array" ref="G172">INDEX(Table1[riBAQ 20], MATCH(1, (Table3[[#This Row],[Gene names]:[Gene names]] = Table1[[Gene names]:[Gene names]])*1, 0))</f>
        <v>2.0553699999999999E-4</v>
      </c>
      <c r="H172" cm="1">
        <f t="array" ref="H172">INDEX(Table1[riBAQ 21], MATCH(1, (Table3[[#This Row],[Gene names]:[Gene names]] = Table1[[Gene names]:[Gene names]])*1, 0))</f>
        <v>1.75145E-4</v>
      </c>
      <c r="I172" cm="1">
        <f t="array" ref="I172">INDEX(Table1[riBAQ 22], MATCH(1, (Table3[[#This Row],[Gene names]:[Gene names]] = Table1[[Gene names]:[Gene names]])*1, 0))</f>
        <v>1.0883999999999999E-4</v>
      </c>
      <c r="J172" cm="1">
        <f t="array" ref="J172">INDEX(Table1[riBAQ 23], MATCH(1, (Table3[[#This Row],[Gene names]:[Gene names]] = Table1[[Gene names]:[Gene names]])*1, 0))</f>
        <v>1.3216399999999999E-4</v>
      </c>
      <c r="K172" cm="1">
        <f t="array" ref="K172">INDEX(Table1[riBAQ 37], MATCH(1, (Table3[[#This Row],[Gene names]:[Gene names]] = Table1[[Gene names]:[Gene names]])*1, 0))</f>
        <v>1.25327E-4</v>
      </c>
      <c r="L172" cm="1">
        <f t="array" ref="L172">INDEX(Table1[riBAQ 38], MATCH(1, (Table3[[#This Row],[Gene names]:[Gene names]] = Table1[[Gene names]:[Gene names]])*1, 0))</f>
        <v>1.57293E-4</v>
      </c>
      <c r="M172" cm="1">
        <f t="array" ref="M172">INDEX(Table1[riBAQ 39], MATCH(1, (Table3[[#This Row],[Gene names]:[Gene names]] = Table1[[Gene names]:[Gene names]])*1, 0))</f>
        <v>1.4743499999999999E-4</v>
      </c>
      <c r="N172" cm="1">
        <f t="array" ref="N172">INDEX(Table1[riBAQ 40], MATCH(1, (Table3[[#This Row],[Gene names]:[Gene names]] = Table1[[Gene names]:[Gene names]])*1, 0))</f>
        <v>1.2058299999999999E-4</v>
      </c>
      <c r="O172" cm="1">
        <f t="array" ref="O172">INDEX(Table1[riBAQ 41], MATCH(1, (Table3[[#This Row],[Gene names]:[Gene names]] = Table1[[Gene names]:[Gene names]])*1, 0))</f>
        <v>1.64859E-4</v>
      </c>
      <c r="P172" cm="1">
        <f t="array" ref="P172">INDEX(Table1[riBAQ 24], MATCH(1, (Table3[[#This Row],[Gene names]:[Gene names]] = Table1[[Gene names]:[Gene names]])*1, 0))</f>
        <v>2.6542500000000001E-4</v>
      </c>
      <c r="Q172" cm="1">
        <f t="array" ref="Q172">INDEX(Table1[riBAQ 25], MATCH(1, (Table3[[#This Row],[Gene names]:[Gene names]] = Table1[[Gene names]:[Gene names]])*1, 0))</f>
        <v>2.27316E-4</v>
      </c>
      <c r="R172" cm="1">
        <f t="array" ref="R172">INDEX(Table1[riBAQ 26], MATCH(1, (Table3[[#This Row],[Gene names]:[Gene names]] = Table1[[Gene names]:[Gene names]])*1, 0))</f>
        <v>5.6819900000000003E-4</v>
      </c>
      <c r="S172" cm="1">
        <f t="array" ref="S172">INDEX(Table1[riBAQ 42], MATCH(1, (Table3[[#This Row],[Gene names]:[Gene names]] = Table1[[Gene names]:[Gene names]])*1, 0))</f>
        <v>4.5850099999999999E-4</v>
      </c>
      <c r="T172" cm="1">
        <f t="array" ref="T172">INDEX(Table1[riBAQ 43], MATCH(1, (Table3[[#This Row],[Gene names]:[Gene names]] = Table1[[Gene names]:[Gene names]])*1, 0))</f>
        <v>3.4267599999999998E-4</v>
      </c>
    </row>
    <row r="173" spans="1:20" x14ac:dyDescent="0.25">
      <c r="A173" t="s">
        <v>1062</v>
      </c>
      <c r="B173" cm="1">
        <f t="array" ref="B173">INDEX(Table1[riBAQ 17], MATCH(1, (Table3[[#This Row],[Gene names]:[Gene names]] = Table1[[Gene names]:[Gene names]])*1, 0))</f>
        <v>2.8241300000000002E-4</v>
      </c>
      <c r="C173" cm="1">
        <f t="array" ref="C173">INDEX(Table1[riBAQ 18], MATCH(1, (Table3[[#This Row],[Gene names]:[Gene names]] = Table1[[Gene names]:[Gene names]])*1, 0))</f>
        <v>3.03682E-4</v>
      </c>
      <c r="D173" cm="1">
        <f t="array" ref="D173">INDEX(Table1[riBAQ 35], MATCH(1, (Table3[[#This Row],[Gene names]:[Gene names]] = Table1[[Gene names]:[Gene names]])*1, 0))</f>
        <v>3.8938200000000002E-4</v>
      </c>
      <c r="E173" cm="1">
        <f t="array" ref="E173">INDEX(Table1[riBAQ 36], MATCH(1, (Table3[[#This Row],[Gene names]:[Gene names]] = Table1[[Gene names]:[Gene names]])*1, 0))</f>
        <v>3.1426700000000002E-4</v>
      </c>
      <c r="F173" cm="1">
        <f t="array" ref="F173">INDEX(Table1[riBAQ 19], MATCH(1, (Table3[[#This Row],[Gene names]:[Gene names]] = Table1[[Gene names]:[Gene names]])*1, 0))</f>
        <v>4.9093699999999999E-4</v>
      </c>
      <c r="G173" cm="1">
        <f t="array" ref="G173">INDEX(Table1[riBAQ 20], MATCH(1, (Table3[[#This Row],[Gene names]:[Gene names]] = Table1[[Gene names]:[Gene names]])*1, 0))</f>
        <v>3.6519800000000001E-4</v>
      </c>
      <c r="H173" cm="1">
        <f t="array" ref="H173">INDEX(Table1[riBAQ 21], MATCH(1, (Table3[[#This Row],[Gene names]:[Gene names]] = Table1[[Gene names]:[Gene names]])*1, 0))</f>
        <v>3.5050899999999999E-4</v>
      </c>
      <c r="I173" cm="1">
        <f t="array" ref="I173">INDEX(Table1[riBAQ 22], MATCH(1, (Table3[[#This Row],[Gene names]:[Gene names]] = Table1[[Gene names]:[Gene names]])*1, 0))</f>
        <v>3.19127E-4</v>
      </c>
      <c r="J173" cm="1">
        <f t="array" ref="J173">INDEX(Table1[riBAQ 23], MATCH(1, (Table3[[#This Row],[Gene names]:[Gene names]] = Table1[[Gene names]:[Gene names]])*1, 0))</f>
        <v>4.10827E-4</v>
      </c>
      <c r="K173" cm="1">
        <f t="array" ref="K173">INDEX(Table1[riBAQ 37], MATCH(1, (Table3[[#This Row],[Gene names]:[Gene names]] = Table1[[Gene names]:[Gene names]])*1, 0))</f>
        <v>3.3269199999999999E-4</v>
      </c>
      <c r="L173" cm="1">
        <f t="array" ref="L173">INDEX(Table1[riBAQ 38], MATCH(1, (Table3[[#This Row],[Gene names]:[Gene names]] = Table1[[Gene names]:[Gene names]])*1, 0))</f>
        <v>3.4612999999999999E-4</v>
      </c>
      <c r="M173" cm="1">
        <f t="array" ref="M173">INDEX(Table1[riBAQ 39], MATCH(1, (Table3[[#This Row],[Gene names]:[Gene names]] = Table1[[Gene names]:[Gene names]])*1, 0))</f>
        <v>2.27152E-4</v>
      </c>
      <c r="N173" cm="1">
        <f t="array" ref="N173">INDEX(Table1[riBAQ 40], MATCH(1, (Table3[[#This Row],[Gene names]:[Gene names]] = Table1[[Gene names]:[Gene names]])*1, 0))</f>
        <v>1.2241500000000001E-4</v>
      </c>
      <c r="O173" cm="1">
        <f t="array" ref="O173">INDEX(Table1[riBAQ 41], MATCH(1, (Table3[[#This Row],[Gene names]:[Gene names]] = Table1[[Gene names]:[Gene names]])*1, 0))</f>
        <v>3.34638E-4</v>
      </c>
      <c r="P173" cm="1">
        <f t="array" ref="P173">INDEX(Table1[riBAQ 24], MATCH(1, (Table3[[#This Row],[Gene names]:[Gene names]] = Table1[[Gene names]:[Gene names]])*1, 0))</f>
        <v>1.9542E-4</v>
      </c>
      <c r="Q173" cm="1">
        <f t="array" ref="Q173">INDEX(Table1[riBAQ 25], MATCH(1, (Table3[[#This Row],[Gene names]:[Gene names]] = Table1[[Gene names]:[Gene names]])*1, 0))</f>
        <v>8.1799999999999996E-5</v>
      </c>
      <c r="R173" cm="1">
        <f t="array" ref="R173">INDEX(Table1[riBAQ 26], MATCH(1, (Table3[[#This Row],[Gene names]:[Gene names]] = Table1[[Gene names]:[Gene names]])*1, 0))</f>
        <v>1.11092E-4</v>
      </c>
      <c r="S173" cm="1">
        <f t="array" ref="S173">INDEX(Table1[riBAQ 42], MATCH(1, (Table3[[#This Row],[Gene names]:[Gene names]] = Table1[[Gene names]:[Gene names]])*1, 0))</f>
        <v>1.3178699999999999E-4</v>
      </c>
      <c r="T173" cm="1">
        <f t="array" ref="T173">INDEX(Table1[riBAQ 43], MATCH(1, (Table3[[#This Row],[Gene names]:[Gene names]] = Table1[[Gene names]:[Gene names]])*1, 0))</f>
        <v>8.5699999999999996E-5</v>
      </c>
    </row>
    <row r="174" spans="1:20" x14ac:dyDescent="0.25">
      <c r="A174" t="s">
        <v>1727</v>
      </c>
      <c r="B174" cm="1">
        <f t="array" ref="B174">INDEX(Table1[riBAQ 17], MATCH(1, (Table3[[#This Row],[Gene names]:[Gene names]] = Table1[[Gene names]:[Gene names]])*1, 0))</f>
        <v>3.8453100000000002E-4</v>
      </c>
      <c r="C174" cm="1">
        <f t="array" ref="C174">INDEX(Table1[riBAQ 18], MATCH(1, (Table3[[#This Row],[Gene names]:[Gene names]] = Table1[[Gene names]:[Gene names]])*1, 0))</f>
        <v>4.7410099999999999E-4</v>
      </c>
      <c r="D174" cm="1">
        <f t="array" ref="D174">INDEX(Table1[riBAQ 35], MATCH(1, (Table3[[#This Row],[Gene names]:[Gene names]] = Table1[[Gene names]:[Gene names]])*1, 0))</f>
        <v>2.43575E-4</v>
      </c>
      <c r="E174" cm="1">
        <f t="array" ref="E174">INDEX(Table1[riBAQ 36], MATCH(1, (Table3[[#This Row],[Gene names]:[Gene names]] = Table1[[Gene names]:[Gene names]])*1, 0))</f>
        <v>2.9211299999999999E-4</v>
      </c>
      <c r="F174" cm="1">
        <f t="array" ref="F174">INDEX(Table1[riBAQ 19], MATCH(1, (Table3[[#This Row],[Gene names]:[Gene names]] = Table1[[Gene names]:[Gene names]])*1, 0))</f>
        <v>4.6585000000000002E-4</v>
      </c>
      <c r="G174" cm="1">
        <f t="array" ref="G174">INDEX(Table1[riBAQ 20], MATCH(1, (Table3[[#This Row],[Gene names]:[Gene names]] = Table1[[Gene names]:[Gene names]])*1, 0))</f>
        <v>6.1760799999999996E-4</v>
      </c>
      <c r="H174" cm="1">
        <f t="array" ref="H174">INDEX(Table1[riBAQ 21], MATCH(1, (Table3[[#This Row],[Gene names]:[Gene names]] = Table1[[Gene names]:[Gene names]])*1, 0))</f>
        <v>7.0241699999999999E-4</v>
      </c>
      <c r="I174" cm="1">
        <f t="array" ref="I174">INDEX(Table1[riBAQ 22], MATCH(1, (Table3[[#This Row],[Gene names]:[Gene names]] = Table1[[Gene names]:[Gene names]])*1, 0))</f>
        <v>3.5102799999999997E-4</v>
      </c>
      <c r="J174" cm="1">
        <f t="array" ref="J174">INDEX(Table1[riBAQ 23], MATCH(1, (Table3[[#This Row],[Gene names]:[Gene names]] = Table1[[Gene names]:[Gene names]])*1, 0))</f>
        <v>9.31174E-4</v>
      </c>
      <c r="K174" cm="1">
        <f t="array" ref="K174">INDEX(Table1[riBAQ 37], MATCH(1, (Table3[[#This Row],[Gene names]:[Gene names]] = Table1[[Gene names]:[Gene names]])*1, 0))</f>
        <v>3.6428600000000002E-4</v>
      </c>
      <c r="L174" cm="1">
        <f t="array" ref="L174">INDEX(Table1[riBAQ 38], MATCH(1, (Table3[[#This Row],[Gene names]:[Gene names]] = Table1[[Gene names]:[Gene names]])*1, 0))</f>
        <v>4.7898899999999998E-4</v>
      </c>
      <c r="M174" cm="1">
        <f t="array" ref="M174">INDEX(Table1[riBAQ 39], MATCH(1, (Table3[[#This Row],[Gene names]:[Gene names]] = Table1[[Gene names]:[Gene names]])*1, 0))</f>
        <v>4.9699300000000004E-4</v>
      </c>
      <c r="N174" cm="1">
        <f t="array" ref="N174">INDEX(Table1[riBAQ 40], MATCH(1, (Table3[[#This Row],[Gene names]:[Gene names]] = Table1[[Gene names]:[Gene names]])*1, 0))</f>
        <v>1.201433E-3</v>
      </c>
      <c r="O174" cm="1">
        <f t="array" ref="O174">INDEX(Table1[riBAQ 41], MATCH(1, (Table3[[#This Row],[Gene names]:[Gene names]] = Table1[[Gene names]:[Gene names]])*1, 0))</f>
        <v>8.46216E-4</v>
      </c>
      <c r="P174" cm="1">
        <f t="array" ref="P174">INDEX(Table1[riBAQ 24], MATCH(1, (Table3[[#This Row],[Gene names]:[Gene names]] = Table1[[Gene names]:[Gene names]])*1, 0))</f>
        <v>8.32148E-4</v>
      </c>
      <c r="Q174" cm="1">
        <f t="array" ref="Q174">INDEX(Table1[riBAQ 25], MATCH(1, (Table3[[#This Row],[Gene names]:[Gene names]] = Table1[[Gene names]:[Gene names]])*1, 0))</f>
        <v>1.5764640000000001E-3</v>
      </c>
      <c r="R174" cm="1">
        <f t="array" ref="R174">INDEX(Table1[riBAQ 26], MATCH(1, (Table3[[#This Row],[Gene names]:[Gene names]] = Table1[[Gene names]:[Gene names]])*1, 0))</f>
        <v>1.2412300000000001E-3</v>
      </c>
      <c r="S174" cm="1">
        <f t="array" ref="S174">INDEX(Table1[riBAQ 42], MATCH(1, (Table3[[#This Row],[Gene names]:[Gene names]] = Table1[[Gene names]:[Gene names]])*1, 0))</f>
        <v>2.2423339999999999E-3</v>
      </c>
      <c r="T174" cm="1">
        <f t="array" ref="T174">INDEX(Table1[riBAQ 43], MATCH(1, (Table3[[#This Row],[Gene names]:[Gene names]] = Table1[[Gene names]:[Gene names]])*1, 0))</f>
        <v>1.74128E-3</v>
      </c>
    </row>
    <row r="175" spans="1:20" x14ac:dyDescent="0.25">
      <c r="A175" t="s">
        <v>1163</v>
      </c>
      <c r="B175" cm="1">
        <f t="array" ref="B175">INDEX(Table1[riBAQ 17], MATCH(1, (Table3[[#This Row],[Gene names]:[Gene names]] = Table1[[Gene names]:[Gene names]])*1, 0))</f>
        <v>1.2518340000000001E-3</v>
      </c>
      <c r="C175" cm="1">
        <f t="array" ref="C175">INDEX(Table1[riBAQ 18], MATCH(1, (Table3[[#This Row],[Gene names]:[Gene names]] = Table1[[Gene names]:[Gene names]])*1, 0))</f>
        <v>1.063378E-3</v>
      </c>
      <c r="D175" cm="1">
        <f t="array" ref="D175">INDEX(Table1[riBAQ 35], MATCH(1, (Table3[[#This Row],[Gene names]:[Gene names]] = Table1[[Gene names]:[Gene names]])*1, 0))</f>
        <v>6.7341199999999997E-4</v>
      </c>
      <c r="E175" cm="1">
        <f t="array" ref="E175">INDEX(Table1[riBAQ 36], MATCH(1, (Table3[[#This Row],[Gene names]:[Gene names]] = Table1[[Gene names]:[Gene names]])*1, 0))</f>
        <v>1.013318E-3</v>
      </c>
      <c r="F175" cm="1">
        <f t="array" ref="F175">INDEX(Table1[riBAQ 19], MATCH(1, (Table3[[#This Row],[Gene names]:[Gene names]] = Table1[[Gene names]:[Gene names]])*1, 0))</f>
        <v>1.127199E-3</v>
      </c>
      <c r="G175" cm="1">
        <f t="array" ref="G175">INDEX(Table1[riBAQ 20], MATCH(1, (Table3[[#This Row],[Gene names]:[Gene names]] = Table1[[Gene names]:[Gene names]])*1, 0))</f>
        <v>8.6424799999999997E-4</v>
      </c>
      <c r="H175" cm="1">
        <f t="array" ref="H175">INDEX(Table1[riBAQ 21], MATCH(1, (Table3[[#This Row],[Gene names]:[Gene names]] = Table1[[Gene names]:[Gene names]])*1, 0))</f>
        <v>1.0184669999999999E-3</v>
      </c>
      <c r="I175" cm="1">
        <f t="array" ref="I175">INDEX(Table1[riBAQ 22], MATCH(1, (Table3[[#This Row],[Gene names]:[Gene names]] = Table1[[Gene names]:[Gene names]])*1, 0))</f>
        <v>1.1971390000000001E-3</v>
      </c>
      <c r="J175" cm="1">
        <f t="array" ref="J175">INDEX(Table1[riBAQ 23], MATCH(1, (Table3[[#This Row],[Gene names]:[Gene names]] = Table1[[Gene names]:[Gene names]])*1, 0))</f>
        <v>1.3031989999999999E-3</v>
      </c>
      <c r="K175" cm="1">
        <f t="array" ref="K175">INDEX(Table1[riBAQ 37], MATCH(1, (Table3[[#This Row],[Gene names]:[Gene names]] = Table1[[Gene names]:[Gene names]])*1, 0))</f>
        <v>1.198897E-3</v>
      </c>
      <c r="L175" cm="1">
        <f t="array" ref="L175">INDEX(Table1[riBAQ 38], MATCH(1, (Table3[[#This Row],[Gene names]:[Gene names]] = Table1[[Gene names]:[Gene names]])*1, 0))</f>
        <v>1.1364910000000001E-3</v>
      </c>
      <c r="M175" cm="1">
        <f t="array" ref="M175">INDEX(Table1[riBAQ 39], MATCH(1, (Table3[[#This Row],[Gene names]:[Gene names]] = Table1[[Gene names]:[Gene names]])*1, 0))</f>
        <v>9.3126199999999998E-4</v>
      </c>
      <c r="N175" cm="1">
        <f t="array" ref="N175">INDEX(Table1[riBAQ 40], MATCH(1, (Table3[[#This Row],[Gene names]:[Gene names]] = Table1[[Gene names]:[Gene names]])*1, 0))</f>
        <v>8.4823799999999997E-4</v>
      </c>
      <c r="O175" cm="1">
        <f t="array" ref="O175">INDEX(Table1[riBAQ 41], MATCH(1, (Table3[[#This Row],[Gene names]:[Gene names]] = Table1[[Gene names]:[Gene names]])*1, 0))</f>
        <v>9.9738600000000006E-4</v>
      </c>
      <c r="P175" cm="1">
        <f t="array" ref="P175">INDEX(Table1[riBAQ 24], MATCH(1, (Table3[[#This Row],[Gene names]:[Gene names]] = Table1[[Gene names]:[Gene names]])*1, 0))</f>
        <v>9.1413099999999999E-4</v>
      </c>
      <c r="Q175" cm="1">
        <f t="array" ref="Q175">INDEX(Table1[riBAQ 25], MATCH(1, (Table3[[#This Row],[Gene names]:[Gene names]] = Table1[[Gene names]:[Gene names]])*1, 0))</f>
        <v>6.3793400000000005E-4</v>
      </c>
      <c r="R175" cm="1">
        <f t="array" ref="R175">INDEX(Table1[riBAQ 26], MATCH(1, (Table3[[#This Row],[Gene names]:[Gene names]] = Table1[[Gene names]:[Gene names]])*1, 0))</f>
        <v>5.9142000000000005E-4</v>
      </c>
      <c r="S175" cm="1">
        <f t="array" ref="S175">INDEX(Table1[riBAQ 42], MATCH(1, (Table3[[#This Row],[Gene names]:[Gene names]] = Table1[[Gene names]:[Gene names]])*1, 0))</f>
        <v>5.7128099999999998E-4</v>
      </c>
      <c r="T175" cm="1">
        <f t="array" ref="T175">INDEX(Table1[riBAQ 43], MATCH(1, (Table3[[#This Row],[Gene names]:[Gene names]] = Table1[[Gene names]:[Gene names]])*1, 0))</f>
        <v>3.4429000000000003E-4</v>
      </c>
    </row>
    <row r="176" spans="1:20" x14ac:dyDescent="0.25">
      <c r="A176" t="s">
        <v>1454</v>
      </c>
      <c r="B176" cm="1">
        <f t="array" ref="B176">INDEX(Table1[riBAQ 17], MATCH(1, (Table3[[#This Row],[Gene names]:[Gene names]] = Table1[[Gene names]:[Gene names]])*1, 0))</f>
        <v>6.9200000000000002E-5</v>
      </c>
      <c r="C176" cm="1">
        <f t="array" ref="C176">INDEX(Table1[riBAQ 18], MATCH(1, (Table3[[#This Row],[Gene names]:[Gene names]] = Table1[[Gene names]:[Gene names]])*1, 0))</f>
        <v>1.0428400000000001E-4</v>
      </c>
      <c r="D176" cm="1">
        <f t="array" ref="D176">INDEX(Table1[riBAQ 35], MATCH(1, (Table3[[#This Row],[Gene names]:[Gene names]] = Table1[[Gene names]:[Gene names]])*1, 0))</f>
        <v>5.8600000000000001E-5</v>
      </c>
      <c r="E176" cm="1">
        <f t="array" ref="E176">INDEX(Table1[riBAQ 36], MATCH(1, (Table3[[#This Row],[Gene names]:[Gene names]] = Table1[[Gene names]:[Gene names]])*1, 0))</f>
        <v>0</v>
      </c>
      <c r="F176" cm="1">
        <f t="array" ref="F176">INDEX(Table1[riBAQ 19], MATCH(1, (Table3[[#This Row],[Gene names]:[Gene names]] = Table1[[Gene names]:[Gene names]])*1, 0))</f>
        <v>0</v>
      </c>
      <c r="G176" cm="1">
        <f t="array" ref="G176">INDEX(Table1[riBAQ 20], MATCH(1, (Table3[[#This Row],[Gene names]:[Gene names]] = Table1[[Gene names]:[Gene names]])*1, 0))</f>
        <v>1.24213E-4</v>
      </c>
      <c r="H176" cm="1">
        <f t="array" ref="H176">INDEX(Table1[riBAQ 21], MATCH(1, (Table3[[#This Row],[Gene names]:[Gene names]] = Table1[[Gene names]:[Gene names]])*1, 0))</f>
        <v>1.07491E-4</v>
      </c>
      <c r="I176" cm="1">
        <f t="array" ref="I176">INDEX(Table1[riBAQ 22], MATCH(1, (Table3[[#This Row],[Gene names]:[Gene names]] = Table1[[Gene names]:[Gene names]])*1, 0))</f>
        <v>1.20642E-4</v>
      </c>
      <c r="J176" cm="1">
        <f t="array" ref="J176">INDEX(Table1[riBAQ 23], MATCH(1, (Table3[[#This Row],[Gene names]:[Gene names]] = Table1[[Gene names]:[Gene names]])*1, 0))</f>
        <v>0</v>
      </c>
      <c r="K176" cm="1">
        <f t="array" ref="K176">INDEX(Table1[riBAQ 37], MATCH(1, (Table3[[#This Row],[Gene names]:[Gene names]] = Table1[[Gene names]:[Gene names]])*1, 0))</f>
        <v>7.9699999999999999E-5</v>
      </c>
      <c r="L176" cm="1">
        <f t="array" ref="L176">INDEX(Table1[riBAQ 38], MATCH(1, (Table3[[#This Row],[Gene names]:[Gene names]] = Table1[[Gene names]:[Gene names]])*1, 0))</f>
        <v>1.5388500000000001E-4</v>
      </c>
      <c r="M176" cm="1">
        <f t="array" ref="M176">INDEX(Table1[riBAQ 39], MATCH(1, (Table3[[#This Row],[Gene names]:[Gene names]] = Table1[[Gene names]:[Gene names]])*1, 0))</f>
        <v>0</v>
      </c>
      <c r="N176" cm="1">
        <f t="array" ref="N176">INDEX(Table1[riBAQ 40], MATCH(1, (Table3[[#This Row],[Gene names]:[Gene names]] = Table1[[Gene names]:[Gene names]])*1, 0))</f>
        <v>0</v>
      </c>
      <c r="O176" cm="1">
        <f t="array" ref="O176">INDEX(Table1[riBAQ 41], MATCH(1, (Table3[[#This Row],[Gene names]:[Gene names]] = Table1[[Gene names]:[Gene names]])*1, 0))</f>
        <v>0</v>
      </c>
      <c r="P176" cm="1">
        <f t="array" ref="P176">INDEX(Table1[riBAQ 24], MATCH(1, (Table3[[#This Row],[Gene names]:[Gene names]] = Table1[[Gene names]:[Gene names]])*1, 0))</f>
        <v>0</v>
      </c>
      <c r="Q176" cm="1">
        <f t="array" ref="Q176">INDEX(Table1[riBAQ 25], MATCH(1, (Table3[[#This Row],[Gene names]:[Gene names]] = Table1[[Gene names]:[Gene names]])*1, 0))</f>
        <v>2.47008E-4</v>
      </c>
      <c r="R176" cm="1">
        <f t="array" ref="R176">INDEX(Table1[riBAQ 26], MATCH(1, (Table3[[#This Row],[Gene names]:[Gene names]] = Table1[[Gene names]:[Gene names]])*1, 0))</f>
        <v>1.9380100000000001E-4</v>
      </c>
      <c r="S176" cm="1">
        <f t="array" ref="S176">INDEX(Table1[riBAQ 42], MATCH(1, (Table3[[#This Row],[Gene names]:[Gene names]] = Table1[[Gene names]:[Gene names]])*1, 0))</f>
        <v>2.1911899999999999E-4</v>
      </c>
      <c r="T176" cm="1">
        <f t="array" ref="T176">INDEX(Table1[riBAQ 43], MATCH(1, (Table3[[#This Row],[Gene names]:[Gene names]] = Table1[[Gene names]:[Gene names]])*1, 0))</f>
        <v>1.7636299999999999E-4</v>
      </c>
    </row>
    <row r="177" spans="1:20" x14ac:dyDescent="0.25">
      <c r="A177" t="s">
        <v>1137</v>
      </c>
      <c r="B177" cm="1">
        <f t="array" ref="B177">INDEX(Table1[riBAQ 17], MATCH(1, (Table3[[#This Row],[Gene names]:[Gene names]] = Table1[[Gene names]:[Gene names]])*1, 0))</f>
        <v>8.03E-5</v>
      </c>
      <c r="C177" cm="1">
        <f t="array" ref="C177">INDEX(Table1[riBAQ 18], MATCH(1, (Table3[[#This Row],[Gene names]:[Gene names]] = Table1[[Gene names]:[Gene names]])*1, 0))</f>
        <v>6.9099999999999999E-5</v>
      </c>
      <c r="D177" cm="1">
        <f t="array" ref="D177">INDEX(Table1[riBAQ 35], MATCH(1, (Table3[[#This Row],[Gene names]:[Gene names]] = Table1[[Gene names]:[Gene names]])*1, 0))</f>
        <v>5.8100000000000003E-5</v>
      </c>
      <c r="E177" cm="1">
        <f t="array" ref="E177">INDEX(Table1[riBAQ 36], MATCH(1, (Table3[[#This Row],[Gene names]:[Gene names]] = Table1[[Gene names]:[Gene names]])*1, 0))</f>
        <v>6.7500000000000001E-5</v>
      </c>
      <c r="F177" cm="1">
        <f t="array" ref="F177">INDEX(Table1[riBAQ 19], MATCH(1, (Table3[[#This Row],[Gene names]:[Gene names]] = Table1[[Gene names]:[Gene names]])*1, 0))</f>
        <v>8.5900000000000001E-5</v>
      </c>
      <c r="G177" cm="1">
        <f t="array" ref="G177">INDEX(Table1[riBAQ 20], MATCH(1, (Table3[[#This Row],[Gene names]:[Gene names]] = Table1[[Gene names]:[Gene names]])*1, 0))</f>
        <v>1.01164E-4</v>
      </c>
      <c r="H177" cm="1">
        <f t="array" ref="H177">INDEX(Table1[riBAQ 21], MATCH(1, (Table3[[#This Row],[Gene names]:[Gene names]] = Table1[[Gene names]:[Gene names]])*1, 0))</f>
        <v>8.5799999999999998E-5</v>
      </c>
      <c r="I177" cm="1">
        <f t="array" ref="I177">INDEX(Table1[riBAQ 22], MATCH(1, (Table3[[#This Row],[Gene names]:[Gene names]] = Table1[[Gene names]:[Gene names]])*1, 0))</f>
        <v>1.16854E-4</v>
      </c>
      <c r="J177" cm="1">
        <f t="array" ref="J177">INDEX(Table1[riBAQ 23], MATCH(1, (Table3[[#This Row],[Gene names]:[Gene names]] = Table1[[Gene names]:[Gene names]])*1, 0))</f>
        <v>1.2006900000000001E-4</v>
      </c>
      <c r="K177" cm="1">
        <f t="array" ref="K177">INDEX(Table1[riBAQ 37], MATCH(1, (Table3[[#This Row],[Gene names]:[Gene names]] = Table1[[Gene names]:[Gene names]])*1, 0))</f>
        <v>7.3300000000000006E-5</v>
      </c>
      <c r="L177" cm="1">
        <f t="array" ref="L177">INDEX(Table1[riBAQ 38], MATCH(1, (Table3[[#This Row],[Gene names]:[Gene names]] = Table1[[Gene names]:[Gene names]])*1, 0))</f>
        <v>1.30753E-4</v>
      </c>
      <c r="M177" cm="1">
        <f t="array" ref="M177">INDEX(Table1[riBAQ 39], MATCH(1, (Table3[[#This Row],[Gene names]:[Gene names]] = Table1[[Gene names]:[Gene names]])*1, 0))</f>
        <v>1.08971E-4</v>
      </c>
      <c r="N177" cm="1">
        <f t="array" ref="N177">INDEX(Table1[riBAQ 40], MATCH(1, (Table3[[#This Row],[Gene names]:[Gene names]] = Table1[[Gene names]:[Gene names]])*1, 0))</f>
        <v>2.21437E-4</v>
      </c>
      <c r="O177" cm="1">
        <f t="array" ref="O177">INDEX(Table1[riBAQ 41], MATCH(1, (Table3[[#This Row],[Gene names]:[Gene names]] = Table1[[Gene names]:[Gene names]])*1, 0))</f>
        <v>1.2375299999999999E-4</v>
      </c>
      <c r="P177" cm="1">
        <f t="array" ref="P177">INDEX(Table1[riBAQ 24], MATCH(1, (Table3[[#This Row],[Gene names]:[Gene names]] = Table1[[Gene names]:[Gene names]])*1, 0))</f>
        <v>1.6537299999999999E-4</v>
      </c>
      <c r="Q177" cm="1">
        <f t="array" ref="Q177">INDEX(Table1[riBAQ 25], MATCH(1, (Table3[[#This Row],[Gene names]:[Gene names]] = Table1[[Gene names]:[Gene names]])*1, 0))</f>
        <v>1.7671900000000001E-4</v>
      </c>
      <c r="R177" cm="1">
        <f t="array" ref="R177">INDEX(Table1[riBAQ 26], MATCH(1, (Table3[[#This Row],[Gene names]:[Gene names]] = Table1[[Gene names]:[Gene names]])*1, 0))</f>
        <v>1.7751999999999999E-4</v>
      </c>
      <c r="S177" cm="1">
        <f t="array" ref="S177">INDEX(Table1[riBAQ 42], MATCH(1, (Table3[[#This Row],[Gene names]:[Gene names]] = Table1[[Gene names]:[Gene names]])*1, 0))</f>
        <v>2.0172899999999999E-4</v>
      </c>
      <c r="T177" cm="1">
        <f t="array" ref="T177">INDEX(Table1[riBAQ 43], MATCH(1, (Table3[[#This Row],[Gene names]:[Gene names]] = Table1[[Gene names]:[Gene names]])*1, 0))</f>
        <v>2.5552300000000001E-4</v>
      </c>
    </row>
    <row r="178" spans="1:20" x14ac:dyDescent="0.25">
      <c r="A178" t="s">
        <v>1821</v>
      </c>
      <c r="B178" cm="1">
        <f t="array" ref="B178">INDEX(Table1[riBAQ 17], MATCH(1, (Table3[[#This Row],[Gene names]:[Gene names]] = Table1[[Gene names]:[Gene names]])*1, 0))</f>
        <v>0</v>
      </c>
      <c r="C178" cm="1">
        <f t="array" ref="C178">INDEX(Table1[riBAQ 18], MATCH(1, (Table3[[#This Row],[Gene names]:[Gene names]] = Table1[[Gene names]:[Gene names]])*1, 0))</f>
        <v>0</v>
      </c>
      <c r="D178" cm="1">
        <f t="array" ref="D178">INDEX(Table1[riBAQ 35], MATCH(1, (Table3[[#This Row],[Gene names]:[Gene names]] = Table1[[Gene names]:[Gene names]])*1, 0))</f>
        <v>0</v>
      </c>
      <c r="E178" cm="1">
        <f t="array" ref="E178">INDEX(Table1[riBAQ 36], MATCH(1, (Table3[[#This Row],[Gene names]:[Gene names]] = Table1[[Gene names]:[Gene names]])*1, 0))</f>
        <v>0</v>
      </c>
      <c r="F178" cm="1">
        <f t="array" ref="F178">INDEX(Table1[riBAQ 19], MATCH(1, (Table3[[#This Row],[Gene names]:[Gene names]] = Table1[[Gene names]:[Gene names]])*1, 0))</f>
        <v>0</v>
      </c>
      <c r="G178" cm="1">
        <f t="array" ref="G178">INDEX(Table1[riBAQ 20], MATCH(1, (Table3[[#This Row],[Gene names]:[Gene names]] = Table1[[Gene names]:[Gene names]])*1, 0))</f>
        <v>0</v>
      </c>
      <c r="H178" cm="1">
        <f t="array" ref="H178">INDEX(Table1[riBAQ 21], MATCH(1, (Table3[[#This Row],[Gene names]:[Gene names]] = Table1[[Gene names]:[Gene names]])*1, 0))</f>
        <v>0</v>
      </c>
      <c r="I178" cm="1">
        <f t="array" ref="I178">INDEX(Table1[riBAQ 22], MATCH(1, (Table3[[#This Row],[Gene names]:[Gene names]] = Table1[[Gene names]:[Gene names]])*1, 0))</f>
        <v>0</v>
      </c>
      <c r="J178" cm="1">
        <f t="array" ref="J178">INDEX(Table1[riBAQ 23], MATCH(1, (Table3[[#This Row],[Gene names]:[Gene names]] = Table1[[Gene names]:[Gene names]])*1, 0))</f>
        <v>0</v>
      </c>
      <c r="K178" cm="1">
        <f t="array" ref="K178">INDEX(Table1[riBAQ 37], MATCH(1, (Table3[[#This Row],[Gene names]:[Gene names]] = Table1[[Gene names]:[Gene names]])*1, 0))</f>
        <v>0</v>
      </c>
      <c r="L178" cm="1">
        <f t="array" ref="L178">INDEX(Table1[riBAQ 38], MATCH(1, (Table3[[#This Row],[Gene names]:[Gene names]] = Table1[[Gene names]:[Gene names]])*1, 0))</f>
        <v>0</v>
      </c>
      <c r="M178" cm="1">
        <f t="array" ref="M178">INDEX(Table1[riBAQ 39], MATCH(1, (Table3[[#This Row],[Gene names]:[Gene names]] = Table1[[Gene names]:[Gene names]])*1, 0))</f>
        <v>0</v>
      </c>
      <c r="N178" cm="1">
        <f t="array" ref="N178">INDEX(Table1[riBAQ 40], MATCH(1, (Table3[[#This Row],[Gene names]:[Gene names]] = Table1[[Gene names]:[Gene names]])*1, 0))</f>
        <v>2.52E-6</v>
      </c>
      <c r="O178" cm="1">
        <f t="array" ref="O178">INDEX(Table1[riBAQ 41], MATCH(1, (Table3[[#This Row],[Gene names]:[Gene names]] = Table1[[Gene names]:[Gene names]])*1, 0))</f>
        <v>0</v>
      </c>
      <c r="P178" cm="1">
        <f t="array" ref="P178">INDEX(Table1[riBAQ 24], MATCH(1, (Table3[[#This Row],[Gene names]:[Gene names]] = Table1[[Gene names]:[Gene names]])*1, 0))</f>
        <v>0</v>
      </c>
      <c r="Q178" cm="1">
        <f t="array" ref="Q178">INDEX(Table1[riBAQ 25], MATCH(1, (Table3[[#This Row],[Gene names]:[Gene names]] = Table1[[Gene names]:[Gene names]])*1, 0))</f>
        <v>1.9700000000000001E-5</v>
      </c>
      <c r="R178" cm="1">
        <f t="array" ref="R178">INDEX(Table1[riBAQ 26], MATCH(1, (Table3[[#This Row],[Gene names]:[Gene names]] = Table1[[Gene names]:[Gene names]])*1, 0))</f>
        <v>1.7E-5</v>
      </c>
      <c r="S178" cm="1">
        <f t="array" ref="S178">INDEX(Table1[riBAQ 42], MATCH(1, (Table3[[#This Row],[Gene names]:[Gene names]] = Table1[[Gene names]:[Gene names]])*1, 0))</f>
        <v>3.3699999999999999E-5</v>
      </c>
      <c r="T178" cm="1">
        <f t="array" ref="T178">INDEX(Table1[riBAQ 43], MATCH(1, (Table3[[#This Row],[Gene names]:[Gene names]] = Table1[[Gene names]:[Gene names]])*1, 0))</f>
        <v>2.5199999999999999E-5</v>
      </c>
    </row>
    <row r="179" spans="1:20" x14ac:dyDescent="0.25">
      <c r="A179" t="s">
        <v>1447</v>
      </c>
      <c r="B179" cm="1">
        <f t="array" ref="B179">INDEX(Table1[riBAQ 17], MATCH(1, (Table3[[#This Row],[Gene names]:[Gene names]] = Table1[[Gene names]:[Gene names]])*1, 0))</f>
        <v>0</v>
      </c>
      <c r="C179" cm="1">
        <f t="array" ref="C179">INDEX(Table1[riBAQ 18], MATCH(1, (Table3[[#This Row],[Gene names]:[Gene names]] = Table1[[Gene names]:[Gene names]])*1, 0))</f>
        <v>0</v>
      </c>
      <c r="D179" cm="1">
        <f t="array" ref="D179">INDEX(Table1[riBAQ 35], MATCH(1, (Table3[[#This Row],[Gene names]:[Gene names]] = Table1[[Gene names]:[Gene names]])*1, 0))</f>
        <v>0</v>
      </c>
      <c r="E179" cm="1">
        <f t="array" ref="E179">INDEX(Table1[riBAQ 36], MATCH(1, (Table3[[#This Row],[Gene names]:[Gene names]] = Table1[[Gene names]:[Gene names]])*1, 0))</f>
        <v>0</v>
      </c>
      <c r="F179" cm="1">
        <f t="array" ref="F179">INDEX(Table1[riBAQ 19], MATCH(1, (Table3[[#This Row],[Gene names]:[Gene names]] = Table1[[Gene names]:[Gene names]])*1, 0))</f>
        <v>0</v>
      </c>
      <c r="G179" cm="1">
        <f t="array" ref="G179">INDEX(Table1[riBAQ 20], MATCH(1, (Table3[[#This Row],[Gene names]:[Gene names]] = Table1[[Gene names]:[Gene names]])*1, 0))</f>
        <v>8.14E-5</v>
      </c>
      <c r="H179" cm="1">
        <f t="array" ref="H179">INDEX(Table1[riBAQ 21], MATCH(1, (Table3[[#This Row],[Gene names]:[Gene names]] = Table1[[Gene names]:[Gene names]])*1, 0))</f>
        <v>5.8900000000000002E-5</v>
      </c>
      <c r="I179" cm="1">
        <f t="array" ref="I179">INDEX(Table1[riBAQ 22], MATCH(1, (Table3[[#This Row],[Gene names]:[Gene names]] = Table1[[Gene names]:[Gene names]])*1, 0))</f>
        <v>5.5000000000000002E-5</v>
      </c>
      <c r="J179" cm="1">
        <f t="array" ref="J179">INDEX(Table1[riBAQ 23], MATCH(1, (Table3[[#This Row],[Gene names]:[Gene names]] = Table1[[Gene names]:[Gene names]])*1, 0))</f>
        <v>0</v>
      </c>
      <c r="K179" cm="1">
        <f t="array" ref="K179">INDEX(Table1[riBAQ 37], MATCH(1, (Table3[[#This Row],[Gene names]:[Gene names]] = Table1[[Gene names]:[Gene names]])*1, 0))</f>
        <v>0</v>
      </c>
      <c r="L179" cm="1">
        <f t="array" ref="L179">INDEX(Table1[riBAQ 38], MATCH(1, (Table3[[#This Row],[Gene names]:[Gene names]] = Table1[[Gene names]:[Gene names]])*1, 0))</f>
        <v>6.5599999999999995E-5</v>
      </c>
      <c r="M179" cm="1">
        <f t="array" ref="M179">INDEX(Table1[riBAQ 39], MATCH(1, (Table3[[#This Row],[Gene names]:[Gene names]] = Table1[[Gene names]:[Gene names]])*1, 0))</f>
        <v>0</v>
      </c>
      <c r="N179" cm="1">
        <f t="array" ref="N179">INDEX(Table1[riBAQ 40], MATCH(1, (Table3[[#This Row],[Gene names]:[Gene names]] = Table1[[Gene names]:[Gene names]])*1, 0))</f>
        <v>0</v>
      </c>
      <c r="O179" cm="1">
        <f t="array" ref="O179">INDEX(Table1[riBAQ 41], MATCH(1, (Table3[[#This Row],[Gene names]:[Gene names]] = Table1[[Gene names]:[Gene names]])*1, 0))</f>
        <v>0</v>
      </c>
      <c r="P179" cm="1">
        <f t="array" ref="P179">INDEX(Table1[riBAQ 24], MATCH(1, (Table3[[#This Row],[Gene names]:[Gene names]] = Table1[[Gene names]:[Gene names]])*1, 0))</f>
        <v>6.7799999999999995E-5</v>
      </c>
      <c r="Q179" cm="1">
        <f t="array" ref="Q179">INDEX(Table1[riBAQ 25], MATCH(1, (Table3[[#This Row],[Gene names]:[Gene names]] = Table1[[Gene names]:[Gene names]])*1, 0))</f>
        <v>1.8085900000000001E-4</v>
      </c>
      <c r="R179" cm="1">
        <f t="array" ref="R179">INDEX(Table1[riBAQ 26], MATCH(1, (Table3[[#This Row],[Gene names]:[Gene names]] = Table1[[Gene names]:[Gene names]])*1, 0))</f>
        <v>1.57737E-4</v>
      </c>
      <c r="S179" cm="1">
        <f t="array" ref="S179">INDEX(Table1[riBAQ 42], MATCH(1, (Table3[[#This Row],[Gene names]:[Gene names]] = Table1[[Gene names]:[Gene names]])*1, 0))</f>
        <v>1.4897399999999999E-4</v>
      </c>
      <c r="T179" cm="1">
        <f t="array" ref="T179">INDEX(Table1[riBAQ 43], MATCH(1, (Table3[[#This Row],[Gene names]:[Gene names]] = Table1[[Gene names]:[Gene names]])*1, 0))</f>
        <v>2.1592399999999999E-4</v>
      </c>
    </row>
    <row r="180" spans="1:20" x14ac:dyDescent="0.25">
      <c r="A180" t="s">
        <v>592</v>
      </c>
      <c r="B180" cm="1">
        <f t="array" ref="B180">INDEX(Table1[riBAQ 17], MATCH(1, (Table3[[#This Row],[Gene names]:[Gene names]] = Table1[[Gene names]:[Gene names]])*1, 0))</f>
        <v>0</v>
      </c>
      <c r="C180" cm="1">
        <f t="array" ref="C180">INDEX(Table1[riBAQ 18], MATCH(1, (Table3[[#This Row],[Gene names]:[Gene names]] = Table1[[Gene names]:[Gene names]])*1, 0))</f>
        <v>0</v>
      </c>
      <c r="D180" cm="1">
        <f t="array" ref="D180">INDEX(Table1[riBAQ 35], MATCH(1, (Table3[[#This Row],[Gene names]:[Gene names]] = Table1[[Gene names]:[Gene names]])*1, 0))</f>
        <v>0</v>
      </c>
      <c r="E180" cm="1">
        <f t="array" ref="E180">INDEX(Table1[riBAQ 36], MATCH(1, (Table3[[#This Row],[Gene names]:[Gene names]] = Table1[[Gene names]:[Gene names]])*1, 0))</f>
        <v>0</v>
      </c>
      <c r="F180" cm="1">
        <f t="array" ref="F180">INDEX(Table1[riBAQ 19], MATCH(1, (Table3[[#This Row],[Gene names]:[Gene names]] = Table1[[Gene names]:[Gene names]])*1, 0))</f>
        <v>5.0000000000000002E-5</v>
      </c>
      <c r="G180" cm="1">
        <f t="array" ref="G180">INDEX(Table1[riBAQ 20], MATCH(1, (Table3[[#This Row],[Gene names]:[Gene names]] = Table1[[Gene names]:[Gene names]])*1, 0))</f>
        <v>1.51139E-4</v>
      </c>
      <c r="H180" cm="1">
        <f t="array" ref="H180">INDEX(Table1[riBAQ 21], MATCH(1, (Table3[[#This Row],[Gene names]:[Gene names]] = Table1[[Gene names]:[Gene names]])*1, 0))</f>
        <v>6.5900000000000003E-5</v>
      </c>
      <c r="I180" cm="1">
        <f t="array" ref="I180">INDEX(Table1[riBAQ 22], MATCH(1, (Table3[[#This Row],[Gene names]:[Gene names]] = Table1[[Gene names]:[Gene names]])*1, 0))</f>
        <v>3.3200000000000001E-5</v>
      </c>
      <c r="J180" cm="1">
        <f t="array" ref="J180">INDEX(Table1[riBAQ 23], MATCH(1, (Table3[[#This Row],[Gene names]:[Gene names]] = Table1[[Gene names]:[Gene names]])*1, 0))</f>
        <v>5.2500000000000002E-5</v>
      </c>
      <c r="K180" cm="1">
        <f t="array" ref="K180">INDEX(Table1[riBAQ 37], MATCH(1, (Table3[[#This Row],[Gene names]:[Gene names]] = Table1[[Gene names]:[Gene names]])*1, 0))</f>
        <v>4.1100000000000003E-5</v>
      </c>
      <c r="L180" cm="1">
        <f t="array" ref="L180">INDEX(Table1[riBAQ 38], MATCH(1, (Table3[[#This Row],[Gene names]:[Gene names]] = Table1[[Gene names]:[Gene names]])*1, 0))</f>
        <v>3.1199999999999999E-5</v>
      </c>
      <c r="M180" cm="1">
        <f t="array" ref="M180">INDEX(Table1[riBAQ 39], MATCH(1, (Table3[[#This Row],[Gene names]:[Gene names]] = Table1[[Gene names]:[Gene names]])*1, 0))</f>
        <v>0</v>
      </c>
      <c r="N180" cm="1">
        <f t="array" ref="N180">INDEX(Table1[riBAQ 40], MATCH(1, (Table3[[#This Row],[Gene names]:[Gene names]] = Table1[[Gene names]:[Gene names]])*1, 0))</f>
        <v>0</v>
      </c>
      <c r="O180" cm="1">
        <f t="array" ref="O180">INDEX(Table1[riBAQ 41], MATCH(1, (Table3[[#This Row],[Gene names]:[Gene names]] = Table1[[Gene names]:[Gene names]])*1, 0))</f>
        <v>1.15E-5</v>
      </c>
      <c r="P180" cm="1">
        <f t="array" ref="P180">INDEX(Table1[riBAQ 24], MATCH(1, (Table3[[#This Row],[Gene names]:[Gene names]] = Table1[[Gene names]:[Gene names]])*1, 0))</f>
        <v>1.3909400000000001E-4</v>
      </c>
      <c r="Q180" cm="1">
        <f t="array" ref="Q180">INDEX(Table1[riBAQ 25], MATCH(1, (Table3[[#This Row],[Gene names]:[Gene names]] = Table1[[Gene names]:[Gene names]])*1, 0))</f>
        <v>3.4429600000000001E-4</v>
      </c>
      <c r="R180" cm="1">
        <f t="array" ref="R180">INDEX(Table1[riBAQ 26], MATCH(1, (Table3[[#This Row],[Gene names]:[Gene names]] = Table1[[Gene names]:[Gene names]])*1, 0))</f>
        <v>2.76934E-4</v>
      </c>
      <c r="S180" cm="1">
        <f t="array" ref="S180">INDEX(Table1[riBAQ 42], MATCH(1, (Table3[[#This Row],[Gene names]:[Gene names]] = Table1[[Gene names]:[Gene names]])*1, 0))</f>
        <v>3.1749000000000002E-4</v>
      </c>
      <c r="T180" cm="1">
        <f t="array" ref="T180">INDEX(Table1[riBAQ 43], MATCH(1, (Table3[[#This Row],[Gene names]:[Gene names]] = Table1[[Gene names]:[Gene names]])*1, 0))</f>
        <v>2.98101E-4</v>
      </c>
    </row>
    <row r="181" spans="1:20" x14ac:dyDescent="0.25">
      <c r="A181" t="s">
        <v>1191</v>
      </c>
      <c r="B181" cm="1">
        <f t="array" ref="B181">INDEX(Table1[riBAQ 17], MATCH(1, (Table3[[#This Row],[Gene names]:[Gene names]] = Table1[[Gene names]:[Gene names]])*1, 0))</f>
        <v>2.55E-5</v>
      </c>
      <c r="C181" cm="1">
        <f t="array" ref="C181">INDEX(Table1[riBAQ 18], MATCH(1, (Table3[[#This Row],[Gene names]:[Gene names]] = Table1[[Gene names]:[Gene names]])*1, 0))</f>
        <v>0</v>
      </c>
      <c r="D181" cm="1">
        <f t="array" ref="D181">INDEX(Table1[riBAQ 35], MATCH(1, (Table3[[#This Row],[Gene names]:[Gene names]] = Table1[[Gene names]:[Gene names]])*1, 0))</f>
        <v>2.09E-5</v>
      </c>
      <c r="E181" cm="1">
        <f t="array" ref="E181">INDEX(Table1[riBAQ 36], MATCH(1, (Table3[[#This Row],[Gene names]:[Gene names]] = Table1[[Gene names]:[Gene names]])*1, 0))</f>
        <v>1.7099999999999999E-5</v>
      </c>
      <c r="F181" cm="1">
        <f t="array" ref="F181">INDEX(Table1[riBAQ 19], MATCH(1, (Table3[[#This Row],[Gene names]:[Gene names]] = Table1[[Gene names]:[Gene names]])*1, 0))</f>
        <v>2.3300000000000001E-5</v>
      </c>
      <c r="G181" cm="1">
        <f t="array" ref="G181">INDEX(Table1[riBAQ 20], MATCH(1, (Table3[[#This Row],[Gene names]:[Gene names]] = Table1[[Gene names]:[Gene names]])*1, 0))</f>
        <v>1.6099999999999998E-5</v>
      </c>
      <c r="H181" cm="1">
        <f t="array" ref="H181">INDEX(Table1[riBAQ 21], MATCH(1, (Table3[[#This Row],[Gene names]:[Gene names]] = Table1[[Gene names]:[Gene names]])*1, 0))</f>
        <v>3.93E-5</v>
      </c>
      <c r="I181" cm="1">
        <f t="array" ref="I181">INDEX(Table1[riBAQ 22], MATCH(1, (Table3[[#This Row],[Gene names]:[Gene names]] = Table1[[Gene names]:[Gene names]])*1, 0))</f>
        <v>2.34E-5</v>
      </c>
      <c r="J181" cm="1">
        <f t="array" ref="J181">INDEX(Table1[riBAQ 23], MATCH(1, (Table3[[#This Row],[Gene names]:[Gene names]] = Table1[[Gene names]:[Gene names]])*1, 0))</f>
        <v>2.1500000000000001E-5</v>
      </c>
      <c r="K181" cm="1">
        <f t="array" ref="K181">INDEX(Table1[riBAQ 37], MATCH(1, (Table3[[#This Row],[Gene names]:[Gene names]] = Table1[[Gene names]:[Gene names]])*1, 0))</f>
        <v>1.8199999999999999E-5</v>
      </c>
      <c r="L181" cm="1">
        <f t="array" ref="L181">INDEX(Table1[riBAQ 38], MATCH(1, (Table3[[#This Row],[Gene names]:[Gene names]] = Table1[[Gene names]:[Gene names]])*1, 0))</f>
        <v>1.11E-5</v>
      </c>
      <c r="M181" cm="1">
        <f t="array" ref="M181">INDEX(Table1[riBAQ 39], MATCH(1, (Table3[[#This Row],[Gene names]:[Gene names]] = Table1[[Gene names]:[Gene names]])*1, 0))</f>
        <v>1.95E-5</v>
      </c>
      <c r="N181" cm="1">
        <f t="array" ref="N181">INDEX(Table1[riBAQ 40], MATCH(1, (Table3[[#This Row],[Gene names]:[Gene names]] = Table1[[Gene names]:[Gene names]])*1, 0))</f>
        <v>1.9000000000000001E-5</v>
      </c>
      <c r="O181" cm="1">
        <f t="array" ref="O181">INDEX(Table1[riBAQ 41], MATCH(1, (Table3[[#This Row],[Gene names]:[Gene names]] = Table1[[Gene names]:[Gene names]])*1, 0))</f>
        <v>1.6099999999999998E-5</v>
      </c>
      <c r="P181" cm="1">
        <f t="array" ref="P181">INDEX(Table1[riBAQ 24], MATCH(1, (Table3[[#This Row],[Gene names]:[Gene names]] = Table1[[Gene names]:[Gene names]])*1, 0))</f>
        <v>3.8500000000000001E-5</v>
      </c>
      <c r="Q181" cm="1">
        <f t="array" ref="Q181">INDEX(Table1[riBAQ 25], MATCH(1, (Table3[[#This Row],[Gene names]:[Gene names]] = Table1[[Gene names]:[Gene names]])*1, 0))</f>
        <v>5.6400000000000002E-5</v>
      </c>
      <c r="R181" cm="1">
        <f t="array" ref="R181">INDEX(Table1[riBAQ 26], MATCH(1, (Table3[[#This Row],[Gene names]:[Gene names]] = Table1[[Gene names]:[Gene names]])*1, 0))</f>
        <v>4.5000000000000003E-5</v>
      </c>
      <c r="S181" cm="1">
        <f t="array" ref="S181">INDEX(Table1[riBAQ 42], MATCH(1, (Table3[[#This Row],[Gene names]:[Gene names]] = Table1[[Gene names]:[Gene names]])*1, 0))</f>
        <v>4.2799999999999997E-5</v>
      </c>
      <c r="T181" cm="1">
        <f t="array" ref="T181">INDEX(Table1[riBAQ 43], MATCH(1, (Table3[[#This Row],[Gene names]:[Gene names]] = Table1[[Gene names]:[Gene names]])*1, 0))</f>
        <v>1.3336000000000001E-4</v>
      </c>
    </row>
    <row r="182" spans="1:20" x14ac:dyDescent="0.25">
      <c r="A182" t="s">
        <v>1115</v>
      </c>
      <c r="B182" cm="1">
        <f t="array" ref="B182">INDEX(Table1[riBAQ 17], MATCH(1, (Table3[[#This Row],[Gene names]:[Gene names]] = Table1[[Gene names]:[Gene names]])*1, 0))</f>
        <v>4.81373E-4</v>
      </c>
      <c r="C182" cm="1">
        <f t="array" ref="C182">INDEX(Table1[riBAQ 18], MATCH(1, (Table3[[#This Row],[Gene names]:[Gene names]] = Table1[[Gene names]:[Gene names]])*1, 0))</f>
        <v>4.5505099999999999E-4</v>
      </c>
      <c r="D182" cm="1">
        <f t="array" ref="D182">INDEX(Table1[riBAQ 35], MATCH(1, (Table3[[#This Row],[Gene names]:[Gene names]] = Table1[[Gene names]:[Gene names]])*1, 0))</f>
        <v>5.1507600000000005E-4</v>
      </c>
      <c r="E182" cm="1">
        <f t="array" ref="E182">INDEX(Table1[riBAQ 36], MATCH(1, (Table3[[#This Row],[Gene names]:[Gene names]] = Table1[[Gene names]:[Gene names]])*1, 0))</f>
        <v>4.8000899999999999E-4</v>
      </c>
      <c r="F182" cm="1">
        <f t="array" ref="F182">INDEX(Table1[riBAQ 19], MATCH(1, (Table3[[#This Row],[Gene names]:[Gene names]] = Table1[[Gene names]:[Gene names]])*1, 0))</f>
        <v>5.6628199999999998E-4</v>
      </c>
      <c r="G182" cm="1">
        <f t="array" ref="G182">INDEX(Table1[riBAQ 20], MATCH(1, (Table3[[#This Row],[Gene names]:[Gene names]] = Table1[[Gene names]:[Gene names]])*1, 0))</f>
        <v>4.7495600000000001E-4</v>
      </c>
      <c r="H182" cm="1">
        <f t="array" ref="H182">INDEX(Table1[riBAQ 21], MATCH(1, (Table3[[#This Row],[Gene names]:[Gene names]] = Table1[[Gene names]:[Gene names]])*1, 0))</f>
        <v>4.1556600000000003E-4</v>
      </c>
      <c r="I182" cm="1">
        <f t="array" ref="I182">INDEX(Table1[riBAQ 22], MATCH(1, (Table3[[#This Row],[Gene names]:[Gene names]] = Table1[[Gene names]:[Gene names]])*1, 0))</f>
        <v>6.1575599999999996E-4</v>
      </c>
      <c r="J182" cm="1">
        <f t="array" ref="J182">INDEX(Table1[riBAQ 23], MATCH(1, (Table3[[#This Row],[Gene names]:[Gene names]] = Table1[[Gene names]:[Gene names]])*1, 0))</f>
        <v>5.6283699999999995E-4</v>
      </c>
      <c r="K182" cm="1">
        <f t="array" ref="K182">INDEX(Table1[riBAQ 37], MATCH(1, (Table3[[#This Row],[Gene names]:[Gene names]] = Table1[[Gene names]:[Gene names]])*1, 0))</f>
        <v>5.2146500000000004E-4</v>
      </c>
      <c r="L182" cm="1">
        <f t="array" ref="L182">INDEX(Table1[riBAQ 38], MATCH(1, (Table3[[#This Row],[Gene names]:[Gene names]] = Table1[[Gene names]:[Gene names]])*1, 0))</f>
        <v>4.9877299999999999E-4</v>
      </c>
      <c r="M182" cm="1">
        <f t="array" ref="M182">INDEX(Table1[riBAQ 39], MATCH(1, (Table3[[#This Row],[Gene names]:[Gene names]] = Table1[[Gene names]:[Gene names]])*1, 0))</f>
        <v>4.16325E-4</v>
      </c>
      <c r="N182" cm="1">
        <f t="array" ref="N182">INDEX(Table1[riBAQ 40], MATCH(1, (Table3[[#This Row],[Gene names]:[Gene names]] = Table1[[Gene names]:[Gene names]])*1, 0))</f>
        <v>3.9421600000000002E-4</v>
      </c>
      <c r="O182" cm="1">
        <f t="array" ref="O182">INDEX(Table1[riBAQ 41], MATCH(1, (Table3[[#This Row],[Gene names]:[Gene names]] = Table1[[Gene names]:[Gene names]])*1, 0))</f>
        <v>4.21531E-4</v>
      </c>
      <c r="P182" cm="1">
        <f t="array" ref="P182">INDEX(Table1[riBAQ 24], MATCH(1, (Table3[[#This Row],[Gene names]:[Gene names]] = Table1[[Gene names]:[Gene names]])*1, 0))</f>
        <v>5.30008E-4</v>
      </c>
      <c r="Q182" cm="1">
        <f t="array" ref="Q182">INDEX(Table1[riBAQ 25], MATCH(1, (Table3[[#This Row],[Gene names]:[Gene names]] = Table1[[Gene names]:[Gene names]])*1, 0))</f>
        <v>3.0832100000000002E-4</v>
      </c>
      <c r="R182" cm="1">
        <f t="array" ref="R182">INDEX(Table1[riBAQ 26], MATCH(1, (Table3[[#This Row],[Gene names]:[Gene names]] = Table1[[Gene names]:[Gene names]])*1, 0))</f>
        <v>4.4792299999999997E-4</v>
      </c>
      <c r="S182" cm="1">
        <f t="array" ref="S182">INDEX(Table1[riBAQ 42], MATCH(1, (Table3[[#This Row],[Gene names]:[Gene names]] = Table1[[Gene names]:[Gene names]])*1, 0))</f>
        <v>3.3024600000000002E-4</v>
      </c>
      <c r="T182" cm="1">
        <f t="array" ref="T182">INDEX(Table1[riBAQ 43], MATCH(1, (Table3[[#This Row],[Gene names]:[Gene names]] = Table1[[Gene names]:[Gene names]])*1, 0))</f>
        <v>2.9779300000000003E-4</v>
      </c>
    </row>
    <row r="183" spans="1:20" x14ac:dyDescent="0.25">
      <c r="A183" t="s">
        <v>1190</v>
      </c>
      <c r="B183" cm="1">
        <f t="array" ref="B183">INDEX(Table1[riBAQ 17], MATCH(1, (Table3[[#This Row],[Gene names]:[Gene names]] = Table1[[Gene names]:[Gene names]])*1, 0))</f>
        <v>1.7799999999999999E-5</v>
      </c>
      <c r="C183" cm="1">
        <f t="array" ref="C183">INDEX(Table1[riBAQ 18], MATCH(1, (Table3[[#This Row],[Gene names]:[Gene names]] = Table1[[Gene names]:[Gene names]])*1, 0))</f>
        <v>0</v>
      </c>
      <c r="D183" cm="1">
        <f t="array" ref="D183">INDEX(Table1[riBAQ 35], MATCH(1, (Table3[[#This Row],[Gene names]:[Gene names]] = Table1[[Gene names]:[Gene names]])*1, 0))</f>
        <v>1.1E-5</v>
      </c>
      <c r="E183" cm="1">
        <f t="array" ref="E183">INDEX(Table1[riBAQ 36], MATCH(1, (Table3[[#This Row],[Gene names]:[Gene names]] = Table1[[Gene names]:[Gene names]])*1, 0))</f>
        <v>0</v>
      </c>
      <c r="F183" cm="1">
        <f t="array" ref="F183">INDEX(Table1[riBAQ 19], MATCH(1, (Table3[[#This Row],[Gene names]:[Gene names]] = Table1[[Gene names]:[Gene names]])*1, 0))</f>
        <v>0</v>
      </c>
      <c r="G183" cm="1">
        <f t="array" ref="G183">INDEX(Table1[riBAQ 20], MATCH(1, (Table3[[#This Row],[Gene names]:[Gene names]] = Table1[[Gene names]:[Gene names]])*1, 0))</f>
        <v>0</v>
      </c>
      <c r="H183" cm="1">
        <f t="array" ref="H183">INDEX(Table1[riBAQ 21], MATCH(1, (Table3[[#This Row],[Gene names]:[Gene names]] = Table1[[Gene names]:[Gene names]])*1, 0))</f>
        <v>3.2400000000000001E-5</v>
      </c>
      <c r="I183" cm="1">
        <f t="array" ref="I183">INDEX(Table1[riBAQ 22], MATCH(1, (Table3[[#This Row],[Gene names]:[Gene names]] = Table1[[Gene names]:[Gene names]])*1, 0))</f>
        <v>0</v>
      </c>
      <c r="J183" cm="1">
        <f t="array" ref="J183">INDEX(Table1[riBAQ 23], MATCH(1, (Table3[[#This Row],[Gene names]:[Gene names]] = Table1[[Gene names]:[Gene names]])*1, 0))</f>
        <v>1.59E-5</v>
      </c>
      <c r="K183" cm="1">
        <f t="array" ref="K183">INDEX(Table1[riBAQ 37], MATCH(1, (Table3[[#This Row],[Gene names]:[Gene names]] = Table1[[Gene names]:[Gene names]])*1, 0))</f>
        <v>0</v>
      </c>
      <c r="L183" cm="1">
        <f t="array" ref="L183">INDEX(Table1[riBAQ 38], MATCH(1, (Table3[[#This Row],[Gene names]:[Gene names]] = Table1[[Gene names]:[Gene names]])*1, 0))</f>
        <v>0</v>
      </c>
      <c r="M183" cm="1">
        <f t="array" ref="M183">INDEX(Table1[riBAQ 39], MATCH(1, (Table3[[#This Row],[Gene names]:[Gene names]] = Table1[[Gene names]:[Gene names]])*1, 0))</f>
        <v>0</v>
      </c>
      <c r="N183" cm="1">
        <f t="array" ref="N183">INDEX(Table1[riBAQ 40], MATCH(1, (Table3[[#This Row],[Gene names]:[Gene names]] = Table1[[Gene names]:[Gene names]])*1, 0))</f>
        <v>0</v>
      </c>
      <c r="O183" cm="1">
        <f t="array" ref="O183">INDEX(Table1[riBAQ 41], MATCH(1, (Table3[[#This Row],[Gene names]:[Gene names]] = Table1[[Gene names]:[Gene names]])*1, 0))</f>
        <v>0</v>
      </c>
      <c r="P183" cm="1">
        <f t="array" ref="P183">INDEX(Table1[riBAQ 24], MATCH(1, (Table3[[#This Row],[Gene names]:[Gene names]] = Table1[[Gene names]:[Gene names]])*1, 0))</f>
        <v>2.2500000000000001E-5</v>
      </c>
      <c r="Q183" cm="1">
        <f t="array" ref="Q183">INDEX(Table1[riBAQ 25], MATCH(1, (Table3[[#This Row],[Gene names]:[Gene names]] = Table1[[Gene names]:[Gene names]])*1, 0))</f>
        <v>4.9799999999999998E-5</v>
      </c>
      <c r="R183" cm="1">
        <f t="array" ref="R183">INDEX(Table1[riBAQ 26], MATCH(1, (Table3[[#This Row],[Gene names]:[Gene names]] = Table1[[Gene names]:[Gene names]])*1, 0))</f>
        <v>3.4199999999999998E-5</v>
      </c>
      <c r="S183" cm="1">
        <f t="array" ref="S183">INDEX(Table1[riBAQ 42], MATCH(1, (Table3[[#This Row],[Gene names]:[Gene names]] = Table1[[Gene names]:[Gene names]])*1, 0))</f>
        <v>3.65E-5</v>
      </c>
      <c r="T183" cm="1">
        <f t="array" ref="T183">INDEX(Table1[riBAQ 43], MATCH(1, (Table3[[#This Row],[Gene names]:[Gene names]] = Table1[[Gene names]:[Gene names]])*1, 0))</f>
        <v>9.6500000000000001E-5</v>
      </c>
    </row>
    <row r="184" spans="1:20" x14ac:dyDescent="0.25">
      <c r="A184" t="s">
        <v>1252</v>
      </c>
      <c r="B184" cm="1">
        <f t="array" ref="B184">INDEX(Table1[riBAQ 17], MATCH(1, (Table3[[#This Row],[Gene names]:[Gene names]] = Table1[[Gene names]:[Gene names]])*1, 0))</f>
        <v>7.4400000000000006E-5</v>
      </c>
      <c r="C184" cm="1">
        <f t="array" ref="C184">INDEX(Table1[riBAQ 18], MATCH(1, (Table3[[#This Row],[Gene names]:[Gene names]] = Table1[[Gene names]:[Gene names]])*1, 0))</f>
        <v>0</v>
      </c>
      <c r="D184" cm="1">
        <f t="array" ref="D184">INDEX(Table1[riBAQ 35], MATCH(1, (Table3[[#This Row],[Gene names]:[Gene names]] = Table1[[Gene names]:[Gene names]])*1, 0))</f>
        <v>5.1999999999999997E-5</v>
      </c>
      <c r="E184" cm="1">
        <f t="array" ref="E184">INDEX(Table1[riBAQ 36], MATCH(1, (Table3[[#This Row],[Gene names]:[Gene names]] = Table1[[Gene names]:[Gene names]])*1, 0))</f>
        <v>5.0699999999999999E-5</v>
      </c>
      <c r="F184" cm="1">
        <f t="array" ref="F184">INDEX(Table1[riBAQ 19], MATCH(1, (Table3[[#This Row],[Gene names]:[Gene names]] = Table1[[Gene names]:[Gene names]])*1, 0))</f>
        <v>1.2821800000000001E-4</v>
      </c>
      <c r="G184" cm="1">
        <f t="array" ref="G184">INDEX(Table1[riBAQ 20], MATCH(1, (Table3[[#This Row],[Gene names]:[Gene names]] = Table1[[Gene names]:[Gene names]])*1, 0))</f>
        <v>8.7100000000000003E-5</v>
      </c>
      <c r="H184" cm="1">
        <f t="array" ref="H184">INDEX(Table1[riBAQ 21], MATCH(1, (Table3[[#This Row],[Gene names]:[Gene names]] = Table1[[Gene names]:[Gene names]])*1, 0))</f>
        <v>9.5400000000000001E-5</v>
      </c>
      <c r="I184" cm="1">
        <f t="array" ref="I184">INDEX(Table1[riBAQ 22], MATCH(1, (Table3[[#This Row],[Gene names]:[Gene names]] = Table1[[Gene names]:[Gene names]])*1, 0))</f>
        <v>0</v>
      </c>
      <c r="J184" cm="1">
        <f t="array" ref="J184">INDEX(Table1[riBAQ 23], MATCH(1, (Table3[[#This Row],[Gene names]:[Gene names]] = Table1[[Gene names]:[Gene names]])*1, 0))</f>
        <v>1.6683299999999999E-4</v>
      </c>
      <c r="K184" cm="1">
        <f t="array" ref="K184">INDEX(Table1[riBAQ 37], MATCH(1, (Table3[[#This Row],[Gene names]:[Gene names]] = Table1[[Gene names]:[Gene names]])*1, 0))</f>
        <v>8.2999999999999998E-5</v>
      </c>
      <c r="L184" cm="1">
        <f t="array" ref="L184">INDEX(Table1[riBAQ 38], MATCH(1, (Table3[[#This Row],[Gene names]:[Gene names]] = Table1[[Gene names]:[Gene names]])*1, 0))</f>
        <v>9.2200000000000005E-5</v>
      </c>
      <c r="M184" cm="1">
        <f t="array" ref="M184">INDEX(Table1[riBAQ 39], MATCH(1, (Table3[[#This Row],[Gene names]:[Gene names]] = Table1[[Gene names]:[Gene names]])*1, 0))</f>
        <v>1.1349300000000001E-4</v>
      </c>
      <c r="N184" cm="1">
        <f t="array" ref="N184">INDEX(Table1[riBAQ 40], MATCH(1, (Table3[[#This Row],[Gene names]:[Gene names]] = Table1[[Gene names]:[Gene names]])*1, 0))</f>
        <v>9.1100000000000005E-5</v>
      </c>
      <c r="O184" cm="1">
        <f t="array" ref="O184">INDEX(Table1[riBAQ 41], MATCH(1, (Table3[[#This Row],[Gene names]:[Gene names]] = Table1[[Gene names]:[Gene names]])*1, 0))</f>
        <v>7.6199999999999995E-5</v>
      </c>
      <c r="P184" cm="1">
        <f t="array" ref="P184">INDEX(Table1[riBAQ 24], MATCH(1, (Table3[[#This Row],[Gene names]:[Gene names]] = Table1[[Gene names]:[Gene names]])*1, 0))</f>
        <v>2.18574E-4</v>
      </c>
      <c r="Q184" cm="1">
        <f t="array" ref="Q184">INDEX(Table1[riBAQ 25], MATCH(1, (Table3[[#This Row],[Gene names]:[Gene names]] = Table1[[Gene names]:[Gene names]])*1, 0))</f>
        <v>4.17809E-4</v>
      </c>
      <c r="R184" cm="1">
        <f t="array" ref="R184">INDEX(Table1[riBAQ 26], MATCH(1, (Table3[[#This Row],[Gene names]:[Gene names]] = Table1[[Gene names]:[Gene names]])*1, 0))</f>
        <v>3.1829999999999998E-4</v>
      </c>
      <c r="S184" cm="1">
        <f t="array" ref="S184">INDEX(Table1[riBAQ 42], MATCH(1, (Table3[[#This Row],[Gene names]:[Gene names]] = Table1[[Gene names]:[Gene names]])*1, 0))</f>
        <v>2.8026599999999999E-4</v>
      </c>
      <c r="T184" cm="1">
        <f t="array" ref="T184">INDEX(Table1[riBAQ 43], MATCH(1, (Table3[[#This Row],[Gene names]:[Gene names]] = Table1[[Gene names]:[Gene names]])*1, 0))</f>
        <v>3.5389699999999999E-4</v>
      </c>
    </row>
    <row r="185" spans="1:20" x14ac:dyDescent="0.25">
      <c r="A185" t="s">
        <v>1069</v>
      </c>
      <c r="B185" cm="1">
        <f t="array" ref="B185">INDEX(Table1[riBAQ 17], MATCH(1, (Table3[[#This Row],[Gene names]:[Gene names]] = Table1[[Gene names]:[Gene names]])*1, 0))</f>
        <v>3.0199999999999999E-5</v>
      </c>
      <c r="C185" cm="1">
        <f t="array" ref="C185">INDEX(Table1[riBAQ 18], MATCH(1, (Table3[[#This Row],[Gene names]:[Gene names]] = Table1[[Gene names]:[Gene names]])*1, 0))</f>
        <v>2.7900000000000001E-5</v>
      </c>
      <c r="D185" cm="1">
        <f t="array" ref="D185">INDEX(Table1[riBAQ 35], MATCH(1, (Table3[[#This Row],[Gene names]:[Gene names]] = Table1[[Gene names]:[Gene names]])*1, 0))</f>
        <v>2.3E-5</v>
      </c>
      <c r="E185" cm="1">
        <f t="array" ref="E185">INDEX(Table1[riBAQ 36], MATCH(1, (Table3[[#This Row],[Gene names]:[Gene names]] = Table1[[Gene names]:[Gene names]])*1, 0))</f>
        <v>1.7499999999999998E-5</v>
      </c>
      <c r="F185" cm="1">
        <f t="array" ref="F185">INDEX(Table1[riBAQ 19], MATCH(1, (Table3[[#This Row],[Gene names]:[Gene names]] = Table1[[Gene names]:[Gene names]])*1, 0))</f>
        <v>2.12E-5</v>
      </c>
      <c r="G185" cm="1">
        <f t="array" ref="G185">INDEX(Table1[riBAQ 20], MATCH(1, (Table3[[#This Row],[Gene names]:[Gene names]] = Table1[[Gene names]:[Gene names]])*1, 0))</f>
        <v>3.9700000000000003E-5</v>
      </c>
      <c r="H185" cm="1">
        <f t="array" ref="H185">INDEX(Table1[riBAQ 21], MATCH(1, (Table3[[#This Row],[Gene names]:[Gene names]] = Table1[[Gene names]:[Gene names]])*1, 0))</f>
        <v>3.1300000000000002E-5</v>
      </c>
      <c r="I185" cm="1">
        <f t="array" ref="I185">INDEX(Table1[riBAQ 22], MATCH(1, (Table3[[#This Row],[Gene names]:[Gene names]] = Table1[[Gene names]:[Gene names]])*1, 0))</f>
        <v>2.4700000000000001E-5</v>
      </c>
      <c r="J185" cm="1">
        <f t="array" ref="J185">INDEX(Table1[riBAQ 23], MATCH(1, (Table3[[#This Row],[Gene names]:[Gene names]] = Table1[[Gene names]:[Gene names]])*1, 0))</f>
        <v>3.2400000000000001E-5</v>
      </c>
      <c r="K185" cm="1">
        <f t="array" ref="K185">INDEX(Table1[riBAQ 37], MATCH(1, (Table3[[#This Row],[Gene names]:[Gene names]] = Table1[[Gene names]:[Gene names]])*1, 0))</f>
        <v>2.9499999999999999E-5</v>
      </c>
      <c r="L185" cm="1">
        <f t="array" ref="L185">INDEX(Table1[riBAQ 38], MATCH(1, (Table3[[#This Row],[Gene names]:[Gene names]] = Table1[[Gene names]:[Gene names]])*1, 0))</f>
        <v>2.5599999999999999E-5</v>
      </c>
      <c r="M185" cm="1">
        <f t="array" ref="M185">INDEX(Table1[riBAQ 39], MATCH(1, (Table3[[#This Row],[Gene names]:[Gene names]] = Table1[[Gene names]:[Gene names]])*1, 0))</f>
        <v>3.04E-5</v>
      </c>
      <c r="N185" cm="1">
        <f t="array" ref="N185">INDEX(Table1[riBAQ 40], MATCH(1, (Table3[[#This Row],[Gene names]:[Gene names]] = Table1[[Gene names]:[Gene names]])*1, 0))</f>
        <v>1.9599999999999999E-5</v>
      </c>
      <c r="O185" cm="1">
        <f t="array" ref="O185">INDEX(Table1[riBAQ 41], MATCH(1, (Table3[[#This Row],[Gene names]:[Gene names]] = Table1[[Gene names]:[Gene names]])*1, 0))</f>
        <v>1.6500000000000001E-5</v>
      </c>
      <c r="P185" cm="1">
        <f t="array" ref="P185">INDEX(Table1[riBAQ 24], MATCH(1, (Table3[[#This Row],[Gene names]:[Gene names]] = Table1[[Gene names]:[Gene names]])*1, 0))</f>
        <v>3.3099999999999998E-5</v>
      </c>
      <c r="Q185" cm="1">
        <f t="array" ref="Q185">INDEX(Table1[riBAQ 25], MATCH(1, (Table3[[#This Row],[Gene names]:[Gene names]] = Table1[[Gene names]:[Gene names]])*1, 0))</f>
        <v>5.5699999999999999E-5</v>
      </c>
      <c r="R185" cm="1">
        <f t="array" ref="R185">INDEX(Table1[riBAQ 26], MATCH(1, (Table3[[#This Row],[Gene names]:[Gene names]] = Table1[[Gene names]:[Gene names]])*1, 0))</f>
        <v>4.35E-5</v>
      </c>
      <c r="S185" cm="1">
        <f t="array" ref="S185">INDEX(Table1[riBAQ 42], MATCH(1, (Table3[[#This Row],[Gene names]:[Gene names]] = Table1[[Gene names]:[Gene names]])*1, 0))</f>
        <v>3.0499999999999999E-5</v>
      </c>
      <c r="T185" cm="1">
        <f t="array" ref="T185">INDEX(Table1[riBAQ 43], MATCH(1, (Table3[[#This Row],[Gene names]:[Gene names]] = Table1[[Gene names]:[Gene names]])*1, 0))</f>
        <v>5.1799999999999999E-5</v>
      </c>
    </row>
    <row r="186" spans="1:20" x14ac:dyDescent="0.25">
      <c r="A186" t="s">
        <v>1647</v>
      </c>
      <c r="B186" cm="1">
        <f t="array" ref="B186">INDEX(Table1[riBAQ 17], MATCH(1, (Table3[[#This Row],[Gene names]:[Gene names]] = Table1[[Gene names]:[Gene names]])*1, 0))</f>
        <v>0</v>
      </c>
      <c r="C186" cm="1">
        <f t="array" ref="C186">INDEX(Table1[riBAQ 18], MATCH(1, (Table3[[#This Row],[Gene names]:[Gene names]] = Table1[[Gene names]:[Gene names]])*1, 0))</f>
        <v>0</v>
      </c>
      <c r="D186" cm="1">
        <f t="array" ref="D186">INDEX(Table1[riBAQ 35], MATCH(1, (Table3[[#This Row],[Gene names]:[Gene names]] = Table1[[Gene names]:[Gene names]])*1, 0))</f>
        <v>0</v>
      </c>
      <c r="E186" cm="1">
        <f t="array" ref="E186">INDEX(Table1[riBAQ 36], MATCH(1, (Table3[[#This Row],[Gene names]:[Gene names]] = Table1[[Gene names]:[Gene names]])*1, 0))</f>
        <v>0</v>
      </c>
      <c r="F186" cm="1">
        <f t="array" ref="F186">INDEX(Table1[riBAQ 19], MATCH(1, (Table3[[#This Row],[Gene names]:[Gene names]] = Table1[[Gene names]:[Gene names]])*1, 0))</f>
        <v>0</v>
      </c>
      <c r="G186" cm="1">
        <f t="array" ref="G186">INDEX(Table1[riBAQ 20], MATCH(1, (Table3[[#This Row],[Gene names]:[Gene names]] = Table1[[Gene names]:[Gene names]])*1, 0))</f>
        <v>0</v>
      </c>
      <c r="H186" cm="1">
        <f t="array" ref="H186">INDEX(Table1[riBAQ 21], MATCH(1, (Table3[[#This Row],[Gene names]:[Gene names]] = Table1[[Gene names]:[Gene names]])*1, 0))</f>
        <v>1.8899999999999999E-5</v>
      </c>
      <c r="I186" cm="1">
        <f t="array" ref="I186">INDEX(Table1[riBAQ 22], MATCH(1, (Table3[[#This Row],[Gene names]:[Gene names]] = Table1[[Gene names]:[Gene names]])*1, 0))</f>
        <v>0</v>
      </c>
      <c r="J186" cm="1">
        <f t="array" ref="J186">INDEX(Table1[riBAQ 23], MATCH(1, (Table3[[#This Row],[Gene names]:[Gene names]] = Table1[[Gene names]:[Gene names]])*1, 0))</f>
        <v>0</v>
      </c>
      <c r="K186" cm="1">
        <f t="array" ref="K186">INDEX(Table1[riBAQ 37], MATCH(1, (Table3[[#This Row],[Gene names]:[Gene names]] = Table1[[Gene names]:[Gene names]])*1, 0))</f>
        <v>0</v>
      </c>
      <c r="L186" cm="1">
        <f t="array" ref="L186">INDEX(Table1[riBAQ 38], MATCH(1, (Table3[[#This Row],[Gene names]:[Gene names]] = Table1[[Gene names]:[Gene names]])*1, 0))</f>
        <v>0</v>
      </c>
      <c r="M186" cm="1">
        <f t="array" ref="M186">INDEX(Table1[riBAQ 39], MATCH(1, (Table3[[#This Row],[Gene names]:[Gene names]] = Table1[[Gene names]:[Gene names]])*1, 0))</f>
        <v>0</v>
      </c>
      <c r="N186" cm="1">
        <f t="array" ref="N186">INDEX(Table1[riBAQ 40], MATCH(1, (Table3[[#This Row],[Gene names]:[Gene names]] = Table1[[Gene names]:[Gene names]])*1, 0))</f>
        <v>0</v>
      </c>
      <c r="O186" cm="1">
        <f t="array" ref="O186">INDEX(Table1[riBAQ 41], MATCH(1, (Table3[[#This Row],[Gene names]:[Gene names]] = Table1[[Gene names]:[Gene names]])*1, 0))</f>
        <v>0</v>
      </c>
      <c r="P186" cm="1">
        <f t="array" ref="P186">INDEX(Table1[riBAQ 24], MATCH(1, (Table3[[#This Row],[Gene names]:[Gene names]] = Table1[[Gene names]:[Gene names]])*1, 0))</f>
        <v>0</v>
      </c>
      <c r="Q186" cm="1">
        <f t="array" ref="Q186">INDEX(Table1[riBAQ 25], MATCH(1, (Table3[[#This Row],[Gene names]:[Gene names]] = Table1[[Gene names]:[Gene names]])*1, 0))</f>
        <v>2.9799999999999999E-5</v>
      </c>
      <c r="R186" cm="1">
        <f t="array" ref="R186">INDEX(Table1[riBAQ 26], MATCH(1, (Table3[[#This Row],[Gene names]:[Gene names]] = Table1[[Gene names]:[Gene names]])*1, 0))</f>
        <v>2.0800000000000001E-5</v>
      </c>
      <c r="S186" cm="1">
        <f t="array" ref="S186">INDEX(Table1[riBAQ 42], MATCH(1, (Table3[[#This Row],[Gene names]:[Gene names]] = Table1[[Gene names]:[Gene names]])*1, 0))</f>
        <v>2.6299999999999999E-5</v>
      </c>
      <c r="T186" cm="1">
        <f t="array" ref="T186">INDEX(Table1[riBAQ 43], MATCH(1, (Table3[[#This Row],[Gene names]:[Gene names]] = Table1[[Gene names]:[Gene names]])*1, 0))</f>
        <v>3.1099999999999997E-5</v>
      </c>
    </row>
    <row r="187" spans="1:20" x14ac:dyDescent="0.25">
      <c r="A187" t="s">
        <v>35</v>
      </c>
      <c r="B187" cm="1">
        <f t="array" ref="B187">INDEX(Table1[riBAQ 17], MATCH(1, (Table3[[#This Row],[Gene names]:[Gene names]] = Table1[[Gene names]:[Gene names]])*1, 0))</f>
        <v>0</v>
      </c>
      <c r="C187" cm="1">
        <f t="array" ref="C187">INDEX(Table1[riBAQ 18], MATCH(1, (Table3[[#This Row],[Gene names]:[Gene names]] = Table1[[Gene names]:[Gene names]])*1, 0))</f>
        <v>0</v>
      </c>
      <c r="D187" cm="1">
        <f t="array" ref="D187">INDEX(Table1[riBAQ 35], MATCH(1, (Table3[[#This Row],[Gene names]:[Gene names]] = Table1[[Gene names]:[Gene names]])*1, 0))</f>
        <v>0</v>
      </c>
      <c r="E187" cm="1">
        <f t="array" ref="E187">INDEX(Table1[riBAQ 36], MATCH(1, (Table3[[#This Row],[Gene names]:[Gene names]] = Table1[[Gene names]:[Gene names]])*1, 0))</f>
        <v>0</v>
      </c>
      <c r="F187" cm="1">
        <f t="array" ref="F187">INDEX(Table1[riBAQ 19], MATCH(1, (Table3[[#This Row],[Gene names]:[Gene names]] = Table1[[Gene names]:[Gene names]])*1, 0))</f>
        <v>0</v>
      </c>
      <c r="G187" cm="1">
        <f t="array" ref="G187">INDEX(Table1[riBAQ 20], MATCH(1, (Table3[[#This Row],[Gene names]:[Gene names]] = Table1[[Gene names]:[Gene names]])*1, 0))</f>
        <v>0</v>
      </c>
      <c r="H187" cm="1">
        <f t="array" ref="H187">INDEX(Table1[riBAQ 21], MATCH(1, (Table3[[#This Row],[Gene names]:[Gene names]] = Table1[[Gene names]:[Gene names]])*1, 0))</f>
        <v>0</v>
      </c>
      <c r="I187" cm="1">
        <f t="array" ref="I187">INDEX(Table1[riBAQ 22], MATCH(1, (Table3[[#This Row],[Gene names]:[Gene names]] = Table1[[Gene names]:[Gene names]])*1, 0))</f>
        <v>0</v>
      </c>
      <c r="J187" cm="1">
        <f t="array" ref="J187">INDEX(Table1[riBAQ 23], MATCH(1, (Table3[[#This Row],[Gene names]:[Gene names]] = Table1[[Gene names]:[Gene names]])*1, 0))</f>
        <v>0</v>
      </c>
      <c r="K187" cm="1">
        <f t="array" ref="K187">INDEX(Table1[riBAQ 37], MATCH(1, (Table3[[#This Row],[Gene names]:[Gene names]] = Table1[[Gene names]:[Gene names]])*1, 0))</f>
        <v>0</v>
      </c>
      <c r="L187" cm="1">
        <f t="array" ref="L187">INDEX(Table1[riBAQ 38], MATCH(1, (Table3[[#This Row],[Gene names]:[Gene names]] = Table1[[Gene names]:[Gene names]])*1, 0))</f>
        <v>0</v>
      </c>
      <c r="M187" cm="1">
        <f t="array" ref="M187">INDEX(Table1[riBAQ 39], MATCH(1, (Table3[[#This Row],[Gene names]:[Gene names]] = Table1[[Gene names]:[Gene names]])*1, 0))</f>
        <v>0</v>
      </c>
      <c r="N187" cm="1">
        <f t="array" ref="N187">INDEX(Table1[riBAQ 40], MATCH(1, (Table3[[#This Row],[Gene names]:[Gene names]] = Table1[[Gene names]:[Gene names]])*1, 0))</f>
        <v>0</v>
      </c>
      <c r="O187" cm="1">
        <f t="array" ref="O187">INDEX(Table1[riBAQ 41], MATCH(1, (Table3[[#This Row],[Gene names]:[Gene names]] = Table1[[Gene names]:[Gene names]])*1, 0))</f>
        <v>0</v>
      </c>
      <c r="P187" cm="1">
        <f t="array" ref="P187">INDEX(Table1[riBAQ 24], MATCH(1, (Table3[[#This Row],[Gene names]:[Gene names]] = Table1[[Gene names]:[Gene names]])*1, 0))</f>
        <v>0</v>
      </c>
      <c r="Q187" cm="1">
        <f t="array" ref="Q187">INDEX(Table1[riBAQ 25], MATCH(1, (Table3[[#This Row],[Gene names]:[Gene names]] = Table1[[Gene names]:[Gene names]])*1, 0))</f>
        <v>1.77E-5</v>
      </c>
      <c r="R187" cm="1">
        <f t="array" ref="R187">INDEX(Table1[riBAQ 26], MATCH(1, (Table3[[#This Row],[Gene names]:[Gene names]] = Table1[[Gene names]:[Gene names]])*1, 0))</f>
        <v>2.69E-5</v>
      </c>
      <c r="S187" cm="1">
        <f t="array" ref="S187">INDEX(Table1[riBAQ 42], MATCH(1, (Table3[[#This Row],[Gene names]:[Gene names]] = Table1[[Gene names]:[Gene names]])*1, 0))</f>
        <v>4.7599999999999998E-5</v>
      </c>
      <c r="T187" cm="1">
        <f t="array" ref="T187">INDEX(Table1[riBAQ 43], MATCH(1, (Table3[[#This Row],[Gene names]:[Gene names]] = Table1[[Gene names]:[Gene names]])*1, 0))</f>
        <v>2.4499999999999999E-5</v>
      </c>
    </row>
    <row r="188" spans="1:20" x14ac:dyDescent="0.25">
      <c r="A188" t="s">
        <v>557</v>
      </c>
      <c r="B188" cm="1">
        <f t="array" ref="B188">INDEX(Table1[riBAQ 17], MATCH(1, (Table3[[#This Row],[Gene names]:[Gene names]] = Table1[[Gene names]:[Gene names]])*1, 0))</f>
        <v>0</v>
      </c>
      <c r="C188" cm="1">
        <f t="array" ref="C188">INDEX(Table1[riBAQ 18], MATCH(1, (Table3[[#This Row],[Gene names]:[Gene names]] = Table1[[Gene names]:[Gene names]])*1, 0))</f>
        <v>0</v>
      </c>
      <c r="D188" cm="1">
        <f t="array" ref="D188">INDEX(Table1[riBAQ 35], MATCH(1, (Table3[[#This Row],[Gene names]:[Gene names]] = Table1[[Gene names]:[Gene names]])*1, 0))</f>
        <v>0</v>
      </c>
      <c r="E188" cm="1">
        <f t="array" ref="E188">INDEX(Table1[riBAQ 36], MATCH(1, (Table3[[#This Row],[Gene names]:[Gene names]] = Table1[[Gene names]:[Gene names]])*1, 0))</f>
        <v>0</v>
      </c>
      <c r="F188" cm="1">
        <f t="array" ref="F188">INDEX(Table1[riBAQ 19], MATCH(1, (Table3[[#This Row],[Gene names]:[Gene names]] = Table1[[Gene names]:[Gene names]])*1, 0))</f>
        <v>0</v>
      </c>
      <c r="G188" cm="1">
        <f t="array" ref="G188">INDEX(Table1[riBAQ 20], MATCH(1, (Table3[[#This Row],[Gene names]:[Gene names]] = Table1[[Gene names]:[Gene names]])*1, 0))</f>
        <v>0</v>
      </c>
      <c r="H188" cm="1">
        <f t="array" ref="H188">INDEX(Table1[riBAQ 21], MATCH(1, (Table3[[#This Row],[Gene names]:[Gene names]] = Table1[[Gene names]:[Gene names]])*1, 0))</f>
        <v>0</v>
      </c>
      <c r="I188" cm="1">
        <f t="array" ref="I188">INDEX(Table1[riBAQ 22], MATCH(1, (Table3[[#This Row],[Gene names]:[Gene names]] = Table1[[Gene names]:[Gene names]])*1, 0))</f>
        <v>0</v>
      </c>
      <c r="J188" cm="1">
        <f t="array" ref="J188">INDEX(Table1[riBAQ 23], MATCH(1, (Table3[[#This Row],[Gene names]:[Gene names]] = Table1[[Gene names]:[Gene names]])*1, 0))</f>
        <v>0</v>
      </c>
      <c r="K188" cm="1">
        <f t="array" ref="K188">INDEX(Table1[riBAQ 37], MATCH(1, (Table3[[#This Row],[Gene names]:[Gene names]] = Table1[[Gene names]:[Gene names]])*1, 0))</f>
        <v>1.22E-5</v>
      </c>
      <c r="L188" cm="1">
        <f t="array" ref="L188">INDEX(Table1[riBAQ 38], MATCH(1, (Table3[[#This Row],[Gene names]:[Gene names]] = Table1[[Gene names]:[Gene names]])*1, 0))</f>
        <v>0</v>
      </c>
      <c r="M188" cm="1">
        <f t="array" ref="M188">INDEX(Table1[riBAQ 39], MATCH(1, (Table3[[#This Row],[Gene names]:[Gene names]] = Table1[[Gene names]:[Gene names]])*1, 0))</f>
        <v>0</v>
      </c>
      <c r="N188" cm="1">
        <f t="array" ref="N188">INDEX(Table1[riBAQ 40], MATCH(1, (Table3[[#This Row],[Gene names]:[Gene names]] = Table1[[Gene names]:[Gene names]])*1, 0))</f>
        <v>0</v>
      </c>
      <c r="O188" cm="1">
        <f t="array" ref="O188">INDEX(Table1[riBAQ 41], MATCH(1, (Table3[[#This Row],[Gene names]:[Gene names]] = Table1[[Gene names]:[Gene names]])*1, 0))</f>
        <v>0</v>
      </c>
      <c r="P188" cm="1">
        <f t="array" ref="P188">INDEX(Table1[riBAQ 24], MATCH(1, (Table3[[#This Row],[Gene names]:[Gene names]] = Table1[[Gene names]:[Gene names]])*1, 0))</f>
        <v>2.62E-5</v>
      </c>
      <c r="Q188" cm="1">
        <f t="array" ref="Q188">INDEX(Table1[riBAQ 25], MATCH(1, (Table3[[#This Row],[Gene names]:[Gene names]] = Table1[[Gene names]:[Gene names]])*1, 0))</f>
        <v>2.6100000000000001E-5</v>
      </c>
      <c r="R188" cm="1">
        <f t="array" ref="R188">INDEX(Table1[riBAQ 26], MATCH(1, (Table3[[#This Row],[Gene names]:[Gene names]] = Table1[[Gene names]:[Gene names]])*1, 0))</f>
        <v>2.3900000000000002E-5</v>
      </c>
      <c r="S188" cm="1">
        <f t="array" ref="S188">INDEX(Table1[riBAQ 42], MATCH(1, (Table3[[#This Row],[Gene names]:[Gene names]] = Table1[[Gene names]:[Gene names]])*1, 0))</f>
        <v>1.4E-5</v>
      </c>
      <c r="T188" cm="1">
        <f t="array" ref="T188">INDEX(Table1[riBAQ 43], MATCH(1, (Table3[[#This Row],[Gene names]:[Gene names]] = Table1[[Gene names]:[Gene names]])*1, 0))</f>
        <v>1.5800000000000001E-5</v>
      </c>
    </row>
    <row r="189" spans="1:20" x14ac:dyDescent="0.25">
      <c r="A189" t="s">
        <v>538</v>
      </c>
      <c r="B189" cm="1">
        <f t="array" ref="B189">INDEX(Table1[riBAQ 17], MATCH(1, (Table3[[#This Row],[Gene names]:[Gene names]] = Table1[[Gene names]:[Gene names]])*1, 0))</f>
        <v>8.0762499999999997E-4</v>
      </c>
      <c r="C189" cm="1">
        <f t="array" ref="C189">INDEX(Table1[riBAQ 18], MATCH(1, (Table3[[#This Row],[Gene names]:[Gene names]] = Table1[[Gene names]:[Gene names]])*1, 0))</f>
        <v>1.379354E-3</v>
      </c>
      <c r="D189" cm="1">
        <f t="array" ref="D189">INDEX(Table1[riBAQ 35], MATCH(1, (Table3[[#This Row],[Gene names]:[Gene names]] = Table1[[Gene names]:[Gene names]])*1, 0))</f>
        <v>9.0205199999999998E-4</v>
      </c>
      <c r="E189" cm="1">
        <f t="array" ref="E189">INDEX(Table1[riBAQ 36], MATCH(1, (Table3[[#This Row],[Gene names]:[Gene names]] = Table1[[Gene names]:[Gene names]])*1, 0))</f>
        <v>1.160169E-3</v>
      </c>
      <c r="F189" cm="1">
        <f t="array" ref="F189">INDEX(Table1[riBAQ 19], MATCH(1, (Table3[[#This Row],[Gene names]:[Gene names]] = Table1[[Gene names]:[Gene names]])*1, 0))</f>
        <v>8.1406100000000004E-4</v>
      </c>
      <c r="G189" cm="1">
        <f t="array" ref="G189">INDEX(Table1[riBAQ 20], MATCH(1, (Table3[[#This Row],[Gene names]:[Gene names]] = Table1[[Gene names]:[Gene names]])*1, 0))</f>
        <v>1.18081E-3</v>
      </c>
      <c r="H189" cm="1">
        <f t="array" ref="H189">INDEX(Table1[riBAQ 21], MATCH(1, (Table3[[#This Row],[Gene names]:[Gene names]] = Table1[[Gene names]:[Gene names]])*1, 0))</f>
        <v>1.653566E-3</v>
      </c>
      <c r="I189" cm="1">
        <f t="array" ref="I189">INDEX(Table1[riBAQ 22], MATCH(1, (Table3[[#This Row],[Gene names]:[Gene names]] = Table1[[Gene names]:[Gene names]])*1, 0))</f>
        <v>1.6949999999999999E-3</v>
      </c>
      <c r="J189" cm="1">
        <f t="array" ref="J189">INDEX(Table1[riBAQ 23], MATCH(1, (Table3[[#This Row],[Gene names]:[Gene names]] = Table1[[Gene names]:[Gene names]])*1, 0))</f>
        <v>9.7657199999999999E-4</v>
      </c>
      <c r="K189" cm="1">
        <f t="array" ref="K189">INDEX(Table1[riBAQ 37], MATCH(1, (Table3[[#This Row],[Gene names]:[Gene names]] = Table1[[Gene names]:[Gene names]])*1, 0))</f>
        <v>1.0094769999999999E-3</v>
      </c>
      <c r="L189" cm="1">
        <f t="array" ref="L189">INDEX(Table1[riBAQ 38], MATCH(1, (Table3[[#This Row],[Gene names]:[Gene names]] = Table1[[Gene names]:[Gene names]])*1, 0))</f>
        <v>1.0759070000000001E-3</v>
      </c>
      <c r="M189" cm="1">
        <f t="array" ref="M189">INDEX(Table1[riBAQ 39], MATCH(1, (Table3[[#This Row],[Gene names]:[Gene names]] = Table1[[Gene names]:[Gene names]])*1, 0))</f>
        <v>1.0352790000000001E-3</v>
      </c>
      <c r="N189" cm="1">
        <f t="array" ref="N189">INDEX(Table1[riBAQ 40], MATCH(1, (Table3[[#This Row],[Gene names]:[Gene names]] = Table1[[Gene names]:[Gene names]])*1, 0))</f>
        <v>1.0686560000000001E-3</v>
      </c>
      <c r="O189" cm="1">
        <f t="array" ref="O189">INDEX(Table1[riBAQ 41], MATCH(1, (Table3[[#This Row],[Gene names]:[Gene names]] = Table1[[Gene names]:[Gene names]])*1, 0))</f>
        <v>9.4329600000000004E-4</v>
      </c>
      <c r="P189" cm="1">
        <f t="array" ref="P189">INDEX(Table1[riBAQ 24], MATCH(1, (Table3[[#This Row],[Gene names]:[Gene names]] = Table1[[Gene names]:[Gene names]])*1, 0))</f>
        <v>1.2912189999999999E-3</v>
      </c>
      <c r="Q189" cm="1">
        <f t="array" ref="Q189">INDEX(Table1[riBAQ 25], MATCH(1, (Table3[[#This Row],[Gene names]:[Gene names]] = Table1[[Gene names]:[Gene names]])*1, 0))</f>
        <v>1.6601280000000001E-3</v>
      </c>
      <c r="R189" cm="1">
        <f t="array" ref="R189">INDEX(Table1[riBAQ 26], MATCH(1, (Table3[[#This Row],[Gene names]:[Gene names]] = Table1[[Gene names]:[Gene names]])*1, 0))</f>
        <v>1.5776329999999999E-3</v>
      </c>
      <c r="S189" cm="1">
        <f t="array" ref="S189">INDEX(Table1[riBAQ 42], MATCH(1, (Table3[[#This Row],[Gene names]:[Gene names]] = Table1[[Gene names]:[Gene names]])*1, 0))</f>
        <v>1.6489720000000001E-3</v>
      </c>
      <c r="T189" cm="1">
        <f t="array" ref="T189">INDEX(Table1[riBAQ 43], MATCH(1, (Table3[[#This Row],[Gene names]:[Gene names]] = Table1[[Gene names]:[Gene names]])*1, 0))</f>
        <v>1.4749780000000001E-3</v>
      </c>
    </row>
    <row r="190" spans="1:20" x14ac:dyDescent="0.25">
      <c r="A190" t="s">
        <v>1189</v>
      </c>
      <c r="B190" cm="1">
        <f t="array" ref="B190">INDEX(Table1[riBAQ 17], MATCH(1, (Table3[[#This Row],[Gene names]:[Gene names]] = Table1[[Gene names]:[Gene names]])*1, 0))</f>
        <v>3.15E-5</v>
      </c>
      <c r="C190" cm="1">
        <f t="array" ref="C190">INDEX(Table1[riBAQ 18], MATCH(1, (Table3[[#This Row],[Gene names]:[Gene names]] = Table1[[Gene names]:[Gene names]])*1, 0))</f>
        <v>2.58E-5</v>
      </c>
      <c r="D190" cm="1">
        <f t="array" ref="D190">INDEX(Table1[riBAQ 35], MATCH(1, (Table3[[#This Row],[Gene names]:[Gene names]] = Table1[[Gene names]:[Gene names]])*1, 0))</f>
        <v>1.98E-5</v>
      </c>
      <c r="E190" cm="1">
        <f t="array" ref="E190">INDEX(Table1[riBAQ 36], MATCH(1, (Table3[[#This Row],[Gene names]:[Gene names]] = Table1[[Gene names]:[Gene names]])*1, 0))</f>
        <v>1.66E-5</v>
      </c>
      <c r="F190" cm="1">
        <f t="array" ref="F190">INDEX(Table1[riBAQ 19], MATCH(1, (Table3[[#This Row],[Gene names]:[Gene names]] = Table1[[Gene names]:[Gene names]])*1, 0))</f>
        <v>2.72E-5</v>
      </c>
      <c r="G190" cm="1">
        <f t="array" ref="G190">INDEX(Table1[riBAQ 20], MATCH(1, (Table3[[#This Row],[Gene names]:[Gene names]] = Table1[[Gene names]:[Gene names]])*1, 0))</f>
        <v>3.6699999999999998E-5</v>
      </c>
      <c r="H190" cm="1">
        <f t="array" ref="H190">INDEX(Table1[riBAQ 21], MATCH(1, (Table3[[#This Row],[Gene names]:[Gene names]] = Table1[[Gene names]:[Gene names]])*1, 0))</f>
        <v>3.8099999999999998E-5</v>
      </c>
      <c r="I190" cm="1">
        <f t="array" ref="I190">INDEX(Table1[riBAQ 22], MATCH(1, (Table3[[#This Row],[Gene names]:[Gene names]] = Table1[[Gene names]:[Gene names]])*1, 0))</f>
        <v>2.4000000000000001E-5</v>
      </c>
      <c r="J190" cm="1">
        <f t="array" ref="J190">INDEX(Table1[riBAQ 23], MATCH(1, (Table3[[#This Row],[Gene names]:[Gene names]] = Table1[[Gene names]:[Gene names]])*1, 0))</f>
        <v>2.1299999999999999E-5</v>
      </c>
      <c r="K190" cm="1">
        <f t="array" ref="K190">INDEX(Table1[riBAQ 37], MATCH(1, (Table3[[#This Row],[Gene names]:[Gene names]] = Table1[[Gene names]:[Gene names]])*1, 0))</f>
        <v>3.6600000000000002E-5</v>
      </c>
      <c r="L190" cm="1">
        <f t="array" ref="L190">INDEX(Table1[riBAQ 38], MATCH(1, (Table3[[#This Row],[Gene names]:[Gene names]] = Table1[[Gene names]:[Gene names]])*1, 0))</f>
        <v>3.0300000000000001E-5</v>
      </c>
      <c r="M190" cm="1">
        <f t="array" ref="M190">INDEX(Table1[riBAQ 39], MATCH(1, (Table3[[#This Row],[Gene names]:[Gene names]] = Table1[[Gene names]:[Gene names]])*1, 0))</f>
        <v>2.6400000000000001E-5</v>
      </c>
      <c r="N190" cm="1">
        <f t="array" ref="N190">INDEX(Table1[riBAQ 40], MATCH(1, (Table3[[#This Row],[Gene names]:[Gene names]] = Table1[[Gene names]:[Gene names]])*1, 0))</f>
        <v>2.3300000000000001E-5</v>
      </c>
      <c r="O190" cm="1">
        <f t="array" ref="O190">INDEX(Table1[riBAQ 41], MATCH(1, (Table3[[#This Row],[Gene names]:[Gene names]] = Table1[[Gene names]:[Gene names]])*1, 0))</f>
        <v>1.2300000000000001E-5</v>
      </c>
      <c r="P190" cm="1">
        <f t="array" ref="P190">INDEX(Table1[riBAQ 24], MATCH(1, (Table3[[#This Row],[Gene names]:[Gene names]] = Table1[[Gene names]:[Gene names]])*1, 0))</f>
        <v>5.52E-5</v>
      </c>
      <c r="Q190" cm="1">
        <f t="array" ref="Q190">INDEX(Table1[riBAQ 25], MATCH(1, (Table3[[#This Row],[Gene names]:[Gene names]] = Table1[[Gene names]:[Gene names]])*1, 0))</f>
        <v>9.8900000000000005E-5</v>
      </c>
      <c r="R190" cm="1">
        <f t="array" ref="R190">INDEX(Table1[riBAQ 26], MATCH(1, (Table3[[#This Row],[Gene names]:[Gene names]] = Table1[[Gene names]:[Gene names]])*1, 0))</f>
        <v>6.8800000000000005E-5</v>
      </c>
      <c r="S190" cm="1">
        <f t="array" ref="S190">INDEX(Table1[riBAQ 42], MATCH(1, (Table3[[#This Row],[Gene names]:[Gene names]] = Table1[[Gene names]:[Gene names]])*1, 0))</f>
        <v>8.1799999999999996E-5</v>
      </c>
      <c r="T190" cm="1">
        <f t="array" ref="T190">INDEX(Table1[riBAQ 43], MATCH(1, (Table3[[#This Row],[Gene names]:[Gene names]] = Table1[[Gene names]:[Gene names]])*1, 0))</f>
        <v>1.0037E-4</v>
      </c>
    </row>
    <row r="191" spans="1:20" x14ac:dyDescent="0.25">
      <c r="A191" t="s">
        <v>1726</v>
      </c>
      <c r="B191" cm="1">
        <f t="array" ref="B191">INDEX(Table1[riBAQ 17], MATCH(1, (Table3[[#This Row],[Gene names]:[Gene names]] = Table1[[Gene names]:[Gene names]])*1, 0))</f>
        <v>1.7929440000000001E-3</v>
      </c>
      <c r="C191" cm="1">
        <f t="array" ref="C191">INDEX(Table1[riBAQ 18], MATCH(1, (Table3[[#This Row],[Gene names]:[Gene names]] = Table1[[Gene names]:[Gene names]])*1, 0))</f>
        <v>2.1541099999999999E-3</v>
      </c>
      <c r="D191" cm="1">
        <f t="array" ref="D191">INDEX(Table1[riBAQ 35], MATCH(1, (Table3[[#This Row],[Gene names]:[Gene names]] = Table1[[Gene names]:[Gene names]])*1, 0))</f>
        <v>2.2319390000000001E-3</v>
      </c>
      <c r="E191" cm="1">
        <f t="array" ref="E191">INDEX(Table1[riBAQ 36], MATCH(1, (Table3[[#This Row],[Gene names]:[Gene names]] = Table1[[Gene names]:[Gene names]])*1, 0))</f>
        <v>1.9181370000000001E-3</v>
      </c>
      <c r="F191" cm="1">
        <f t="array" ref="F191">INDEX(Table1[riBAQ 19], MATCH(1, (Table3[[#This Row],[Gene names]:[Gene names]] = Table1[[Gene names]:[Gene names]])*1, 0))</f>
        <v>1.568704E-3</v>
      </c>
      <c r="G191" cm="1">
        <f t="array" ref="G191">INDEX(Table1[riBAQ 20], MATCH(1, (Table3[[#This Row],[Gene names]:[Gene names]] = Table1[[Gene names]:[Gene names]])*1, 0))</f>
        <v>1.708436E-3</v>
      </c>
      <c r="H191" cm="1">
        <f t="array" ref="H191">INDEX(Table1[riBAQ 21], MATCH(1, (Table3[[#This Row],[Gene names]:[Gene names]] = Table1[[Gene names]:[Gene names]])*1, 0))</f>
        <v>1.650087E-3</v>
      </c>
      <c r="I191" cm="1">
        <f t="array" ref="I191">INDEX(Table1[riBAQ 22], MATCH(1, (Table3[[#This Row],[Gene names]:[Gene names]] = Table1[[Gene names]:[Gene names]])*1, 0))</f>
        <v>1.4575020000000001E-3</v>
      </c>
      <c r="J191" cm="1">
        <f t="array" ref="J191">INDEX(Table1[riBAQ 23], MATCH(1, (Table3[[#This Row],[Gene names]:[Gene names]] = Table1[[Gene names]:[Gene names]])*1, 0))</f>
        <v>1.7157940000000001E-3</v>
      </c>
      <c r="K191" cm="1">
        <f t="array" ref="K191">INDEX(Table1[riBAQ 37], MATCH(1, (Table3[[#This Row],[Gene names]:[Gene names]] = Table1[[Gene names]:[Gene names]])*1, 0))</f>
        <v>2.620271E-3</v>
      </c>
      <c r="L191" cm="1">
        <f t="array" ref="L191">INDEX(Table1[riBAQ 38], MATCH(1, (Table3[[#This Row],[Gene names]:[Gene names]] = Table1[[Gene names]:[Gene names]])*1, 0))</f>
        <v>1.879305E-3</v>
      </c>
      <c r="M191" cm="1">
        <f t="array" ref="M191">INDEX(Table1[riBAQ 39], MATCH(1, (Table3[[#This Row],[Gene names]:[Gene names]] = Table1[[Gene names]:[Gene names]])*1, 0))</f>
        <v>1.032617E-3</v>
      </c>
      <c r="N191" cm="1">
        <f t="array" ref="N191">INDEX(Table1[riBAQ 40], MATCH(1, (Table3[[#This Row],[Gene names]:[Gene names]] = Table1[[Gene names]:[Gene names]])*1, 0))</f>
        <v>1.428878E-3</v>
      </c>
      <c r="O191" cm="1">
        <f t="array" ref="O191">INDEX(Table1[riBAQ 41], MATCH(1, (Table3[[#This Row],[Gene names]:[Gene names]] = Table1[[Gene names]:[Gene names]])*1, 0))</f>
        <v>2.2151110000000001E-3</v>
      </c>
      <c r="P191" cm="1">
        <f t="array" ref="P191">INDEX(Table1[riBAQ 24], MATCH(1, (Table3[[#This Row],[Gene names]:[Gene names]] = Table1[[Gene names]:[Gene names]])*1, 0))</f>
        <v>8.4632999999999996E-4</v>
      </c>
      <c r="Q191" cm="1">
        <f t="array" ref="Q191">INDEX(Table1[riBAQ 25], MATCH(1, (Table3[[#This Row],[Gene names]:[Gene names]] = Table1[[Gene names]:[Gene names]])*1, 0))</f>
        <v>2.8040699999999999E-4</v>
      </c>
      <c r="R191" cm="1">
        <f t="array" ref="R191">INDEX(Table1[riBAQ 26], MATCH(1, (Table3[[#This Row],[Gene names]:[Gene names]] = Table1[[Gene names]:[Gene names]])*1, 0))</f>
        <v>5.39793E-4</v>
      </c>
      <c r="S191" cm="1">
        <f t="array" ref="S191">INDEX(Table1[riBAQ 42], MATCH(1, (Table3[[#This Row],[Gene names]:[Gene names]] = Table1[[Gene names]:[Gene names]])*1, 0))</f>
        <v>3.42374E-4</v>
      </c>
      <c r="T191" cm="1">
        <f t="array" ref="T191">INDEX(Table1[riBAQ 43], MATCH(1, (Table3[[#This Row],[Gene names]:[Gene names]] = Table1[[Gene names]:[Gene names]])*1, 0))</f>
        <v>3.7879800000000001E-4</v>
      </c>
    </row>
    <row r="192" spans="1:20" x14ac:dyDescent="0.25">
      <c r="A192" t="s">
        <v>1766</v>
      </c>
      <c r="B192" cm="1">
        <f t="array" ref="B192">INDEX(Table1[riBAQ 17], MATCH(1, (Table3[[#This Row],[Gene names]:[Gene names]] = Table1[[Gene names]:[Gene names]])*1, 0))</f>
        <v>5.2046899999999997E-4</v>
      </c>
      <c r="C192" cm="1">
        <f t="array" ref="C192">INDEX(Table1[riBAQ 18], MATCH(1, (Table3[[#This Row],[Gene names]:[Gene names]] = Table1[[Gene names]:[Gene names]])*1, 0))</f>
        <v>4.6308599999999998E-4</v>
      </c>
      <c r="D192" cm="1">
        <f t="array" ref="D192">INDEX(Table1[riBAQ 35], MATCH(1, (Table3[[#This Row],[Gene names]:[Gene names]] = Table1[[Gene names]:[Gene names]])*1, 0))</f>
        <v>4.5052599999999998E-4</v>
      </c>
      <c r="E192" cm="1">
        <f t="array" ref="E192">INDEX(Table1[riBAQ 36], MATCH(1, (Table3[[#This Row],[Gene names]:[Gene names]] = Table1[[Gene names]:[Gene names]])*1, 0))</f>
        <v>5.6746200000000002E-4</v>
      </c>
      <c r="F192" cm="1">
        <f t="array" ref="F192">INDEX(Table1[riBAQ 19], MATCH(1, (Table3[[#This Row],[Gene names]:[Gene names]] = Table1[[Gene names]:[Gene names]])*1, 0))</f>
        <v>4.1682999999999998E-4</v>
      </c>
      <c r="G192" cm="1">
        <f t="array" ref="G192">INDEX(Table1[riBAQ 20], MATCH(1, (Table3[[#This Row],[Gene names]:[Gene names]] = Table1[[Gene names]:[Gene names]])*1, 0))</f>
        <v>4.0683499999999998E-4</v>
      </c>
      <c r="H192" cm="1">
        <f t="array" ref="H192">INDEX(Table1[riBAQ 21], MATCH(1, (Table3[[#This Row],[Gene names]:[Gene names]] = Table1[[Gene names]:[Gene names]])*1, 0))</f>
        <v>3.8940099999999999E-4</v>
      </c>
      <c r="I192" cm="1">
        <f t="array" ref="I192">INDEX(Table1[riBAQ 22], MATCH(1, (Table3[[#This Row],[Gene names]:[Gene names]] = Table1[[Gene names]:[Gene names]])*1, 0))</f>
        <v>6.1111599999999998E-4</v>
      </c>
      <c r="J192" cm="1">
        <f t="array" ref="J192">INDEX(Table1[riBAQ 23], MATCH(1, (Table3[[#This Row],[Gene names]:[Gene names]] = Table1[[Gene names]:[Gene names]])*1, 0))</f>
        <v>4.9696400000000002E-4</v>
      </c>
      <c r="K192" cm="1">
        <f t="array" ref="K192">INDEX(Table1[riBAQ 37], MATCH(1, (Table3[[#This Row],[Gene names]:[Gene names]] = Table1[[Gene names]:[Gene names]])*1, 0))</f>
        <v>3.3041599999999999E-4</v>
      </c>
      <c r="L192" cm="1">
        <f t="array" ref="L192">INDEX(Table1[riBAQ 38], MATCH(1, (Table3[[#This Row],[Gene names]:[Gene names]] = Table1[[Gene names]:[Gene names]])*1, 0))</f>
        <v>6.1704399999999997E-4</v>
      </c>
      <c r="M192" cm="1">
        <f t="array" ref="M192">INDEX(Table1[riBAQ 39], MATCH(1, (Table3[[#This Row],[Gene names]:[Gene names]] = Table1[[Gene names]:[Gene names]])*1, 0))</f>
        <v>5.2610799999999996E-4</v>
      </c>
      <c r="N192" cm="1">
        <f t="array" ref="N192">INDEX(Table1[riBAQ 40], MATCH(1, (Table3[[#This Row],[Gene names]:[Gene names]] = Table1[[Gene names]:[Gene names]])*1, 0))</f>
        <v>7.82783E-4</v>
      </c>
      <c r="O192" cm="1">
        <f t="array" ref="O192">INDEX(Table1[riBAQ 41], MATCH(1, (Table3[[#This Row],[Gene names]:[Gene names]] = Table1[[Gene names]:[Gene names]])*1, 0))</f>
        <v>5.0016000000000004E-4</v>
      </c>
      <c r="P192" cm="1">
        <f t="array" ref="P192">INDEX(Table1[riBAQ 24], MATCH(1, (Table3[[#This Row],[Gene names]:[Gene names]] = Table1[[Gene names]:[Gene names]])*1, 0))</f>
        <v>3.7022299999999998E-4</v>
      </c>
      <c r="Q192" cm="1">
        <f t="array" ref="Q192">INDEX(Table1[riBAQ 25], MATCH(1, (Table3[[#This Row],[Gene names]:[Gene names]] = Table1[[Gene names]:[Gene names]])*1, 0))</f>
        <v>2.4663799999999998E-4</v>
      </c>
      <c r="R192" cm="1">
        <f t="array" ref="R192">INDEX(Table1[riBAQ 26], MATCH(1, (Table3[[#This Row],[Gene names]:[Gene names]] = Table1[[Gene names]:[Gene names]])*1, 0))</f>
        <v>2.17717E-4</v>
      </c>
      <c r="S192" cm="1">
        <f t="array" ref="S192">INDEX(Table1[riBAQ 42], MATCH(1, (Table3[[#This Row],[Gene names]:[Gene names]] = Table1[[Gene names]:[Gene names]])*1, 0))</f>
        <v>1.5774699999999999E-4</v>
      </c>
      <c r="T192" cm="1">
        <f t="array" ref="T192">INDEX(Table1[riBAQ 43], MATCH(1, (Table3[[#This Row],[Gene names]:[Gene names]] = Table1[[Gene names]:[Gene names]])*1, 0))</f>
        <v>3.3122499999999999E-4</v>
      </c>
    </row>
    <row r="193" spans="1:20" x14ac:dyDescent="0.25">
      <c r="A193" t="s">
        <v>469</v>
      </c>
      <c r="B193" cm="1">
        <f t="array" ref="B193">INDEX(Table1[riBAQ 17], MATCH(1, (Table3[[#This Row],[Gene names]:[Gene names]] = Table1[[Gene names]:[Gene names]])*1, 0))</f>
        <v>1.1800000000000001E-5</v>
      </c>
      <c r="C193" cm="1">
        <f t="array" ref="C193">INDEX(Table1[riBAQ 18], MATCH(1, (Table3[[#This Row],[Gene names]:[Gene names]] = Table1[[Gene names]:[Gene names]])*1, 0))</f>
        <v>2.51E-5</v>
      </c>
      <c r="D193" cm="1">
        <f t="array" ref="D193">INDEX(Table1[riBAQ 35], MATCH(1, (Table3[[#This Row],[Gene names]:[Gene names]] = Table1[[Gene names]:[Gene names]])*1, 0))</f>
        <v>1.6900000000000001E-5</v>
      </c>
      <c r="E193" cm="1">
        <f t="array" ref="E193">INDEX(Table1[riBAQ 36], MATCH(1, (Table3[[#This Row],[Gene names]:[Gene names]] = Table1[[Gene names]:[Gene names]])*1, 0))</f>
        <v>1.8099999999999999E-5</v>
      </c>
      <c r="F193" cm="1">
        <f t="array" ref="F193">INDEX(Table1[riBAQ 19], MATCH(1, (Table3[[#This Row],[Gene names]:[Gene names]] = Table1[[Gene names]:[Gene names]])*1, 0))</f>
        <v>1.04E-5</v>
      </c>
      <c r="G193" cm="1">
        <f t="array" ref="G193">INDEX(Table1[riBAQ 20], MATCH(1, (Table3[[#This Row],[Gene names]:[Gene names]] = Table1[[Gene names]:[Gene names]])*1, 0))</f>
        <v>1.91E-5</v>
      </c>
      <c r="H193" cm="1">
        <f t="array" ref="H193">INDEX(Table1[riBAQ 21], MATCH(1, (Table3[[#This Row],[Gene names]:[Gene names]] = Table1[[Gene names]:[Gene names]])*1, 0))</f>
        <v>6.3300000000000004E-6</v>
      </c>
      <c r="I193" cm="1">
        <f t="array" ref="I193">INDEX(Table1[riBAQ 22], MATCH(1, (Table3[[#This Row],[Gene names]:[Gene names]] = Table1[[Gene names]:[Gene names]])*1, 0))</f>
        <v>1.1600000000000001E-5</v>
      </c>
      <c r="J193" cm="1">
        <f t="array" ref="J193">INDEX(Table1[riBAQ 23], MATCH(1, (Table3[[#This Row],[Gene names]:[Gene names]] = Table1[[Gene names]:[Gene names]])*1, 0))</f>
        <v>6.1299999999999998E-6</v>
      </c>
      <c r="K193" cm="1">
        <f t="array" ref="K193">INDEX(Table1[riBAQ 37], MATCH(1, (Table3[[#This Row],[Gene names]:[Gene names]] = Table1[[Gene names]:[Gene names]])*1, 0))</f>
        <v>1.15E-5</v>
      </c>
      <c r="L193" cm="1">
        <f t="array" ref="L193">INDEX(Table1[riBAQ 38], MATCH(1, (Table3[[#This Row],[Gene names]:[Gene names]] = Table1[[Gene names]:[Gene names]])*1, 0))</f>
        <v>1.6900000000000001E-5</v>
      </c>
      <c r="M193" cm="1">
        <f t="array" ref="M193">INDEX(Table1[riBAQ 39], MATCH(1, (Table3[[#This Row],[Gene names]:[Gene names]] = Table1[[Gene names]:[Gene names]])*1, 0))</f>
        <v>4.1200000000000004E-6</v>
      </c>
      <c r="N193" cm="1">
        <f t="array" ref="N193">INDEX(Table1[riBAQ 40], MATCH(1, (Table3[[#This Row],[Gene names]:[Gene names]] = Table1[[Gene names]:[Gene names]])*1, 0))</f>
        <v>8.9900000000000003E-6</v>
      </c>
      <c r="O193" cm="1">
        <f t="array" ref="O193">INDEX(Table1[riBAQ 41], MATCH(1, (Table3[[#This Row],[Gene names]:[Gene names]] = Table1[[Gene names]:[Gene names]])*1, 0))</f>
        <v>9.6399999999999992E-6</v>
      </c>
      <c r="P193" cm="1">
        <f t="array" ref="P193">INDEX(Table1[riBAQ 24], MATCH(1, (Table3[[#This Row],[Gene names]:[Gene names]] = Table1[[Gene names]:[Gene names]])*1, 0))</f>
        <v>1.24E-5</v>
      </c>
      <c r="Q193" cm="1">
        <f t="array" ref="Q193">INDEX(Table1[riBAQ 25], MATCH(1, (Table3[[#This Row],[Gene names]:[Gene names]] = Table1[[Gene names]:[Gene names]])*1, 0))</f>
        <v>2.8200000000000001E-5</v>
      </c>
      <c r="R193" cm="1">
        <f t="array" ref="R193">INDEX(Table1[riBAQ 26], MATCH(1, (Table3[[#This Row],[Gene names]:[Gene names]] = Table1[[Gene names]:[Gene names]])*1, 0))</f>
        <v>1.8300000000000001E-5</v>
      </c>
      <c r="S193" cm="1">
        <f t="array" ref="S193">INDEX(Table1[riBAQ 42], MATCH(1, (Table3[[#This Row],[Gene names]:[Gene names]] = Table1[[Gene names]:[Gene names]])*1, 0))</f>
        <v>2.58E-5</v>
      </c>
      <c r="T193" cm="1">
        <f t="array" ref="T193">INDEX(Table1[riBAQ 43], MATCH(1, (Table3[[#This Row],[Gene names]:[Gene names]] = Table1[[Gene names]:[Gene names]])*1, 0))</f>
        <v>2.7800000000000001E-5</v>
      </c>
    </row>
    <row r="194" spans="1:20" x14ac:dyDescent="0.25">
      <c r="A194" t="s">
        <v>24</v>
      </c>
      <c r="B194" cm="1">
        <f t="array" ref="B194">INDEX(Table1[riBAQ 17], MATCH(1, (Table3[[#This Row],[Gene names]:[Gene names]] = Table1[[Gene names]:[Gene names]])*1, 0))</f>
        <v>1.8140800000000001E-4</v>
      </c>
      <c r="C194" cm="1">
        <f t="array" ref="C194">INDEX(Table1[riBAQ 18], MATCH(1, (Table3[[#This Row],[Gene names]:[Gene names]] = Table1[[Gene names]:[Gene names]])*1, 0))</f>
        <v>4.0099999999999999E-5</v>
      </c>
      <c r="D194" cm="1">
        <f t="array" ref="D194">INDEX(Table1[riBAQ 35], MATCH(1, (Table3[[#This Row],[Gene names]:[Gene names]] = Table1[[Gene names]:[Gene names]])*1, 0))</f>
        <v>8.2600000000000002E-5</v>
      </c>
      <c r="E194" cm="1">
        <f t="array" ref="E194">INDEX(Table1[riBAQ 36], MATCH(1, (Table3[[#This Row],[Gene names]:[Gene names]] = Table1[[Gene names]:[Gene names]])*1, 0))</f>
        <v>7.1600000000000006E-5</v>
      </c>
      <c r="F194" cm="1">
        <f t="array" ref="F194">INDEX(Table1[riBAQ 19], MATCH(1, (Table3[[#This Row],[Gene names]:[Gene names]] = Table1[[Gene names]:[Gene names]])*1, 0))</f>
        <v>9.3300000000000005E-5</v>
      </c>
      <c r="G194" cm="1">
        <f t="array" ref="G194">INDEX(Table1[riBAQ 20], MATCH(1, (Table3[[#This Row],[Gene names]:[Gene names]] = Table1[[Gene names]:[Gene names]])*1, 0))</f>
        <v>4.71E-5</v>
      </c>
      <c r="H194" cm="1">
        <f t="array" ref="H194">INDEX(Table1[riBAQ 21], MATCH(1, (Table3[[#This Row],[Gene names]:[Gene names]] = Table1[[Gene names]:[Gene names]])*1, 0))</f>
        <v>1.5667799999999999E-4</v>
      </c>
      <c r="I194" cm="1">
        <f t="array" ref="I194">INDEX(Table1[riBAQ 22], MATCH(1, (Table3[[#This Row],[Gene names]:[Gene names]] = Table1[[Gene names]:[Gene names]])*1, 0))</f>
        <v>8.6000000000000003E-5</v>
      </c>
      <c r="J194" cm="1">
        <f t="array" ref="J194">INDEX(Table1[riBAQ 23], MATCH(1, (Table3[[#This Row],[Gene names]:[Gene names]] = Table1[[Gene names]:[Gene names]])*1, 0))</f>
        <v>1.2037200000000001E-4</v>
      </c>
      <c r="K194" cm="1">
        <f t="array" ref="K194">INDEX(Table1[riBAQ 37], MATCH(1, (Table3[[#This Row],[Gene names]:[Gene names]] = Table1[[Gene names]:[Gene names]])*1, 0))</f>
        <v>8.3499999999999997E-5</v>
      </c>
      <c r="L194" cm="1">
        <f t="array" ref="L194">INDEX(Table1[riBAQ 38], MATCH(1, (Table3[[#This Row],[Gene names]:[Gene names]] = Table1[[Gene names]:[Gene names]])*1, 0))</f>
        <v>5.1700000000000003E-5</v>
      </c>
      <c r="M194" cm="1">
        <f t="array" ref="M194">INDEX(Table1[riBAQ 39], MATCH(1, (Table3[[#This Row],[Gene names]:[Gene names]] = Table1[[Gene names]:[Gene names]])*1, 0))</f>
        <v>1.03349E-4</v>
      </c>
      <c r="N194" cm="1">
        <f t="array" ref="N194">INDEX(Table1[riBAQ 40], MATCH(1, (Table3[[#This Row],[Gene names]:[Gene names]] = Table1[[Gene names]:[Gene names]])*1, 0))</f>
        <v>1.19806E-4</v>
      </c>
      <c r="O194" cm="1">
        <f t="array" ref="O194">INDEX(Table1[riBAQ 41], MATCH(1, (Table3[[#This Row],[Gene names]:[Gene names]] = Table1[[Gene names]:[Gene names]])*1, 0))</f>
        <v>8.8900000000000006E-5</v>
      </c>
      <c r="P194" cm="1">
        <f t="array" ref="P194">INDEX(Table1[riBAQ 24], MATCH(1, (Table3[[#This Row],[Gene names]:[Gene names]] = Table1[[Gene names]:[Gene names]])*1, 0))</f>
        <v>1.5967800000000001E-4</v>
      </c>
      <c r="Q194" cm="1">
        <f t="array" ref="Q194">INDEX(Table1[riBAQ 25], MATCH(1, (Table3[[#This Row],[Gene names]:[Gene names]] = Table1[[Gene names]:[Gene names]])*1, 0))</f>
        <v>1.63976E-4</v>
      </c>
      <c r="R194" cm="1">
        <f t="array" ref="R194">INDEX(Table1[riBAQ 26], MATCH(1, (Table3[[#This Row],[Gene names]:[Gene names]] = Table1[[Gene names]:[Gene names]])*1, 0))</f>
        <v>1.7327400000000001E-4</v>
      </c>
      <c r="S194" cm="1">
        <f t="array" ref="S194">INDEX(Table1[riBAQ 42], MATCH(1, (Table3[[#This Row],[Gene names]:[Gene names]] = Table1[[Gene names]:[Gene names]])*1, 0))</f>
        <v>8.1299999999999997E-5</v>
      </c>
      <c r="T194" cm="1">
        <f t="array" ref="T194">INDEX(Table1[riBAQ 43], MATCH(1, (Table3[[#This Row],[Gene names]:[Gene names]] = Table1[[Gene names]:[Gene names]])*1, 0))</f>
        <v>2.5642599999999997E-4</v>
      </c>
    </row>
    <row r="195" spans="1:20" x14ac:dyDescent="0.25">
      <c r="A195" t="s">
        <v>1459</v>
      </c>
      <c r="B195" cm="1">
        <f t="array" ref="B195">INDEX(Table1[riBAQ 17], MATCH(1, (Table3[[#This Row],[Gene names]:[Gene names]] = Table1[[Gene names]:[Gene names]])*1, 0))</f>
        <v>6.0000000000000002E-5</v>
      </c>
      <c r="C195" cm="1">
        <f t="array" ref="C195">INDEX(Table1[riBAQ 18], MATCH(1, (Table3[[#This Row],[Gene names]:[Gene names]] = Table1[[Gene names]:[Gene names]])*1, 0))</f>
        <v>1.18214E-4</v>
      </c>
      <c r="D195" cm="1">
        <f t="array" ref="D195">INDEX(Table1[riBAQ 35], MATCH(1, (Table3[[#This Row],[Gene names]:[Gene names]] = Table1[[Gene names]:[Gene names]])*1, 0))</f>
        <v>6.3999999999999997E-5</v>
      </c>
      <c r="E195" cm="1">
        <f t="array" ref="E195">INDEX(Table1[riBAQ 36], MATCH(1, (Table3[[#This Row],[Gene names]:[Gene names]] = Table1[[Gene names]:[Gene names]])*1, 0))</f>
        <v>0</v>
      </c>
      <c r="F195" cm="1">
        <f t="array" ref="F195">INDEX(Table1[riBAQ 19], MATCH(1, (Table3[[#This Row],[Gene names]:[Gene names]] = Table1[[Gene names]:[Gene names]])*1, 0))</f>
        <v>6.3399999999999996E-5</v>
      </c>
      <c r="G195" cm="1">
        <f t="array" ref="G195">INDEX(Table1[riBAQ 20], MATCH(1, (Table3[[#This Row],[Gene names]:[Gene names]] = Table1[[Gene names]:[Gene names]])*1, 0))</f>
        <v>0</v>
      </c>
      <c r="H195" cm="1">
        <f t="array" ref="H195">INDEX(Table1[riBAQ 21], MATCH(1, (Table3[[#This Row],[Gene names]:[Gene names]] = Table1[[Gene names]:[Gene names]])*1, 0))</f>
        <v>0</v>
      </c>
      <c r="I195" cm="1">
        <f t="array" ref="I195">INDEX(Table1[riBAQ 22], MATCH(1, (Table3[[#This Row],[Gene names]:[Gene names]] = Table1[[Gene names]:[Gene names]])*1, 0))</f>
        <v>8.0699999999999996E-5</v>
      </c>
      <c r="J195" cm="1">
        <f t="array" ref="J195">INDEX(Table1[riBAQ 23], MATCH(1, (Table3[[#This Row],[Gene names]:[Gene names]] = Table1[[Gene names]:[Gene names]])*1, 0))</f>
        <v>0</v>
      </c>
      <c r="K195" cm="1">
        <f t="array" ref="K195">INDEX(Table1[riBAQ 37], MATCH(1, (Table3[[#This Row],[Gene names]:[Gene names]] = Table1[[Gene names]:[Gene names]])*1, 0))</f>
        <v>6.0999999999999999E-5</v>
      </c>
      <c r="L195" cm="1">
        <f t="array" ref="L195">INDEX(Table1[riBAQ 38], MATCH(1, (Table3[[#This Row],[Gene names]:[Gene names]] = Table1[[Gene names]:[Gene names]])*1, 0))</f>
        <v>1.02902E-4</v>
      </c>
      <c r="M195" cm="1">
        <f t="array" ref="M195">INDEX(Table1[riBAQ 39], MATCH(1, (Table3[[#This Row],[Gene names]:[Gene names]] = Table1[[Gene names]:[Gene names]])*1, 0))</f>
        <v>0</v>
      </c>
      <c r="N195" cm="1">
        <f t="array" ref="N195">INDEX(Table1[riBAQ 40], MATCH(1, (Table3[[#This Row],[Gene names]:[Gene names]] = Table1[[Gene names]:[Gene names]])*1, 0))</f>
        <v>8.0599999999999994E-5</v>
      </c>
      <c r="O195" cm="1">
        <f t="array" ref="O195">INDEX(Table1[riBAQ 41], MATCH(1, (Table3[[#This Row],[Gene names]:[Gene names]] = Table1[[Gene names]:[Gene names]])*1, 0))</f>
        <v>0</v>
      </c>
      <c r="P195" cm="1">
        <f t="array" ref="P195">INDEX(Table1[riBAQ 24], MATCH(1, (Table3[[#This Row],[Gene names]:[Gene names]] = Table1[[Gene names]:[Gene names]])*1, 0))</f>
        <v>0</v>
      </c>
      <c r="Q195" cm="1">
        <f t="array" ref="Q195">INDEX(Table1[riBAQ 25], MATCH(1, (Table3[[#This Row],[Gene names]:[Gene names]] = Table1[[Gene names]:[Gene names]])*1, 0))</f>
        <v>9.2399999999999996E-5</v>
      </c>
      <c r="R195" cm="1">
        <f t="array" ref="R195">INDEX(Table1[riBAQ 26], MATCH(1, (Table3[[#This Row],[Gene names]:[Gene names]] = Table1[[Gene names]:[Gene names]])*1, 0))</f>
        <v>3.4322600000000002E-4</v>
      </c>
      <c r="S195" cm="1">
        <f t="array" ref="S195">INDEX(Table1[riBAQ 42], MATCH(1, (Table3[[#This Row],[Gene names]:[Gene names]] = Table1[[Gene names]:[Gene names]])*1, 0))</f>
        <v>1.05999E-4</v>
      </c>
      <c r="T195" cm="1">
        <f t="array" ref="T195">INDEX(Table1[riBAQ 43], MATCH(1, (Table3[[#This Row],[Gene names]:[Gene names]] = Table1[[Gene names]:[Gene names]])*1, 0))</f>
        <v>1.43034E-4</v>
      </c>
    </row>
    <row r="196" spans="1:20" x14ac:dyDescent="0.25">
      <c r="A196" t="s">
        <v>1238</v>
      </c>
      <c r="B196" cm="1">
        <f t="array" ref="B196">INDEX(Table1[riBAQ 17], MATCH(1, (Table3[[#This Row],[Gene names]:[Gene names]] = Table1[[Gene names]:[Gene names]])*1, 0))</f>
        <v>0</v>
      </c>
      <c r="C196" cm="1">
        <f t="array" ref="C196">INDEX(Table1[riBAQ 18], MATCH(1, (Table3[[#This Row],[Gene names]:[Gene names]] = Table1[[Gene names]:[Gene names]])*1, 0))</f>
        <v>0</v>
      </c>
      <c r="D196" cm="1">
        <f t="array" ref="D196">INDEX(Table1[riBAQ 35], MATCH(1, (Table3[[#This Row],[Gene names]:[Gene names]] = Table1[[Gene names]:[Gene names]])*1, 0))</f>
        <v>0</v>
      </c>
      <c r="E196" cm="1">
        <f t="array" ref="E196">INDEX(Table1[riBAQ 36], MATCH(1, (Table3[[#This Row],[Gene names]:[Gene names]] = Table1[[Gene names]:[Gene names]])*1, 0))</f>
        <v>0</v>
      </c>
      <c r="F196" cm="1">
        <f t="array" ref="F196">INDEX(Table1[riBAQ 19], MATCH(1, (Table3[[#This Row],[Gene names]:[Gene names]] = Table1[[Gene names]:[Gene names]])*1, 0))</f>
        <v>0</v>
      </c>
      <c r="G196" cm="1">
        <f t="array" ref="G196">INDEX(Table1[riBAQ 20], MATCH(1, (Table3[[#This Row],[Gene names]:[Gene names]] = Table1[[Gene names]:[Gene names]])*1, 0))</f>
        <v>0</v>
      </c>
      <c r="H196" cm="1">
        <f t="array" ref="H196">INDEX(Table1[riBAQ 21], MATCH(1, (Table3[[#This Row],[Gene names]:[Gene names]] = Table1[[Gene names]:[Gene names]])*1, 0))</f>
        <v>2.4000000000000001E-5</v>
      </c>
      <c r="I196" cm="1">
        <f t="array" ref="I196">INDEX(Table1[riBAQ 22], MATCH(1, (Table3[[#This Row],[Gene names]:[Gene names]] = Table1[[Gene names]:[Gene names]])*1, 0))</f>
        <v>0</v>
      </c>
      <c r="J196" cm="1">
        <f t="array" ref="J196">INDEX(Table1[riBAQ 23], MATCH(1, (Table3[[#This Row],[Gene names]:[Gene names]] = Table1[[Gene names]:[Gene names]])*1, 0))</f>
        <v>3.1999999999999999E-5</v>
      </c>
      <c r="K196" cm="1">
        <f t="array" ref="K196">INDEX(Table1[riBAQ 37], MATCH(1, (Table3[[#This Row],[Gene names]:[Gene names]] = Table1[[Gene names]:[Gene names]])*1, 0))</f>
        <v>0</v>
      </c>
      <c r="L196" cm="1">
        <f t="array" ref="L196">INDEX(Table1[riBAQ 38], MATCH(1, (Table3[[#This Row],[Gene names]:[Gene names]] = Table1[[Gene names]:[Gene names]])*1, 0))</f>
        <v>0</v>
      </c>
      <c r="M196" cm="1">
        <f t="array" ref="M196">INDEX(Table1[riBAQ 39], MATCH(1, (Table3[[#This Row],[Gene names]:[Gene names]] = Table1[[Gene names]:[Gene names]])*1, 0))</f>
        <v>0</v>
      </c>
      <c r="N196" cm="1">
        <f t="array" ref="N196">INDEX(Table1[riBAQ 40], MATCH(1, (Table3[[#This Row],[Gene names]:[Gene names]] = Table1[[Gene names]:[Gene names]])*1, 0))</f>
        <v>2.8500000000000002E-5</v>
      </c>
      <c r="O196" cm="1">
        <f t="array" ref="O196">INDEX(Table1[riBAQ 41], MATCH(1, (Table3[[#This Row],[Gene names]:[Gene names]] = Table1[[Gene names]:[Gene names]])*1, 0))</f>
        <v>0</v>
      </c>
      <c r="P196" cm="1">
        <f t="array" ref="P196">INDEX(Table1[riBAQ 24], MATCH(1, (Table3[[#This Row],[Gene names]:[Gene names]] = Table1[[Gene names]:[Gene names]])*1, 0))</f>
        <v>3.5899999999999998E-5</v>
      </c>
      <c r="Q196" cm="1">
        <f t="array" ref="Q196">INDEX(Table1[riBAQ 25], MATCH(1, (Table3[[#This Row],[Gene names]:[Gene names]] = Table1[[Gene names]:[Gene names]])*1, 0))</f>
        <v>5.5800000000000001E-5</v>
      </c>
      <c r="R196" cm="1">
        <f t="array" ref="R196">INDEX(Table1[riBAQ 26], MATCH(1, (Table3[[#This Row],[Gene names]:[Gene names]] = Table1[[Gene names]:[Gene names]])*1, 0))</f>
        <v>3.5800000000000003E-5</v>
      </c>
      <c r="S196" cm="1">
        <f t="array" ref="S196">INDEX(Table1[riBAQ 42], MATCH(1, (Table3[[#This Row],[Gene names]:[Gene names]] = Table1[[Gene names]:[Gene names]])*1, 0))</f>
        <v>4.6499999999999999E-5</v>
      </c>
      <c r="T196" cm="1">
        <f t="array" ref="T196">INDEX(Table1[riBAQ 43], MATCH(1, (Table3[[#This Row],[Gene names]:[Gene names]] = Table1[[Gene names]:[Gene names]])*1, 0))</f>
        <v>8.7000000000000001E-5</v>
      </c>
    </row>
    <row r="197" spans="1:20" x14ac:dyDescent="0.25">
      <c r="A197" t="s">
        <v>556</v>
      </c>
      <c r="B197" cm="1">
        <f t="array" ref="B197">INDEX(Table1[riBAQ 17], MATCH(1, (Table3[[#This Row],[Gene names]:[Gene names]] = Table1[[Gene names]:[Gene names]])*1, 0))</f>
        <v>0</v>
      </c>
      <c r="C197" cm="1">
        <f t="array" ref="C197">INDEX(Table1[riBAQ 18], MATCH(1, (Table3[[#This Row],[Gene names]:[Gene names]] = Table1[[Gene names]:[Gene names]])*1, 0))</f>
        <v>0</v>
      </c>
      <c r="D197" cm="1">
        <f t="array" ref="D197">INDEX(Table1[riBAQ 35], MATCH(1, (Table3[[#This Row],[Gene names]:[Gene names]] = Table1[[Gene names]:[Gene names]])*1, 0))</f>
        <v>0</v>
      </c>
      <c r="E197" cm="1">
        <f t="array" ref="E197">INDEX(Table1[riBAQ 36], MATCH(1, (Table3[[#This Row],[Gene names]:[Gene names]] = Table1[[Gene names]:[Gene names]])*1, 0))</f>
        <v>0</v>
      </c>
      <c r="F197" cm="1">
        <f t="array" ref="F197">INDEX(Table1[riBAQ 19], MATCH(1, (Table3[[#This Row],[Gene names]:[Gene names]] = Table1[[Gene names]:[Gene names]])*1, 0))</f>
        <v>0</v>
      </c>
      <c r="G197" cm="1">
        <f t="array" ref="G197">INDEX(Table1[riBAQ 20], MATCH(1, (Table3[[#This Row],[Gene names]:[Gene names]] = Table1[[Gene names]:[Gene names]])*1, 0))</f>
        <v>0</v>
      </c>
      <c r="H197" cm="1">
        <f t="array" ref="H197">INDEX(Table1[riBAQ 21], MATCH(1, (Table3[[#This Row],[Gene names]:[Gene names]] = Table1[[Gene names]:[Gene names]])*1, 0))</f>
        <v>0</v>
      </c>
      <c r="I197" cm="1">
        <f t="array" ref="I197">INDEX(Table1[riBAQ 22], MATCH(1, (Table3[[#This Row],[Gene names]:[Gene names]] = Table1[[Gene names]:[Gene names]])*1, 0))</f>
        <v>0</v>
      </c>
      <c r="J197" cm="1">
        <f t="array" ref="J197">INDEX(Table1[riBAQ 23], MATCH(1, (Table3[[#This Row],[Gene names]:[Gene names]] = Table1[[Gene names]:[Gene names]])*1, 0))</f>
        <v>0</v>
      </c>
      <c r="K197" cm="1">
        <f t="array" ref="K197">INDEX(Table1[riBAQ 37], MATCH(1, (Table3[[#This Row],[Gene names]:[Gene names]] = Table1[[Gene names]:[Gene names]])*1, 0))</f>
        <v>0</v>
      </c>
      <c r="L197" cm="1">
        <f t="array" ref="L197">INDEX(Table1[riBAQ 38], MATCH(1, (Table3[[#This Row],[Gene names]:[Gene names]] = Table1[[Gene names]:[Gene names]])*1, 0))</f>
        <v>0</v>
      </c>
      <c r="M197" cm="1">
        <f t="array" ref="M197">INDEX(Table1[riBAQ 39], MATCH(1, (Table3[[#This Row],[Gene names]:[Gene names]] = Table1[[Gene names]:[Gene names]])*1, 0))</f>
        <v>0</v>
      </c>
      <c r="N197" cm="1">
        <f t="array" ref="N197">INDEX(Table1[riBAQ 40], MATCH(1, (Table3[[#This Row],[Gene names]:[Gene names]] = Table1[[Gene names]:[Gene names]])*1, 0))</f>
        <v>0</v>
      </c>
      <c r="O197" cm="1">
        <f t="array" ref="O197">INDEX(Table1[riBAQ 41], MATCH(1, (Table3[[#This Row],[Gene names]:[Gene names]] = Table1[[Gene names]:[Gene names]])*1, 0))</f>
        <v>0</v>
      </c>
      <c r="P197" cm="1">
        <f t="array" ref="P197">INDEX(Table1[riBAQ 24], MATCH(1, (Table3[[#This Row],[Gene names]:[Gene names]] = Table1[[Gene names]:[Gene names]])*1, 0))</f>
        <v>1.88E-5</v>
      </c>
      <c r="Q197" cm="1">
        <f t="array" ref="Q197">INDEX(Table1[riBAQ 25], MATCH(1, (Table3[[#This Row],[Gene names]:[Gene names]] = Table1[[Gene names]:[Gene names]])*1, 0))</f>
        <v>0</v>
      </c>
      <c r="R197" cm="1">
        <f t="array" ref="R197">INDEX(Table1[riBAQ 26], MATCH(1, (Table3[[#This Row],[Gene names]:[Gene names]] = Table1[[Gene names]:[Gene names]])*1, 0))</f>
        <v>6.3899999999999995E-5</v>
      </c>
      <c r="S197" cm="1">
        <f t="array" ref="S197">INDEX(Table1[riBAQ 42], MATCH(1, (Table3[[#This Row],[Gene names]:[Gene names]] = Table1[[Gene names]:[Gene names]])*1, 0))</f>
        <v>2.34E-5</v>
      </c>
      <c r="T197" cm="1">
        <f t="array" ref="T197">INDEX(Table1[riBAQ 43], MATCH(1, (Table3[[#This Row],[Gene names]:[Gene names]] = Table1[[Gene names]:[Gene names]])*1, 0))</f>
        <v>2.9E-5</v>
      </c>
    </row>
    <row r="198" spans="1:20" x14ac:dyDescent="0.25">
      <c r="A198" t="s">
        <v>553</v>
      </c>
      <c r="B198" cm="1">
        <f t="array" ref="B198">INDEX(Table1[riBAQ 17], MATCH(1, (Table3[[#This Row],[Gene names]:[Gene names]] = Table1[[Gene names]:[Gene names]])*1, 0))</f>
        <v>0</v>
      </c>
      <c r="C198" cm="1">
        <f t="array" ref="C198">INDEX(Table1[riBAQ 18], MATCH(1, (Table3[[#This Row],[Gene names]:[Gene names]] = Table1[[Gene names]:[Gene names]])*1, 0))</f>
        <v>0</v>
      </c>
      <c r="D198" cm="1">
        <f t="array" ref="D198">INDEX(Table1[riBAQ 35], MATCH(1, (Table3[[#This Row],[Gene names]:[Gene names]] = Table1[[Gene names]:[Gene names]])*1, 0))</f>
        <v>0</v>
      </c>
      <c r="E198" cm="1">
        <f t="array" ref="E198">INDEX(Table1[riBAQ 36], MATCH(1, (Table3[[#This Row],[Gene names]:[Gene names]] = Table1[[Gene names]:[Gene names]])*1, 0))</f>
        <v>4.0400000000000003E-6</v>
      </c>
      <c r="F198" cm="1">
        <f t="array" ref="F198">INDEX(Table1[riBAQ 19], MATCH(1, (Table3[[#This Row],[Gene names]:[Gene names]] = Table1[[Gene names]:[Gene names]])*1, 0))</f>
        <v>0</v>
      </c>
      <c r="G198" cm="1">
        <f t="array" ref="G198">INDEX(Table1[riBAQ 20], MATCH(1, (Table3[[#This Row],[Gene names]:[Gene names]] = Table1[[Gene names]:[Gene names]])*1, 0))</f>
        <v>7.1600000000000001E-6</v>
      </c>
      <c r="H198" cm="1">
        <f t="array" ref="H198">INDEX(Table1[riBAQ 21], MATCH(1, (Table3[[#This Row],[Gene names]:[Gene names]] = Table1[[Gene names]:[Gene names]])*1, 0))</f>
        <v>1.5099999999999999E-5</v>
      </c>
      <c r="I198" cm="1">
        <f t="array" ref="I198">INDEX(Table1[riBAQ 22], MATCH(1, (Table3[[#This Row],[Gene names]:[Gene names]] = Table1[[Gene names]:[Gene names]])*1, 0))</f>
        <v>9.91E-6</v>
      </c>
      <c r="J198" cm="1">
        <f t="array" ref="J198">INDEX(Table1[riBAQ 23], MATCH(1, (Table3[[#This Row],[Gene names]:[Gene names]] = Table1[[Gene names]:[Gene names]])*1, 0))</f>
        <v>0</v>
      </c>
      <c r="K198" cm="1">
        <f t="array" ref="K198">INDEX(Table1[riBAQ 37], MATCH(1, (Table3[[#This Row],[Gene names]:[Gene names]] = Table1[[Gene names]:[Gene names]])*1, 0))</f>
        <v>7.2200000000000003E-6</v>
      </c>
      <c r="L198" cm="1">
        <f t="array" ref="L198">INDEX(Table1[riBAQ 38], MATCH(1, (Table3[[#This Row],[Gene names]:[Gene names]] = Table1[[Gene names]:[Gene names]])*1, 0))</f>
        <v>5.0200000000000002E-6</v>
      </c>
      <c r="M198" cm="1">
        <f t="array" ref="M198">INDEX(Table1[riBAQ 39], MATCH(1, (Table3[[#This Row],[Gene names]:[Gene names]] = Table1[[Gene names]:[Gene names]])*1, 0))</f>
        <v>0</v>
      </c>
      <c r="N198" cm="1">
        <f t="array" ref="N198">INDEX(Table1[riBAQ 40], MATCH(1, (Table3[[#This Row],[Gene names]:[Gene names]] = Table1[[Gene names]:[Gene names]])*1, 0))</f>
        <v>0</v>
      </c>
      <c r="O198" cm="1">
        <f t="array" ref="O198">INDEX(Table1[riBAQ 41], MATCH(1, (Table3[[#This Row],[Gene names]:[Gene names]] = Table1[[Gene names]:[Gene names]])*1, 0))</f>
        <v>0</v>
      </c>
      <c r="P198" cm="1">
        <f t="array" ref="P198">INDEX(Table1[riBAQ 24], MATCH(1, (Table3[[#This Row],[Gene names]:[Gene names]] = Table1[[Gene names]:[Gene names]])*1, 0))</f>
        <v>9.7100000000000002E-6</v>
      </c>
      <c r="Q198" cm="1">
        <f t="array" ref="Q198">INDEX(Table1[riBAQ 25], MATCH(1, (Table3[[#This Row],[Gene names]:[Gene names]] = Table1[[Gene names]:[Gene names]])*1, 0))</f>
        <v>1.5800000000000001E-5</v>
      </c>
      <c r="R198" cm="1">
        <f t="array" ref="R198">INDEX(Table1[riBAQ 26], MATCH(1, (Table3[[#This Row],[Gene names]:[Gene names]] = Table1[[Gene names]:[Gene names]])*1, 0))</f>
        <v>1.3699999999999999E-5</v>
      </c>
      <c r="S198" cm="1">
        <f t="array" ref="S198">INDEX(Table1[riBAQ 42], MATCH(1, (Table3[[#This Row],[Gene names]:[Gene names]] = Table1[[Gene names]:[Gene names]])*1, 0))</f>
        <v>1.73E-5</v>
      </c>
      <c r="T198" cm="1">
        <f t="array" ref="T198">INDEX(Table1[riBAQ 43], MATCH(1, (Table3[[#This Row],[Gene names]:[Gene names]] = Table1[[Gene names]:[Gene names]])*1, 0))</f>
        <v>1.7499999999999998E-5</v>
      </c>
    </row>
    <row r="199" spans="1:20" x14ac:dyDescent="0.25">
      <c r="A199" t="s">
        <v>555</v>
      </c>
      <c r="B199" cm="1">
        <f t="array" ref="B199">INDEX(Table1[riBAQ 17], MATCH(1, (Table3[[#This Row],[Gene names]:[Gene names]] = Table1[[Gene names]:[Gene names]])*1, 0))</f>
        <v>0</v>
      </c>
      <c r="C199" cm="1">
        <f t="array" ref="C199">INDEX(Table1[riBAQ 18], MATCH(1, (Table3[[#This Row],[Gene names]:[Gene names]] = Table1[[Gene names]:[Gene names]])*1, 0))</f>
        <v>6.7700000000000004E-6</v>
      </c>
      <c r="D199" cm="1">
        <f t="array" ref="D199">INDEX(Table1[riBAQ 35], MATCH(1, (Table3[[#This Row],[Gene names]:[Gene names]] = Table1[[Gene names]:[Gene names]])*1, 0))</f>
        <v>4.6999999999999999E-6</v>
      </c>
      <c r="E199" cm="1">
        <f t="array" ref="E199">INDEX(Table1[riBAQ 36], MATCH(1, (Table3[[#This Row],[Gene names]:[Gene names]] = Table1[[Gene names]:[Gene names]])*1, 0))</f>
        <v>4.5900000000000001E-6</v>
      </c>
      <c r="F199" cm="1">
        <f t="array" ref="F199">INDEX(Table1[riBAQ 19], MATCH(1, (Table3[[#This Row],[Gene names]:[Gene names]] = Table1[[Gene names]:[Gene names]])*1, 0))</f>
        <v>0</v>
      </c>
      <c r="G199" cm="1">
        <f t="array" ref="G199">INDEX(Table1[riBAQ 20], MATCH(1, (Table3[[#This Row],[Gene names]:[Gene names]] = Table1[[Gene names]:[Gene names]])*1, 0))</f>
        <v>8.3699999999999995E-6</v>
      </c>
      <c r="H199" cm="1">
        <f t="array" ref="H199">INDEX(Table1[riBAQ 21], MATCH(1, (Table3[[#This Row],[Gene names]:[Gene names]] = Table1[[Gene names]:[Gene names]])*1, 0))</f>
        <v>7.5599999999999996E-6</v>
      </c>
      <c r="I199" cm="1">
        <f t="array" ref="I199">INDEX(Table1[riBAQ 22], MATCH(1, (Table3[[#This Row],[Gene names]:[Gene names]] = Table1[[Gene names]:[Gene names]])*1, 0))</f>
        <v>8.2700000000000004E-6</v>
      </c>
      <c r="J199" cm="1">
        <f t="array" ref="J199">INDEX(Table1[riBAQ 23], MATCH(1, (Table3[[#This Row],[Gene names]:[Gene names]] = Table1[[Gene names]:[Gene names]])*1, 0))</f>
        <v>0</v>
      </c>
      <c r="K199" cm="1">
        <f t="array" ref="K199">INDEX(Table1[riBAQ 37], MATCH(1, (Table3[[#This Row],[Gene names]:[Gene names]] = Table1[[Gene names]:[Gene names]])*1, 0))</f>
        <v>6.4400000000000002E-6</v>
      </c>
      <c r="L199" cm="1">
        <f t="array" ref="L199">INDEX(Table1[riBAQ 38], MATCH(1, (Table3[[#This Row],[Gene names]:[Gene names]] = Table1[[Gene names]:[Gene names]])*1, 0))</f>
        <v>5.9100000000000002E-6</v>
      </c>
      <c r="M199" cm="1">
        <f t="array" ref="M199">INDEX(Table1[riBAQ 39], MATCH(1, (Table3[[#This Row],[Gene names]:[Gene names]] = Table1[[Gene names]:[Gene names]])*1, 0))</f>
        <v>0</v>
      </c>
      <c r="N199" cm="1">
        <f t="array" ref="N199">INDEX(Table1[riBAQ 40], MATCH(1, (Table3[[#This Row],[Gene names]:[Gene names]] = Table1[[Gene names]:[Gene names]])*1, 0))</f>
        <v>0</v>
      </c>
      <c r="O199" cm="1">
        <f t="array" ref="O199">INDEX(Table1[riBAQ 41], MATCH(1, (Table3[[#This Row],[Gene names]:[Gene names]] = Table1[[Gene names]:[Gene names]])*1, 0))</f>
        <v>0</v>
      </c>
      <c r="P199" cm="1">
        <f t="array" ref="P199">INDEX(Table1[riBAQ 24], MATCH(1, (Table3[[#This Row],[Gene names]:[Gene names]] = Table1[[Gene names]:[Gene names]])*1, 0))</f>
        <v>0</v>
      </c>
      <c r="Q199" cm="1">
        <f t="array" ref="Q199">INDEX(Table1[riBAQ 25], MATCH(1, (Table3[[#This Row],[Gene names]:[Gene names]] = Table1[[Gene names]:[Gene names]])*1, 0))</f>
        <v>1.2799999999999999E-5</v>
      </c>
      <c r="R199" cm="1">
        <f t="array" ref="R199">INDEX(Table1[riBAQ 26], MATCH(1, (Table3[[#This Row],[Gene names]:[Gene names]] = Table1[[Gene names]:[Gene names]])*1, 0))</f>
        <v>1.04E-5</v>
      </c>
      <c r="S199" cm="1">
        <f t="array" ref="S199">INDEX(Table1[riBAQ 42], MATCH(1, (Table3[[#This Row],[Gene names]:[Gene names]] = Table1[[Gene names]:[Gene names]])*1, 0))</f>
        <v>1.04E-5</v>
      </c>
      <c r="T199" cm="1">
        <f t="array" ref="T199">INDEX(Table1[riBAQ 43], MATCH(1, (Table3[[#This Row],[Gene names]:[Gene names]] = Table1[[Gene names]:[Gene names]])*1, 0))</f>
        <v>7.9300000000000003E-6</v>
      </c>
    </row>
    <row r="200" spans="1:20" x14ac:dyDescent="0.25">
      <c r="A200" t="s">
        <v>156</v>
      </c>
      <c r="B200" cm="1">
        <f t="array" ref="B200">INDEX(Table1[riBAQ 17], MATCH(1, (Table3[[#This Row],[Gene names]:[Gene names]] = Table1[[Gene names]:[Gene names]])*1, 0))</f>
        <v>1.5077580000000001E-3</v>
      </c>
      <c r="C200" cm="1">
        <f t="array" ref="C200">INDEX(Table1[riBAQ 18], MATCH(1, (Table3[[#This Row],[Gene names]:[Gene names]] = Table1[[Gene names]:[Gene names]])*1, 0))</f>
        <v>1.622226E-3</v>
      </c>
      <c r="D200" cm="1">
        <f t="array" ref="D200">INDEX(Table1[riBAQ 35], MATCH(1, (Table3[[#This Row],[Gene names]:[Gene names]] = Table1[[Gene names]:[Gene names]])*1, 0))</f>
        <v>1.1230330000000001E-3</v>
      </c>
      <c r="E200" cm="1">
        <f t="array" ref="E200">INDEX(Table1[riBAQ 36], MATCH(1, (Table3[[#This Row],[Gene names]:[Gene names]] = Table1[[Gene names]:[Gene names]])*1, 0))</f>
        <v>1.2506279999999999E-3</v>
      </c>
      <c r="F200" cm="1">
        <f t="array" ref="F200">INDEX(Table1[riBAQ 19], MATCH(1, (Table3[[#This Row],[Gene names]:[Gene names]] = Table1[[Gene names]:[Gene names]])*1, 0))</f>
        <v>5.5856550000000001E-3</v>
      </c>
      <c r="G200" cm="1">
        <f t="array" ref="G200">INDEX(Table1[riBAQ 20], MATCH(1, (Table3[[#This Row],[Gene names]:[Gene names]] = Table1[[Gene names]:[Gene names]])*1, 0))</f>
        <v>8.0299889999999995E-3</v>
      </c>
      <c r="H200" cm="1">
        <f t="array" ref="H200">INDEX(Table1[riBAQ 21], MATCH(1, (Table3[[#This Row],[Gene names]:[Gene names]] = Table1[[Gene names]:[Gene names]])*1, 0))</f>
        <v>2.7513419999999999E-3</v>
      </c>
      <c r="I200" cm="1">
        <f t="array" ref="I200">INDEX(Table1[riBAQ 22], MATCH(1, (Table3[[#This Row],[Gene names]:[Gene names]] = Table1[[Gene names]:[Gene names]])*1, 0))</f>
        <v>6.0821579999999998E-3</v>
      </c>
      <c r="J200" cm="1">
        <f t="array" ref="J200">INDEX(Table1[riBAQ 23], MATCH(1, (Table3[[#This Row],[Gene names]:[Gene names]] = Table1[[Gene names]:[Gene names]])*1, 0))</f>
        <v>5.206123E-3</v>
      </c>
      <c r="K200" cm="1">
        <f t="array" ref="K200">INDEX(Table1[riBAQ 37], MATCH(1, (Table3[[#This Row],[Gene names]:[Gene names]] = Table1[[Gene names]:[Gene names]])*1, 0))</f>
        <v>2.261936E-3</v>
      </c>
      <c r="L200" cm="1">
        <f t="array" ref="L200">INDEX(Table1[riBAQ 38], MATCH(1, (Table3[[#This Row],[Gene names]:[Gene names]] = Table1[[Gene names]:[Gene names]])*1, 0))</f>
        <v>3.794988E-3</v>
      </c>
      <c r="M200" cm="1">
        <f t="array" ref="M200">INDEX(Table1[riBAQ 39], MATCH(1, (Table3[[#This Row],[Gene names]:[Gene names]] = Table1[[Gene names]:[Gene names]])*1, 0))</f>
        <v>3.9453489999999999E-3</v>
      </c>
      <c r="N200" cm="1">
        <f t="array" ref="N200">INDEX(Table1[riBAQ 40], MATCH(1, (Table3[[#This Row],[Gene names]:[Gene names]] = Table1[[Gene names]:[Gene names]])*1, 0))</f>
        <v>3.199169E-3</v>
      </c>
      <c r="O200" cm="1">
        <f t="array" ref="O200">INDEX(Table1[riBAQ 41], MATCH(1, (Table3[[#This Row],[Gene names]:[Gene names]] = Table1[[Gene names]:[Gene names]])*1, 0))</f>
        <v>2.1513999999999999E-3</v>
      </c>
      <c r="P200" cm="1">
        <f t="array" ref="P200">INDEX(Table1[riBAQ 24], MATCH(1, (Table3[[#This Row],[Gene names]:[Gene names]] = Table1[[Gene names]:[Gene names]])*1, 0))</f>
        <v>8.1598850000000004E-3</v>
      </c>
      <c r="Q200" cm="1">
        <f t="array" ref="Q200">INDEX(Table1[riBAQ 25], MATCH(1, (Table3[[#This Row],[Gene names]:[Gene names]] = Table1[[Gene names]:[Gene names]])*1, 0))</f>
        <v>8.2668029999999997E-3</v>
      </c>
      <c r="R200" cm="1">
        <f t="array" ref="R200">INDEX(Table1[riBAQ 26], MATCH(1, (Table3[[#This Row],[Gene names]:[Gene names]] = Table1[[Gene names]:[Gene names]])*1, 0))</f>
        <v>7.5911390000000002E-3</v>
      </c>
      <c r="S200" cm="1">
        <f t="array" ref="S200">INDEX(Table1[riBAQ 42], MATCH(1, (Table3[[#This Row],[Gene names]:[Gene names]] = Table1[[Gene names]:[Gene names]])*1, 0))</f>
        <v>7.9403849999999995E-3</v>
      </c>
      <c r="T200" cm="1">
        <f t="array" ref="T200">INDEX(Table1[riBAQ 43], MATCH(1, (Table3[[#This Row],[Gene names]:[Gene names]] = Table1[[Gene names]:[Gene names]])*1, 0))</f>
        <v>6.4417759999999998E-3</v>
      </c>
    </row>
    <row r="201" spans="1:20" x14ac:dyDescent="0.25">
      <c r="A201" t="s">
        <v>1570</v>
      </c>
      <c r="B201" cm="1">
        <f t="array" ref="B201">INDEX(Table1[riBAQ 17], MATCH(1, (Table3[[#This Row],[Gene names]:[Gene names]] = Table1[[Gene names]:[Gene names]])*1, 0))</f>
        <v>0</v>
      </c>
      <c r="C201" cm="1">
        <f t="array" ref="C201">INDEX(Table1[riBAQ 18], MATCH(1, (Table3[[#This Row],[Gene names]:[Gene names]] = Table1[[Gene names]:[Gene names]])*1, 0))</f>
        <v>0</v>
      </c>
      <c r="D201" cm="1">
        <f t="array" ref="D201">INDEX(Table1[riBAQ 35], MATCH(1, (Table3[[#This Row],[Gene names]:[Gene names]] = Table1[[Gene names]:[Gene names]])*1, 0))</f>
        <v>0</v>
      </c>
      <c r="E201" cm="1">
        <f t="array" ref="E201">INDEX(Table1[riBAQ 36], MATCH(1, (Table3[[#This Row],[Gene names]:[Gene names]] = Table1[[Gene names]:[Gene names]])*1, 0))</f>
        <v>0</v>
      </c>
      <c r="F201" cm="1">
        <f t="array" ref="F201">INDEX(Table1[riBAQ 19], MATCH(1, (Table3[[#This Row],[Gene names]:[Gene names]] = Table1[[Gene names]:[Gene names]])*1, 0))</f>
        <v>0</v>
      </c>
      <c r="G201" cm="1">
        <f t="array" ref="G201">INDEX(Table1[riBAQ 20], MATCH(1, (Table3[[#This Row],[Gene names]:[Gene names]] = Table1[[Gene names]:[Gene names]])*1, 0))</f>
        <v>0</v>
      </c>
      <c r="H201" cm="1">
        <f t="array" ref="H201">INDEX(Table1[riBAQ 21], MATCH(1, (Table3[[#This Row],[Gene names]:[Gene names]] = Table1[[Gene names]:[Gene names]])*1, 0))</f>
        <v>0</v>
      </c>
      <c r="I201" cm="1">
        <f t="array" ref="I201">INDEX(Table1[riBAQ 22], MATCH(1, (Table3[[#This Row],[Gene names]:[Gene names]] = Table1[[Gene names]:[Gene names]])*1, 0))</f>
        <v>0</v>
      </c>
      <c r="J201" cm="1">
        <f t="array" ref="J201">INDEX(Table1[riBAQ 23], MATCH(1, (Table3[[#This Row],[Gene names]:[Gene names]] = Table1[[Gene names]:[Gene names]])*1, 0))</f>
        <v>0</v>
      </c>
      <c r="K201" cm="1">
        <f t="array" ref="K201">INDEX(Table1[riBAQ 37], MATCH(1, (Table3[[#This Row],[Gene names]:[Gene names]] = Table1[[Gene names]:[Gene names]])*1, 0))</f>
        <v>0</v>
      </c>
      <c r="L201" cm="1">
        <f t="array" ref="L201">INDEX(Table1[riBAQ 38], MATCH(1, (Table3[[#This Row],[Gene names]:[Gene names]] = Table1[[Gene names]:[Gene names]])*1, 0))</f>
        <v>0</v>
      </c>
      <c r="M201" cm="1">
        <f t="array" ref="M201">INDEX(Table1[riBAQ 39], MATCH(1, (Table3[[#This Row],[Gene names]:[Gene names]] = Table1[[Gene names]:[Gene names]])*1, 0))</f>
        <v>0</v>
      </c>
      <c r="N201" cm="1">
        <f t="array" ref="N201">INDEX(Table1[riBAQ 40], MATCH(1, (Table3[[#This Row],[Gene names]:[Gene names]] = Table1[[Gene names]:[Gene names]])*1, 0))</f>
        <v>0</v>
      </c>
      <c r="O201" cm="1">
        <f t="array" ref="O201">INDEX(Table1[riBAQ 41], MATCH(1, (Table3[[#This Row],[Gene names]:[Gene names]] = Table1[[Gene names]:[Gene names]])*1, 0))</f>
        <v>0</v>
      </c>
      <c r="P201" cm="1">
        <f t="array" ref="P201">INDEX(Table1[riBAQ 24], MATCH(1, (Table3[[#This Row],[Gene names]:[Gene names]] = Table1[[Gene names]:[Gene names]])*1, 0))</f>
        <v>0</v>
      </c>
      <c r="Q201" cm="1">
        <f t="array" ref="Q201">INDEX(Table1[riBAQ 25], MATCH(1, (Table3[[#This Row],[Gene names]:[Gene names]] = Table1[[Gene names]:[Gene names]])*1, 0))</f>
        <v>3.6199999999999999E-5</v>
      </c>
      <c r="R201" cm="1">
        <f t="array" ref="R201">INDEX(Table1[riBAQ 26], MATCH(1, (Table3[[#This Row],[Gene names]:[Gene names]] = Table1[[Gene names]:[Gene names]])*1, 0))</f>
        <v>2.27E-5</v>
      </c>
      <c r="S201" cm="1">
        <f t="array" ref="S201">INDEX(Table1[riBAQ 42], MATCH(1, (Table3[[#This Row],[Gene names]:[Gene names]] = Table1[[Gene names]:[Gene names]])*1, 0))</f>
        <v>2.4000000000000001E-5</v>
      </c>
      <c r="T201" cm="1">
        <f t="array" ref="T201">INDEX(Table1[riBAQ 43], MATCH(1, (Table3[[#This Row],[Gene names]:[Gene names]] = Table1[[Gene names]:[Gene names]])*1, 0))</f>
        <v>8.1600000000000005E-5</v>
      </c>
    </row>
    <row r="202" spans="1:20" x14ac:dyDescent="0.25">
      <c r="A202" t="s">
        <v>198</v>
      </c>
      <c r="B202" cm="1">
        <f t="array" ref="B202">INDEX(Table1[riBAQ 17], MATCH(1, (Table3[[#This Row],[Gene names]:[Gene names]] = Table1[[Gene names]:[Gene names]])*1, 0))</f>
        <v>7.1382800000000001E-4</v>
      </c>
      <c r="C202" cm="1">
        <f t="array" ref="C202">INDEX(Table1[riBAQ 18], MATCH(1, (Table3[[#This Row],[Gene names]:[Gene names]] = Table1[[Gene names]:[Gene names]])*1, 0))</f>
        <v>3.4603100000000001E-4</v>
      </c>
      <c r="D202" cm="1">
        <f t="array" ref="D202">INDEX(Table1[riBAQ 35], MATCH(1, (Table3[[#This Row],[Gene names]:[Gene names]] = Table1[[Gene names]:[Gene names]])*1, 0))</f>
        <v>2.7371399999999999E-4</v>
      </c>
      <c r="E202" cm="1">
        <f t="array" ref="E202">INDEX(Table1[riBAQ 36], MATCH(1, (Table3[[#This Row],[Gene names]:[Gene names]] = Table1[[Gene names]:[Gene names]])*1, 0))</f>
        <v>1.6750700000000001E-4</v>
      </c>
      <c r="F202" cm="1">
        <f t="array" ref="F202">INDEX(Table1[riBAQ 19], MATCH(1, (Table3[[#This Row],[Gene names]:[Gene names]] = Table1[[Gene names]:[Gene names]])*1, 0))</f>
        <v>4.5829900000000001E-4</v>
      </c>
      <c r="G202" cm="1">
        <f t="array" ref="G202">INDEX(Table1[riBAQ 20], MATCH(1, (Table3[[#This Row],[Gene names]:[Gene names]] = Table1[[Gene names]:[Gene names]])*1, 0))</f>
        <v>8.2946199999999999E-4</v>
      </c>
      <c r="H202" cm="1">
        <f t="array" ref="H202">INDEX(Table1[riBAQ 21], MATCH(1, (Table3[[#This Row],[Gene names]:[Gene names]] = Table1[[Gene names]:[Gene names]])*1, 0))</f>
        <v>6.4857000000000001E-4</v>
      </c>
      <c r="I202" cm="1">
        <f t="array" ref="I202">INDEX(Table1[riBAQ 22], MATCH(1, (Table3[[#This Row],[Gene names]:[Gene names]] = Table1[[Gene names]:[Gene names]])*1, 0))</f>
        <v>6.4353499999999998E-4</v>
      </c>
      <c r="J202" cm="1">
        <f t="array" ref="J202">INDEX(Table1[riBAQ 23], MATCH(1, (Table3[[#This Row],[Gene names]:[Gene names]] = Table1[[Gene names]:[Gene names]])*1, 0))</f>
        <v>7.0971599999999999E-4</v>
      </c>
      <c r="K202" cm="1">
        <f t="array" ref="K202">INDEX(Table1[riBAQ 37], MATCH(1, (Table3[[#This Row],[Gene names]:[Gene names]] = Table1[[Gene names]:[Gene names]])*1, 0))</f>
        <v>7.8207199999999998E-4</v>
      </c>
      <c r="L202" cm="1">
        <f t="array" ref="L202">INDEX(Table1[riBAQ 38], MATCH(1, (Table3[[#This Row],[Gene names]:[Gene names]] = Table1[[Gene names]:[Gene names]])*1, 0))</f>
        <v>4.1418899999999997E-4</v>
      </c>
      <c r="M202" cm="1">
        <f t="array" ref="M202">INDEX(Table1[riBAQ 39], MATCH(1, (Table3[[#This Row],[Gene names]:[Gene names]] = Table1[[Gene names]:[Gene names]])*1, 0))</f>
        <v>6.9040400000000004E-4</v>
      </c>
      <c r="N202" cm="1">
        <f t="array" ref="N202">INDEX(Table1[riBAQ 40], MATCH(1, (Table3[[#This Row],[Gene names]:[Gene names]] = Table1[[Gene names]:[Gene names]])*1, 0))</f>
        <v>1.8895000000000001E-4</v>
      </c>
      <c r="O202" cm="1">
        <f t="array" ref="O202">INDEX(Table1[riBAQ 41], MATCH(1, (Table3[[#This Row],[Gene names]:[Gene names]] = Table1[[Gene names]:[Gene names]])*1, 0))</f>
        <v>3.2129700000000001E-4</v>
      </c>
      <c r="P202" cm="1">
        <f t="array" ref="P202">INDEX(Table1[riBAQ 24], MATCH(1, (Table3[[#This Row],[Gene names]:[Gene names]] = Table1[[Gene names]:[Gene names]])*1, 0))</f>
        <v>1.0425580000000001E-3</v>
      </c>
      <c r="Q202" cm="1">
        <f t="array" ref="Q202">INDEX(Table1[riBAQ 25], MATCH(1, (Table3[[#This Row],[Gene names]:[Gene names]] = Table1[[Gene names]:[Gene names]])*1, 0))</f>
        <v>1.541862E-3</v>
      </c>
      <c r="R202" cm="1">
        <f t="array" ref="R202">INDEX(Table1[riBAQ 26], MATCH(1, (Table3[[#This Row],[Gene names]:[Gene names]] = Table1[[Gene names]:[Gene names]])*1, 0))</f>
        <v>7.85792E-4</v>
      </c>
      <c r="S202" cm="1">
        <f t="array" ref="S202">INDEX(Table1[riBAQ 42], MATCH(1, (Table3[[#This Row],[Gene names]:[Gene names]] = Table1[[Gene names]:[Gene names]])*1, 0))</f>
        <v>1.349617E-3</v>
      </c>
      <c r="T202" cm="1">
        <f t="array" ref="T202">INDEX(Table1[riBAQ 43], MATCH(1, (Table3[[#This Row],[Gene names]:[Gene names]] = Table1[[Gene names]:[Gene names]])*1, 0))</f>
        <v>1.4223319999999999E-3</v>
      </c>
    </row>
    <row r="203" spans="1:20" x14ac:dyDescent="0.25">
      <c r="A203" t="s">
        <v>196</v>
      </c>
      <c r="B203" cm="1">
        <f t="array" ref="B203">INDEX(Table1[riBAQ 17], MATCH(1, (Table3[[#This Row],[Gene names]:[Gene names]] = Table1[[Gene names]:[Gene names]])*1, 0))</f>
        <v>1.2976982999999999E-2</v>
      </c>
      <c r="C203" cm="1">
        <f t="array" ref="C203">INDEX(Table1[riBAQ 18], MATCH(1, (Table3[[#This Row],[Gene names]:[Gene names]] = Table1[[Gene names]:[Gene names]])*1, 0))</f>
        <v>1.0642542E-2</v>
      </c>
      <c r="D203" cm="1">
        <f t="array" ref="D203">INDEX(Table1[riBAQ 35], MATCH(1, (Table3[[#This Row],[Gene names]:[Gene names]] = Table1[[Gene names]:[Gene names]])*1, 0))</f>
        <v>1.2111596000000001E-2</v>
      </c>
      <c r="E203" cm="1">
        <f t="array" ref="E203">INDEX(Table1[riBAQ 36], MATCH(1, (Table3[[#This Row],[Gene names]:[Gene names]] = Table1[[Gene names]:[Gene names]])*1, 0))</f>
        <v>8.7276490000000005E-3</v>
      </c>
      <c r="F203" cm="1">
        <f t="array" ref="F203">INDEX(Table1[riBAQ 19], MATCH(1, (Table3[[#This Row],[Gene names]:[Gene names]] = Table1[[Gene names]:[Gene names]])*1, 0))</f>
        <v>9.0479610000000002E-3</v>
      </c>
      <c r="G203" cm="1">
        <f t="array" ref="G203">INDEX(Table1[riBAQ 20], MATCH(1, (Table3[[#This Row],[Gene names]:[Gene names]] = Table1[[Gene names]:[Gene names]])*1, 0))</f>
        <v>1.1618158999999999E-2</v>
      </c>
      <c r="H203" cm="1">
        <f t="array" ref="H203">INDEX(Table1[riBAQ 21], MATCH(1, (Table3[[#This Row],[Gene names]:[Gene names]] = Table1[[Gene names]:[Gene names]])*1, 0))</f>
        <v>9.1240169999999999E-3</v>
      </c>
      <c r="I203" cm="1">
        <f t="array" ref="I203">INDEX(Table1[riBAQ 22], MATCH(1, (Table3[[#This Row],[Gene names]:[Gene names]] = Table1[[Gene names]:[Gene names]])*1, 0))</f>
        <v>6.9164550000000002E-3</v>
      </c>
      <c r="J203" cm="1">
        <f t="array" ref="J203">INDEX(Table1[riBAQ 23], MATCH(1, (Table3[[#This Row],[Gene names]:[Gene names]] = Table1[[Gene names]:[Gene names]])*1, 0))</f>
        <v>1.1600078E-2</v>
      </c>
      <c r="K203" cm="1">
        <f t="array" ref="K203">INDEX(Table1[riBAQ 37], MATCH(1, (Table3[[#This Row],[Gene names]:[Gene names]] = Table1[[Gene names]:[Gene names]])*1, 0))</f>
        <v>1.0732293E-2</v>
      </c>
      <c r="L203" cm="1">
        <f t="array" ref="L203">INDEX(Table1[riBAQ 38], MATCH(1, (Table3[[#This Row],[Gene names]:[Gene names]] = Table1[[Gene names]:[Gene names]])*1, 0))</f>
        <v>1.2601866E-2</v>
      </c>
      <c r="M203" cm="1">
        <f t="array" ref="M203">INDEX(Table1[riBAQ 39], MATCH(1, (Table3[[#This Row],[Gene names]:[Gene names]] = Table1[[Gene names]:[Gene names]])*1, 0))</f>
        <v>1.0867419E-2</v>
      </c>
      <c r="N203" cm="1">
        <f t="array" ref="N203">INDEX(Table1[riBAQ 40], MATCH(1, (Table3[[#This Row],[Gene names]:[Gene names]] = Table1[[Gene names]:[Gene names]])*1, 0))</f>
        <v>7.9402870000000007E-3</v>
      </c>
      <c r="O203" cm="1">
        <f t="array" ref="O203">INDEX(Table1[riBAQ 41], MATCH(1, (Table3[[#This Row],[Gene names]:[Gene names]] = Table1[[Gene names]:[Gene names]])*1, 0))</f>
        <v>8.4788729999999996E-3</v>
      </c>
      <c r="P203" cm="1">
        <f t="array" ref="P203">INDEX(Table1[riBAQ 24], MATCH(1, (Table3[[#This Row],[Gene names]:[Gene names]] = Table1[[Gene names]:[Gene names]])*1, 0))</f>
        <v>7.7400819999999997E-3</v>
      </c>
      <c r="Q203" cm="1">
        <f t="array" ref="Q203">INDEX(Table1[riBAQ 25], MATCH(1, (Table3[[#This Row],[Gene names]:[Gene names]] = Table1[[Gene names]:[Gene names]])*1, 0))</f>
        <v>9.3434859999999998E-3</v>
      </c>
      <c r="R203" cm="1">
        <f t="array" ref="R203">INDEX(Table1[riBAQ 26], MATCH(1, (Table3[[#This Row],[Gene names]:[Gene names]] = Table1[[Gene names]:[Gene names]])*1, 0))</f>
        <v>6.3774890000000001E-3</v>
      </c>
      <c r="S203" cm="1">
        <f t="array" ref="S203">INDEX(Table1[riBAQ 42], MATCH(1, (Table3[[#This Row],[Gene names]:[Gene names]] = Table1[[Gene names]:[Gene names]])*1, 0))</f>
        <v>3.2435419999999999E-3</v>
      </c>
      <c r="T203" cm="1">
        <f t="array" ref="T203">INDEX(Table1[riBAQ 43], MATCH(1, (Table3[[#This Row],[Gene names]:[Gene names]] = Table1[[Gene names]:[Gene names]])*1, 0))</f>
        <v>7.1501849999999999E-3</v>
      </c>
    </row>
    <row r="204" spans="1:20" x14ac:dyDescent="0.25">
      <c r="A204" t="s">
        <v>78</v>
      </c>
      <c r="B204" cm="1">
        <f t="array" ref="B204">INDEX(Table1[riBAQ 17], MATCH(1, (Table3[[#This Row],[Gene names]:[Gene names]] = Table1[[Gene names]:[Gene names]])*1, 0))</f>
        <v>9.0500000000000004E-5</v>
      </c>
      <c r="C204" cm="1">
        <f t="array" ref="C204">INDEX(Table1[riBAQ 18], MATCH(1, (Table3[[#This Row],[Gene names]:[Gene names]] = Table1[[Gene names]:[Gene names]])*1, 0))</f>
        <v>1.2321700000000001E-4</v>
      </c>
      <c r="D204" cm="1">
        <f t="array" ref="D204">INDEX(Table1[riBAQ 35], MATCH(1, (Table3[[#This Row],[Gene names]:[Gene names]] = Table1[[Gene names]:[Gene names]])*1, 0))</f>
        <v>1.77345E-4</v>
      </c>
      <c r="E204" cm="1">
        <f t="array" ref="E204">INDEX(Table1[riBAQ 36], MATCH(1, (Table3[[#This Row],[Gene names]:[Gene names]] = Table1[[Gene names]:[Gene names]])*1, 0))</f>
        <v>1.8239299999999999E-4</v>
      </c>
      <c r="F204" cm="1">
        <f t="array" ref="F204">INDEX(Table1[riBAQ 19], MATCH(1, (Table3[[#This Row],[Gene names]:[Gene names]] = Table1[[Gene names]:[Gene names]])*1, 0))</f>
        <v>2.6691200000000001E-4</v>
      </c>
      <c r="G204" cm="1">
        <f t="array" ref="G204">INDEX(Table1[riBAQ 20], MATCH(1, (Table3[[#This Row],[Gene names]:[Gene names]] = Table1[[Gene names]:[Gene names]])*1, 0))</f>
        <v>1.6535899999999999E-4</v>
      </c>
      <c r="H204" cm="1">
        <f t="array" ref="H204">INDEX(Table1[riBAQ 21], MATCH(1, (Table3[[#This Row],[Gene names]:[Gene names]] = Table1[[Gene names]:[Gene names]])*1, 0))</f>
        <v>2.02528E-4</v>
      </c>
      <c r="I204" cm="1">
        <f t="array" ref="I204">INDEX(Table1[riBAQ 22], MATCH(1, (Table3[[#This Row],[Gene names]:[Gene names]] = Table1[[Gene names]:[Gene names]])*1, 0))</f>
        <v>2.17412E-4</v>
      </c>
      <c r="J204" cm="1">
        <f t="array" ref="J204">INDEX(Table1[riBAQ 23], MATCH(1, (Table3[[#This Row],[Gene names]:[Gene names]] = Table1[[Gene names]:[Gene names]])*1, 0))</f>
        <v>2.6582E-4</v>
      </c>
      <c r="K204" cm="1">
        <f t="array" ref="K204">INDEX(Table1[riBAQ 37], MATCH(1, (Table3[[#This Row],[Gene names]:[Gene names]] = Table1[[Gene names]:[Gene names]])*1, 0))</f>
        <v>2.2097299999999999E-4</v>
      </c>
      <c r="L204" cm="1">
        <f t="array" ref="L204">INDEX(Table1[riBAQ 38], MATCH(1, (Table3[[#This Row],[Gene names]:[Gene names]] = Table1[[Gene names]:[Gene names]])*1, 0))</f>
        <v>1.7354800000000001E-4</v>
      </c>
      <c r="M204" cm="1">
        <f t="array" ref="M204">INDEX(Table1[riBAQ 39], MATCH(1, (Table3[[#This Row],[Gene names]:[Gene names]] = Table1[[Gene names]:[Gene names]])*1, 0))</f>
        <v>2.1455899999999999E-4</v>
      </c>
      <c r="N204" cm="1">
        <f t="array" ref="N204">INDEX(Table1[riBAQ 40], MATCH(1, (Table3[[#This Row],[Gene names]:[Gene names]] = Table1[[Gene names]:[Gene names]])*1, 0))</f>
        <v>1.7913E-4</v>
      </c>
      <c r="O204" cm="1">
        <f t="array" ref="O204">INDEX(Table1[riBAQ 41], MATCH(1, (Table3[[#This Row],[Gene names]:[Gene names]] = Table1[[Gene names]:[Gene names]])*1, 0))</f>
        <v>2.4642400000000002E-4</v>
      </c>
      <c r="P204" cm="1">
        <f t="array" ref="P204">INDEX(Table1[riBAQ 24], MATCH(1, (Table3[[#This Row],[Gene names]:[Gene names]] = Table1[[Gene names]:[Gene names]])*1, 0))</f>
        <v>3.1133799999999998E-4</v>
      </c>
      <c r="Q204" cm="1">
        <f t="array" ref="Q204">INDEX(Table1[riBAQ 25], MATCH(1, (Table3[[#This Row],[Gene names]:[Gene names]] = Table1[[Gene names]:[Gene names]])*1, 0))</f>
        <v>3.1779200000000001E-4</v>
      </c>
      <c r="R204" cm="1">
        <f t="array" ref="R204">INDEX(Table1[riBAQ 26], MATCH(1, (Table3[[#This Row],[Gene names]:[Gene names]] = Table1[[Gene names]:[Gene names]])*1, 0))</f>
        <v>4.2335000000000002E-4</v>
      </c>
      <c r="S204" cm="1">
        <f t="array" ref="S204">INDEX(Table1[riBAQ 42], MATCH(1, (Table3[[#This Row],[Gene names]:[Gene names]] = Table1[[Gene names]:[Gene names]])*1, 0))</f>
        <v>3.67287E-4</v>
      </c>
      <c r="T204" cm="1">
        <f t="array" ref="T204">INDEX(Table1[riBAQ 43], MATCH(1, (Table3[[#This Row],[Gene names]:[Gene names]] = Table1[[Gene names]:[Gene names]])*1, 0))</f>
        <v>3.32128E-4</v>
      </c>
    </row>
    <row r="205" spans="1:20" x14ac:dyDescent="0.25">
      <c r="A205" t="s">
        <v>115</v>
      </c>
      <c r="B205" cm="1">
        <f t="array" ref="B205">INDEX(Table1[riBAQ 17], MATCH(1, (Table3[[#This Row],[Gene names]:[Gene names]] = Table1[[Gene names]:[Gene names]])*1, 0))</f>
        <v>4.2400000000000001E-5</v>
      </c>
      <c r="C205" cm="1">
        <f t="array" ref="C205">INDEX(Table1[riBAQ 18], MATCH(1, (Table3[[#This Row],[Gene names]:[Gene names]] = Table1[[Gene names]:[Gene names]])*1, 0))</f>
        <v>0</v>
      </c>
      <c r="D205" cm="1">
        <f t="array" ref="D205">INDEX(Table1[riBAQ 35], MATCH(1, (Table3[[#This Row],[Gene names]:[Gene names]] = Table1[[Gene names]:[Gene names]])*1, 0))</f>
        <v>7.8800000000000008E-6</v>
      </c>
      <c r="E205" cm="1">
        <f t="array" ref="E205">INDEX(Table1[riBAQ 36], MATCH(1, (Table3[[#This Row],[Gene names]:[Gene names]] = Table1[[Gene names]:[Gene names]])*1, 0))</f>
        <v>1.33E-5</v>
      </c>
      <c r="F205" cm="1">
        <f t="array" ref="F205">INDEX(Table1[riBAQ 19], MATCH(1, (Table3[[#This Row],[Gene names]:[Gene names]] = Table1[[Gene names]:[Gene names]])*1, 0))</f>
        <v>0</v>
      </c>
      <c r="G205" cm="1">
        <f t="array" ref="G205">INDEX(Table1[riBAQ 20], MATCH(1, (Table3[[#This Row],[Gene names]:[Gene names]] = Table1[[Gene names]:[Gene names]])*1, 0))</f>
        <v>2.37E-5</v>
      </c>
      <c r="H205" cm="1">
        <f t="array" ref="H205">INDEX(Table1[riBAQ 21], MATCH(1, (Table3[[#This Row],[Gene names]:[Gene names]] = Table1[[Gene names]:[Gene names]])*1, 0))</f>
        <v>4.8399999999999997E-5</v>
      </c>
      <c r="I205" cm="1">
        <f t="array" ref="I205">INDEX(Table1[riBAQ 22], MATCH(1, (Table3[[#This Row],[Gene names]:[Gene names]] = Table1[[Gene names]:[Gene names]])*1, 0))</f>
        <v>1.3699999999999999E-5</v>
      </c>
      <c r="J205" cm="1">
        <f t="array" ref="J205">INDEX(Table1[riBAQ 23], MATCH(1, (Table3[[#This Row],[Gene names]:[Gene names]] = Table1[[Gene names]:[Gene names]])*1, 0))</f>
        <v>2.1699999999999999E-5</v>
      </c>
      <c r="K205" cm="1">
        <f t="array" ref="K205">INDEX(Table1[riBAQ 37], MATCH(1, (Table3[[#This Row],[Gene names]:[Gene names]] = Table1[[Gene names]:[Gene names]])*1, 0))</f>
        <v>2.1299999999999999E-5</v>
      </c>
      <c r="L205" cm="1">
        <f t="array" ref="L205">INDEX(Table1[riBAQ 38], MATCH(1, (Table3[[#This Row],[Gene names]:[Gene names]] = Table1[[Gene names]:[Gene names]])*1, 0))</f>
        <v>2.0800000000000001E-5</v>
      </c>
      <c r="M205" cm="1">
        <f t="array" ref="M205">INDEX(Table1[riBAQ 39], MATCH(1, (Table3[[#This Row],[Gene names]:[Gene names]] = Table1[[Gene names]:[Gene names]])*1, 0))</f>
        <v>0</v>
      </c>
      <c r="N205" cm="1">
        <f t="array" ref="N205">INDEX(Table1[riBAQ 40], MATCH(1, (Table3[[#This Row],[Gene names]:[Gene names]] = Table1[[Gene names]:[Gene names]])*1, 0))</f>
        <v>2.8399999999999999E-5</v>
      </c>
      <c r="O205" cm="1">
        <f t="array" ref="O205">INDEX(Table1[riBAQ 41], MATCH(1, (Table3[[#This Row],[Gene names]:[Gene names]] = Table1[[Gene names]:[Gene names]])*1, 0))</f>
        <v>2.48E-5</v>
      </c>
      <c r="P205" cm="1">
        <f t="array" ref="P205">INDEX(Table1[riBAQ 24], MATCH(1, (Table3[[#This Row],[Gene names]:[Gene names]] = Table1[[Gene names]:[Gene names]])*1, 0))</f>
        <v>6.41E-5</v>
      </c>
      <c r="Q205" cm="1">
        <f t="array" ref="Q205">INDEX(Table1[riBAQ 25], MATCH(1, (Table3[[#This Row],[Gene names]:[Gene names]] = Table1[[Gene names]:[Gene names]])*1, 0))</f>
        <v>5.5999999999999999E-5</v>
      </c>
      <c r="R205" cm="1">
        <f t="array" ref="R205">INDEX(Table1[riBAQ 26], MATCH(1, (Table3[[#This Row],[Gene names]:[Gene names]] = Table1[[Gene names]:[Gene names]])*1, 0))</f>
        <v>6.58E-5</v>
      </c>
      <c r="S205" cm="1">
        <f t="array" ref="S205">INDEX(Table1[riBAQ 42], MATCH(1, (Table3[[#This Row],[Gene names]:[Gene names]] = Table1[[Gene names]:[Gene names]])*1, 0))</f>
        <v>7.7000000000000001E-5</v>
      </c>
      <c r="T205" cm="1">
        <f t="array" ref="T205">INDEX(Table1[riBAQ 43], MATCH(1, (Table3[[#This Row],[Gene names]:[Gene names]] = Table1[[Gene names]:[Gene names]])*1, 0))</f>
        <v>3.29E-5</v>
      </c>
    </row>
    <row r="206" spans="1:20" x14ac:dyDescent="0.25">
      <c r="A206" t="s">
        <v>516</v>
      </c>
      <c r="B206" cm="1">
        <f t="array" ref="B206">INDEX(Table1[riBAQ 17], MATCH(1, (Table3[[#This Row],[Gene names]:[Gene names]] = Table1[[Gene names]:[Gene names]])*1, 0))</f>
        <v>1.1E-5</v>
      </c>
      <c r="C206" cm="1">
        <f t="array" ref="C206">INDEX(Table1[riBAQ 18], MATCH(1, (Table3[[#This Row],[Gene names]:[Gene names]] = Table1[[Gene names]:[Gene names]])*1, 0))</f>
        <v>0</v>
      </c>
      <c r="D206" cm="1">
        <f t="array" ref="D206">INDEX(Table1[riBAQ 35], MATCH(1, (Table3[[#This Row],[Gene names]:[Gene names]] = Table1[[Gene names]:[Gene names]])*1, 0))</f>
        <v>0</v>
      </c>
      <c r="E206" cm="1">
        <f t="array" ref="E206">INDEX(Table1[riBAQ 36], MATCH(1, (Table3[[#This Row],[Gene names]:[Gene names]] = Table1[[Gene names]:[Gene names]])*1, 0))</f>
        <v>0</v>
      </c>
      <c r="F206" cm="1">
        <f t="array" ref="F206">INDEX(Table1[riBAQ 19], MATCH(1, (Table3[[#This Row],[Gene names]:[Gene names]] = Table1[[Gene names]:[Gene names]])*1, 0))</f>
        <v>1.7200000000000001E-5</v>
      </c>
      <c r="G206" cm="1">
        <f t="array" ref="G206">INDEX(Table1[riBAQ 20], MATCH(1, (Table3[[#This Row],[Gene names]:[Gene names]] = Table1[[Gene names]:[Gene names]])*1, 0))</f>
        <v>0</v>
      </c>
      <c r="H206" cm="1">
        <f t="array" ref="H206">INDEX(Table1[riBAQ 21], MATCH(1, (Table3[[#This Row],[Gene names]:[Gene names]] = Table1[[Gene names]:[Gene names]])*1, 0))</f>
        <v>1.52E-5</v>
      </c>
      <c r="I206" cm="1">
        <f t="array" ref="I206">INDEX(Table1[riBAQ 22], MATCH(1, (Table3[[#This Row],[Gene names]:[Gene names]] = Table1[[Gene names]:[Gene names]])*1, 0))</f>
        <v>2.16E-5</v>
      </c>
      <c r="J206" cm="1">
        <f t="array" ref="J206">INDEX(Table1[riBAQ 23], MATCH(1, (Table3[[#This Row],[Gene names]:[Gene names]] = Table1[[Gene names]:[Gene names]])*1, 0))</f>
        <v>1.3499999999999999E-5</v>
      </c>
      <c r="K206" cm="1">
        <f t="array" ref="K206">INDEX(Table1[riBAQ 37], MATCH(1, (Table3[[#This Row],[Gene names]:[Gene names]] = Table1[[Gene names]:[Gene names]])*1, 0))</f>
        <v>0</v>
      </c>
      <c r="L206" cm="1">
        <f t="array" ref="L206">INDEX(Table1[riBAQ 38], MATCH(1, (Table3[[#This Row],[Gene names]:[Gene names]] = Table1[[Gene names]:[Gene names]])*1, 0))</f>
        <v>9.0999999999999993E-6</v>
      </c>
      <c r="M206" cm="1">
        <f t="array" ref="M206">INDEX(Table1[riBAQ 39], MATCH(1, (Table3[[#This Row],[Gene names]:[Gene names]] = Table1[[Gene names]:[Gene names]])*1, 0))</f>
        <v>1.6099999999999998E-5</v>
      </c>
      <c r="N206" cm="1">
        <f t="array" ref="N206">INDEX(Table1[riBAQ 40], MATCH(1, (Table3[[#This Row],[Gene names]:[Gene names]] = Table1[[Gene names]:[Gene names]])*1, 0))</f>
        <v>2.3200000000000001E-5</v>
      </c>
      <c r="O206" cm="1">
        <f t="array" ref="O206">INDEX(Table1[riBAQ 41], MATCH(1, (Table3[[#This Row],[Gene names]:[Gene names]] = Table1[[Gene names]:[Gene names]])*1, 0))</f>
        <v>6.6699999999999997E-6</v>
      </c>
      <c r="P206" cm="1">
        <f t="array" ref="P206">INDEX(Table1[riBAQ 24], MATCH(1, (Table3[[#This Row],[Gene names]:[Gene names]] = Table1[[Gene names]:[Gene names]])*1, 0))</f>
        <v>2.72E-5</v>
      </c>
      <c r="Q206" cm="1">
        <f t="array" ref="Q206">INDEX(Table1[riBAQ 25], MATCH(1, (Table3[[#This Row],[Gene names]:[Gene names]] = Table1[[Gene names]:[Gene names]])*1, 0))</f>
        <v>7.75E-5</v>
      </c>
      <c r="R206" cm="1">
        <f t="array" ref="R206">INDEX(Table1[riBAQ 26], MATCH(1, (Table3[[#This Row],[Gene names]:[Gene names]] = Table1[[Gene names]:[Gene names]])*1, 0))</f>
        <v>3.6900000000000002E-5</v>
      </c>
      <c r="S206" cm="1">
        <f t="array" ref="S206">INDEX(Table1[riBAQ 42], MATCH(1, (Table3[[#This Row],[Gene names]:[Gene names]] = Table1[[Gene names]:[Gene names]])*1, 0))</f>
        <v>4.8900000000000003E-5</v>
      </c>
      <c r="T206" cm="1">
        <f t="array" ref="T206">INDEX(Table1[riBAQ 43], MATCH(1, (Table3[[#This Row],[Gene names]:[Gene names]] = Table1[[Gene names]:[Gene names]])*1, 0))</f>
        <v>5.27E-5</v>
      </c>
    </row>
    <row r="207" spans="1:20" x14ac:dyDescent="0.25">
      <c r="A207" t="s">
        <v>338</v>
      </c>
      <c r="B207" cm="1">
        <f t="array" ref="B207">INDEX(Table1[riBAQ 17], MATCH(1, (Table3[[#This Row],[Gene names]:[Gene names]] = Table1[[Gene names]:[Gene names]])*1, 0))</f>
        <v>0</v>
      </c>
      <c r="C207" cm="1">
        <f t="array" ref="C207">INDEX(Table1[riBAQ 18], MATCH(1, (Table3[[#This Row],[Gene names]:[Gene names]] = Table1[[Gene names]:[Gene names]])*1, 0))</f>
        <v>0</v>
      </c>
      <c r="D207" cm="1">
        <f t="array" ref="D207">INDEX(Table1[riBAQ 35], MATCH(1, (Table3[[#This Row],[Gene names]:[Gene names]] = Table1[[Gene names]:[Gene names]])*1, 0))</f>
        <v>0</v>
      </c>
      <c r="E207" cm="1">
        <f t="array" ref="E207">INDEX(Table1[riBAQ 36], MATCH(1, (Table3[[#This Row],[Gene names]:[Gene names]] = Table1[[Gene names]:[Gene names]])*1, 0))</f>
        <v>0</v>
      </c>
      <c r="F207" cm="1">
        <f t="array" ref="F207">INDEX(Table1[riBAQ 19], MATCH(1, (Table3[[#This Row],[Gene names]:[Gene names]] = Table1[[Gene names]:[Gene names]])*1, 0))</f>
        <v>0</v>
      </c>
      <c r="G207" cm="1">
        <f t="array" ref="G207">INDEX(Table1[riBAQ 20], MATCH(1, (Table3[[#This Row],[Gene names]:[Gene names]] = Table1[[Gene names]:[Gene names]])*1, 0))</f>
        <v>0</v>
      </c>
      <c r="H207" cm="1">
        <f t="array" ref="H207">INDEX(Table1[riBAQ 21], MATCH(1, (Table3[[#This Row],[Gene names]:[Gene names]] = Table1[[Gene names]:[Gene names]])*1, 0))</f>
        <v>0</v>
      </c>
      <c r="I207" cm="1">
        <f t="array" ref="I207">INDEX(Table1[riBAQ 22], MATCH(1, (Table3[[#This Row],[Gene names]:[Gene names]] = Table1[[Gene names]:[Gene names]])*1, 0))</f>
        <v>0</v>
      </c>
      <c r="J207" cm="1">
        <f t="array" ref="J207">INDEX(Table1[riBAQ 23], MATCH(1, (Table3[[#This Row],[Gene names]:[Gene names]] = Table1[[Gene names]:[Gene names]])*1, 0))</f>
        <v>0</v>
      </c>
      <c r="K207" cm="1">
        <f t="array" ref="K207">INDEX(Table1[riBAQ 37], MATCH(1, (Table3[[#This Row],[Gene names]:[Gene names]] = Table1[[Gene names]:[Gene names]])*1, 0))</f>
        <v>0</v>
      </c>
      <c r="L207" cm="1">
        <f t="array" ref="L207">INDEX(Table1[riBAQ 38], MATCH(1, (Table3[[#This Row],[Gene names]:[Gene names]] = Table1[[Gene names]:[Gene names]])*1, 0))</f>
        <v>0</v>
      </c>
      <c r="M207" cm="1">
        <f t="array" ref="M207">INDEX(Table1[riBAQ 39], MATCH(1, (Table3[[#This Row],[Gene names]:[Gene names]] = Table1[[Gene names]:[Gene names]])*1, 0))</f>
        <v>0</v>
      </c>
      <c r="N207" cm="1">
        <f t="array" ref="N207">INDEX(Table1[riBAQ 40], MATCH(1, (Table3[[#This Row],[Gene names]:[Gene names]] = Table1[[Gene names]:[Gene names]])*1, 0))</f>
        <v>0</v>
      </c>
      <c r="O207" cm="1">
        <f t="array" ref="O207">INDEX(Table1[riBAQ 41], MATCH(1, (Table3[[#This Row],[Gene names]:[Gene names]] = Table1[[Gene names]:[Gene names]])*1, 0))</f>
        <v>0</v>
      </c>
      <c r="P207" cm="1">
        <f t="array" ref="P207">INDEX(Table1[riBAQ 24], MATCH(1, (Table3[[#This Row],[Gene names]:[Gene names]] = Table1[[Gene names]:[Gene names]])*1, 0))</f>
        <v>0</v>
      </c>
      <c r="Q207" cm="1">
        <f t="array" ref="Q207">INDEX(Table1[riBAQ 25], MATCH(1, (Table3[[#This Row],[Gene names]:[Gene names]] = Table1[[Gene names]:[Gene names]])*1, 0))</f>
        <v>2.32041E-4</v>
      </c>
      <c r="R207" cm="1">
        <f t="array" ref="R207">INDEX(Table1[riBAQ 26], MATCH(1, (Table3[[#This Row],[Gene names]:[Gene names]] = Table1[[Gene names]:[Gene names]])*1, 0))</f>
        <v>1.80015E-4</v>
      </c>
      <c r="S207" cm="1">
        <f t="array" ref="S207">INDEX(Table1[riBAQ 42], MATCH(1, (Table3[[#This Row],[Gene names]:[Gene names]] = Table1[[Gene names]:[Gene names]])*1, 0))</f>
        <v>6.7399999999999998E-5</v>
      </c>
      <c r="T207" cm="1">
        <f t="array" ref="T207">INDEX(Table1[riBAQ 43], MATCH(1, (Table3[[#This Row],[Gene names]:[Gene names]] = Table1[[Gene names]:[Gene names]])*1, 0))</f>
        <v>1.98977E-4</v>
      </c>
    </row>
    <row r="208" spans="1:20" x14ac:dyDescent="0.25">
      <c r="A208" t="s">
        <v>233</v>
      </c>
      <c r="B208" cm="1">
        <f t="array" ref="B208">INDEX(Table1[riBAQ 17], MATCH(1, (Table3[[#This Row],[Gene names]:[Gene names]] = Table1[[Gene names]:[Gene names]])*1, 0))</f>
        <v>1.66E-5</v>
      </c>
      <c r="C208" cm="1">
        <f t="array" ref="C208">INDEX(Table1[riBAQ 18], MATCH(1, (Table3[[#This Row],[Gene names]:[Gene names]] = Table1[[Gene names]:[Gene names]])*1, 0))</f>
        <v>0</v>
      </c>
      <c r="D208" cm="1">
        <f t="array" ref="D208">INDEX(Table1[riBAQ 35], MATCH(1, (Table3[[#This Row],[Gene names]:[Gene names]] = Table1[[Gene names]:[Gene names]])*1, 0))</f>
        <v>1.8499999999999999E-5</v>
      </c>
      <c r="E208" cm="1">
        <f t="array" ref="E208">INDEX(Table1[riBAQ 36], MATCH(1, (Table3[[#This Row],[Gene names]:[Gene names]] = Table1[[Gene names]:[Gene names]])*1, 0))</f>
        <v>1.9000000000000001E-5</v>
      </c>
      <c r="F208" cm="1">
        <f t="array" ref="F208">INDEX(Table1[riBAQ 19], MATCH(1, (Table3[[#This Row],[Gene names]:[Gene names]] = Table1[[Gene names]:[Gene names]])*1, 0))</f>
        <v>1.8300000000000001E-5</v>
      </c>
      <c r="G208" cm="1">
        <f t="array" ref="G208">INDEX(Table1[riBAQ 20], MATCH(1, (Table3[[#This Row],[Gene names]:[Gene names]] = Table1[[Gene names]:[Gene names]])*1, 0))</f>
        <v>2.27E-5</v>
      </c>
      <c r="H208" cm="1">
        <f t="array" ref="H208">INDEX(Table1[riBAQ 21], MATCH(1, (Table3[[#This Row],[Gene names]:[Gene names]] = Table1[[Gene names]:[Gene names]])*1, 0))</f>
        <v>2.69E-5</v>
      </c>
      <c r="I208" cm="1">
        <f t="array" ref="I208">INDEX(Table1[riBAQ 22], MATCH(1, (Table3[[#This Row],[Gene names]:[Gene names]] = Table1[[Gene names]:[Gene names]])*1, 0))</f>
        <v>1.3900000000000001E-5</v>
      </c>
      <c r="J208" cm="1">
        <f t="array" ref="J208">INDEX(Table1[riBAQ 23], MATCH(1, (Table3[[#This Row],[Gene names]:[Gene names]] = Table1[[Gene names]:[Gene names]])*1, 0))</f>
        <v>1.7900000000000001E-5</v>
      </c>
      <c r="K208" cm="1">
        <f t="array" ref="K208">INDEX(Table1[riBAQ 37], MATCH(1, (Table3[[#This Row],[Gene names]:[Gene names]] = Table1[[Gene names]:[Gene names]])*1, 0))</f>
        <v>2.8E-5</v>
      </c>
      <c r="L208" cm="1">
        <f t="array" ref="L208">INDEX(Table1[riBAQ 38], MATCH(1, (Table3[[#This Row],[Gene names]:[Gene names]] = Table1[[Gene names]:[Gene names]])*1, 0))</f>
        <v>1.0499999999999999E-5</v>
      </c>
      <c r="M208" cm="1">
        <f t="array" ref="M208">INDEX(Table1[riBAQ 39], MATCH(1, (Table3[[#This Row],[Gene names]:[Gene names]] = Table1[[Gene names]:[Gene names]])*1, 0))</f>
        <v>3.2499999999999997E-5</v>
      </c>
      <c r="N208" cm="1">
        <f t="array" ref="N208">INDEX(Table1[riBAQ 40], MATCH(1, (Table3[[#This Row],[Gene names]:[Gene names]] = Table1[[Gene names]:[Gene names]])*1, 0))</f>
        <v>1.9599999999999999E-5</v>
      </c>
      <c r="O208" cm="1">
        <f t="array" ref="O208">INDEX(Table1[riBAQ 41], MATCH(1, (Table3[[#This Row],[Gene names]:[Gene names]] = Table1[[Gene names]:[Gene names]])*1, 0))</f>
        <v>1.3699999999999999E-5</v>
      </c>
      <c r="P208" cm="1">
        <f t="array" ref="P208">INDEX(Table1[riBAQ 24], MATCH(1, (Table3[[#This Row],[Gene names]:[Gene names]] = Table1[[Gene names]:[Gene names]])*1, 0))</f>
        <v>3.4400000000000003E-5</v>
      </c>
      <c r="Q208" cm="1">
        <f t="array" ref="Q208">INDEX(Table1[riBAQ 25], MATCH(1, (Table3[[#This Row],[Gene names]:[Gene names]] = Table1[[Gene names]:[Gene names]])*1, 0))</f>
        <v>5.8400000000000003E-5</v>
      </c>
      <c r="R208" cm="1">
        <f t="array" ref="R208">INDEX(Table1[riBAQ 26], MATCH(1, (Table3[[#This Row],[Gene names]:[Gene names]] = Table1[[Gene names]:[Gene names]])*1, 0))</f>
        <v>4.7299999999999998E-5</v>
      </c>
      <c r="S208" cm="1">
        <f t="array" ref="S208">INDEX(Table1[riBAQ 42], MATCH(1, (Table3[[#This Row],[Gene names]:[Gene names]] = Table1[[Gene names]:[Gene names]])*1, 0))</f>
        <v>6.8200000000000004E-5</v>
      </c>
      <c r="T208" cm="1">
        <f t="array" ref="T208">INDEX(Table1[riBAQ 43], MATCH(1, (Table3[[#This Row],[Gene names]:[Gene names]] = Table1[[Gene names]:[Gene names]])*1, 0))</f>
        <v>1.13649E-4</v>
      </c>
    </row>
    <row r="209" spans="1:20" x14ac:dyDescent="0.25">
      <c r="A209" t="s">
        <v>1487</v>
      </c>
      <c r="B209" cm="1">
        <f t="array" ref="B209">INDEX(Table1[riBAQ 17], MATCH(1, (Table3[[#This Row],[Gene names]:[Gene names]] = Table1[[Gene names]:[Gene names]])*1, 0))</f>
        <v>2.2204500000000001E-4</v>
      </c>
      <c r="C209" cm="1">
        <f t="array" ref="C209">INDEX(Table1[riBAQ 18], MATCH(1, (Table3[[#This Row],[Gene names]:[Gene names]] = Table1[[Gene names]:[Gene names]])*1, 0))</f>
        <v>1.23607E-4</v>
      </c>
      <c r="D209" cm="1">
        <f t="array" ref="D209">INDEX(Table1[riBAQ 35], MATCH(1, (Table3[[#This Row],[Gene names]:[Gene names]] = Table1[[Gene names]:[Gene names]])*1, 0))</f>
        <v>1.06951E-4</v>
      </c>
      <c r="E209" cm="1">
        <f t="array" ref="E209">INDEX(Table1[riBAQ 36], MATCH(1, (Table3[[#This Row],[Gene names]:[Gene names]] = Table1[[Gene names]:[Gene names]])*1, 0))</f>
        <v>1.67002E-4</v>
      </c>
      <c r="F209" cm="1">
        <f t="array" ref="F209">INDEX(Table1[riBAQ 19], MATCH(1, (Table3[[#This Row],[Gene names]:[Gene names]] = Table1[[Gene names]:[Gene names]])*1, 0))</f>
        <v>2.0399599999999999E-4</v>
      </c>
      <c r="G209" cm="1">
        <f t="array" ref="G209">INDEX(Table1[riBAQ 20], MATCH(1, (Table3[[#This Row],[Gene names]:[Gene names]] = Table1[[Gene names]:[Gene names]])*1, 0))</f>
        <v>1.48713E-4</v>
      </c>
      <c r="H209" cm="1">
        <f t="array" ref="H209">INDEX(Table1[riBAQ 21], MATCH(1, (Table3[[#This Row],[Gene names]:[Gene names]] = Table1[[Gene names]:[Gene names]])*1, 0))</f>
        <v>1.68221E-4</v>
      </c>
      <c r="I209" cm="1">
        <f t="array" ref="I209">INDEX(Table1[riBAQ 22], MATCH(1, (Table3[[#This Row],[Gene names]:[Gene names]] = Table1[[Gene names]:[Gene names]])*1, 0))</f>
        <v>1.4366199999999999E-4</v>
      </c>
      <c r="J209" cm="1">
        <f t="array" ref="J209">INDEX(Table1[riBAQ 23], MATCH(1, (Table3[[#This Row],[Gene names]:[Gene names]] = Table1[[Gene names]:[Gene names]])*1, 0))</f>
        <v>1.57548E-4</v>
      </c>
      <c r="K209" cm="1">
        <f t="array" ref="K209">INDEX(Table1[riBAQ 37], MATCH(1, (Table3[[#This Row],[Gene names]:[Gene names]] = Table1[[Gene names]:[Gene names]])*1, 0))</f>
        <v>1.84465E-4</v>
      </c>
      <c r="L209" cm="1">
        <f t="array" ref="L209">INDEX(Table1[riBAQ 38], MATCH(1, (Table3[[#This Row],[Gene names]:[Gene names]] = Table1[[Gene names]:[Gene names]])*1, 0))</f>
        <v>1.30326E-4</v>
      </c>
      <c r="M209" cm="1">
        <f t="array" ref="M209">INDEX(Table1[riBAQ 39], MATCH(1, (Table3[[#This Row],[Gene names]:[Gene names]] = Table1[[Gene names]:[Gene names]])*1, 0))</f>
        <v>1.72005E-4</v>
      </c>
      <c r="N209" cm="1">
        <f t="array" ref="N209">INDEX(Table1[riBAQ 40], MATCH(1, (Table3[[#This Row],[Gene names]:[Gene names]] = Table1[[Gene names]:[Gene names]])*1, 0))</f>
        <v>9.2800000000000006E-5</v>
      </c>
      <c r="O209" cm="1">
        <f t="array" ref="O209">INDEX(Table1[riBAQ 41], MATCH(1, (Table3[[#This Row],[Gene names]:[Gene names]] = Table1[[Gene names]:[Gene names]])*1, 0))</f>
        <v>1.14821E-4</v>
      </c>
      <c r="P209" cm="1">
        <f t="array" ref="P209">INDEX(Table1[riBAQ 24], MATCH(1, (Table3[[#This Row],[Gene names]:[Gene names]] = Table1[[Gene names]:[Gene names]])*1, 0))</f>
        <v>2.7458400000000003E-4</v>
      </c>
      <c r="Q209" cm="1">
        <f t="array" ref="Q209">INDEX(Table1[riBAQ 25], MATCH(1, (Table3[[#This Row],[Gene names]:[Gene names]] = Table1[[Gene names]:[Gene names]])*1, 0))</f>
        <v>3.4254000000000001E-4</v>
      </c>
      <c r="R209" cm="1">
        <f t="array" ref="R209">INDEX(Table1[riBAQ 26], MATCH(1, (Table3[[#This Row],[Gene names]:[Gene names]] = Table1[[Gene names]:[Gene names]])*1, 0))</f>
        <v>2.9189999999999999E-4</v>
      </c>
      <c r="S209" cm="1">
        <f t="array" ref="S209">INDEX(Table1[riBAQ 42], MATCH(1, (Table3[[#This Row],[Gene names]:[Gene names]] = Table1[[Gene names]:[Gene names]])*1, 0))</f>
        <v>4.4148199999999999E-4</v>
      </c>
      <c r="T209" cm="1">
        <f t="array" ref="T209">INDEX(Table1[riBAQ 43], MATCH(1, (Table3[[#This Row],[Gene names]:[Gene names]] = Table1[[Gene names]:[Gene names]])*1, 0))</f>
        <v>3.5931500000000002E-4</v>
      </c>
    </row>
    <row r="210" spans="1:20" x14ac:dyDescent="0.25">
      <c r="A210" t="s">
        <v>1807</v>
      </c>
      <c r="B210" cm="1">
        <f t="array" ref="B210">INDEX(Table1[riBAQ 17], MATCH(1, (Table3[[#This Row],[Gene names]:[Gene names]] = Table1[[Gene names]:[Gene names]])*1, 0))</f>
        <v>6.1874920000000002E-3</v>
      </c>
      <c r="C210" cm="1">
        <f t="array" ref="C210">INDEX(Table1[riBAQ 18], MATCH(1, (Table3[[#This Row],[Gene names]:[Gene names]] = Table1[[Gene names]:[Gene names]])*1, 0))</f>
        <v>7.1114139999999999E-3</v>
      </c>
      <c r="D210" cm="1">
        <f t="array" ref="D210">INDEX(Table1[riBAQ 35], MATCH(1, (Table3[[#This Row],[Gene names]:[Gene names]] = Table1[[Gene names]:[Gene names]])*1, 0))</f>
        <v>6.934852E-3</v>
      </c>
      <c r="E210" cm="1">
        <f t="array" ref="E210">INDEX(Table1[riBAQ 36], MATCH(1, (Table3[[#This Row],[Gene names]:[Gene names]] = Table1[[Gene names]:[Gene names]])*1, 0))</f>
        <v>5.9290599999999999E-3</v>
      </c>
      <c r="F210" cm="1">
        <f t="array" ref="F210">INDEX(Table1[riBAQ 19], MATCH(1, (Table3[[#This Row],[Gene names]:[Gene names]] = Table1[[Gene names]:[Gene names]])*1, 0))</f>
        <v>4.9213349999999998E-3</v>
      </c>
      <c r="G210" cm="1">
        <f t="array" ref="G210">INDEX(Table1[riBAQ 20], MATCH(1, (Table3[[#This Row],[Gene names]:[Gene names]] = Table1[[Gene names]:[Gene names]])*1, 0))</f>
        <v>4.9404920000000003E-3</v>
      </c>
      <c r="H210" cm="1">
        <f t="array" ref="H210">INDEX(Table1[riBAQ 21], MATCH(1, (Table3[[#This Row],[Gene names]:[Gene names]] = Table1[[Gene names]:[Gene names]])*1, 0))</f>
        <v>3.333889E-3</v>
      </c>
      <c r="I210" cm="1">
        <f t="array" ref="I210">INDEX(Table1[riBAQ 22], MATCH(1, (Table3[[#This Row],[Gene names]:[Gene names]] = Table1[[Gene names]:[Gene names]])*1, 0))</f>
        <v>4.4843859999999999E-3</v>
      </c>
      <c r="J210" cm="1">
        <f t="array" ref="J210">INDEX(Table1[riBAQ 23], MATCH(1, (Table3[[#This Row],[Gene names]:[Gene names]] = Table1[[Gene names]:[Gene names]])*1, 0))</f>
        <v>5.4992840000000001E-3</v>
      </c>
      <c r="K210" cm="1">
        <f t="array" ref="K210">INDEX(Table1[riBAQ 37], MATCH(1, (Table3[[#This Row],[Gene names]:[Gene names]] = Table1[[Gene names]:[Gene names]])*1, 0))</f>
        <v>5.7060009999999996E-3</v>
      </c>
      <c r="L210" cm="1">
        <f t="array" ref="L210">INDEX(Table1[riBAQ 38], MATCH(1, (Table3[[#This Row],[Gene names]:[Gene names]] = Table1[[Gene names]:[Gene names]])*1, 0))</f>
        <v>5.6592040000000001E-3</v>
      </c>
      <c r="M210" cm="1">
        <f t="array" ref="M210">INDEX(Table1[riBAQ 39], MATCH(1, (Table3[[#This Row],[Gene names]:[Gene names]] = Table1[[Gene names]:[Gene names]])*1, 0))</f>
        <v>4.8542619999999998E-3</v>
      </c>
      <c r="N210" cm="1">
        <f t="array" ref="N210">INDEX(Table1[riBAQ 40], MATCH(1, (Table3[[#This Row],[Gene names]:[Gene names]] = Table1[[Gene names]:[Gene names]])*1, 0))</f>
        <v>5.1316529999999999E-3</v>
      </c>
      <c r="O210" cm="1">
        <f t="array" ref="O210">INDEX(Table1[riBAQ 41], MATCH(1, (Table3[[#This Row],[Gene names]:[Gene names]] = Table1[[Gene names]:[Gene names]])*1, 0))</f>
        <v>5.1725449999999997E-3</v>
      </c>
      <c r="P210" cm="1">
        <f t="array" ref="P210">INDEX(Table1[riBAQ 24], MATCH(1, (Table3[[#This Row],[Gene names]:[Gene names]] = Table1[[Gene names]:[Gene names]])*1, 0))</f>
        <v>3.8608309999999999E-3</v>
      </c>
      <c r="Q210" cm="1">
        <f t="array" ref="Q210">INDEX(Table1[riBAQ 25], MATCH(1, (Table3[[#This Row],[Gene names]:[Gene names]] = Table1[[Gene names]:[Gene names]])*1, 0))</f>
        <v>1.7673490000000001E-3</v>
      </c>
      <c r="R210" cm="1">
        <f t="array" ref="R210">INDEX(Table1[riBAQ 26], MATCH(1, (Table3[[#This Row],[Gene names]:[Gene names]] = Table1[[Gene names]:[Gene names]])*1, 0))</f>
        <v>1.7899280000000001E-3</v>
      </c>
      <c r="S210" cm="1">
        <f t="array" ref="S210">INDEX(Table1[riBAQ 42], MATCH(1, (Table3[[#This Row],[Gene names]:[Gene names]] = Table1[[Gene names]:[Gene names]])*1, 0))</f>
        <v>8.3568399999999995E-4</v>
      </c>
      <c r="T210" cm="1">
        <f t="array" ref="T210">INDEX(Table1[riBAQ 43], MATCH(1, (Table3[[#This Row],[Gene names]:[Gene names]] = Table1[[Gene names]:[Gene names]])*1, 0))</f>
        <v>1.9953420000000002E-3</v>
      </c>
    </row>
    <row r="211" spans="1:20" x14ac:dyDescent="0.25">
      <c r="A211" t="s">
        <v>1435</v>
      </c>
      <c r="B211" cm="1">
        <f t="array" ref="B211">INDEX(Table1[riBAQ 17], MATCH(1, (Table3[[#This Row],[Gene names]:[Gene names]] = Table1[[Gene names]:[Gene names]])*1, 0))</f>
        <v>3.5299999999999997E-5</v>
      </c>
      <c r="C211" cm="1">
        <f t="array" ref="C211">INDEX(Table1[riBAQ 18], MATCH(1, (Table3[[#This Row],[Gene names]:[Gene names]] = Table1[[Gene names]:[Gene names]])*1, 0))</f>
        <v>4.0500000000000002E-5</v>
      </c>
      <c r="D211" cm="1">
        <f t="array" ref="D211">INDEX(Table1[riBAQ 35], MATCH(1, (Table3[[#This Row],[Gene names]:[Gene names]] = Table1[[Gene names]:[Gene names]])*1, 0))</f>
        <v>5.5999999999999999E-5</v>
      </c>
      <c r="E211" cm="1">
        <f t="array" ref="E211">INDEX(Table1[riBAQ 36], MATCH(1, (Table3[[#This Row],[Gene names]:[Gene names]] = Table1[[Gene names]:[Gene names]])*1, 0))</f>
        <v>5.1E-5</v>
      </c>
      <c r="F211" cm="1">
        <f t="array" ref="F211">INDEX(Table1[riBAQ 19], MATCH(1, (Table3[[#This Row],[Gene names]:[Gene names]] = Table1[[Gene names]:[Gene names]])*1, 0))</f>
        <v>3.8300000000000003E-5</v>
      </c>
      <c r="G211" cm="1">
        <f t="array" ref="G211">INDEX(Table1[riBAQ 20], MATCH(1, (Table3[[#This Row],[Gene names]:[Gene names]] = Table1[[Gene names]:[Gene names]])*1, 0))</f>
        <v>2.9899999999999998E-5</v>
      </c>
      <c r="H211" cm="1">
        <f t="array" ref="H211">INDEX(Table1[riBAQ 21], MATCH(1, (Table3[[#This Row],[Gene names]:[Gene names]] = Table1[[Gene names]:[Gene names]])*1, 0))</f>
        <v>0</v>
      </c>
      <c r="I211" cm="1">
        <f t="array" ref="I211">INDEX(Table1[riBAQ 22], MATCH(1, (Table3[[#This Row],[Gene names]:[Gene names]] = Table1[[Gene names]:[Gene names]])*1, 0))</f>
        <v>2.8399999999999999E-5</v>
      </c>
      <c r="J211" cm="1">
        <f t="array" ref="J211">INDEX(Table1[riBAQ 23], MATCH(1, (Table3[[#This Row],[Gene names]:[Gene names]] = Table1[[Gene names]:[Gene names]])*1, 0))</f>
        <v>6.1400000000000002E-5</v>
      </c>
      <c r="K211" cm="1">
        <f t="array" ref="K211">INDEX(Table1[riBAQ 37], MATCH(1, (Table3[[#This Row],[Gene names]:[Gene names]] = Table1[[Gene names]:[Gene names]])*1, 0))</f>
        <v>5.1199999999999998E-5</v>
      </c>
      <c r="L211" cm="1">
        <f t="array" ref="L211">INDEX(Table1[riBAQ 38], MATCH(1, (Table3[[#This Row],[Gene names]:[Gene names]] = Table1[[Gene names]:[Gene names]])*1, 0))</f>
        <v>6.6699999999999995E-5</v>
      </c>
      <c r="M211" cm="1">
        <f t="array" ref="M211">INDEX(Table1[riBAQ 39], MATCH(1, (Table3[[#This Row],[Gene names]:[Gene names]] = Table1[[Gene names]:[Gene names]])*1, 0))</f>
        <v>5.0599999999999997E-5</v>
      </c>
      <c r="N211" cm="1">
        <f t="array" ref="N211">INDEX(Table1[riBAQ 40], MATCH(1, (Table3[[#This Row],[Gene names]:[Gene names]] = Table1[[Gene names]:[Gene names]])*1, 0))</f>
        <v>2.65E-5</v>
      </c>
      <c r="O211" cm="1">
        <f t="array" ref="O211">INDEX(Table1[riBAQ 41], MATCH(1, (Table3[[#This Row],[Gene names]:[Gene names]] = Table1[[Gene names]:[Gene names]])*1, 0))</f>
        <v>6.2000000000000003E-5</v>
      </c>
      <c r="P211" cm="1">
        <f t="array" ref="P211">INDEX(Table1[riBAQ 24], MATCH(1, (Table3[[#This Row],[Gene names]:[Gene names]] = Table1[[Gene names]:[Gene names]])*1, 0))</f>
        <v>0</v>
      </c>
      <c r="Q211" cm="1">
        <f t="array" ref="Q211">INDEX(Table1[riBAQ 25], MATCH(1, (Table3[[#This Row],[Gene names]:[Gene names]] = Table1[[Gene names]:[Gene names]])*1, 0))</f>
        <v>0</v>
      </c>
      <c r="R211" cm="1">
        <f t="array" ref="R211">INDEX(Table1[riBAQ 26], MATCH(1, (Table3[[#This Row],[Gene names]:[Gene names]] = Table1[[Gene names]:[Gene names]])*1, 0))</f>
        <v>0</v>
      </c>
      <c r="S211" cm="1">
        <f t="array" ref="S211">INDEX(Table1[riBAQ 42], MATCH(1, (Table3[[#This Row],[Gene names]:[Gene names]] = Table1[[Gene names]:[Gene names]])*1, 0))</f>
        <v>0</v>
      </c>
      <c r="T211" cm="1">
        <f t="array" ref="T211">INDEX(Table1[riBAQ 43], MATCH(1, (Table3[[#This Row],[Gene names]:[Gene names]] = Table1[[Gene names]:[Gene names]])*1, 0))</f>
        <v>0</v>
      </c>
    </row>
    <row r="212" spans="1:20" x14ac:dyDescent="0.25">
      <c r="A212" t="s">
        <v>956</v>
      </c>
      <c r="B212" cm="1">
        <f t="array" ref="B212">INDEX(Table1[riBAQ 17], MATCH(1, (Table3[[#This Row],[Gene names]:[Gene names]] = Table1[[Gene names]:[Gene names]])*1, 0))</f>
        <v>0</v>
      </c>
      <c r="C212" cm="1">
        <f t="array" ref="C212">INDEX(Table1[riBAQ 18], MATCH(1, (Table3[[#This Row],[Gene names]:[Gene names]] = Table1[[Gene names]:[Gene names]])*1, 0))</f>
        <v>0</v>
      </c>
      <c r="D212" cm="1">
        <f t="array" ref="D212">INDEX(Table1[riBAQ 35], MATCH(1, (Table3[[#This Row],[Gene names]:[Gene names]] = Table1[[Gene names]:[Gene names]])*1, 0))</f>
        <v>1.4E-5</v>
      </c>
      <c r="E212" cm="1">
        <f t="array" ref="E212">INDEX(Table1[riBAQ 36], MATCH(1, (Table3[[#This Row],[Gene names]:[Gene names]] = Table1[[Gene names]:[Gene names]])*1, 0))</f>
        <v>0</v>
      </c>
      <c r="F212" cm="1">
        <f t="array" ref="F212">INDEX(Table1[riBAQ 19], MATCH(1, (Table3[[#This Row],[Gene names]:[Gene names]] = Table1[[Gene names]:[Gene names]])*1, 0))</f>
        <v>0</v>
      </c>
      <c r="G212" cm="1">
        <f t="array" ref="G212">INDEX(Table1[riBAQ 20], MATCH(1, (Table3[[#This Row],[Gene names]:[Gene names]] = Table1[[Gene names]:[Gene names]])*1, 0))</f>
        <v>0</v>
      </c>
      <c r="H212" cm="1">
        <f t="array" ref="H212">INDEX(Table1[riBAQ 21], MATCH(1, (Table3[[#This Row],[Gene names]:[Gene names]] = Table1[[Gene names]:[Gene names]])*1, 0))</f>
        <v>1.15E-5</v>
      </c>
      <c r="I212" cm="1">
        <f t="array" ref="I212">INDEX(Table1[riBAQ 22], MATCH(1, (Table3[[#This Row],[Gene names]:[Gene names]] = Table1[[Gene names]:[Gene names]])*1, 0))</f>
        <v>0</v>
      </c>
      <c r="J212" cm="1">
        <f t="array" ref="J212">INDEX(Table1[riBAQ 23], MATCH(1, (Table3[[#This Row],[Gene names]:[Gene names]] = Table1[[Gene names]:[Gene names]])*1, 0))</f>
        <v>0</v>
      </c>
      <c r="K212" cm="1">
        <f t="array" ref="K212">INDEX(Table1[riBAQ 37], MATCH(1, (Table3[[#This Row],[Gene names]:[Gene names]] = Table1[[Gene names]:[Gene names]])*1, 0))</f>
        <v>0</v>
      </c>
      <c r="L212" cm="1">
        <f t="array" ref="L212">INDEX(Table1[riBAQ 38], MATCH(1, (Table3[[#This Row],[Gene names]:[Gene names]] = Table1[[Gene names]:[Gene names]])*1, 0))</f>
        <v>0</v>
      </c>
      <c r="M212" cm="1">
        <f t="array" ref="M212">INDEX(Table1[riBAQ 39], MATCH(1, (Table3[[#This Row],[Gene names]:[Gene names]] = Table1[[Gene names]:[Gene names]])*1, 0))</f>
        <v>3.0700000000000001E-5</v>
      </c>
      <c r="N212" cm="1">
        <f t="array" ref="N212">INDEX(Table1[riBAQ 40], MATCH(1, (Table3[[#This Row],[Gene names]:[Gene names]] = Table1[[Gene names]:[Gene names]])*1, 0))</f>
        <v>2.2500000000000001E-5</v>
      </c>
      <c r="O212" cm="1">
        <f t="array" ref="O212">INDEX(Table1[riBAQ 41], MATCH(1, (Table3[[#This Row],[Gene names]:[Gene names]] = Table1[[Gene names]:[Gene names]])*1, 0))</f>
        <v>0</v>
      </c>
      <c r="P212" cm="1">
        <f t="array" ref="P212">INDEX(Table1[riBAQ 24], MATCH(1, (Table3[[#This Row],[Gene names]:[Gene names]] = Table1[[Gene names]:[Gene names]])*1, 0))</f>
        <v>0</v>
      </c>
      <c r="Q212" cm="1">
        <f t="array" ref="Q212">INDEX(Table1[riBAQ 25], MATCH(1, (Table3[[#This Row],[Gene names]:[Gene names]] = Table1[[Gene names]:[Gene names]])*1, 0))</f>
        <v>8.6799999999999996E-5</v>
      </c>
      <c r="R212" cm="1">
        <f t="array" ref="R212">INDEX(Table1[riBAQ 26], MATCH(1, (Table3[[#This Row],[Gene names]:[Gene names]] = Table1[[Gene names]:[Gene names]])*1, 0))</f>
        <v>0</v>
      </c>
      <c r="S212" cm="1">
        <f t="array" ref="S212">INDEX(Table1[riBAQ 42], MATCH(1, (Table3[[#This Row],[Gene names]:[Gene names]] = Table1[[Gene names]:[Gene names]])*1, 0))</f>
        <v>4.6799999999999999E-5</v>
      </c>
      <c r="T212" cm="1">
        <f t="array" ref="T212">INDEX(Table1[riBAQ 43], MATCH(1, (Table3[[#This Row],[Gene names]:[Gene names]] = Table1[[Gene names]:[Gene names]])*1, 0))</f>
        <v>2.94E-5</v>
      </c>
    </row>
    <row r="213" spans="1:20" x14ac:dyDescent="0.25">
      <c r="A213" t="s">
        <v>408</v>
      </c>
      <c r="B213" cm="1">
        <f t="array" ref="B213">INDEX(Table1[riBAQ 17], MATCH(1, (Table3[[#This Row],[Gene names]:[Gene names]] = Table1[[Gene names]:[Gene names]])*1, 0))</f>
        <v>3.39317E-4</v>
      </c>
      <c r="C213" cm="1">
        <f t="array" ref="C213">INDEX(Table1[riBAQ 18], MATCH(1, (Table3[[#This Row],[Gene names]:[Gene names]] = Table1[[Gene names]:[Gene names]])*1, 0))</f>
        <v>3.3399500000000002E-4</v>
      </c>
      <c r="D213" cm="1">
        <f t="array" ref="D213">INDEX(Table1[riBAQ 35], MATCH(1, (Table3[[#This Row],[Gene names]:[Gene names]] = Table1[[Gene names]:[Gene names]])*1, 0))</f>
        <v>2.1410999999999999E-4</v>
      </c>
      <c r="E213" cm="1">
        <f t="array" ref="E213">INDEX(Table1[riBAQ 36], MATCH(1, (Table3[[#This Row],[Gene names]:[Gene names]] = Table1[[Gene names]:[Gene names]])*1, 0))</f>
        <v>2.70413E-4</v>
      </c>
      <c r="F213" cm="1">
        <f t="array" ref="F213">INDEX(Table1[riBAQ 19], MATCH(1, (Table3[[#This Row],[Gene names]:[Gene names]] = Table1[[Gene names]:[Gene names]])*1, 0))</f>
        <v>3.6899099999999999E-4</v>
      </c>
      <c r="G213" cm="1">
        <f t="array" ref="G213">INDEX(Table1[riBAQ 20], MATCH(1, (Table3[[#This Row],[Gene names]:[Gene names]] = Table1[[Gene names]:[Gene names]])*1, 0))</f>
        <v>2.7797599999999998E-4</v>
      </c>
      <c r="H213" cm="1">
        <f t="array" ref="H213">INDEX(Table1[riBAQ 21], MATCH(1, (Table3[[#This Row],[Gene names]:[Gene names]] = Table1[[Gene names]:[Gene names]])*1, 0))</f>
        <v>2.8516300000000001E-4</v>
      </c>
      <c r="I213" cm="1">
        <f t="array" ref="I213">INDEX(Table1[riBAQ 22], MATCH(1, (Table3[[#This Row],[Gene names]:[Gene names]] = Table1[[Gene names]:[Gene names]])*1, 0))</f>
        <v>2.77571E-4</v>
      </c>
      <c r="J213" cm="1">
        <f t="array" ref="J213">INDEX(Table1[riBAQ 23], MATCH(1, (Table3[[#This Row],[Gene names]:[Gene names]] = Table1[[Gene names]:[Gene names]])*1, 0))</f>
        <v>2.6615599999999998E-4</v>
      </c>
      <c r="K213" cm="1">
        <f t="array" ref="K213">INDEX(Table1[riBAQ 37], MATCH(1, (Table3[[#This Row],[Gene names]:[Gene names]] = Table1[[Gene names]:[Gene names]])*1, 0))</f>
        <v>2.5613799999999999E-4</v>
      </c>
      <c r="L213" cm="1">
        <f t="array" ref="L213">INDEX(Table1[riBAQ 38], MATCH(1, (Table3[[#This Row],[Gene names]:[Gene names]] = Table1[[Gene names]:[Gene names]])*1, 0))</f>
        <v>3.1317200000000002E-4</v>
      </c>
      <c r="M213" cm="1">
        <f t="array" ref="M213">INDEX(Table1[riBAQ 39], MATCH(1, (Table3[[#This Row],[Gene names]:[Gene names]] = Table1[[Gene names]:[Gene names]])*1, 0))</f>
        <v>3.4830100000000003E-4</v>
      </c>
      <c r="N213" cm="1">
        <f t="array" ref="N213">INDEX(Table1[riBAQ 40], MATCH(1, (Table3[[#This Row],[Gene names]:[Gene names]] = Table1[[Gene names]:[Gene names]])*1, 0))</f>
        <v>2.5584099999999998E-4</v>
      </c>
      <c r="O213" cm="1">
        <f t="array" ref="O213">INDEX(Table1[riBAQ 41], MATCH(1, (Table3[[#This Row],[Gene names]:[Gene names]] = Table1[[Gene names]:[Gene names]])*1, 0))</f>
        <v>2.2682900000000001E-4</v>
      </c>
      <c r="P213" cm="1">
        <f t="array" ref="P213">INDEX(Table1[riBAQ 24], MATCH(1, (Table3[[#This Row],[Gene names]:[Gene names]] = Table1[[Gene names]:[Gene names]])*1, 0))</f>
        <v>4.3383799999999998E-4</v>
      </c>
      <c r="Q213" cm="1">
        <f t="array" ref="Q213">INDEX(Table1[riBAQ 25], MATCH(1, (Table3[[#This Row],[Gene names]:[Gene names]] = Table1[[Gene names]:[Gene names]])*1, 0))</f>
        <v>5.8034899999999997E-4</v>
      </c>
      <c r="R213" cm="1">
        <f t="array" ref="R213">INDEX(Table1[riBAQ 26], MATCH(1, (Table3[[#This Row],[Gene names]:[Gene names]] = Table1[[Gene names]:[Gene names]])*1, 0))</f>
        <v>7.2375599999999999E-4</v>
      </c>
      <c r="S213" cm="1">
        <f t="array" ref="S213">INDEX(Table1[riBAQ 42], MATCH(1, (Table3[[#This Row],[Gene names]:[Gene names]] = Table1[[Gene names]:[Gene names]])*1, 0))</f>
        <v>8.6174099999999996E-4</v>
      </c>
      <c r="T213" cm="1">
        <f t="array" ref="T213">INDEX(Table1[riBAQ 43], MATCH(1, (Table3[[#This Row],[Gene names]:[Gene names]] = Table1[[Gene names]:[Gene names]])*1, 0))</f>
        <v>6.8177899999999998E-4</v>
      </c>
    </row>
    <row r="214" spans="1:20" x14ac:dyDescent="0.25">
      <c r="A214" t="s">
        <v>62</v>
      </c>
      <c r="B214" cm="1">
        <f t="array" ref="B214">INDEX(Table1[riBAQ 17], MATCH(1, (Table3[[#This Row],[Gene names]:[Gene names]] = Table1[[Gene names]:[Gene names]])*1, 0))</f>
        <v>2.3885900000000001E-4</v>
      </c>
      <c r="C214" cm="1">
        <f t="array" ref="C214">INDEX(Table1[riBAQ 18], MATCH(1, (Table3[[#This Row],[Gene names]:[Gene names]] = Table1[[Gene names]:[Gene names]])*1, 0))</f>
        <v>2.4475499999999998E-4</v>
      </c>
      <c r="D214" cm="1">
        <f t="array" ref="D214">INDEX(Table1[riBAQ 35], MATCH(1, (Table3[[#This Row],[Gene names]:[Gene names]] = Table1[[Gene names]:[Gene names]])*1, 0))</f>
        <v>2.4815599999999997E-4</v>
      </c>
      <c r="E214" cm="1">
        <f t="array" ref="E214">INDEX(Table1[riBAQ 36], MATCH(1, (Table3[[#This Row],[Gene names]:[Gene names]] = Table1[[Gene names]:[Gene names]])*1, 0))</f>
        <v>2.84085E-4</v>
      </c>
      <c r="F214" cm="1">
        <f t="array" ref="F214">INDEX(Table1[riBAQ 19], MATCH(1, (Table3[[#This Row],[Gene names]:[Gene names]] = Table1[[Gene names]:[Gene names]])*1, 0))</f>
        <v>2.7598599999999998E-4</v>
      </c>
      <c r="G214" cm="1">
        <f t="array" ref="G214">INDEX(Table1[riBAQ 20], MATCH(1, (Table3[[#This Row],[Gene names]:[Gene names]] = Table1[[Gene names]:[Gene names]])*1, 0))</f>
        <v>2.9710499999999998E-4</v>
      </c>
      <c r="H214" cm="1">
        <f t="array" ref="H214">INDEX(Table1[riBAQ 21], MATCH(1, (Table3[[#This Row],[Gene names]:[Gene names]] = Table1[[Gene names]:[Gene names]])*1, 0))</f>
        <v>4.3721599999999998E-4</v>
      </c>
      <c r="I214" cm="1">
        <f t="array" ref="I214">INDEX(Table1[riBAQ 22], MATCH(1, (Table3[[#This Row],[Gene names]:[Gene names]] = Table1[[Gene names]:[Gene names]])*1, 0))</f>
        <v>3.0094200000000001E-4</v>
      </c>
      <c r="J214" cm="1">
        <f t="array" ref="J214">INDEX(Table1[riBAQ 23], MATCH(1, (Table3[[#This Row],[Gene names]:[Gene names]] = Table1[[Gene names]:[Gene names]])*1, 0))</f>
        <v>2.8135900000000001E-4</v>
      </c>
      <c r="K214" cm="1">
        <f t="array" ref="K214">INDEX(Table1[riBAQ 37], MATCH(1, (Table3[[#This Row],[Gene names]:[Gene names]] = Table1[[Gene names]:[Gene names]])*1, 0))</f>
        <v>2.9232699999999999E-4</v>
      </c>
      <c r="L214" cm="1">
        <f t="array" ref="L214">INDEX(Table1[riBAQ 38], MATCH(1, (Table3[[#This Row],[Gene names]:[Gene names]] = Table1[[Gene names]:[Gene names]])*1, 0))</f>
        <v>2.5712499999999998E-4</v>
      </c>
      <c r="M214" cm="1">
        <f t="array" ref="M214">INDEX(Table1[riBAQ 39], MATCH(1, (Table3[[#This Row],[Gene names]:[Gene names]] = Table1[[Gene names]:[Gene names]])*1, 0))</f>
        <v>2.5613099999999999E-4</v>
      </c>
      <c r="N214" cm="1">
        <f t="array" ref="N214">INDEX(Table1[riBAQ 40], MATCH(1, (Table3[[#This Row],[Gene names]:[Gene names]] = Table1[[Gene names]:[Gene names]])*1, 0))</f>
        <v>2.1405600000000001E-4</v>
      </c>
      <c r="O214" cm="1">
        <f t="array" ref="O214">INDEX(Table1[riBAQ 41], MATCH(1, (Table3[[#This Row],[Gene names]:[Gene names]] = Table1[[Gene names]:[Gene names]])*1, 0))</f>
        <v>2.62453E-4</v>
      </c>
      <c r="P214" cm="1">
        <f t="array" ref="P214">INDEX(Table1[riBAQ 24], MATCH(1, (Table3[[#This Row],[Gene names]:[Gene names]] = Table1[[Gene names]:[Gene names]])*1, 0))</f>
        <v>3.1768900000000001E-4</v>
      </c>
      <c r="Q214" cm="1">
        <f t="array" ref="Q214">INDEX(Table1[riBAQ 25], MATCH(1, (Table3[[#This Row],[Gene names]:[Gene names]] = Table1[[Gene names]:[Gene names]])*1, 0))</f>
        <v>3.3069799999999998E-4</v>
      </c>
      <c r="R214" cm="1">
        <f t="array" ref="R214">INDEX(Table1[riBAQ 26], MATCH(1, (Table3[[#This Row],[Gene names]:[Gene names]] = Table1[[Gene names]:[Gene names]])*1, 0))</f>
        <v>5.5418399999999999E-4</v>
      </c>
      <c r="S214" cm="1">
        <f t="array" ref="S214">INDEX(Table1[riBAQ 42], MATCH(1, (Table3[[#This Row],[Gene names]:[Gene names]] = Table1[[Gene names]:[Gene names]])*1, 0))</f>
        <v>4.2111699999999999E-4</v>
      </c>
      <c r="T214" cm="1">
        <f t="array" ref="T214">INDEX(Table1[riBAQ 43], MATCH(1, (Table3[[#This Row],[Gene names]:[Gene names]] = Table1[[Gene names]:[Gene names]])*1, 0))</f>
        <v>2.8467E-4</v>
      </c>
    </row>
    <row r="215" spans="1:20" x14ac:dyDescent="0.25">
      <c r="A215" t="s">
        <v>175</v>
      </c>
      <c r="B215" cm="1">
        <f t="array" ref="B215">INDEX(Table1[riBAQ 17], MATCH(1, (Table3[[#This Row],[Gene names]:[Gene names]] = Table1[[Gene names]:[Gene names]])*1, 0))</f>
        <v>0</v>
      </c>
      <c r="C215" cm="1">
        <f t="array" ref="C215">INDEX(Table1[riBAQ 18], MATCH(1, (Table3[[#This Row],[Gene names]:[Gene names]] = Table1[[Gene names]:[Gene names]])*1, 0))</f>
        <v>8.25E-5</v>
      </c>
      <c r="D215" cm="1">
        <f t="array" ref="D215">INDEX(Table1[riBAQ 35], MATCH(1, (Table3[[#This Row],[Gene names]:[Gene names]] = Table1[[Gene names]:[Gene names]])*1, 0))</f>
        <v>1.0460500000000001E-4</v>
      </c>
      <c r="E215" cm="1">
        <f t="array" ref="E215">INDEX(Table1[riBAQ 36], MATCH(1, (Table3[[#This Row],[Gene names]:[Gene names]] = Table1[[Gene names]:[Gene names]])*1, 0))</f>
        <v>0</v>
      </c>
      <c r="F215" cm="1">
        <f t="array" ref="F215">INDEX(Table1[riBAQ 19], MATCH(1, (Table3[[#This Row],[Gene names]:[Gene names]] = Table1[[Gene names]:[Gene names]])*1, 0))</f>
        <v>0</v>
      </c>
      <c r="G215" cm="1">
        <f t="array" ref="G215">INDEX(Table1[riBAQ 20], MATCH(1, (Table3[[#This Row],[Gene names]:[Gene names]] = Table1[[Gene names]:[Gene names]])*1, 0))</f>
        <v>0</v>
      </c>
      <c r="H215" cm="1">
        <f t="array" ref="H215">INDEX(Table1[riBAQ 21], MATCH(1, (Table3[[#This Row],[Gene names]:[Gene names]] = Table1[[Gene names]:[Gene names]])*1, 0))</f>
        <v>0</v>
      </c>
      <c r="I215" cm="1">
        <f t="array" ref="I215">INDEX(Table1[riBAQ 22], MATCH(1, (Table3[[#This Row],[Gene names]:[Gene names]] = Table1[[Gene names]:[Gene names]])*1, 0))</f>
        <v>0</v>
      </c>
      <c r="J215" cm="1">
        <f t="array" ref="J215">INDEX(Table1[riBAQ 23], MATCH(1, (Table3[[#This Row],[Gene names]:[Gene names]] = Table1[[Gene names]:[Gene names]])*1, 0))</f>
        <v>0</v>
      </c>
      <c r="K215" cm="1">
        <f t="array" ref="K215">INDEX(Table1[riBAQ 37], MATCH(1, (Table3[[#This Row],[Gene names]:[Gene names]] = Table1[[Gene names]:[Gene names]])*1, 0))</f>
        <v>9.4599999999999996E-5</v>
      </c>
      <c r="L215" cm="1">
        <f t="array" ref="L215">INDEX(Table1[riBAQ 38], MATCH(1, (Table3[[#This Row],[Gene names]:[Gene names]] = Table1[[Gene names]:[Gene names]])*1, 0))</f>
        <v>0</v>
      </c>
      <c r="M215" cm="1">
        <f t="array" ref="M215">INDEX(Table1[riBAQ 39], MATCH(1, (Table3[[#This Row],[Gene names]:[Gene names]] = Table1[[Gene names]:[Gene names]])*1, 0))</f>
        <v>0</v>
      </c>
      <c r="N215" cm="1">
        <f t="array" ref="N215">INDEX(Table1[riBAQ 40], MATCH(1, (Table3[[#This Row],[Gene names]:[Gene names]] = Table1[[Gene names]:[Gene names]])*1, 0))</f>
        <v>1.1593400000000001E-4</v>
      </c>
      <c r="O215" cm="1">
        <f t="array" ref="O215">INDEX(Table1[riBAQ 41], MATCH(1, (Table3[[#This Row],[Gene names]:[Gene names]] = Table1[[Gene names]:[Gene names]])*1, 0))</f>
        <v>0</v>
      </c>
      <c r="P215" cm="1">
        <f t="array" ref="P215">INDEX(Table1[riBAQ 24], MATCH(1, (Table3[[#This Row],[Gene names]:[Gene names]] = Table1[[Gene names]:[Gene names]])*1, 0))</f>
        <v>8.42E-5</v>
      </c>
      <c r="Q215" cm="1">
        <f t="array" ref="Q215">INDEX(Table1[riBAQ 25], MATCH(1, (Table3[[#This Row],[Gene names]:[Gene names]] = Table1[[Gene names]:[Gene names]])*1, 0))</f>
        <v>1.20871E-4</v>
      </c>
      <c r="R215" cm="1">
        <f t="array" ref="R215">INDEX(Table1[riBAQ 26], MATCH(1, (Table3[[#This Row],[Gene names]:[Gene names]] = Table1[[Gene names]:[Gene names]])*1, 0))</f>
        <v>2.3035699999999999E-4</v>
      </c>
      <c r="S215" cm="1">
        <f t="array" ref="S215">INDEX(Table1[riBAQ 42], MATCH(1, (Table3[[#This Row],[Gene names]:[Gene names]] = Table1[[Gene names]:[Gene names]])*1, 0))</f>
        <v>2.5735500000000002E-4</v>
      </c>
      <c r="T215" cm="1">
        <f t="array" ref="T215">INDEX(Table1[riBAQ 43], MATCH(1, (Table3[[#This Row],[Gene names]:[Gene names]] = Table1[[Gene names]:[Gene names]])*1, 0))</f>
        <v>1.78639E-4</v>
      </c>
    </row>
    <row r="216" spans="1:20" x14ac:dyDescent="0.25">
      <c r="A216" t="s">
        <v>1599</v>
      </c>
      <c r="B216" cm="1">
        <f t="array" ref="B216">INDEX(Table1[riBAQ 17], MATCH(1, (Table3[[#This Row],[Gene names]:[Gene names]] = Table1[[Gene names]:[Gene names]])*1, 0))</f>
        <v>4.6400000000000003E-5</v>
      </c>
      <c r="C216" cm="1">
        <f t="array" ref="C216">INDEX(Table1[riBAQ 18], MATCH(1, (Table3[[#This Row],[Gene names]:[Gene names]] = Table1[[Gene names]:[Gene names]])*1, 0))</f>
        <v>4.3000000000000002E-5</v>
      </c>
      <c r="D216" cm="1">
        <f t="array" ref="D216">INDEX(Table1[riBAQ 35], MATCH(1, (Table3[[#This Row],[Gene names]:[Gene names]] = Table1[[Gene names]:[Gene names]])*1, 0))</f>
        <v>5.9700000000000001E-5</v>
      </c>
      <c r="E216" cm="1">
        <f t="array" ref="E216">INDEX(Table1[riBAQ 36], MATCH(1, (Table3[[#This Row],[Gene names]:[Gene names]] = Table1[[Gene names]:[Gene names]])*1, 0))</f>
        <v>7.6500000000000003E-5</v>
      </c>
      <c r="F216" cm="1">
        <f t="array" ref="F216">INDEX(Table1[riBAQ 19], MATCH(1, (Table3[[#This Row],[Gene names]:[Gene names]] = Table1[[Gene names]:[Gene names]])*1, 0))</f>
        <v>1.02743E-4</v>
      </c>
      <c r="G216" cm="1">
        <f t="array" ref="G216">INDEX(Table1[riBAQ 20], MATCH(1, (Table3[[#This Row],[Gene names]:[Gene names]] = Table1[[Gene names]:[Gene names]])*1, 0))</f>
        <v>8.14E-5</v>
      </c>
      <c r="H216" cm="1">
        <f t="array" ref="H216">INDEX(Table1[riBAQ 21], MATCH(1, (Table3[[#This Row],[Gene names]:[Gene names]] = Table1[[Gene names]:[Gene names]])*1, 0))</f>
        <v>1.96462E-4</v>
      </c>
      <c r="I216" cm="1">
        <f t="array" ref="I216">INDEX(Table1[riBAQ 22], MATCH(1, (Table3[[#This Row],[Gene names]:[Gene names]] = Table1[[Gene names]:[Gene names]])*1, 0))</f>
        <v>6.8399999999999996E-5</v>
      </c>
      <c r="J216" cm="1">
        <f t="array" ref="J216">INDEX(Table1[riBAQ 23], MATCH(1, (Table3[[#This Row],[Gene names]:[Gene names]] = Table1[[Gene names]:[Gene names]])*1, 0))</f>
        <v>6.6600000000000006E-5</v>
      </c>
      <c r="K216" cm="1">
        <f t="array" ref="K216">INDEX(Table1[riBAQ 37], MATCH(1, (Table3[[#This Row],[Gene names]:[Gene names]] = Table1[[Gene names]:[Gene names]])*1, 0))</f>
        <v>9.0400000000000002E-5</v>
      </c>
      <c r="L216" cm="1">
        <f t="array" ref="L216">INDEX(Table1[riBAQ 38], MATCH(1, (Table3[[#This Row],[Gene names]:[Gene names]] = Table1[[Gene names]:[Gene names]])*1, 0))</f>
        <v>8.1699999999999994E-5</v>
      </c>
      <c r="M216" cm="1">
        <f t="array" ref="M216">INDEX(Table1[riBAQ 39], MATCH(1, (Table3[[#This Row],[Gene names]:[Gene names]] = Table1[[Gene names]:[Gene names]])*1, 0))</f>
        <v>1.1947699999999999E-4</v>
      </c>
      <c r="N216" cm="1">
        <f t="array" ref="N216">INDEX(Table1[riBAQ 40], MATCH(1, (Table3[[#This Row],[Gene names]:[Gene names]] = Table1[[Gene names]:[Gene names]])*1, 0))</f>
        <v>7.0199999999999999E-5</v>
      </c>
      <c r="O216" cm="1">
        <f t="array" ref="O216">INDEX(Table1[riBAQ 41], MATCH(1, (Table3[[#This Row],[Gene names]:[Gene names]] = Table1[[Gene names]:[Gene names]])*1, 0))</f>
        <v>9.5699999999999995E-5</v>
      </c>
      <c r="P216" cm="1">
        <f t="array" ref="P216">INDEX(Table1[riBAQ 24], MATCH(1, (Table3[[#This Row],[Gene names]:[Gene names]] = Table1[[Gene names]:[Gene names]])*1, 0))</f>
        <v>1.8909800000000001E-4</v>
      </c>
      <c r="Q216" cm="1">
        <f t="array" ref="Q216">INDEX(Table1[riBAQ 25], MATCH(1, (Table3[[#This Row],[Gene names]:[Gene names]] = Table1[[Gene names]:[Gene names]])*1, 0))</f>
        <v>1.7013099999999999E-4</v>
      </c>
      <c r="R216" cm="1">
        <f t="array" ref="R216">INDEX(Table1[riBAQ 26], MATCH(1, (Table3[[#This Row],[Gene names]:[Gene names]] = Table1[[Gene names]:[Gene names]])*1, 0))</f>
        <v>1.7633300000000001E-4</v>
      </c>
      <c r="S216" cm="1">
        <f t="array" ref="S216">INDEX(Table1[riBAQ 42], MATCH(1, (Table3[[#This Row],[Gene names]:[Gene names]] = Table1[[Gene names]:[Gene names]])*1, 0))</f>
        <v>2.56111E-4</v>
      </c>
      <c r="T216" cm="1">
        <f t="array" ref="T216">INDEX(Table1[riBAQ 43], MATCH(1, (Table3[[#This Row],[Gene names]:[Gene names]] = Table1[[Gene names]:[Gene names]])*1, 0))</f>
        <v>2.2833599999999999E-4</v>
      </c>
    </row>
    <row r="217" spans="1:20" x14ac:dyDescent="0.25">
      <c r="A217" t="s">
        <v>114</v>
      </c>
      <c r="B217" cm="1">
        <f t="array" ref="B217">INDEX(Table1[riBAQ 17], MATCH(1, (Table3[[#This Row],[Gene names]:[Gene names]] = Table1[[Gene names]:[Gene names]])*1, 0))</f>
        <v>4.4117899999999996E-3</v>
      </c>
      <c r="C217" cm="1">
        <f t="array" ref="C217">INDEX(Table1[riBAQ 18], MATCH(1, (Table3[[#This Row],[Gene names]:[Gene names]] = Table1[[Gene names]:[Gene names]])*1, 0))</f>
        <v>4.1698940000000004E-3</v>
      </c>
      <c r="D217" cm="1">
        <f t="array" ref="D217">INDEX(Table1[riBAQ 35], MATCH(1, (Table3[[#This Row],[Gene names]:[Gene names]] = Table1[[Gene names]:[Gene names]])*1, 0))</f>
        <v>3.6122509999999999E-3</v>
      </c>
      <c r="E217" cm="1">
        <f t="array" ref="E217">INDEX(Table1[riBAQ 36], MATCH(1, (Table3[[#This Row],[Gene names]:[Gene names]] = Table1[[Gene names]:[Gene names]])*1, 0))</f>
        <v>3.4073229999999999E-3</v>
      </c>
      <c r="F217" cm="1">
        <f t="array" ref="F217">INDEX(Table1[riBAQ 19], MATCH(1, (Table3[[#This Row],[Gene names]:[Gene names]] = Table1[[Gene names]:[Gene names]])*1, 0))</f>
        <v>3.2943690000000001E-3</v>
      </c>
      <c r="G217" cm="1">
        <f t="array" ref="G217">INDEX(Table1[riBAQ 20], MATCH(1, (Table3[[#This Row],[Gene names]:[Gene names]] = Table1[[Gene names]:[Gene names]])*1, 0))</f>
        <v>3.3584679999999999E-3</v>
      </c>
      <c r="H217" cm="1">
        <f t="array" ref="H217">INDEX(Table1[riBAQ 21], MATCH(1, (Table3[[#This Row],[Gene names]:[Gene names]] = Table1[[Gene names]:[Gene names]])*1, 0))</f>
        <v>3.1297149999999999E-3</v>
      </c>
      <c r="I217" cm="1">
        <f t="array" ref="I217">INDEX(Table1[riBAQ 22], MATCH(1, (Table3[[#This Row],[Gene names]:[Gene names]] = Table1[[Gene names]:[Gene names]])*1, 0))</f>
        <v>3.8881969999999999E-3</v>
      </c>
      <c r="J217" cm="1">
        <f t="array" ref="J217">INDEX(Table1[riBAQ 23], MATCH(1, (Table3[[#This Row],[Gene names]:[Gene names]] = Table1[[Gene names]:[Gene names]])*1, 0))</f>
        <v>4.202323E-3</v>
      </c>
      <c r="K217" cm="1">
        <f t="array" ref="K217">INDEX(Table1[riBAQ 37], MATCH(1, (Table3[[#This Row],[Gene names]:[Gene names]] = Table1[[Gene names]:[Gene names]])*1, 0))</f>
        <v>3.8130490000000002E-3</v>
      </c>
      <c r="L217" cm="1">
        <f t="array" ref="L217">INDEX(Table1[riBAQ 38], MATCH(1, (Table3[[#This Row],[Gene names]:[Gene names]] = Table1[[Gene names]:[Gene names]])*1, 0))</f>
        <v>4.0393260000000002E-3</v>
      </c>
      <c r="M217" cm="1">
        <f t="array" ref="M217">INDEX(Table1[riBAQ 39], MATCH(1, (Table3[[#This Row],[Gene names]:[Gene names]] = Table1[[Gene names]:[Gene names]])*1, 0))</f>
        <v>3.9179799999999997E-3</v>
      </c>
      <c r="N217" cm="1">
        <f t="array" ref="N217">INDEX(Table1[riBAQ 40], MATCH(1, (Table3[[#This Row],[Gene names]:[Gene names]] = Table1[[Gene names]:[Gene names]])*1, 0))</f>
        <v>5.7023769999999998E-3</v>
      </c>
      <c r="O217" cm="1">
        <f t="array" ref="O217">INDEX(Table1[riBAQ 41], MATCH(1, (Table3[[#This Row],[Gene names]:[Gene names]] = Table1[[Gene names]:[Gene names]])*1, 0))</f>
        <v>3.7579800000000002E-3</v>
      </c>
      <c r="P217" cm="1">
        <f t="array" ref="P217">INDEX(Table1[riBAQ 24], MATCH(1, (Table3[[#This Row],[Gene names]:[Gene names]] = Table1[[Gene names]:[Gene names]])*1, 0))</f>
        <v>3.7163019999999999E-3</v>
      </c>
      <c r="Q217" cm="1">
        <f t="array" ref="Q217">INDEX(Table1[riBAQ 25], MATCH(1, (Table3[[#This Row],[Gene names]:[Gene names]] = Table1[[Gene names]:[Gene names]])*1, 0))</f>
        <v>2.3040309999999998E-3</v>
      </c>
      <c r="R217" cm="1">
        <f t="array" ref="R217">INDEX(Table1[riBAQ 26], MATCH(1, (Table3[[#This Row],[Gene names]:[Gene names]] = Table1[[Gene names]:[Gene names]])*1, 0))</f>
        <v>2.8426100000000002E-3</v>
      </c>
      <c r="S217" cm="1">
        <f t="array" ref="S217">INDEX(Table1[riBAQ 42], MATCH(1, (Table3[[#This Row],[Gene names]:[Gene names]] = Table1[[Gene names]:[Gene names]])*1, 0))</f>
        <v>2.4652630000000001E-3</v>
      </c>
      <c r="T217" cm="1">
        <f t="array" ref="T217">INDEX(Table1[riBAQ 43], MATCH(1, (Table3[[#This Row],[Gene names]:[Gene names]] = Table1[[Gene names]:[Gene names]])*1, 0))</f>
        <v>2.4359120000000001E-3</v>
      </c>
    </row>
    <row r="218" spans="1:20" x14ac:dyDescent="0.25">
      <c r="A218" t="s">
        <v>865</v>
      </c>
      <c r="B218" cm="1">
        <f t="array" ref="B218">INDEX(Table1[riBAQ 17], MATCH(1, (Table3[[#This Row],[Gene names]:[Gene names]] = Table1[[Gene names]:[Gene names]])*1, 0))</f>
        <v>1.22E-5</v>
      </c>
      <c r="C218" cm="1">
        <f t="array" ref="C218">INDEX(Table1[riBAQ 18], MATCH(1, (Table3[[#This Row],[Gene names]:[Gene names]] = Table1[[Gene names]:[Gene names]])*1, 0))</f>
        <v>2.3900000000000002E-5</v>
      </c>
      <c r="D218" cm="1">
        <f t="array" ref="D218">INDEX(Table1[riBAQ 35], MATCH(1, (Table3[[#This Row],[Gene names]:[Gene names]] = Table1[[Gene names]:[Gene names]])*1, 0))</f>
        <v>3.1300000000000002E-5</v>
      </c>
      <c r="E218" cm="1">
        <f t="array" ref="E218">INDEX(Table1[riBAQ 36], MATCH(1, (Table3[[#This Row],[Gene names]:[Gene names]] = Table1[[Gene names]:[Gene names]])*1, 0))</f>
        <v>2.12E-5</v>
      </c>
      <c r="F218" cm="1">
        <f t="array" ref="F218">INDEX(Table1[riBAQ 19], MATCH(1, (Table3[[#This Row],[Gene names]:[Gene names]] = Table1[[Gene names]:[Gene names]])*1, 0))</f>
        <v>7.17E-6</v>
      </c>
      <c r="G218" cm="1">
        <f t="array" ref="G218">INDEX(Table1[riBAQ 20], MATCH(1, (Table3[[#This Row],[Gene names]:[Gene names]] = Table1[[Gene names]:[Gene names]])*1, 0))</f>
        <v>1.73E-5</v>
      </c>
      <c r="H218" cm="1">
        <f t="array" ref="H218">INDEX(Table1[riBAQ 21], MATCH(1, (Table3[[#This Row],[Gene names]:[Gene names]] = Table1[[Gene names]:[Gene names]])*1, 0))</f>
        <v>1.38E-5</v>
      </c>
      <c r="I218" cm="1">
        <f t="array" ref="I218">INDEX(Table1[riBAQ 22], MATCH(1, (Table3[[#This Row],[Gene names]:[Gene names]] = Table1[[Gene names]:[Gene names]])*1, 0))</f>
        <v>2.8900000000000001E-5</v>
      </c>
      <c r="J218" cm="1">
        <f t="array" ref="J218">INDEX(Table1[riBAQ 23], MATCH(1, (Table3[[#This Row],[Gene names]:[Gene names]] = Table1[[Gene names]:[Gene names]])*1, 0))</f>
        <v>1.73E-5</v>
      </c>
      <c r="K218" cm="1">
        <f t="array" ref="K218">INDEX(Table1[riBAQ 37], MATCH(1, (Table3[[#This Row],[Gene names]:[Gene names]] = Table1[[Gene names]:[Gene names]])*1, 0))</f>
        <v>0</v>
      </c>
      <c r="L218" cm="1">
        <f t="array" ref="L218">INDEX(Table1[riBAQ 38], MATCH(1, (Table3[[#This Row],[Gene names]:[Gene names]] = Table1[[Gene names]:[Gene names]])*1, 0))</f>
        <v>2.0599999999999999E-5</v>
      </c>
      <c r="M218" cm="1">
        <f t="array" ref="M218">INDEX(Table1[riBAQ 39], MATCH(1, (Table3[[#This Row],[Gene names]:[Gene names]] = Table1[[Gene names]:[Gene names]])*1, 0))</f>
        <v>0</v>
      </c>
      <c r="N218" cm="1">
        <f t="array" ref="N218">INDEX(Table1[riBAQ 40], MATCH(1, (Table3[[#This Row],[Gene names]:[Gene names]] = Table1[[Gene names]:[Gene names]])*1, 0))</f>
        <v>1.3200000000000001E-5</v>
      </c>
      <c r="O218" cm="1">
        <f t="array" ref="O218">INDEX(Table1[riBAQ 41], MATCH(1, (Table3[[#This Row],[Gene names]:[Gene names]] = Table1[[Gene names]:[Gene names]])*1, 0))</f>
        <v>2.8099999999999999E-5</v>
      </c>
      <c r="P218" cm="1">
        <f t="array" ref="P218">INDEX(Table1[riBAQ 24], MATCH(1, (Table3[[#This Row],[Gene names]:[Gene names]] = Table1[[Gene names]:[Gene names]])*1, 0))</f>
        <v>0</v>
      </c>
      <c r="Q218" cm="1">
        <f t="array" ref="Q218">INDEX(Table1[riBAQ 25], MATCH(1, (Table3[[#This Row],[Gene names]:[Gene names]] = Table1[[Gene names]:[Gene names]])*1, 0))</f>
        <v>0</v>
      </c>
      <c r="R218" cm="1">
        <f t="array" ref="R218">INDEX(Table1[riBAQ 26], MATCH(1, (Table3[[#This Row],[Gene names]:[Gene names]] = Table1[[Gene names]:[Gene names]])*1, 0))</f>
        <v>0</v>
      </c>
      <c r="S218" cm="1">
        <f t="array" ref="S218">INDEX(Table1[riBAQ 42], MATCH(1, (Table3[[#This Row],[Gene names]:[Gene names]] = Table1[[Gene names]:[Gene names]])*1, 0))</f>
        <v>0</v>
      </c>
      <c r="T218" cm="1">
        <f t="array" ref="T218">INDEX(Table1[riBAQ 43], MATCH(1, (Table3[[#This Row],[Gene names]:[Gene names]] = Table1[[Gene names]:[Gene names]])*1, 0))</f>
        <v>0</v>
      </c>
    </row>
    <row r="219" spans="1:20" x14ac:dyDescent="0.25">
      <c r="A219" t="s">
        <v>1638</v>
      </c>
      <c r="B219" cm="1">
        <f t="array" ref="B219">INDEX(Table1[riBAQ 17], MATCH(1, (Table3[[#This Row],[Gene names]:[Gene names]] = Table1[[Gene names]:[Gene names]])*1, 0))</f>
        <v>0</v>
      </c>
      <c r="C219" cm="1">
        <f t="array" ref="C219">INDEX(Table1[riBAQ 18], MATCH(1, (Table3[[#This Row],[Gene names]:[Gene names]] = Table1[[Gene names]:[Gene names]])*1, 0))</f>
        <v>0</v>
      </c>
      <c r="D219" cm="1">
        <f t="array" ref="D219">INDEX(Table1[riBAQ 35], MATCH(1, (Table3[[#This Row],[Gene names]:[Gene names]] = Table1[[Gene names]:[Gene names]])*1, 0))</f>
        <v>0</v>
      </c>
      <c r="E219" cm="1">
        <f t="array" ref="E219">INDEX(Table1[riBAQ 36], MATCH(1, (Table3[[#This Row],[Gene names]:[Gene names]] = Table1[[Gene names]:[Gene names]])*1, 0))</f>
        <v>0</v>
      </c>
      <c r="F219" cm="1">
        <f t="array" ref="F219">INDEX(Table1[riBAQ 19], MATCH(1, (Table3[[#This Row],[Gene names]:[Gene names]] = Table1[[Gene names]:[Gene names]])*1, 0))</f>
        <v>0</v>
      </c>
      <c r="G219" cm="1">
        <f t="array" ref="G219">INDEX(Table1[riBAQ 20], MATCH(1, (Table3[[#This Row],[Gene names]:[Gene names]] = Table1[[Gene names]:[Gene names]])*1, 0))</f>
        <v>0</v>
      </c>
      <c r="H219" cm="1">
        <f t="array" ref="H219">INDEX(Table1[riBAQ 21], MATCH(1, (Table3[[#This Row],[Gene names]:[Gene names]] = Table1[[Gene names]:[Gene names]])*1, 0))</f>
        <v>0</v>
      </c>
      <c r="I219" cm="1">
        <f t="array" ref="I219">INDEX(Table1[riBAQ 22], MATCH(1, (Table3[[#This Row],[Gene names]:[Gene names]] = Table1[[Gene names]:[Gene names]])*1, 0))</f>
        <v>0</v>
      </c>
      <c r="J219" cm="1">
        <f t="array" ref="J219">INDEX(Table1[riBAQ 23], MATCH(1, (Table3[[#This Row],[Gene names]:[Gene names]] = Table1[[Gene names]:[Gene names]])*1, 0))</f>
        <v>0</v>
      </c>
      <c r="K219" cm="1">
        <f t="array" ref="K219">INDEX(Table1[riBAQ 37], MATCH(1, (Table3[[#This Row],[Gene names]:[Gene names]] = Table1[[Gene names]:[Gene names]])*1, 0))</f>
        <v>1.9599999999999999E-6</v>
      </c>
      <c r="L219" cm="1">
        <f t="array" ref="L219">INDEX(Table1[riBAQ 38], MATCH(1, (Table3[[#This Row],[Gene names]:[Gene names]] = Table1[[Gene names]:[Gene names]])*1, 0))</f>
        <v>0</v>
      </c>
      <c r="M219" cm="1">
        <f t="array" ref="M219">INDEX(Table1[riBAQ 39], MATCH(1, (Table3[[#This Row],[Gene names]:[Gene names]] = Table1[[Gene names]:[Gene names]])*1, 0))</f>
        <v>0</v>
      </c>
      <c r="N219" cm="1">
        <f t="array" ref="N219">INDEX(Table1[riBAQ 40], MATCH(1, (Table3[[#This Row],[Gene names]:[Gene names]] = Table1[[Gene names]:[Gene names]])*1, 0))</f>
        <v>0</v>
      </c>
      <c r="O219" cm="1">
        <f t="array" ref="O219">INDEX(Table1[riBAQ 41], MATCH(1, (Table3[[#This Row],[Gene names]:[Gene names]] = Table1[[Gene names]:[Gene names]])*1, 0))</f>
        <v>0</v>
      </c>
      <c r="P219" cm="1">
        <f t="array" ref="P219">INDEX(Table1[riBAQ 24], MATCH(1, (Table3[[#This Row],[Gene names]:[Gene names]] = Table1[[Gene names]:[Gene names]])*1, 0))</f>
        <v>5.3800000000000002E-6</v>
      </c>
      <c r="Q219" cm="1">
        <f t="array" ref="Q219">INDEX(Table1[riBAQ 25], MATCH(1, (Table3[[#This Row],[Gene names]:[Gene names]] = Table1[[Gene names]:[Gene names]])*1, 0))</f>
        <v>9.1600000000000004E-6</v>
      </c>
      <c r="R219" cm="1">
        <f t="array" ref="R219">INDEX(Table1[riBAQ 26], MATCH(1, (Table3[[#This Row],[Gene names]:[Gene names]] = Table1[[Gene names]:[Gene names]])*1, 0))</f>
        <v>0</v>
      </c>
      <c r="S219" cm="1">
        <f t="array" ref="S219">INDEX(Table1[riBAQ 42], MATCH(1, (Table3[[#This Row],[Gene names]:[Gene names]] = Table1[[Gene names]:[Gene names]])*1, 0))</f>
        <v>2.7599999999999998E-6</v>
      </c>
      <c r="T219" cm="1">
        <f t="array" ref="T219">INDEX(Table1[riBAQ 43], MATCH(1, (Table3[[#This Row],[Gene names]:[Gene names]] = Table1[[Gene names]:[Gene names]])*1, 0))</f>
        <v>4.7199999999999997E-6</v>
      </c>
    </row>
    <row r="220" spans="1:20" x14ac:dyDescent="0.25">
      <c r="A220" t="s">
        <v>195</v>
      </c>
      <c r="B220" cm="1">
        <f t="array" ref="B220">INDEX(Table1[riBAQ 17], MATCH(1, (Table3[[#This Row],[Gene names]:[Gene names]] = Table1[[Gene names]:[Gene names]])*1, 0))</f>
        <v>4.8657529999999996E-3</v>
      </c>
      <c r="C220" cm="1">
        <f t="array" ref="C220">INDEX(Table1[riBAQ 18], MATCH(1, (Table3[[#This Row],[Gene names]:[Gene names]] = Table1[[Gene names]:[Gene names]])*1, 0))</f>
        <v>3.7546770000000001E-3</v>
      </c>
      <c r="D220" cm="1">
        <f t="array" ref="D220">INDEX(Table1[riBAQ 35], MATCH(1, (Table3[[#This Row],[Gene names]:[Gene names]] = Table1[[Gene names]:[Gene names]])*1, 0))</f>
        <v>3.698472E-3</v>
      </c>
      <c r="E220" cm="1">
        <f t="array" ref="E220">INDEX(Table1[riBAQ 36], MATCH(1, (Table3[[#This Row],[Gene names]:[Gene names]] = Table1[[Gene names]:[Gene names]])*1, 0))</f>
        <v>3.622905E-3</v>
      </c>
      <c r="F220" cm="1">
        <f t="array" ref="F220">INDEX(Table1[riBAQ 19], MATCH(1, (Table3[[#This Row],[Gene names]:[Gene names]] = Table1[[Gene names]:[Gene names]])*1, 0))</f>
        <v>3.3678570000000001E-3</v>
      </c>
      <c r="G220" cm="1">
        <f t="array" ref="G220">INDEX(Table1[riBAQ 20], MATCH(1, (Table3[[#This Row],[Gene names]:[Gene names]] = Table1[[Gene names]:[Gene names]])*1, 0))</f>
        <v>3.9845480000000001E-3</v>
      </c>
      <c r="H220" cm="1">
        <f t="array" ref="H220">INDEX(Table1[riBAQ 21], MATCH(1, (Table3[[#This Row],[Gene names]:[Gene names]] = Table1[[Gene names]:[Gene names]])*1, 0))</f>
        <v>4.2274540000000003E-3</v>
      </c>
      <c r="I220" cm="1">
        <f t="array" ref="I220">INDEX(Table1[riBAQ 22], MATCH(1, (Table3[[#This Row],[Gene names]:[Gene names]] = Table1[[Gene names]:[Gene names]])*1, 0))</f>
        <v>3.3530629999999999E-3</v>
      </c>
      <c r="J220" cm="1">
        <f t="array" ref="J220">INDEX(Table1[riBAQ 23], MATCH(1, (Table3[[#This Row],[Gene names]:[Gene names]] = Table1[[Gene names]:[Gene names]])*1, 0))</f>
        <v>3.56507E-3</v>
      </c>
      <c r="K220" cm="1">
        <f t="array" ref="K220">INDEX(Table1[riBAQ 37], MATCH(1, (Table3[[#This Row],[Gene names]:[Gene names]] = Table1[[Gene names]:[Gene names]])*1, 0))</f>
        <v>3.499402E-3</v>
      </c>
      <c r="L220" cm="1">
        <f t="array" ref="L220">INDEX(Table1[riBAQ 38], MATCH(1, (Table3[[#This Row],[Gene names]:[Gene names]] = Table1[[Gene names]:[Gene names]])*1, 0))</f>
        <v>4.1991019999999997E-3</v>
      </c>
      <c r="M220" cm="1">
        <f t="array" ref="M220">INDEX(Table1[riBAQ 39], MATCH(1, (Table3[[#This Row],[Gene names]:[Gene names]] = Table1[[Gene names]:[Gene names]])*1, 0))</f>
        <v>3.4818340000000001E-3</v>
      </c>
      <c r="N220" cm="1">
        <f t="array" ref="N220">INDEX(Table1[riBAQ 40], MATCH(1, (Table3[[#This Row],[Gene names]:[Gene names]] = Table1[[Gene names]:[Gene names]])*1, 0))</f>
        <v>3.0767429999999998E-3</v>
      </c>
      <c r="O220" cm="1">
        <f t="array" ref="O220">INDEX(Table1[riBAQ 41], MATCH(1, (Table3[[#This Row],[Gene names]:[Gene names]] = Table1[[Gene names]:[Gene names]])*1, 0))</f>
        <v>2.8719290000000001E-3</v>
      </c>
      <c r="P220" cm="1">
        <f t="array" ref="P220">INDEX(Table1[riBAQ 24], MATCH(1, (Table3[[#This Row],[Gene names]:[Gene names]] = Table1[[Gene names]:[Gene names]])*1, 0))</f>
        <v>2.9584530000000002E-3</v>
      </c>
      <c r="Q220" cm="1">
        <f t="array" ref="Q220">INDEX(Table1[riBAQ 25], MATCH(1, (Table3[[#This Row],[Gene names]:[Gene names]] = Table1[[Gene names]:[Gene names]])*1, 0))</f>
        <v>3.3660299999999999E-3</v>
      </c>
      <c r="R220" cm="1">
        <f t="array" ref="R220">INDEX(Table1[riBAQ 26], MATCH(1, (Table3[[#This Row],[Gene names]:[Gene names]] = Table1[[Gene names]:[Gene names]])*1, 0))</f>
        <v>2.91618E-3</v>
      </c>
      <c r="S220" cm="1">
        <f t="array" ref="S220">INDEX(Table1[riBAQ 42], MATCH(1, (Table3[[#This Row],[Gene names]:[Gene names]] = Table1[[Gene names]:[Gene names]])*1, 0))</f>
        <v>1.5342750000000001E-3</v>
      </c>
      <c r="T220" cm="1">
        <f t="array" ref="T220">INDEX(Table1[riBAQ 43], MATCH(1, (Table3[[#This Row],[Gene names]:[Gene names]] = Table1[[Gene names]:[Gene names]])*1, 0))</f>
        <v>2.9268219999999999E-3</v>
      </c>
    </row>
    <row r="221" spans="1:20" x14ac:dyDescent="0.25">
      <c r="A221" t="s">
        <v>193</v>
      </c>
      <c r="B221" cm="1">
        <f t="array" ref="B221">INDEX(Table1[riBAQ 17], MATCH(1, (Table3[[#This Row],[Gene names]:[Gene names]] = Table1[[Gene names]:[Gene names]])*1, 0))</f>
        <v>3.845654E-3</v>
      </c>
      <c r="C221" cm="1">
        <f t="array" ref="C221">INDEX(Table1[riBAQ 18], MATCH(1, (Table3[[#This Row],[Gene names]:[Gene names]] = Table1[[Gene names]:[Gene names]])*1, 0))</f>
        <v>2.9115859999999999E-3</v>
      </c>
      <c r="D221" cm="1">
        <f t="array" ref="D221">INDEX(Table1[riBAQ 35], MATCH(1, (Table3[[#This Row],[Gene names]:[Gene names]] = Table1[[Gene names]:[Gene names]])*1, 0))</f>
        <v>3.4511630000000001E-3</v>
      </c>
      <c r="E221" cm="1">
        <f t="array" ref="E221">INDEX(Table1[riBAQ 36], MATCH(1, (Table3[[#This Row],[Gene names]:[Gene names]] = Table1[[Gene names]:[Gene names]])*1, 0))</f>
        <v>2.5311539999999999E-3</v>
      </c>
      <c r="F221" cm="1">
        <f t="array" ref="F221">INDEX(Table1[riBAQ 19], MATCH(1, (Table3[[#This Row],[Gene names]:[Gene names]] = Table1[[Gene names]:[Gene names]])*1, 0))</f>
        <v>2.0298500000000001E-3</v>
      </c>
      <c r="G221" cm="1">
        <f t="array" ref="G221">INDEX(Table1[riBAQ 20], MATCH(1, (Table3[[#This Row],[Gene names]:[Gene names]] = Table1[[Gene names]:[Gene names]])*1, 0))</f>
        <v>2.4893820000000001E-3</v>
      </c>
      <c r="H221" cm="1">
        <f t="array" ref="H221">INDEX(Table1[riBAQ 21], MATCH(1, (Table3[[#This Row],[Gene names]:[Gene names]] = Table1[[Gene names]:[Gene names]])*1, 0))</f>
        <v>2.6324349999999998E-3</v>
      </c>
      <c r="I221" cm="1">
        <f t="array" ref="I221">INDEX(Table1[riBAQ 22], MATCH(1, (Table3[[#This Row],[Gene names]:[Gene names]] = Table1[[Gene names]:[Gene names]])*1, 0))</f>
        <v>1.918517E-3</v>
      </c>
      <c r="J221" cm="1">
        <f t="array" ref="J221">INDEX(Table1[riBAQ 23], MATCH(1, (Table3[[#This Row],[Gene names]:[Gene names]] = Table1[[Gene names]:[Gene names]])*1, 0))</f>
        <v>2.8735240000000001E-3</v>
      </c>
      <c r="K221" cm="1">
        <f t="array" ref="K221">INDEX(Table1[riBAQ 37], MATCH(1, (Table3[[#This Row],[Gene names]:[Gene names]] = Table1[[Gene names]:[Gene names]])*1, 0))</f>
        <v>3.0366569999999999E-3</v>
      </c>
      <c r="L221" cm="1">
        <f t="array" ref="L221">INDEX(Table1[riBAQ 38], MATCH(1, (Table3[[#This Row],[Gene names]:[Gene names]] = Table1[[Gene names]:[Gene names]])*1, 0))</f>
        <v>3.3416399999999999E-3</v>
      </c>
      <c r="M221" cm="1">
        <f t="array" ref="M221">INDEX(Table1[riBAQ 39], MATCH(1, (Table3[[#This Row],[Gene names]:[Gene names]] = Table1[[Gene names]:[Gene names]])*1, 0))</f>
        <v>2.6694729999999999E-3</v>
      </c>
      <c r="N221" cm="1">
        <f t="array" ref="N221">INDEX(Table1[riBAQ 40], MATCH(1, (Table3[[#This Row],[Gene names]:[Gene names]] = Table1[[Gene names]:[Gene names]])*1, 0))</f>
        <v>2.123612E-3</v>
      </c>
      <c r="O221" cm="1">
        <f t="array" ref="O221">INDEX(Table1[riBAQ 41], MATCH(1, (Table3[[#This Row],[Gene names]:[Gene names]] = Table1[[Gene names]:[Gene names]])*1, 0))</f>
        <v>2.0359330000000002E-3</v>
      </c>
      <c r="P221" cm="1">
        <f t="array" ref="P221">INDEX(Table1[riBAQ 24], MATCH(1, (Table3[[#This Row],[Gene names]:[Gene names]] = Table1[[Gene names]:[Gene names]])*1, 0))</f>
        <v>2.140374E-3</v>
      </c>
      <c r="Q221" cm="1">
        <f t="array" ref="Q221">INDEX(Table1[riBAQ 25], MATCH(1, (Table3[[#This Row],[Gene names]:[Gene names]] = Table1[[Gene names]:[Gene names]])*1, 0))</f>
        <v>1.9974649999999999E-3</v>
      </c>
      <c r="R221" cm="1">
        <f t="array" ref="R221">INDEX(Table1[riBAQ 26], MATCH(1, (Table3[[#This Row],[Gene names]:[Gene names]] = Table1[[Gene names]:[Gene names]])*1, 0))</f>
        <v>1.780083E-3</v>
      </c>
      <c r="S221" cm="1">
        <f t="array" ref="S221">INDEX(Table1[riBAQ 42], MATCH(1, (Table3[[#This Row],[Gene names]:[Gene names]] = Table1[[Gene names]:[Gene names]])*1, 0))</f>
        <v>9.2947199999999998E-4</v>
      </c>
      <c r="T221" cm="1">
        <f t="array" ref="T221">INDEX(Table1[riBAQ 43], MATCH(1, (Table3[[#This Row],[Gene names]:[Gene names]] = Table1[[Gene names]:[Gene names]])*1, 0))</f>
        <v>2.0053340000000001E-3</v>
      </c>
    </row>
    <row r="222" spans="1:20" x14ac:dyDescent="0.25">
      <c r="A222" t="s">
        <v>155</v>
      </c>
      <c r="B222" cm="1">
        <f t="array" ref="B222">INDEX(Table1[riBAQ 17], MATCH(1, (Table3[[#This Row],[Gene names]:[Gene names]] = Table1[[Gene names]:[Gene names]])*1, 0))</f>
        <v>0</v>
      </c>
      <c r="C222" cm="1">
        <f t="array" ref="C222">INDEX(Table1[riBAQ 18], MATCH(1, (Table3[[#This Row],[Gene names]:[Gene names]] = Table1[[Gene names]:[Gene names]])*1, 0))</f>
        <v>1.0519899999999999E-4</v>
      </c>
      <c r="D222" cm="1">
        <f t="array" ref="D222">INDEX(Table1[riBAQ 35], MATCH(1, (Table3[[#This Row],[Gene names]:[Gene names]] = Table1[[Gene names]:[Gene names]])*1, 0))</f>
        <v>6.4800000000000003E-5</v>
      </c>
      <c r="E222" cm="1">
        <f t="array" ref="E222">INDEX(Table1[riBAQ 36], MATCH(1, (Table3[[#This Row],[Gene names]:[Gene names]] = Table1[[Gene names]:[Gene names]])*1, 0))</f>
        <v>7.0199999999999999E-5</v>
      </c>
      <c r="F222" cm="1">
        <f t="array" ref="F222">INDEX(Table1[riBAQ 19], MATCH(1, (Table3[[#This Row],[Gene names]:[Gene names]] = Table1[[Gene names]:[Gene names]])*1, 0))</f>
        <v>7.5799999999999999E-5</v>
      </c>
      <c r="G222" cm="1">
        <f t="array" ref="G222">INDEX(Table1[riBAQ 20], MATCH(1, (Table3[[#This Row],[Gene names]:[Gene names]] = Table1[[Gene names]:[Gene names]])*1, 0))</f>
        <v>6.3999999999999997E-5</v>
      </c>
      <c r="H222" cm="1">
        <f t="array" ref="H222">INDEX(Table1[riBAQ 21], MATCH(1, (Table3[[#This Row],[Gene names]:[Gene names]] = Table1[[Gene names]:[Gene names]])*1, 0))</f>
        <v>5.1700000000000003E-5</v>
      </c>
      <c r="I222" cm="1">
        <f t="array" ref="I222">INDEX(Table1[riBAQ 22], MATCH(1, (Table3[[#This Row],[Gene names]:[Gene names]] = Table1[[Gene names]:[Gene names]])*1, 0))</f>
        <v>6.7399999999999998E-5</v>
      </c>
      <c r="J222" cm="1">
        <f t="array" ref="J222">INDEX(Table1[riBAQ 23], MATCH(1, (Table3[[#This Row],[Gene names]:[Gene names]] = Table1[[Gene names]:[Gene names]])*1, 0))</f>
        <v>9.1000000000000003E-5</v>
      </c>
      <c r="K222" cm="1">
        <f t="array" ref="K222">INDEX(Table1[riBAQ 37], MATCH(1, (Table3[[#This Row],[Gene names]:[Gene names]] = Table1[[Gene names]:[Gene names]])*1, 0))</f>
        <v>5.0000000000000002E-5</v>
      </c>
      <c r="L222" cm="1">
        <f t="array" ref="L222">INDEX(Table1[riBAQ 38], MATCH(1, (Table3[[#This Row],[Gene names]:[Gene names]] = Table1[[Gene names]:[Gene names]])*1, 0))</f>
        <v>5.6400000000000002E-5</v>
      </c>
      <c r="M222" cm="1">
        <f t="array" ref="M222">INDEX(Table1[riBAQ 39], MATCH(1, (Table3[[#This Row],[Gene names]:[Gene names]] = Table1[[Gene names]:[Gene names]])*1, 0))</f>
        <v>4.5800000000000002E-5</v>
      </c>
      <c r="N222" cm="1">
        <f t="array" ref="N222">INDEX(Table1[riBAQ 40], MATCH(1, (Table3[[#This Row],[Gene names]:[Gene names]] = Table1[[Gene names]:[Gene names]])*1, 0))</f>
        <v>7.6899999999999999E-5</v>
      </c>
      <c r="O222" cm="1">
        <f t="array" ref="O222">INDEX(Table1[riBAQ 41], MATCH(1, (Table3[[#This Row],[Gene names]:[Gene names]] = Table1[[Gene names]:[Gene names]])*1, 0))</f>
        <v>6.6500000000000004E-5</v>
      </c>
      <c r="P222" cm="1">
        <f t="array" ref="P222">INDEX(Table1[riBAQ 24], MATCH(1, (Table3[[#This Row],[Gene names]:[Gene names]] = Table1[[Gene names]:[Gene names]])*1, 0))</f>
        <v>1.1077E-4</v>
      </c>
      <c r="Q222" cm="1">
        <f t="array" ref="Q222">INDEX(Table1[riBAQ 25], MATCH(1, (Table3[[#This Row],[Gene names]:[Gene names]] = Table1[[Gene names]:[Gene names]])*1, 0))</f>
        <v>1.2112000000000001E-4</v>
      </c>
      <c r="R222" cm="1">
        <f t="array" ref="R222">INDEX(Table1[riBAQ 26], MATCH(1, (Table3[[#This Row],[Gene names]:[Gene names]] = Table1[[Gene names]:[Gene names]])*1, 0))</f>
        <v>9.4500000000000007E-5</v>
      </c>
      <c r="S222" cm="1">
        <f t="array" ref="S222">INDEX(Table1[riBAQ 42], MATCH(1, (Table3[[#This Row],[Gene names]:[Gene names]] = Table1[[Gene names]:[Gene names]])*1, 0))</f>
        <v>1.17234E-4</v>
      </c>
      <c r="T222" cm="1">
        <f t="array" ref="T222">INDEX(Table1[riBAQ 43], MATCH(1, (Table3[[#This Row],[Gene names]:[Gene names]] = Table1[[Gene names]:[Gene names]])*1, 0))</f>
        <v>1.23974E-4</v>
      </c>
    </row>
    <row r="223" spans="1:20" x14ac:dyDescent="0.25">
      <c r="A223" t="s">
        <v>1149</v>
      </c>
      <c r="B223" cm="1">
        <f t="array" ref="B223">INDEX(Table1[riBAQ 17], MATCH(1, (Table3[[#This Row],[Gene names]:[Gene names]] = Table1[[Gene names]:[Gene names]])*1, 0))</f>
        <v>7.9699999999999999E-5</v>
      </c>
      <c r="C223" cm="1">
        <f t="array" ref="C223">INDEX(Table1[riBAQ 18], MATCH(1, (Table3[[#This Row],[Gene names]:[Gene names]] = Table1[[Gene names]:[Gene names]])*1, 0))</f>
        <v>0</v>
      </c>
      <c r="D223" cm="1">
        <f t="array" ref="D223">INDEX(Table1[riBAQ 35], MATCH(1, (Table3[[#This Row],[Gene names]:[Gene names]] = Table1[[Gene names]:[Gene names]])*1, 0))</f>
        <v>7.3700000000000002E-5</v>
      </c>
      <c r="E223" cm="1">
        <f t="array" ref="E223">INDEX(Table1[riBAQ 36], MATCH(1, (Table3[[#This Row],[Gene names]:[Gene names]] = Table1[[Gene names]:[Gene names]])*1, 0))</f>
        <v>5.8E-5</v>
      </c>
      <c r="F223" cm="1">
        <f t="array" ref="F223">INDEX(Table1[riBAQ 19], MATCH(1, (Table3[[#This Row],[Gene names]:[Gene names]] = Table1[[Gene names]:[Gene names]])*1, 0))</f>
        <v>6.6400000000000001E-5</v>
      </c>
      <c r="G223" cm="1">
        <f t="array" ref="G223">INDEX(Table1[riBAQ 20], MATCH(1, (Table3[[#This Row],[Gene names]:[Gene names]] = Table1[[Gene names]:[Gene names]])*1, 0))</f>
        <v>2.8099999999999999E-5</v>
      </c>
      <c r="H223" cm="1">
        <f t="array" ref="H223">INDEX(Table1[riBAQ 21], MATCH(1, (Table3[[#This Row],[Gene names]:[Gene names]] = Table1[[Gene names]:[Gene names]])*1, 0))</f>
        <v>9.87E-5</v>
      </c>
      <c r="I223" cm="1">
        <f t="array" ref="I223">INDEX(Table1[riBAQ 22], MATCH(1, (Table3[[#This Row],[Gene names]:[Gene names]] = Table1[[Gene names]:[Gene names]])*1, 0))</f>
        <v>3.96E-5</v>
      </c>
      <c r="J223" cm="1">
        <f t="array" ref="J223">INDEX(Table1[riBAQ 23], MATCH(1, (Table3[[#This Row],[Gene names]:[Gene names]] = Table1[[Gene names]:[Gene names]])*1, 0))</f>
        <v>5.5399999999999998E-5</v>
      </c>
      <c r="K223" cm="1">
        <f t="array" ref="K223">INDEX(Table1[riBAQ 37], MATCH(1, (Table3[[#This Row],[Gene names]:[Gene names]] = Table1[[Gene names]:[Gene names]])*1, 0))</f>
        <v>2.9099999999999999E-5</v>
      </c>
      <c r="L223" cm="1">
        <f t="array" ref="L223">INDEX(Table1[riBAQ 38], MATCH(1, (Table3[[#This Row],[Gene names]:[Gene names]] = Table1[[Gene names]:[Gene names]])*1, 0))</f>
        <v>1.59E-5</v>
      </c>
      <c r="M223" cm="1">
        <f t="array" ref="M223">INDEX(Table1[riBAQ 39], MATCH(1, (Table3[[#This Row],[Gene names]:[Gene names]] = Table1[[Gene names]:[Gene names]])*1, 0))</f>
        <v>3.7400000000000001E-5</v>
      </c>
      <c r="N223" cm="1">
        <f t="array" ref="N223">INDEX(Table1[riBAQ 40], MATCH(1, (Table3[[#This Row],[Gene names]:[Gene names]] = Table1[[Gene names]:[Gene names]])*1, 0))</f>
        <v>4.32E-5</v>
      </c>
      <c r="O223" cm="1">
        <f t="array" ref="O223">INDEX(Table1[riBAQ 41], MATCH(1, (Table3[[#This Row],[Gene names]:[Gene names]] = Table1[[Gene names]:[Gene names]])*1, 0))</f>
        <v>6.97E-5</v>
      </c>
      <c r="P223" cm="1">
        <f t="array" ref="P223">INDEX(Table1[riBAQ 24], MATCH(1, (Table3[[#This Row],[Gene names]:[Gene names]] = Table1[[Gene names]:[Gene names]])*1, 0))</f>
        <v>5.2899999999999998E-5</v>
      </c>
      <c r="Q223" cm="1">
        <f t="array" ref="Q223">INDEX(Table1[riBAQ 25], MATCH(1, (Table3[[#This Row],[Gene names]:[Gene names]] = Table1[[Gene names]:[Gene names]])*1, 0))</f>
        <v>1.03496E-4</v>
      </c>
      <c r="R223" cm="1">
        <f t="array" ref="R223">INDEX(Table1[riBAQ 26], MATCH(1, (Table3[[#This Row],[Gene names]:[Gene names]] = Table1[[Gene names]:[Gene names]])*1, 0))</f>
        <v>9.9500000000000006E-5</v>
      </c>
      <c r="S223" cm="1">
        <f t="array" ref="S223">INDEX(Table1[riBAQ 42], MATCH(1, (Table3[[#This Row],[Gene names]:[Gene names]] = Table1[[Gene names]:[Gene names]])*1, 0))</f>
        <v>4.6199999999999998E-5</v>
      </c>
      <c r="T223" cm="1">
        <f t="array" ref="T223">INDEX(Table1[riBAQ 43], MATCH(1, (Table3[[#This Row],[Gene names]:[Gene names]] = Table1[[Gene names]:[Gene names]])*1, 0))</f>
        <v>2.0345399999999999E-4</v>
      </c>
    </row>
    <row r="224" spans="1:20" x14ac:dyDescent="0.25">
      <c r="A224" t="s">
        <v>1675</v>
      </c>
      <c r="B224" cm="1">
        <f t="array" ref="B224">INDEX(Table1[riBAQ 17], MATCH(1, (Table3[[#This Row],[Gene names]:[Gene names]] = Table1[[Gene names]:[Gene names]])*1, 0))</f>
        <v>6.1299999999999999E-5</v>
      </c>
      <c r="C224" cm="1">
        <f t="array" ref="C224">INDEX(Table1[riBAQ 18], MATCH(1, (Table3[[#This Row],[Gene names]:[Gene names]] = Table1[[Gene names]:[Gene names]])*1, 0))</f>
        <v>4.9700000000000002E-5</v>
      </c>
      <c r="D224" cm="1">
        <f t="array" ref="D224">INDEX(Table1[riBAQ 35], MATCH(1, (Table3[[#This Row],[Gene names]:[Gene names]] = Table1[[Gene names]:[Gene names]])*1, 0))</f>
        <v>6.05E-5</v>
      </c>
      <c r="E224" cm="1">
        <f t="array" ref="E224">INDEX(Table1[riBAQ 36], MATCH(1, (Table3[[#This Row],[Gene names]:[Gene names]] = Table1[[Gene names]:[Gene names]])*1, 0))</f>
        <v>4.9799999999999998E-5</v>
      </c>
      <c r="F224" cm="1">
        <f t="array" ref="F224">INDEX(Table1[riBAQ 19], MATCH(1, (Table3[[#This Row],[Gene names]:[Gene names]] = Table1[[Gene names]:[Gene names]])*1, 0))</f>
        <v>8.7700000000000004E-5</v>
      </c>
      <c r="G224" cm="1">
        <f t="array" ref="G224">INDEX(Table1[riBAQ 20], MATCH(1, (Table3[[#This Row],[Gene names]:[Gene names]] = Table1[[Gene names]:[Gene names]])*1, 0))</f>
        <v>7.7899999999999996E-5</v>
      </c>
      <c r="H224" cm="1">
        <f t="array" ref="H224">INDEX(Table1[riBAQ 21], MATCH(1, (Table3[[#This Row],[Gene names]:[Gene names]] = Table1[[Gene names]:[Gene names]])*1, 0))</f>
        <v>7.7799999999999994E-5</v>
      </c>
      <c r="I224" cm="1">
        <f t="array" ref="I224">INDEX(Table1[riBAQ 22], MATCH(1, (Table3[[#This Row],[Gene names]:[Gene names]] = Table1[[Gene names]:[Gene names]])*1, 0))</f>
        <v>8.3599999999999999E-5</v>
      </c>
      <c r="J224" cm="1">
        <f t="array" ref="J224">INDEX(Table1[riBAQ 23], MATCH(1, (Table3[[#This Row],[Gene names]:[Gene names]] = Table1[[Gene names]:[Gene names]])*1, 0))</f>
        <v>8.03E-5</v>
      </c>
      <c r="K224" cm="1">
        <f t="array" ref="K224">INDEX(Table1[riBAQ 37], MATCH(1, (Table3[[#This Row],[Gene names]:[Gene names]] = Table1[[Gene names]:[Gene names]])*1, 0))</f>
        <v>4.5099999999999998E-5</v>
      </c>
      <c r="L224" cm="1">
        <f t="array" ref="L224">INDEX(Table1[riBAQ 38], MATCH(1, (Table3[[#This Row],[Gene names]:[Gene names]] = Table1[[Gene names]:[Gene names]])*1, 0))</f>
        <v>8.6399999999999999E-5</v>
      </c>
      <c r="M224" cm="1">
        <f t="array" ref="M224">INDEX(Table1[riBAQ 39], MATCH(1, (Table3[[#This Row],[Gene names]:[Gene names]] = Table1[[Gene names]:[Gene names]])*1, 0))</f>
        <v>8.0599999999999994E-5</v>
      </c>
      <c r="N224" cm="1">
        <f t="array" ref="N224">INDEX(Table1[riBAQ 40], MATCH(1, (Table3[[#This Row],[Gene names]:[Gene names]] = Table1[[Gene names]:[Gene names]])*1, 0))</f>
        <v>1.5785500000000001E-4</v>
      </c>
      <c r="O224" cm="1">
        <f t="array" ref="O224">INDEX(Table1[riBAQ 41], MATCH(1, (Table3[[#This Row],[Gene names]:[Gene names]] = Table1[[Gene names]:[Gene names]])*1, 0))</f>
        <v>9.48E-5</v>
      </c>
      <c r="P224" cm="1">
        <f t="array" ref="P224">INDEX(Table1[riBAQ 24], MATCH(1, (Table3[[#This Row],[Gene names]:[Gene names]] = Table1[[Gene names]:[Gene names]])*1, 0))</f>
        <v>1.5634399999999999E-4</v>
      </c>
      <c r="Q224" cm="1">
        <f t="array" ref="Q224">INDEX(Table1[riBAQ 25], MATCH(1, (Table3[[#This Row],[Gene names]:[Gene names]] = Table1[[Gene names]:[Gene names]])*1, 0))</f>
        <v>2.5684900000000002E-4</v>
      </c>
      <c r="R224" cm="1">
        <f t="array" ref="R224">INDEX(Table1[riBAQ 26], MATCH(1, (Table3[[#This Row],[Gene names]:[Gene names]] = Table1[[Gene names]:[Gene names]])*1, 0))</f>
        <v>3.1376800000000002E-4</v>
      </c>
      <c r="S224" cm="1">
        <f t="array" ref="S224">INDEX(Table1[riBAQ 42], MATCH(1, (Table3[[#This Row],[Gene names]:[Gene names]] = Table1[[Gene names]:[Gene names]])*1, 0))</f>
        <v>4.1021900000000002E-4</v>
      </c>
      <c r="T224" cm="1">
        <f t="array" ref="T224">INDEX(Table1[riBAQ 43], MATCH(1, (Table3[[#This Row],[Gene names]:[Gene names]] = Table1[[Gene names]:[Gene names]])*1, 0))</f>
        <v>2.7081700000000002E-4</v>
      </c>
    </row>
    <row r="225" spans="1:20" x14ac:dyDescent="0.25">
      <c r="A225" t="s">
        <v>1245</v>
      </c>
      <c r="B225" cm="1">
        <f t="array" ref="B225">INDEX(Table1[riBAQ 17], MATCH(1, (Table3[[#This Row],[Gene names]:[Gene names]] = Table1[[Gene names]:[Gene names]])*1, 0))</f>
        <v>2.4600000000000002E-5</v>
      </c>
      <c r="C225" cm="1">
        <f t="array" ref="C225">INDEX(Table1[riBAQ 18], MATCH(1, (Table3[[#This Row],[Gene names]:[Gene names]] = Table1[[Gene names]:[Gene names]])*1, 0))</f>
        <v>2.4199999999999999E-5</v>
      </c>
      <c r="D225" cm="1">
        <f t="array" ref="D225">INDEX(Table1[riBAQ 35], MATCH(1, (Table3[[#This Row],[Gene names]:[Gene names]] = Table1[[Gene names]:[Gene names]])*1, 0))</f>
        <v>1.3499999999999999E-5</v>
      </c>
      <c r="E225" cm="1">
        <f t="array" ref="E225">INDEX(Table1[riBAQ 36], MATCH(1, (Table3[[#This Row],[Gene names]:[Gene names]] = Table1[[Gene names]:[Gene names]])*1, 0))</f>
        <v>1.15E-5</v>
      </c>
      <c r="F225" cm="1">
        <f t="array" ref="F225">INDEX(Table1[riBAQ 19], MATCH(1, (Table3[[#This Row],[Gene names]:[Gene names]] = Table1[[Gene names]:[Gene names]])*1, 0))</f>
        <v>2.4700000000000001E-5</v>
      </c>
      <c r="G225" cm="1">
        <f t="array" ref="G225">INDEX(Table1[riBAQ 20], MATCH(1, (Table3[[#This Row],[Gene names]:[Gene names]] = Table1[[Gene names]:[Gene names]])*1, 0))</f>
        <v>2.2099999999999998E-5</v>
      </c>
      <c r="H225" cm="1">
        <f t="array" ref="H225">INDEX(Table1[riBAQ 21], MATCH(1, (Table3[[#This Row],[Gene names]:[Gene names]] = Table1[[Gene names]:[Gene names]])*1, 0))</f>
        <v>3.4799999999999999E-5</v>
      </c>
      <c r="I225" cm="1">
        <f t="array" ref="I225">INDEX(Table1[riBAQ 22], MATCH(1, (Table3[[#This Row],[Gene names]:[Gene names]] = Table1[[Gene names]:[Gene names]])*1, 0))</f>
        <v>3.8600000000000003E-5</v>
      </c>
      <c r="J225" cm="1">
        <f t="array" ref="J225">INDEX(Table1[riBAQ 23], MATCH(1, (Table3[[#This Row],[Gene names]:[Gene names]] = Table1[[Gene names]:[Gene names]])*1, 0))</f>
        <v>3.3200000000000001E-5</v>
      </c>
      <c r="K225" cm="1">
        <f t="array" ref="K225">INDEX(Table1[riBAQ 37], MATCH(1, (Table3[[#This Row],[Gene names]:[Gene names]] = Table1[[Gene names]:[Gene names]])*1, 0))</f>
        <v>3.93E-5</v>
      </c>
      <c r="L225" cm="1">
        <f t="array" ref="L225">INDEX(Table1[riBAQ 38], MATCH(1, (Table3[[#This Row],[Gene names]:[Gene names]] = Table1[[Gene names]:[Gene names]])*1, 0))</f>
        <v>4.5000000000000003E-5</v>
      </c>
      <c r="M225" cm="1">
        <f t="array" ref="M225">INDEX(Table1[riBAQ 39], MATCH(1, (Table3[[#This Row],[Gene names]:[Gene names]] = Table1[[Gene names]:[Gene names]])*1, 0))</f>
        <v>4.7599999999999998E-5</v>
      </c>
      <c r="N225" cm="1">
        <f t="array" ref="N225">INDEX(Table1[riBAQ 40], MATCH(1, (Table3[[#This Row],[Gene names]:[Gene names]] = Table1[[Gene names]:[Gene names]])*1, 0))</f>
        <v>5.0599999999999997E-5</v>
      </c>
      <c r="O225" cm="1">
        <f t="array" ref="O225">INDEX(Table1[riBAQ 41], MATCH(1, (Table3[[#This Row],[Gene names]:[Gene names]] = Table1[[Gene names]:[Gene names]])*1, 0))</f>
        <v>3.0000000000000001E-5</v>
      </c>
      <c r="P225" cm="1">
        <f t="array" ref="P225">INDEX(Table1[riBAQ 24], MATCH(1, (Table3[[#This Row],[Gene names]:[Gene names]] = Table1[[Gene names]:[Gene names]])*1, 0))</f>
        <v>3.8099999999999998E-5</v>
      </c>
      <c r="Q225" cm="1">
        <f t="array" ref="Q225">INDEX(Table1[riBAQ 25], MATCH(1, (Table3[[#This Row],[Gene names]:[Gene names]] = Table1[[Gene names]:[Gene names]])*1, 0))</f>
        <v>6.6299999999999999E-5</v>
      </c>
      <c r="R225" cm="1">
        <f t="array" ref="R225">INDEX(Table1[riBAQ 26], MATCH(1, (Table3[[#This Row],[Gene names]:[Gene names]] = Table1[[Gene names]:[Gene names]])*1, 0))</f>
        <v>9.6199999999999994E-5</v>
      </c>
      <c r="S225" cm="1">
        <f t="array" ref="S225">INDEX(Table1[riBAQ 42], MATCH(1, (Table3[[#This Row],[Gene names]:[Gene names]] = Table1[[Gene names]:[Gene names]])*1, 0))</f>
        <v>4.2899999999999999E-5</v>
      </c>
      <c r="T225" cm="1">
        <f t="array" ref="T225">INDEX(Table1[riBAQ 43], MATCH(1, (Table3[[#This Row],[Gene names]:[Gene names]] = Table1[[Gene names]:[Gene names]])*1, 0))</f>
        <v>8.0599999999999994E-5</v>
      </c>
    </row>
    <row r="226" spans="1:20" x14ac:dyDescent="0.25">
      <c r="A226" t="s">
        <v>1475</v>
      </c>
      <c r="B226" cm="1">
        <f t="array" ref="B226">INDEX(Table1[riBAQ 17], MATCH(1, (Table3[[#This Row],[Gene names]:[Gene names]] = Table1[[Gene names]:[Gene names]])*1, 0))</f>
        <v>3.8600000000000003E-5</v>
      </c>
      <c r="C226" cm="1">
        <f t="array" ref="C226">INDEX(Table1[riBAQ 18], MATCH(1, (Table3[[#This Row],[Gene names]:[Gene names]] = Table1[[Gene names]:[Gene names]])*1, 0))</f>
        <v>5.3999999999999998E-5</v>
      </c>
      <c r="D226" cm="1">
        <f t="array" ref="D226">INDEX(Table1[riBAQ 35], MATCH(1, (Table3[[#This Row],[Gene names]:[Gene names]] = Table1[[Gene names]:[Gene names]])*1, 0))</f>
        <v>0</v>
      </c>
      <c r="E226" cm="1">
        <f t="array" ref="E226">INDEX(Table1[riBAQ 36], MATCH(1, (Table3[[#This Row],[Gene names]:[Gene names]] = Table1[[Gene names]:[Gene names]])*1, 0))</f>
        <v>0</v>
      </c>
      <c r="F226" cm="1">
        <f t="array" ref="F226">INDEX(Table1[riBAQ 19], MATCH(1, (Table3[[#This Row],[Gene names]:[Gene names]] = Table1[[Gene names]:[Gene names]])*1, 0))</f>
        <v>0</v>
      </c>
      <c r="G226" cm="1">
        <f t="array" ref="G226">INDEX(Table1[riBAQ 20], MATCH(1, (Table3[[#This Row],[Gene names]:[Gene names]] = Table1[[Gene names]:[Gene names]])*1, 0))</f>
        <v>0</v>
      </c>
      <c r="H226" cm="1">
        <f t="array" ref="H226">INDEX(Table1[riBAQ 21], MATCH(1, (Table3[[#This Row],[Gene names]:[Gene names]] = Table1[[Gene names]:[Gene names]])*1, 0))</f>
        <v>0</v>
      </c>
      <c r="I226" cm="1">
        <f t="array" ref="I226">INDEX(Table1[riBAQ 22], MATCH(1, (Table3[[#This Row],[Gene names]:[Gene names]] = Table1[[Gene names]:[Gene names]])*1, 0))</f>
        <v>5.2299999999999997E-5</v>
      </c>
      <c r="J226" cm="1">
        <f t="array" ref="J226">INDEX(Table1[riBAQ 23], MATCH(1, (Table3[[#This Row],[Gene names]:[Gene names]] = Table1[[Gene names]:[Gene names]])*1, 0))</f>
        <v>0</v>
      </c>
      <c r="K226" cm="1">
        <f t="array" ref="K226">INDEX(Table1[riBAQ 37], MATCH(1, (Table3[[#This Row],[Gene names]:[Gene names]] = Table1[[Gene names]:[Gene names]])*1, 0))</f>
        <v>0</v>
      </c>
      <c r="L226" cm="1">
        <f t="array" ref="L226">INDEX(Table1[riBAQ 38], MATCH(1, (Table3[[#This Row],[Gene names]:[Gene names]] = Table1[[Gene names]:[Gene names]])*1, 0))</f>
        <v>0</v>
      </c>
      <c r="M226" cm="1">
        <f t="array" ref="M226">INDEX(Table1[riBAQ 39], MATCH(1, (Table3[[#This Row],[Gene names]:[Gene names]] = Table1[[Gene names]:[Gene names]])*1, 0))</f>
        <v>0</v>
      </c>
      <c r="N226" cm="1">
        <f t="array" ref="N226">INDEX(Table1[riBAQ 40], MATCH(1, (Table3[[#This Row],[Gene names]:[Gene names]] = Table1[[Gene names]:[Gene names]])*1, 0))</f>
        <v>3.82E-5</v>
      </c>
      <c r="O226" cm="1">
        <f t="array" ref="O226">INDEX(Table1[riBAQ 41], MATCH(1, (Table3[[#This Row],[Gene names]:[Gene names]] = Table1[[Gene names]:[Gene names]])*1, 0))</f>
        <v>0</v>
      </c>
      <c r="P226" cm="1">
        <f t="array" ref="P226">INDEX(Table1[riBAQ 24], MATCH(1, (Table3[[#This Row],[Gene names]:[Gene names]] = Table1[[Gene names]:[Gene names]])*1, 0))</f>
        <v>0</v>
      </c>
      <c r="Q226" cm="1">
        <f t="array" ref="Q226">INDEX(Table1[riBAQ 25], MATCH(1, (Table3[[#This Row],[Gene names]:[Gene names]] = Table1[[Gene names]:[Gene names]])*1, 0))</f>
        <v>1.2298100000000001E-4</v>
      </c>
      <c r="R226" cm="1">
        <f t="array" ref="R226">INDEX(Table1[riBAQ 26], MATCH(1, (Table3[[#This Row],[Gene names]:[Gene names]] = Table1[[Gene names]:[Gene names]])*1, 0))</f>
        <v>1.4112900000000001E-4</v>
      </c>
      <c r="S226" cm="1">
        <f t="array" ref="S226">INDEX(Table1[riBAQ 42], MATCH(1, (Table3[[#This Row],[Gene names]:[Gene names]] = Table1[[Gene names]:[Gene names]])*1, 0))</f>
        <v>7.7000000000000001E-5</v>
      </c>
      <c r="T226" cm="1">
        <f t="array" ref="T226">INDEX(Table1[riBAQ 43], MATCH(1, (Table3[[#This Row],[Gene names]:[Gene names]] = Table1[[Gene names]:[Gene names]])*1, 0))</f>
        <v>1.09478E-4</v>
      </c>
    </row>
    <row r="227" spans="1:20" x14ac:dyDescent="0.25">
      <c r="A227" t="s">
        <v>1566</v>
      </c>
      <c r="B227" cm="1">
        <f t="array" ref="B227">INDEX(Table1[riBAQ 17], MATCH(1, (Table3[[#This Row],[Gene names]:[Gene names]] = Table1[[Gene names]:[Gene names]])*1, 0))</f>
        <v>3.1900000000000003E-5</v>
      </c>
      <c r="C227" cm="1">
        <f t="array" ref="C227">INDEX(Table1[riBAQ 18], MATCH(1, (Table3[[#This Row],[Gene names]:[Gene names]] = Table1[[Gene names]:[Gene names]])*1, 0))</f>
        <v>0</v>
      </c>
      <c r="D227" cm="1">
        <f t="array" ref="D227">INDEX(Table1[riBAQ 35], MATCH(1, (Table3[[#This Row],[Gene names]:[Gene names]] = Table1[[Gene names]:[Gene names]])*1, 0))</f>
        <v>0</v>
      </c>
      <c r="E227" cm="1">
        <f t="array" ref="E227">INDEX(Table1[riBAQ 36], MATCH(1, (Table3[[#This Row],[Gene names]:[Gene names]] = Table1[[Gene names]:[Gene names]])*1, 0))</f>
        <v>0</v>
      </c>
      <c r="F227" cm="1">
        <f t="array" ref="F227">INDEX(Table1[riBAQ 19], MATCH(1, (Table3[[#This Row],[Gene names]:[Gene names]] = Table1[[Gene names]:[Gene names]])*1, 0))</f>
        <v>3.15E-5</v>
      </c>
      <c r="G227" cm="1">
        <f t="array" ref="G227">INDEX(Table1[riBAQ 20], MATCH(1, (Table3[[#This Row],[Gene names]:[Gene names]] = Table1[[Gene names]:[Gene names]])*1, 0))</f>
        <v>6.4200000000000002E-5</v>
      </c>
      <c r="H227" cm="1">
        <f t="array" ref="H227">INDEX(Table1[riBAQ 21], MATCH(1, (Table3[[#This Row],[Gene names]:[Gene names]] = Table1[[Gene names]:[Gene names]])*1, 0))</f>
        <v>3.4100000000000002E-5</v>
      </c>
      <c r="I227" cm="1">
        <f t="array" ref="I227">INDEX(Table1[riBAQ 22], MATCH(1, (Table3[[#This Row],[Gene names]:[Gene names]] = Table1[[Gene names]:[Gene names]])*1, 0))</f>
        <v>4.4799999999999998E-5</v>
      </c>
      <c r="J227" cm="1">
        <f t="array" ref="J227">INDEX(Table1[riBAQ 23], MATCH(1, (Table3[[#This Row],[Gene names]:[Gene names]] = Table1[[Gene names]:[Gene names]])*1, 0))</f>
        <v>2.8200000000000001E-5</v>
      </c>
      <c r="K227" cm="1">
        <f t="array" ref="K227">INDEX(Table1[riBAQ 37], MATCH(1, (Table3[[#This Row],[Gene names]:[Gene names]] = Table1[[Gene names]:[Gene names]])*1, 0))</f>
        <v>0</v>
      </c>
      <c r="L227" cm="1">
        <f t="array" ref="L227">INDEX(Table1[riBAQ 38], MATCH(1, (Table3[[#This Row],[Gene names]:[Gene names]] = Table1[[Gene names]:[Gene names]])*1, 0))</f>
        <v>0</v>
      </c>
      <c r="M227" cm="1">
        <f t="array" ref="M227">INDEX(Table1[riBAQ 39], MATCH(1, (Table3[[#This Row],[Gene names]:[Gene names]] = Table1[[Gene names]:[Gene names]])*1, 0))</f>
        <v>0</v>
      </c>
      <c r="N227" cm="1">
        <f t="array" ref="N227">INDEX(Table1[riBAQ 40], MATCH(1, (Table3[[#This Row],[Gene names]:[Gene names]] = Table1[[Gene names]:[Gene names]])*1, 0))</f>
        <v>0</v>
      </c>
      <c r="O227" cm="1">
        <f t="array" ref="O227">INDEX(Table1[riBAQ 41], MATCH(1, (Table3[[#This Row],[Gene names]:[Gene names]] = Table1[[Gene names]:[Gene names]])*1, 0))</f>
        <v>0</v>
      </c>
      <c r="P227" cm="1">
        <f t="array" ref="P227">INDEX(Table1[riBAQ 24], MATCH(1, (Table3[[#This Row],[Gene names]:[Gene names]] = Table1[[Gene names]:[Gene names]])*1, 0))</f>
        <v>8.6000000000000003E-5</v>
      </c>
      <c r="Q227" cm="1">
        <f t="array" ref="Q227">INDEX(Table1[riBAQ 25], MATCH(1, (Table3[[#This Row],[Gene names]:[Gene names]] = Table1[[Gene names]:[Gene names]])*1, 0))</f>
        <v>1.8762600000000001E-4</v>
      </c>
      <c r="R227" cm="1">
        <f t="array" ref="R227">INDEX(Table1[riBAQ 26], MATCH(1, (Table3[[#This Row],[Gene names]:[Gene names]] = Table1[[Gene names]:[Gene names]])*1, 0))</f>
        <v>1.1144199999999999E-4</v>
      </c>
      <c r="S227" cm="1">
        <f t="array" ref="S227">INDEX(Table1[riBAQ 42], MATCH(1, (Table3[[#This Row],[Gene names]:[Gene names]] = Table1[[Gene names]:[Gene names]])*1, 0))</f>
        <v>5.0599999999999997E-5</v>
      </c>
      <c r="T227" cm="1">
        <f t="array" ref="T227">INDEX(Table1[riBAQ 43], MATCH(1, (Table3[[#This Row],[Gene names]:[Gene names]] = Table1[[Gene names]:[Gene names]])*1, 0))</f>
        <v>2.76793E-4</v>
      </c>
    </row>
    <row r="228" spans="1:20" x14ac:dyDescent="0.25">
      <c r="A228" t="s">
        <v>100</v>
      </c>
      <c r="B228" cm="1">
        <f t="array" ref="B228">INDEX(Table1[riBAQ 17], MATCH(1, (Table3[[#This Row],[Gene names]:[Gene names]] = Table1[[Gene names]:[Gene names]])*1, 0))</f>
        <v>2.5700000000000001E-5</v>
      </c>
      <c r="C228" cm="1">
        <f t="array" ref="C228">INDEX(Table1[riBAQ 18], MATCH(1, (Table3[[#This Row],[Gene names]:[Gene names]] = Table1[[Gene names]:[Gene names]])*1, 0))</f>
        <v>3.6300000000000001E-5</v>
      </c>
      <c r="D228" cm="1">
        <f t="array" ref="D228">INDEX(Table1[riBAQ 35], MATCH(1, (Table3[[#This Row],[Gene names]:[Gene names]] = Table1[[Gene names]:[Gene names]])*1, 0))</f>
        <v>0</v>
      </c>
      <c r="E228" cm="1">
        <f t="array" ref="E228">INDEX(Table1[riBAQ 36], MATCH(1, (Table3[[#This Row],[Gene names]:[Gene names]] = Table1[[Gene names]:[Gene names]])*1, 0))</f>
        <v>2.0599999999999999E-5</v>
      </c>
      <c r="F228" cm="1">
        <f t="array" ref="F228">INDEX(Table1[riBAQ 19], MATCH(1, (Table3[[#This Row],[Gene names]:[Gene names]] = Table1[[Gene names]:[Gene names]])*1, 0))</f>
        <v>0</v>
      </c>
      <c r="G228" cm="1">
        <f t="array" ref="G228">INDEX(Table1[riBAQ 20], MATCH(1, (Table3[[#This Row],[Gene names]:[Gene names]] = Table1[[Gene names]:[Gene names]])*1, 0))</f>
        <v>3.4400000000000003E-5</v>
      </c>
      <c r="H228" cm="1">
        <f t="array" ref="H228">INDEX(Table1[riBAQ 21], MATCH(1, (Table3[[#This Row],[Gene names]:[Gene names]] = Table1[[Gene names]:[Gene names]])*1, 0))</f>
        <v>4.4299999999999999E-5</v>
      </c>
      <c r="I228" cm="1">
        <f t="array" ref="I228">INDEX(Table1[riBAQ 22], MATCH(1, (Table3[[#This Row],[Gene names]:[Gene names]] = Table1[[Gene names]:[Gene names]])*1, 0))</f>
        <v>5.0300000000000003E-5</v>
      </c>
      <c r="J228" cm="1">
        <f t="array" ref="J228">INDEX(Table1[riBAQ 23], MATCH(1, (Table3[[#This Row],[Gene names]:[Gene names]] = Table1[[Gene names]:[Gene names]])*1, 0))</f>
        <v>2.3099999999999999E-5</v>
      </c>
      <c r="K228" cm="1">
        <f t="array" ref="K228">INDEX(Table1[riBAQ 37], MATCH(1, (Table3[[#This Row],[Gene names]:[Gene names]] = Table1[[Gene names]:[Gene names]])*1, 0))</f>
        <v>0</v>
      </c>
      <c r="L228" cm="1">
        <f t="array" ref="L228">INDEX(Table1[riBAQ 38], MATCH(1, (Table3[[#This Row],[Gene names]:[Gene names]] = Table1[[Gene names]:[Gene names]])*1, 0))</f>
        <v>4.7700000000000001E-5</v>
      </c>
      <c r="M228" cm="1">
        <f t="array" ref="M228">INDEX(Table1[riBAQ 39], MATCH(1, (Table3[[#This Row],[Gene names]:[Gene names]] = Table1[[Gene names]:[Gene names]])*1, 0))</f>
        <v>3.8500000000000001E-5</v>
      </c>
      <c r="N228" cm="1">
        <f t="array" ref="N228">INDEX(Table1[riBAQ 40], MATCH(1, (Table3[[#This Row],[Gene names]:[Gene names]] = Table1[[Gene names]:[Gene names]])*1, 0))</f>
        <v>4.35E-5</v>
      </c>
      <c r="O228" cm="1">
        <f t="array" ref="O228">INDEX(Table1[riBAQ 41], MATCH(1, (Table3[[#This Row],[Gene names]:[Gene names]] = Table1[[Gene names]:[Gene names]])*1, 0))</f>
        <v>2.8900000000000001E-5</v>
      </c>
      <c r="P228" cm="1">
        <f t="array" ref="P228">INDEX(Table1[riBAQ 24], MATCH(1, (Table3[[#This Row],[Gene names]:[Gene names]] = Table1[[Gene names]:[Gene names]])*1, 0))</f>
        <v>4.6199999999999998E-5</v>
      </c>
      <c r="Q228" cm="1">
        <f t="array" ref="Q228">INDEX(Table1[riBAQ 25], MATCH(1, (Table3[[#This Row],[Gene names]:[Gene names]] = Table1[[Gene names]:[Gene names]])*1, 0))</f>
        <v>1.26859E-4</v>
      </c>
      <c r="R228" cm="1">
        <f t="array" ref="R228">INDEX(Table1[riBAQ 26], MATCH(1, (Table3[[#This Row],[Gene names]:[Gene names]] = Table1[[Gene names]:[Gene names]])*1, 0))</f>
        <v>1.07395E-4</v>
      </c>
      <c r="S228" cm="1">
        <f t="array" ref="S228">INDEX(Table1[riBAQ 42], MATCH(1, (Table3[[#This Row],[Gene names]:[Gene names]] = Table1[[Gene names]:[Gene names]])*1, 0))</f>
        <v>1.1447600000000001E-4</v>
      </c>
      <c r="T228" cm="1">
        <f t="array" ref="T228">INDEX(Table1[riBAQ 43], MATCH(1, (Table3[[#This Row],[Gene names]:[Gene names]] = Table1[[Gene names]:[Gene names]])*1, 0))</f>
        <v>1.2336199999999999E-4</v>
      </c>
    </row>
    <row r="229" spans="1:20" x14ac:dyDescent="0.25">
      <c r="A229" t="s">
        <v>1474</v>
      </c>
      <c r="B229" cm="1">
        <f t="array" ref="B229">INDEX(Table1[riBAQ 17], MATCH(1, (Table3[[#This Row],[Gene names]:[Gene names]] = Table1[[Gene names]:[Gene names]])*1, 0))</f>
        <v>9.9599999999999995E-5</v>
      </c>
      <c r="C229" cm="1">
        <f t="array" ref="C229">INDEX(Table1[riBAQ 18], MATCH(1, (Table3[[#This Row],[Gene names]:[Gene names]] = Table1[[Gene names]:[Gene names]])*1, 0))</f>
        <v>1.29467E-4</v>
      </c>
      <c r="D229" cm="1">
        <f t="array" ref="D229">INDEX(Table1[riBAQ 35], MATCH(1, (Table3[[#This Row],[Gene names]:[Gene names]] = Table1[[Gene names]:[Gene names]])*1, 0))</f>
        <v>7.4200000000000001E-5</v>
      </c>
      <c r="E229" cm="1">
        <f t="array" ref="E229">INDEX(Table1[riBAQ 36], MATCH(1, (Table3[[#This Row],[Gene names]:[Gene names]] = Table1[[Gene names]:[Gene names]])*1, 0))</f>
        <v>7.7100000000000004E-5</v>
      </c>
      <c r="F229" cm="1">
        <f t="array" ref="F229">INDEX(Table1[riBAQ 19], MATCH(1, (Table3[[#This Row],[Gene names]:[Gene names]] = Table1[[Gene names]:[Gene names]])*1, 0))</f>
        <v>1.2335699999999999E-4</v>
      </c>
      <c r="G229" cm="1">
        <f t="array" ref="G229">INDEX(Table1[riBAQ 20], MATCH(1, (Table3[[#This Row],[Gene names]:[Gene names]] = Table1[[Gene names]:[Gene names]])*1, 0))</f>
        <v>1.50249E-4</v>
      </c>
      <c r="H229" cm="1">
        <f t="array" ref="H229">INDEX(Table1[riBAQ 21], MATCH(1, (Table3[[#This Row],[Gene names]:[Gene names]] = Table1[[Gene names]:[Gene names]])*1, 0))</f>
        <v>2.35894E-4</v>
      </c>
      <c r="I229" cm="1">
        <f t="array" ref="I229">INDEX(Table1[riBAQ 22], MATCH(1, (Table3[[#This Row],[Gene names]:[Gene names]] = Table1[[Gene names]:[Gene names]])*1, 0))</f>
        <v>1.6968899999999999E-4</v>
      </c>
      <c r="J229" cm="1">
        <f t="array" ref="J229">INDEX(Table1[riBAQ 23], MATCH(1, (Table3[[#This Row],[Gene names]:[Gene names]] = Table1[[Gene names]:[Gene names]])*1, 0))</f>
        <v>8.6500000000000002E-5</v>
      </c>
      <c r="K229" cm="1">
        <f t="array" ref="K229">INDEX(Table1[riBAQ 37], MATCH(1, (Table3[[#This Row],[Gene names]:[Gene names]] = Table1[[Gene names]:[Gene names]])*1, 0))</f>
        <v>1.84048E-4</v>
      </c>
      <c r="L229" cm="1">
        <f t="array" ref="L229">INDEX(Table1[riBAQ 38], MATCH(1, (Table3[[#This Row],[Gene names]:[Gene names]] = Table1[[Gene names]:[Gene names]])*1, 0))</f>
        <v>1.1561399999999999E-4</v>
      </c>
      <c r="M229" cm="1">
        <f t="array" ref="M229">INDEX(Table1[riBAQ 39], MATCH(1, (Table3[[#This Row],[Gene names]:[Gene names]] = Table1[[Gene names]:[Gene names]])*1, 0))</f>
        <v>6.4800000000000003E-5</v>
      </c>
      <c r="N229" cm="1">
        <f t="array" ref="N229">INDEX(Table1[riBAQ 40], MATCH(1, (Table3[[#This Row],[Gene names]:[Gene names]] = Table1[[Gene names]:[Gene names]])*1, 0))</f>
        <v>4.8000000000000001E-5</v>
      </c>
      <c r="O229" cm="1">
        <f t="array" ref="O229">INDEX(Table1[riBAQ 41], MATCH(1, (Table3[[#This Row],[Gene names]:[Gene names]] = Table1[[Gene names]:[Gene names]])*1, 0))</f>
        <v>7.6899999999999999E-5</v>
      </c>
      <c r="P229" cm="1">
        <f t="array" ref="P229">INDEX(Table1[riBAQ 24], MATCH(1, (Table3[[#This Row],[Gene names]:[Gene names]] = Table1[[Gene names]:[Gene names]])*1, 0))</f>
        <v>2.2018499999999999E-4</v>
      </c>
      <c r="Q229" cm="1">
        <f t="array" ref="Q229">INDEX(Table1[riBAQ 25], MATCH(1, (Table3[[#This Row],[Gene names]:[Gene names]] = Table1[[Gene names]:[Gene names]])*1, 0))</f>
        <v>4.67126E-4</v>
      </c>
      <c r="R229" cm="1">
        <f t="array" ref="R229">INDEX(Table1[riBAQ 26], MATCH(1, (Table3[[#This Row],[Gene names]:[Gene names]] = Table1[[Gene names]:[Gene names]])*1, 0))</f>
        <v>3.8164200000000002E-4</v>
      </c>
      <c r="S229" cm="1">
        <f t="array" ref="S229">INDEX(Table1[riBAQ 42], MATCH(1, (Table3[[#This Row],[Gene names]:[Gene names]] = Table1[[Gene names]:[Gene names]])*1, 0))</f>
        <v>2.7609899999999997E-4</v>
      </c>
      <c r="T229" cm="1">
        <f t="array" ref="T229">INDEX(Table1[riBAQ 43], MATCH(1, (Table3[[#This Row],[Gene names]:[Gene names]] = Table1[[Gene names]:[Gene names]])*1, 0))</f>
        <v>5.67419E-4</v>
      </c>
    </row>
    <row r="230" spans="1:20" x14ac:dyDescent="0.25">
      <c r="A230" t="s">
        <v>1519</v>
      </c>
      <c r="B230" cm="1">
        <f t="array" ref="B230">INDEX(Table1[riBAQ 17], MATCH(1, (Table3[[#This Row],[Gene names]:[Gene names]] = Table1[[Gene names]:[Gene names]])*1, 0))</f>
        <v>0</v>
      </c>
      <c r="C230" cm="1">
        <f t="array" ref="C230">INDEX(Table1[riBAQ 18], MATCH(1, (Table3[[#This Row],[Gene names]:[Gene names]] = Table1[[Gene names]:[Gene names]])*1, 0))</f>
        <v>0</v>
      </c>
      <c r="D230" cm="1">
        <f t="array" ref="D230">INDEX(Table1[riBAQ 35], MATCH(1, (Table3[[#This Row],[Gene names]:[Gene names]] = Table1[[Gene names]:[Gene names]])*1, 0))</f>
        <v>0</v>
      </c>
      <c r="E230" cm="1">
        <f t="array" ref="E230">INDEX(Table1[riBAQ 36], MATCH(1, (Table3[[#This Row],[Gene names]:[Gene names]] = Table1[[Gene names]:[Gene names]])*1, 0))</f>
        <v>0</v>
      </c>
      <c r="F230" cm="1">
        <f t="array" ref="F230">INDEX(Table1[riBAQ 19], MATCH(1, (Table3[[#This Row],[Gene names]:[Gene names]] = Table1[[Gene names]:[Gene names]])*1, 0))</f>
        <v>0</v>
      </c>
      <c r="G230" cm="1">
        <f t="array" ref="G230">INDEX(Table1[riBAQ 20], MATCH(1, (Table3[[#This Row],[Gene names]:[Gene names]] = Table1[[Gene names]:[Gene names]])*1, 0))</f>
        <v>0</v>
      </c>
      <c r="H230" cm="1">
        <f t="array" ref="H230">INDEX(Table1[riBAQ 21], MATCH(1, (Table3[[#This Row],[Gene names]:[Gene names]] = Table1[[Gene names]:[Gene names]])*1, 0))</f>
        <v>0</v>
      </c>
      <c r="I230" cm="1">
        <f t="array" ref="I230">INDEX(Table1[riBAQ 22], MATCH(1, (Table3[[#This Row],[Gene names]:[Gene names]] = Table1[[Gene names]:[Gene names]])*1, 0))</f>
        <v>0</v>
      </c>
      <c r="J230" cm="1">
        <f t="array" ref="J230">INDEX(Table1[riBAQ 23], MATCH(1, (Table3[[#This Row],[Gene names]:[Gene names]] = Table1[[Gene names]:[Gene names]])*1, 0))</f>
        <v>0</v>
      </c>
      <c r="K230" cm="1">
        <f t="array" ref="K230">INDEX(Table1[riBAQ 37], MATCH(1, (Table3[[#This Row],[Gene names]:[Gene names]] = Table1[[Gene names]:[Gene names]])*1, 0))</f>
        <v>0</v>
      </c>
      <c r="L230" cm="1">
        <f t="array" ref="L230">INDEX(Table1[riBAQ 38], MATCH(1, (Table3[[#This Row],[Gene names]:[Gene names]] = Table1[[Gene names]:[Gene names]])*1, 0))</f>
        <v>0</v>
      </c>
      <c r="M230" cm="1">
        <f t="array" ref="M230">INDEX(Table1[riBAQ 39], MATCH(1, (Table3[[#This Row],[Gene names]:[Gene names]] = Table1[[Gene names]:[Gene names]])*1, 0))</f>
        <v>0</v>
      </c>
      <c r="N230" cm="1">
        <f t="array" ref="N230">INDEX(Table1[riBAQ 40], MATCH(1, (Table3[[#This Row],[Gene names]:[Gene names]] = Table1[[Gene names]:[Gene names]])*1, 0))</f>
        <v>0</v>
      </c>
      <c r="O230" cm="1">
        <f t="array" ref="O230">INDEX(Table1[riBAQ 41], MATCH(1, (Table3[[#This Row],[Gene names]:[Gene names]] = Table1[[Gene names]:[Gene names]])*1, 0))</f>
        <v>0</v>
      </c>
      <c r="P230" cm="1">
        <f t="array" ref="P230">INDEX(Table1[riBAQ 24], MATCH(1, (Table3[[#This Row],[Gene names]:[Gene names]] = Table1[[Gene names]:[Gene names]])*1, 0))</f>
        <v>0</v>
      </c>
      <c r="Q230" cm="1">
        <f t="array" ref="Q230">INDEX(Table1[riBAQ 25], MATCH(1, (Table3[[#This Row],[Gene names]:[Gene names]] = Table1[[Gene names]:[Gene names]])*1, 0))</f>
        <v>5.5399999999999998E-5</v>
      </c>
      <c r="R230" cm="1">
        <f t="array" ref="R230">INDEX(Table1[riBAQ 26], MATCH(1, (Table3[[#This Row],[Gene names]:[Gene names]] = Table1[[Gene names]:[Gene names]])*1, 0))</f>
        <v>4.0099999999999999E-5</v>
      </c>
      <c r="S230" cm="1">
        <f t="array" ref="S230">INDEX(Table1[riBAQ 42], MATCH(1, (Table3[[#This Row],[Gene names]:[Gene names]] = Table1[[Gene names]:[Gene names]])*1, 0))</f>
        <v>6.6600000000000006E-5</v>
      </c>
      <c r="T230" cm="1">
        <f t="array" ref="T230">INDEX(Table1[riBAQ 43], MATCH(1, (Table3[[#This Row],[Gene names]:[Gene names]] = Table1[[Gene names]:[Gene names]])*1, 0))</f>
        <v>5.5699999999999999E-5</v>
      </c>
    </row>
    <row r="231" spans="1:20" x14ac:dyDescent="0.25">
      <c r="A231" t="s">
        <v>603</v>
      </c>
      <c r="B231" cm="1">
        <f t="array" ref="B231">INDEX(Table1[riBAQ 17], MATCH(1, (Table3[[#This Row],[Gene names]:[Gene names]] = Table1[[Gene names]:[Gene names]])*1, 0))</f>
        <v>4.3654799999999998E-4</v>
      </c>
      <c r="C231" cm="1">
        <f t="array" ref="C231">INDEX(Table1[riBAQ 18], MATCH(1, (Table3[[#This Row],[Gene names]:[Gene names]] = Table1[[Gene names]:[Gene names]])*1, 0))</f>
        <v>2.6950500000000002E-4</v>
      </c>
      <c r="D231" cm="1">
        <f t="array" ref="D231">INDEX(Table1[riBAQ 35], MATCH(1, (Table3[[#This Row],[Gene names]:[Gene names]] = Table1[[Gene names]:[Gene names]])*1, 0))</f>
        <v>3.2028900000000002E-4</v>
      </c>
      <c r="E231" cm="1">
        <f t="array" ref="E231">INDEX(Table1[riBAQ 36], MATCH(1, (Table3[[#This Row],[Gene names]:[Gene names]] = Table1[[Gene names]:[Gene names]])*1, 0))</f>
        <v>2.7708499999999999E-4</v>
      </c>
      <c r="F231" cm="1">
        <f t="array" ref="F231">INDEX(Table1[riBAQ 19], MATCH(1, (Table3[[#This Row],[Gene names]:[Gene names]] = Table1[[Gene names]:[Gene names]])*1, 0))</f>
        <v>5.1391999999999996E-4</v>
      </c>
      <c r="G231" cm="1">
        <f t="array" ref="G231">INDEX(Table1[riBAQ 20], MATCH(1, (Table3[[#This Row],[Gene names]:[Gene names]] = Table1[[Gene names]:[Gene names]])*1, 0))</f>
        <v>4.2448399999999998E-4</v>
      </c>
      <c r="H231" cm="1">
        <f t="array" ref="H231">INDEX(Table1[riBAQ 21], MATCH(1, (Table3[[#This Row],[Gene names]:[Gene names]] = Table1[[Gene names]:[Gene names]])*1, 0))</f>
        <v>4.1375199999999998E-4</v>
      </c>
      <c r="I231" cm="1">
        <f t="array" ref="I231">INDEX(Table1[riBAQ 22], MATCH(1, (Table3[[#This Row],[Gene names]:[Gene names]] = Table1[[Gene names]:[Gene names]])*1, 0))</f>
        <v>4.4776700000000001E-4</v>
      </c>
      <c r="J231" cm="1">
        <f t="array" ref="J231">INDEX(Table1[riBAQ 23], MATCH(1, (Table3[[#This Row],[Gene names]:[Gene names]] = Table1[[Gene names]:[Gene names]])*1, 0))</f>
        <v>4.3622700000000002E-4</v>
      </c>
      <c r="K231" cm="1">
        <f t="array" ref="K231">INDEX(Table1[riBAQ 37], MATCH(1, (Table3[[#This Row],[Gene names]:[Gene names]] = Table1[[Gene names]:[Gene names]])*1, 0))</f>
        <v>3.0051299999999997E-4</v>
      </c>
      <c r="L231" cm="1">
        <f t="array" ref="L231">INDEX(Table1[riBAQ 38], MATCH(1, (Table3[[#This Row],[Gene names]:[Gene names]] = Table1[[Gene names]:[Gene names]])*1, 0))</f>
        <v>3.1116599999999998E-4</v>
      </c>
      <c r="M231" cm="1">
        <f t="array" ref="M231">INDEX(Table1[riBAQ 39], MATCH(1, (Table3[[#This Row],[Gene names]:[Gene names]] = Table1[[Gene names]:[Gene names]])*1, 0))</f>
        <v>4.5020100000000001E-4</v>
      </c>
      <c r="N231" cm="1">
        <f t="array" ref="N231">INDEX(Table1[riBAQ 40], MATCH(1, (Table3[[#This Row],[Gene names]:[Gene names]] = Table1[[Gene names]:[Gene names]])*1, 0))</f>
        <v>4.9652699999999997E-4</v>
      </c>
      <c r="O231" cm="1">
        <f t="array" ref="O231">INDEX(Table1[riBAQ 41], MATCH(1, (Table3[[#This Row],[Gene names]:[Gene names]] = Table1[[Gene names]:[Gene names]])*1, 0))</f>
        <v>3.9762400000000001E-4</v>
      </c>
      <c r="P231" cm="1">
        <f t="array" ref="P231">INDEX(Table1[riBAQ 24], MATCH(1, (Table3[[#This Row],[Gene names]:[Gene names]] = Table1[[Gene names]:[Gene names]])*1, 0))</f>
        <v>5.7987100000000003E-4</v>
      </c>
      <c r="Q231" cm="1">
        <f t="array" ref="Q231">INDEX(Table1[riBAQ 25], MATCH(1, (Table3[[#This Row],[Gene names]:[Gene names]] = Table1[[Gene names]:[Gene names]])*1, 0))</f>
        <v>7.4655999999999995E-4</v>
      </c>
      <c r="R231" cm="1">
        <f t="array" ref="R231">INDEX(Table1[riBAQ 26], MATCH(1, (Table3[[#This Row],[Gene names]:[Gene names]] = Table1[[Gene names]:[Gene names]])*1, 0))</f>
        <v>6.3853800000000002E-4</v>
      </c>
      <c r="S231" cm="1">
        <f t="array" ref="S231">INDEX(Table1[riBAQ 42], MATCH(1, (Table3[[#This Row],[Gene names]:[Gene names]] = Table1[[Gene names]:[Gene names]])*1, 0))</f>
        <v>9.3650799999999996E-4</v>
      </c>
      <c r="T231" cm="1">
        <f t="array" ref="T231">INDEX(Table1[riBAQ 43], MATCH(1, (Table3[[#This Row],[Gene names]:[Gene names]] = Table1[[Gene names]:[Gene names]])*1, 0))</f>
        <v>1.098697E-3</v>
      </c>
    </row>
    <row r="232" spans="1:20" x14ac:dyDescent="0.25">
      <c r="A232" t="s">
        <v>799</v>
      </c>
      <c r="B232" cm="1">
        <f t="array" ref="B232">INDEX(Table1[riBAQ 17], MATCH(1, (Table3[[#This Row],[Gene names]:[Gene names]] = Table1[[Gene names]:[Gene names]])*1, 0))</f>
        <v>0</v>
      </c>
      <c r="C232" cm="1">
        <f t="array" ref="C232">INDEX(Table1[riBAQ 18], MATCH(1, (Table3[[#This Row],[Gene names]:[Gene names]] = Table1[[Gene names]:[Gene names]])*1, 0))</f>
        <v>0</v>
      </c>
      <c r="D232" cm="1">
        <f t="array" ref="D232">INDEX(Table1[riBAQ 35], MATCH(1, (Table3[[#This Row],[Gene names]:[Gene names]] = Table1[[Gene names]:[Gene names]])*1, 0))</f>
        <v>0</v>
      </c>
      <c r="E232" cm="1">
        <f t="array" ref="E232">INDEX(Table1[riBAQ 36], MATCH(1, (Table3[[#This Row],[Gene names]:[Gene names]] = Table1[[Gene names]:[Gene names]])*1, 0))</f>
        <v>0</v>
      </c>
      <c r="F232" cm="1">
        <f t="array" ref="F232">INDEX(Table1[riBAQ 19], MATCH(1, (Table3[[#This Row],[Gene names]:[Gene names]] = Table1[[Gene names]:[Gene names]])*1, 0))</f>
        <v>0</v>
      </c>
      <c r="G232" cm="1">
        <f t="array" ref="G232">INDEX(Table1[riBAQ 20], MATCH(1, (Table3[[#This Row],[Gene names]:[Gene names]] = Table1[[Gene names]:[Gene names]])*1, 0))</f>
        <v>0</v>
      </c>
      <c r="H232" cm="1">
        <f t="array" ref="H232">INDEX(Table1[riBAQ 21], MATCH(1, (Table3[[#This Row],[Gene names]:[Gene names]] = Table1[[Gene names]:[Gene names]])*1, 0))</f>
        <v>0</v>
      </c>
      <c r="I232" cm="1">
        <f t="array" ref="I232">INDEX(Table1[riBAQ 22], MATCH(1, (Table3[[#This Row],[Gene names]:[Gene names]] = Table1[[Gene names]:[Gene names]])*1, 0))</f>
        <v>0</v>
      </c>
      <c r="J232" cm="1">
        <f t="array" ref="J232">INDEX(Table1[riBAQ 23], MATCH(1, (Table3[[#This Row],[Gene names]:[Gene names]] = Table1[[Gene names]:[Gene names]])*1, 0))</f>
        <v>0</v>
      </c>
      <c r="K232" cm="1">
        <f t="array" ref="K232">INDEX(Table1[riBAQ 37], MATCH(1, (Table3[[#This Row],[Gene names]:[Gene names]] = Table1[[Gene names]:[Gene names]])*1, 0))</f>
        <v>0</v>
      </c>
      <c r="L232" cm="1">
        <f t="array" ref="L232">INDEX(Table1[riBAQ 38], MATCH(1, (Table3[[#This Row],[Gene names]:[Gene names]] = Table1[[Gene names]:[Gene names]])*1, 0))</f>
        <v>0</v>
      </c>
      <c r="M232" cm="1">
        <f t="array" ref="M232">INDEX(Table1[riBAQ 39], MATCH(1, (Table3[[#This Row],[Gene names]:[Gene names]] = Table1[[Gene names]:[Gene names]])*1, 0))</f>
        <v>0</v>
      </c>
      <c r="N232" cm="1">
        <f t="array" ref="N232">INDEX(Table1[riBAQ 40], MATCH(1, (Table3[[#This Row],[Gene names]:[Gene names]] = Table1[[Gene names]:[Gene names]])*1, 0))</f>
        <v>0</v>
      </c>
      <c r="O232" cm="1">
        <f t="array" ref="O232">INDEX(Table1[riBAQ 41], MATCH(1, (Table3[[#This Row],[Gene names]:[Gene names]] = Table1[[Gene names]:[Gene names]])*1, 0))</f>
        <v>0</v>
      </c>
      <c r="P232" cm="1">
        <f t="array" ref="P232">INDEX(Table1[riBAQ 24], MATCH(1, (Table3[[#This Row],[Gene names]:[Gene names]] = Table1[[Gene names]:[Gene names]])*1, 0))</f>
        <v>0</v>
      </c>
      <c r="Q232" cm="1">
        <f t="array" ref="Q232">INDEX(Table1[riBAQ 25], MATCH(1, (Table3[[#This Row],[Gene names]:[Gene names]] = Table1[[Gene names]:[Gene names]])*1, 0))</f>
        <v>1.73E-5</v>
      </c>
      <c r="R232" cm="1">
        <f t="array" ref="R232">INDEX(Table1[riBAQ 26], MATCH(1, (Table3[[#This Row],[Gene names]:[Gene names]] = Table1[[Gene names]:[Gene names]])*1, 0))</f>
        <v>1.3900000000000001E-5</v>
      </c>
      <c r="S232" cm="1">
        <f t="array" ref="S232">INDEX(Table1[riBAQ 42], MATCH(1, (Table3[[#This Row],[Gene names]:[Gene names]] = Table1[[Gene names]:[Gene names]])*1, 0))</f>
        <v>1.8300000000000001E-5</v>
      </c>
      <c r="T232" cm="1">
        <f t="array" ref="T232">INDEX(Table1[riBAQ 43], MATCH(1, (Table3[[#This Row],[Gene names]:[Gene names]] = Table1[[Gene names]:[Gene names]])*1, 0))</f>
        <v>1.5299999999999999E-5</v>
      </c>
    </row>
    <row r="233" spans="1:20" x14ac:dyDescent="0.25">
      <c r="A233" t="s">
        <v>1571</v>
      </c>
      <c r="B233" cm="1">
        <f t="array" ref="B233">INDEX(Table1[riBAQ 17], MATCH(1, (Table3[[#This Row],[Gene names]:[Gene names]] = Table1[[Gene names]:[Gene names]])*1, 0))</f>
        <v>7.4099999999999999E-5</v>
      </c>
      <c r="C233" cm="1">
        <f t="array" ref="C233">INDEX(Table1[riBAQ 18], MATCH(1, (Table3[[#This Row],[Gene names]:[Gene names]] = Table1[[Gene names]:[Gene names]])*1, 0))</f>
        <v>0</v>
      </c>
      <c r="D233" cm="1">
        <f t="array" ref="D233">INDEX(Table1[riBAQ 35], MATCH(1, (Table3[[#This Row],[Gene names]:[Gene names]] = Table1[[Gene names]:[Gene names]])*1, 0))</f>
        <v>2.1800000000000001E-5</v>
      </c>
      <c r="E233" cm="1">
        <f t="array" ref="E233">INDEX(Table1[riBAQ 36], MATCH(1, (Table3[[#This Row],[Gene names]:[Gene names]] = Table1[[Gene names]:[Gene names]])*1, 0))</f>
        <v>3.7200000000000003E-5</v>
      </c>
      <c r="F233" cm="1">
        <f t="array" ref="F233">INDEX(Table1[riBAQ 19], MATCH(1, (Table3[[#This Row],[Gene names]:[Gene names]] = Table1[[Gene names]:[Gene names]])*1, 0))</f>
        <v>9.7899999999999994E-5</v>
      </c>
      <c r="G233" cm="1">
        <f t="array" ref="G233">INDEX(Table1[riBAQ 20], MATCH(1, (Table3[[#This Row],[Gene names]:[Gene names]] = Table1[[Gene names]:[Gene names]])*1, 0))</f>
        <v>1.47269E-4</v>
      </c>
      <c r="H233" cm="1">
        <f t="array" ref="H233">INDEX(Table1[riBAQ 21], MATCH(1, (Table3[[#This Row],[Gene names]:[Gene names]] = Table1[[Gene names]:[Gene names]])*1, 0))</f>
        <v>7.7100000000000004E-5</v>
      </c>
      <c r="I233" cm="1">
        <f t="array" ref="I233">INDEX(Table1[riBAQ 22], MATCH(1, (Table3[[#This Row],[Gene names]:[Gene names]] = Table1[[Gene names]:[Gene names]])*1, 0))</f>
        <v>1.00925E-4</v>
      </c>
      <c r="J233" cm="1">
        <f t="array" ref="J233">INDEX(Table1[riBAQ 23], MATCH(1, (Table3[[#This Row],[Gene names]:[Gene names]] = Table1[[Gene names]:[Gene names]])*1, 0))</f>
        <v>7.75E-5</v>
      </c>
      <c r="K233" cm="1">
        <f t="array" ref="K233">INDEX(Table1[riBAQ 37], MATCH(1, (Table3[[#This Row],[Gene names]:[Gene names]] = Table1[[Gene names]:[Gene names]])*1, 0))</f>
        <v>1.03748E-4</v>
      </c>
      <c r="L233" cm="1">
        <f t="array" ref="L233">INDEX(Table1[riBAQ 38], MATCH(1, (Table3[[#This Row],[Gene names]:[Gene names]] = Table1[[Gene names]:[Gene names]])*1, 0))</f>
        <v>3.4700000000000003E-5</v>
      </c>
      <c r="M233" cm="1">
        <f t="array" ref="M233">INDEX(Table1[riBAQ 39], MATCH(1, (Table3[[#This Row],[Gene names]:[Gene names]] = Table1[[Gene names]:[Gene names]])*1, 0))</f>
        <v>6.05E-5</v>
      </c>
      <c r="N233" cm="1">
        <f t="array" ref="N233">INDEX(Table1[riBAQ 40], MATCH(1, (Table3[[#This Row],[Gene names]:[Gene names]] = Table1[[Gene names]:[Gene names]])*1, 0))</f>
        <v>3.0199999999999999E-5</v>
      </c>
      <c r="O233" cm="1">
        <f t="array" ref="O233">INDEX(Table1[riBAQ 41], MATCH(1, (Table3[[#This Row],[Gene names]:[Gene names]] = Table1[[Gene names]:[Gene names]])*1, 0))</f>
        <v>0</v>
      </c>
      <c r="P233" cm="1">
        <f t="array" ref="P233">INDEX(Table1[riBAQ 24], MATCH(1, (Table3[[#This Row],[Gene names]:[Gene names]] = Table1[[Gene names]:[Gene names]])*1, 0))</f>
        <v>2.12263E-4</v>
      </c>
      <c r="Q233" cm="1">
        <f t="array" ref="Q233">INDEX(Table1[riBAQ 25], MATCH(1, (Table3[[#This Row],[Gene names]:[Gene names]] = Table1[[Gene names]:[Gene names]])*1, 0))</f>
        <v>5.36426E-4</v>
      </c>
      <c r="R233" cm="1">
        <f t="array" ref="R233">INDEX(Table1[riBAQ 26], MATCH(1, (Table3[[#This Row],[Gene names]:[Gene names]] = Table1[[Gene names]:[Gene names]])*1, 0))</f>
        <v>3.86189E-4</v>
      </c>
      <c r="S233" cm="1">
        <f t="array" ref="S233">INDEX(Table1[riBAQ 42], MATCH(1, (Table3[[#This Row],[Gene names]:[Gene names]] = Table1[[Gene names]:[Gene names]])*1, 0))</f>
        <v>1.80366E-4</v>
      </c>
      <c r="T233" cm="1">
        <f t="array" ref="T233">INDEX(Table1[riBAQ 43], MATCH(1, (Table3[[#This Row],[Gene names]:[Gene names]] = Table1[[Gene names]:[Gene names]])*1, 0))</f>
        <v>7.1505699999999995E-4</v>
      </c>
    </row>
    <row r="234" spans="1:20" x14ac:dyDescent="0.25">
      <c r="A234" t="s">
        <v>1505</v>
      </c>
      <c r="B234" cm="1">
        <f t="array" ref="B234">INDEX(Table1[riBAQ 17], MATCH(1, (Table3[[#This Row],[Gene names]:[Gene names]] = Table1[[Gene names]:[Gene names]])*1, 0))</f>
        <v>0</v>
      </c>
      <c r="C234" cm="1">
        <f t="array" ref="C234">INDEX(Table1[riBAQ 18], MATCH(1, (Table3[[#This Row],[Gene names]:[Gene names]] = Table1[[Gene names]:[Gene names]])*1, 0))</f>
        <v>0</v>
      </c>
      <c r="D234" cm="1">
        <f t="array" ref="D234">INDEX(Table1[riBAQ 35], MATCH(1, (Table3[[#This Row],[Gene names]:[Gene names]] = Table1[[Gene names]:[Gene names]])*1, 0))</f>
        <v>0</v>
      </c>
      <c r="E234" cm="1">
        <f t="array" ref="E234">INDEX(Table1[riBAQ 36], MATCH(1, (Table3[[#This Row],[Gene names]:[Gene names]] = Table1[[Gene names]:[Gene names]])*1, 0))</f>
        <v>0</v>
      </c>
      <c r="F234" cm="1">
        <f t="array" ref="F234">INDEX(Table1[riBAQ 19], MATCH(1, (Table3[[#This Row],[Gene names]:[Gene names]] = Table1[[Gene names]:[Gene names]])*1, 0))</f>
        <v>0</v>
      </c>
      <c r="G234" cm="1">
        <f t="array" ref="G234">INDEX(Table1[riBAQ 20], MATCH(1, (Table3[[#This Row],[Gene names]:[Gene names]] = Table1[[Gene names]:[Gene names]])*1, 0))</f>
        <v>0</v>
      </c>
      <c r="H234" cm="1">
        <f t="array" ref="H234">INDEX(Table1[riBAQ 21], MATCH(1, (Table3[[#This Row],[Gene names]:[Gene names]] = Table1[[Gene names]:[Gene names]])*1, 0))</f>
        <v>0</v>
      </c>
      <c r="I234" cm="1">
        <f t="array" ref="I234">INDEX(Table1[riBAQ 22], MATCH(1, (Table3[[#This Row],[Gene names]:[Gene names]] = Table1[[Gene names]:[Gene names]])*1, 0))</f>
        <v>0</v>
      </c>
      <c r="J234" cm="1">
        <f t="array" ref="J234">INDEX(Table1[riBAQ 23], MATCH(1, (Table3[[#This Row],[Gene names]:[Gene names]] = Table1[[Gene names]:[Gene names]])*1, 0))</f>
        <v>0</v>
      </c>
      <c r="K234" cm="1">
        <f t="array" ref="K234">INDEX(Table1[riBAQ 37], MATCH(1, (Table3[[#This Row],[Gene names]:[Gene names]] = Table1[[Gene names]:[Gene names]])*1, 0))</f>
        <v>0</v>
      </c>
      <c r="L234" cm="1">
        <f t="array" ref="L234">INDEX(Table1[riBAQ 38], MATCH(1, (Table3[[#This Row],[Gene names]:[Gene names]] = Table1[[Gene names]:[Gene names]])*1, 0))</f>
        <v>0</v>
      </c>
      <c r="M234" cm="1">
        <f t="array" ref="M234">INDEX(Table1[riBAQ 39], MATCH(1, (Table3[[#This Row],[Gene names]:[Gene names]] = Table1[[Gene names]:[Gene names]])*1, 0))</f>
        <v>0</v>
      </c>
      <c r="N234" cm="1">
        <f t="array" ref="N234">INDEX(Table1[riBAQ 40], MATCH(1, (Table3[[#This Row],[Gene names]:[Gene names]] = Table1[[Gene names]:[Gene names]])*1, 0))</f>
        <v>0</v>
      </c>
      <c r="O234" cm="1">
        <f t="array" ref="O234">INDEX(Table1[riBAQ 41], MATCH(1, (Table3[[#This Row],[Gene names]:[Gene names]] = Table1[[Gene names]:[Gene names]])*1, 0))</f>
        <v>0</v>
      </c>
      <c r="P234" cm="1">
        <f t="array" ref="P234">INDEX(Table1[riBAQ 24], MATCH(1, (Table3[[#This Row],[Gene names]:[Gene names]] = Table1[[Gene names]:[Gene names]])*1, 0))</f>
        <v>2.7900000000000001E-5</v>
      </c>
      <c r="Q234" cm="1">
        <f t="array" ref="Q234">INDEX(Table1[riBAQ 25], MATCH(1, (Table3[[#This Row],[Gene names]:[Gene names]] = Table1[[Gene names]:[Gene names]])*1, 0))</f>
        <v>7.3800000000000005E-5</v>
      </c>
      <c r="R234" cm="1">
        <f t="array" ref="R234">INDEX(Table1[riBAQ 26], MATCH(1, (Table3[[#This Row],[Gene names]:[Gene names]] = Table1[[Gene names]:[Gene names]])*1, 0))</f>
        <v>5.5500000000000001E-5</v>
      </c>
      <c r="S234" cm="1">
        <f t="array" ref="S234">INDEX(Table1[riBAQ 42], MATCH(1, (Table3[[#This Row],[Gene names]:[Gene names]] = Table1[[Gene names]:[Gene names]])*1, 0))</f>
        <v>3.2499999999999997E-5</v>
      </c>
      <c r="T234" cm="1">
        <f t="array" ref="T234">INDEX(Table1[riBAQ 43], MATCH(1, (Table3[[#This Row],[Gene names]:[Gene names]] = Table1[[Gene names]:[Gene names]])*1, 0))</f>
        <v>8.0000000000000007E-5</v>
      </c>
    </row>
    <row r="235" spans="1:20" x14ac:dyDescent="0.25">
      <c r="A235" t="s">
        <v>1104</v>
      </c>
      <c r="B235" cm="1">
        <f t="array" ref="B235">INDEX(Table1[riBAQ 17], MATCH(1, (Table3[[#This Row],[Gene names]:[Gene names]] = Table1[[Gene names]:[Gene names]])*1, 0))</f>
        <v>0</v>
      </c>
      <c r="C235" cm="1">
        <f t="array" ref="C235">INDEX(Table1[riBAQ 18], MATCH(1, (Table3[[#This Row],[Gene names]:[Gene names]] = Table1[[Gene names]:[Gene names]])*1, 0))</f>
        <v>0</v>
      </c>
      <c r="D235" cm="1">
        <f t="array" ref="D235">INDEX(Table1[riBAQ 35], MATCH(1, (Table3[[#This Row],[Gene names]:[Gene names]] = Table1[[Gene names]:[Gene names]])*1, 0))</f>
        <v>0</v>
      </c>
      <c r="E235" cm="1">
        <f t="array" ref="E235">INDEX(Table1[riBAQ 36], MATCH(1, (Table3[[#This Row],[Gene names]:[Gene names]] = Table1[[Gene names]:[Gene names]])*1, 0))</f>
        <v>0</v>
      </c>
      <c r="F235" cm="1">
        <f t="array" ref="F235">INDEX(Table1[riBAQ 19], MATCH(1, (Table3[[#This Row],[Gene names]:[Gene names]] = Table1[[Gene names]:[Gene names]])*1, 0))</f>
        <v>0</v>
      </c>
      <c r="G235" cm="1">
        <f t="array" ref="G235">INDEX(Table1[riBAQ 20], MATCH(1, (Table3[[#This Row],[Gene names]:[Gene names]] = Table1[[Gene names]:[Gene names]])*1, 0))</f>
        <v>0</v>
      </c>
      <c r="H235" cm="1">
        <f t="array" ref="H235">INDEX(Table1[riBAQ 21], MATCH(1, (Table3[[#This Row],[Gene names]:[Gene names]] = Table1[[Gene names]:[Gene names]])*1, 0))</f>
        <v>4.5000000000000003E-5</v>
      </c>
      <c r="I235" cm="1">
        <f t="array" ref="I235">INDEX(Table1[riBAQ 22], MATCH(1, (Table3[[#This Row],[Gene names]:[Gene names]] = Table1[[Gene names]:[Gene names]])*1, 0))</f>
        <v>3.68E-5</v>
      </c>
      <c r="J235" cm="1">
        <f t="array" ref="J235">INDEX(Table1[riBAQ 23], MATCH(1, (Table3[[#This Row],[Gene names]:[Gene names]] = Table1[[Gene names]:[Gene names]])*1, 0))</f>
        <v>0</v>
      </c>
      <c r="K235" cm="1">
        <f t="array" ref="K235">INDEX(Table1[riBAQ 37], MATCH(1, (Table3[[#This Row],[Gene names]:[Gene names]] = Table1[[Gene names]:[Gene names]])*1, 0))</f>
        <v>0</v>
      </c>
      <c r="L235" cm="1">
        <f t="array" ref="L235">INDEX(Table1[riBAQ 38], MATCH(1, (Table3[[#This Row],[Gene names]:[Gene names]] = Table1[[Gene names]:[Gene names]])*1, 0))</f>
        <v>0</v>
      </c>
      <c r="M235" cm="1">
        <f t="array" ref="M235">INDEX(Table1[riBAQ 39], MATCH(1, (Table3[[#This Row],[Gene names]:[Gene names]] = Table1[[Gene names]:[Gene names]])*1, 0))</f>
        <v>3.0800000000000003E-5</v>
      </c>
      <c r="N235" cm="1">
        <f t="array" ref="N235">INDEX(Table1[riBAQ 40], MATCH(1, (Table3[[#This Row],[Gene names]:[Gene names]] = Table1[[Gene names]:[Gene names]])*1, 0))</f>
        <v>4.6E-5</v>
      </c>
      <c r="O235" cm="1">
        <f t="array" ref="O235">INDEX(Table1[riBAQ 41], MATCH(1, (Table3[[#This Row],[Gene names]:[Gene names]] = Table1[[Gene names]:[Gene names]])*1, 0))</f>
        <v>0</v>
      </c>
      <c r="P235" cm="1">
        <f t="array" ref="P235">INDEX(Table1[riBAQ 24], MATCH(1, (Table3[[#This Row],[Gene names]:[Gene names]] = Table1[[Gene names]:[Gene names]])*1, 0))</f>
        <v>6.7199999999999994E-5</v>
      </c>
      <c r="Q235" cm="1">
        <f t="array" ref="Q235">INDEX(Table1[riBAQ 25], MATCH(1, (Table3[[#This Row],[Gene names]:[Gene names]] = Table1[[Gene names]:[Gene names]])*1, 0))</f>
        <v>8.1199999999999995E-5</v>
      </c>
      <c r="R235" cm="1">
        <f t="array" ref="R235">INDEX(Table1[riBAQ 26], MATCH(1, (Table3[[#This Row],[Gene names]:[Gene names]] = Table1[[Gene names]:[Gene names]])*1, 0))</f>
        <v>7.0099999999999996E-5</v>
      </c>
      <c r="S235" cm="1">
        <f t="array" ref="S235">INDEX(Table1[riBAQ 42], MATCH(1, (Table3[[#This Row],[Gene names]:[Gene names]] = Table1[[Gene names]:[Gene names]])*1, 0))</f>
        <v>4.8099999999999997E-5</v>
      </c>
      <c r="T235" cm="1">
        <f t="array" ref="T235">INDEX(Table1[riBAQ 43], MATCH(1, (Table3[[#This Row],[Gene names]:[Gene names]] = Table1[[Gene names]:[Gene names]])*1, 0))</f>
        <v>1.13634E-4</v>
      </c>
    </row>
    <row r="236" spans="1:20" x14ac:dyDescent="0.25">
      <c r="A236" t="s">
        <v>113</v>
      </c>
      <c r="B236" cm="1">
        <f t="array" ref="B236">INDEX(Table1[riBAQ 17], MATCH(1, (Table3[[#This Row],[Gene names]:[Gene names]] = Table1[[Gene names]:[Gene names]])*1, 0))</f>
        <v>1.4032207E-2</v>
      </c>
      <c r="C236" cm="1">
        <f t="array" ref="C236">INDEX(Table1[riBAQ 18], MATCH(1, (Table3[[#This Row],[Gene names]:[Gene names]] = Table1[[Gene names]:[Gene names]])*1, 0))</f>
        <v>1.5005955E-2</v>
      </c>
      <c r="D236" cm="1">
        <f t="array" ref="D236">INDEX(Table1[riBAQ 35], MATCH(1, (Table3[[#This Row],[Gene names]:[Gene names]] = Table1[[Gene names]:[Gene names]])*1, 0))</f>
        <v>1.4255197000000001E-2</v>
      </c>
      <c r="E236" cm="1">
        <f t="array" ref="E236">INDEX(Table1[riBAQ 36], MATCH(1, (Table3[[#This Row],[Gene names]:[Gene names]] = Table1[[Gene names]:[Gene names]])*1, 0))</f>
        <v>1.5694336999999999E-2</v>
      </c>
      <c r="F236" cm="1">
        <f t="array" ref="F236">INDEX(Table1[riBAQ 19], MATCH(1, (Table3[[#This Row],[Gene names]:[Gene names]] = Table1[[Gene names]:[Gene names]])*1, 0))</f>
        <v>1.3603301E-2</v>
      </c>
      <c r="G236" cm="1">
        <f t="array" ref="G236">INDEX(Table1[riBAQ 20], MATCH(1, (Table3[[#This Row],[Gene names]:[Gene names]] = Table1[[Gene names]:[Gene names]])*1, 0))</f>
        <v>1.2145998999999999E-2</v>
      </c>
      <c r="H236" cm="1">
        <f t="array" ref="H236">INDEX(Table1[riBAQ 21], MATCH(1, (Table3[[#This Row],[Gene names]:[Gene names]] = Table1[[Gene names]:[Gene names]])*1, 0))</f>
        <v>1.1580996E-2</v>
      </c>
      <c r="I236" cm="1">
        <f t="array" ref="I236">INDEX(Table1[riBAQ 22], MATCH(1, (Table3[[#This Row],[Gene names]:[Gene names]] = Table1[[Gene names]:[Gene names]])*1, 0))</f>
        <v>1.6105934999999998E-2</v>
      </c>
      <c r="J236" cm="1">
        <f t="array" ref="J236">INDEX(Table1[riBAQ 23], MATCH(1, (Table3[[#This Row],[Gene names]:[Gene names]] = Table1[[Gene names]:[Gene names]])*1, 0))</f>
        <v>1.5144591000000001E-2</v>
      </c>
      <c r="K236" cm="1">
        <f t="array" ref="K236">INDEX(Table1[riBAQ 37], MATCH(1, (Table3[[#This Row],[Gene names]:[Gene names]] = Table1[[Gene names]:[Gene names]])*1, 0))</f>
        <v>1.264738E-2</v>
      </c>
      <c r="L236" cm="1">
        <f t="array" ref="L236">INDEX(Table1[riBAQ 38], MATCH(1, (Table3[[#This Row],[Gene names]:[Gene names]] = Table1[[Gene names]:[Gene names]])*1, 0))</f>
        <v>1.3207468999999999E-2</v>
      </c>
      <c r="M236" cm="1">
        <f t="array" ref="M236">INDEX(Table1[riBAQ 39], MATCH(1, (Table3[[#This Row],[Gene names]:[Gene names]] = Table1[[Gene names]:[Gene names]])*1, 0))</f>
        <v>1.4199623E-2</v>
      </c>
      <c r="N236" cm="1">
        <f t="array" ref="N236">INDEX(Table1[riBAQ 40], MATCH(1, (Table3[[#This Row],[Gene names]:[Gene names]] = Table1[[Gene names]:[Gene names]])*1, 0))</f>
        <v>1.8194136999999999E-2</v>
      </c>
      <c r="O236" cm="1">
        <f t="array" ref="O236">INDEX(Table1[riBAQ 41], MATCH(1, (Table3[[#This Row],[Gene names]:[Gene names]] = Table1[[Gene names]:[Gene names]])*1, 0))</f>
        <v>1.4744591E-2</v>
      </c>
      <c r="P236" cm="1">
        <f t="array" ref="P236">INDEX(Table1[riBAQ 24], MATCH(1, (Table3[[#This Row],[Gene names]:[Gene names]] = Table1[[Gene names]:[Gene names]])*1, 0))</f>
        <v>1.0821086000000001E-2</v>
      </c>
      <c r="Q236" cm="1">
        <f t="array" ref="Q236">INDEX(Table1[riBAQ 25], MATCH(1, (Table3[[#This Row],[Gene names]:[Gene names]] = Table1[[Gene names]:[Gene names]])*1, 0))</f>
        <v>6.2890009999999998E-3</v>
      </c>
      <c r="R236" cm="1">
        <f t="array" ref="R236">INDEX(Table1[riBAQ 26], MATCH(1, (Table3[[#This Row],[Gene names]:[Gene names]] = Table1[[Gene names]:[Gene names]])*1, 0))</f>
        <v>6.5522089999999998E-3</v>
      </c>
      <c r="S236" cm="1">
        <f t="array" ref="S236">INDEX(Table1[riBAQ 42], MATCH(1, (Table3[[#This Row],[Gene names]:[Gene names]] = Table1[[Gene names]:[Gene names]])*1, 0))</f>
        <v>5.3629990000000002E-3</v>
      </c>
      <c r="T236" cm="1">
        <f t="array" ref="T236">INDEX(Table1[riBAQ 43], MATCH(1, (Table3[[#This Row],[Gene names]:[Gene names]] = Table1[[Gene names]:[Gene names]])*1, 0))</f>
        <v>5.7727550000000001E-3</v>
      </c>
    </row>
    <row r="237" spans="1:20" x14ac:dyDescent="0.25">
      <c r="A237" t="s">
        <v>149</v>
      </c>
      <c r="B237" cm="1">
        <f t="array" ref="B237">INDEX(Table1[riBAQ 17], MATCH(1, (Table3[[#This Row],[Gene names]:[Gene names]] = Table1[[Gene names]:[Gene names]])*1, 0))</f>
        <v>2.5790399999999999E-4</v>
      </c>
      <c r="C237" cm="1">
        <f t="array" ref="C237">INDEX(Table1[riBAQ 18], MATCH(1, (Table3[[#This Row],[Gene names]:[Gene names]] = Table1[[Gene names]:[Gene names]])*1, 0))</f>
        <v>2.5504400000000001E-4</v>
      </c>
      <c r="D237" cm="1">
        <f t="array" ref="D237">INDEX(Table1[riBAQ 35], MATCH(1, (Table3[[#This Row],[Gene names]:[Gene names]] = Table1[[Gene names]:[Gene names]])*1, 0))</f>
        <v>2.1740099999999999E-4</v>
      </c>
      <c r="E237" cm="1">
        <f t="array" ref="E237">INDEX(Table1[riBAQ 36], MATCH(1, (Table3[[#This Row],[Gene names]:[Gene names]] = Table1[[Gene names]:[Gene names]])*1, 0))</f>
        <v>1.2070000000000001E-4</v>
      </c>
      <c r="F237" cm="1">
        <f t="array" ref="F237">INDEX(Table1[riBAQ 19], MATCH(1, (Table3[[#This Row],[Gene names]:[Gene names]] = Table1[[Gene names]:[Gene names]])*1, 0))</f>
        <v>3.1962100000000002E-4</v>
      </c>
      <c r="G237" cm="1">
        <f t="array" ref="G237">INDEX(Table1[riBAQ 20], MATCH(1, (Table3[[#This Row],[Gene names]:[Gene names]] = Table1[[Gene names]:[Gene names]])*1, 0))</f>
        <v>6.0301699999999996E-4</v>
      </c>
      <c r="H237" cm="1">
        <f t="array" ref="H237">INDEX(Table1[riBAQ 21], MATCH(1, (Table3[[#This Row],[Gene names]:[Gene names]] = Table1[[Gene names]:[Gene names]])*1, 0))</f>
        <v>6.7303199999999995E-4</v>
      </c>
      <c r="I237" cm="1">
        <f t="array" ref="I237">INDEX(Table1[riBAQ 22], MATCH(1, (Table3[[#This Row],[Gene names]:[Gene names]] = Table1[[Gene names]:[Gene names]])*1, 0))</f>
        <v>4.2877900000000001E-4</v>
      </c>
      <c r="J237" cm="1">
        <f t="array" ref="J237">INDEX(Table1[riBAQ 23], MATCH(1, (Table3[[#This Row],[Gene names]:[Gene names]] = Table1[[Gene names]:[Gene names]])*1, 0))</f>
        <v>4.09694E-4</v>
      </c>
      <c r="K237" cm="1">
        <f t="array" ref="K237">INDEX(Table1[riBAQ 37], MATCH(1, (Table3[[#This Row],[Gene names]:[Gene names]] = Table1[[Gene names]:[Gene names]])*1, 0))</f>
        <v>4.5418299999999998E-4</v>
      </c>
      <c r="L237" cm="1">
        <f t="array" ref="L237">INDEX(Table1[riBAQ 38], MATCH(1, (Table3[[#This Row],[Gene names]:[Gene names]] = Table1[[Gene names]:[Gene names]])*1, 0))</f>
        <v>3.2691600000000001E-4</v>
      </c>
      <c r="M237" cm="1">
        <f t="array" ref="M237">INDEX(Table1[riBAQ 39], MATCH(1, (Table3[[#This Row],[Gene names]:[Gene names]] = Table1[[Gene names]:[Gene names]])*1, 0))</f>
        <v>7.3357399999999997E-4</v>
      </c>
      <c r="N237" cm="1">
        <f t="array" ref="N237">INDEX(Table1[riBAQ 40], MATCH(1, (Table3[[#This Row],[Gene names]:[Gene names]] = Table1[[Gene names]:[Gene names]])*1, 0))</f>
        <v>5.1224500000000004E-4</v>
      </c>
      <c r="O237" cm="1">
        <f t="array" ref="O237">INDEX(Table1[riBAQ 41], MATCH(1, (Table3[[#This Row],[Gene names]:[Gene names]] = Table1[[Gene names]:[Gene names]])*1, 0))</f>
        <v>3.8958100000000001E-4</v>
      </c>
      <c r="P237" cm="1">
        <f t="array" ref="P237">INDEX(Table1[riBAQ 24], MATCH(1, (Table3[[#This Row],[Gene names]:[Gene names]] = Table1[[Gene names]:[Gene names]])*1, 0))</f>
        <v>1.505358E-3</v>
      </c>
      <c r="Q237" cm="1">
        <f t="array" ref="Q237">INDEX(Table1[riBAQ 25], MATCH(1, (Table3[[#This Row],[Gene names]:[Gene names]] = Table1[[Gene names]:[Gene names]])*1, 0))</f>
        <v>2.5504260000000002E-3</v>
      </c>
      <c r="R237" cm="1">
        <f t="array" ref="R237">INDEX(Table1[riBAQ 26], MATCH(1, (Table3[[#This Row],[Gene names]:[Gene names]] = Table1[[Gene names]:[Gene names]])*1, 0))</f>
        <v>2.218425E-3</v>
      </c>
      <c r="S237" cm="1">
        <f t="array" ref="S237">INDEX(Table1[riBAQ 42], MATCH(1, (Table3[[#This Row],[Gene names]:[Gene names]] = Table1[[Gene names]:[Gene names]])*1, 0))</f>
        <v>4.059E-4</v>
      </c>
      <c r="T237" cm="1">
        <f t="array" ref="T237">INDEX(Table1[riBAQ 43], MATCH(1, (Table3[[#This Row],[Gene names]:[Gene names]] = Table1[[Gene names]:[Gene names]])*1, 0))</f>
        <v>2.1909379999999999E-3</v>
      </c>
    </row>
    <row r="238" spans="1:20" x14ac:dyDescent="0.25">
      <c r="A238" t="s">
        <v>1076</v>
      </c>
      <c r="B238" cm="1">
        <f t="array" ref="B238">INDEX(Table1[riBAQ 17], MATCH(1, (Table3[[#This Row],[Gene names]:[Gene names]] = Table1[[Gene names]:[Gene names]])*1, 0))</f>
        <v>0</v>
      </c>
      <c r="C238" cm="1">
        <f t="array" ref="C238">INDEX(Table1[riBAQ 18], MATCH(1, (Table3[[#This Row],[Gene names]:[Gene names]] = Table1[[Gene names]:[Gene names]])*1, 0))</f>
        <v>0</v>
      </c>
      <c r="D238" cm="1">
        <f t="array" ref="D238">INDEX(Table1[riBAQ 35], MATCH(1, (Table3[[#This Row],[Gene names]:[Gene names]] = Table1[[Gene names]:[Gene names]])*1, 0))</f>
        <v>0</v>
      </c>
      <c r="E238" cm="1">
        <f t="array" ref="E238">INDEX(Table1[riBAQ 36], MATCH(1, (Table3[[#This Row],[Gene names]:[Gene names]] = Table1[[Gene names]:[Gene names]])*1, 0))</f>
        <v>0</v>
      </c>
      <c r="F238" cm="1">
        <f t="array" ref="F238">INDEX(Table1[riBAQ 19], MATCH(1, (Table3[[#This Row],[Gene names]:[Gene names]] = Table1[[Gene names]:[Gene names]])*1, 0))</f>
        <v>0</v>
      </c>
      <c r="G238" cm="1">
        <f t="array" ref="G238">INDEX(Table1[riBAQ 20], MATCH(1, (Table3[[#This Row],[Gene names]:[Gene names]] = Table1[[Gene names]:[Gene names]])*1, 0))</f>
        <v>0</v>
      </c>
      <c r="H238" cm="1">
        <f t="array" ref="H238">INDEX(Table1[riBAQ 21], MATCH(1, (Table3[[#This Row],[Gene names]:[Gene names]] = Table1[[Gene names]:[Gene names]])*1, 0))</f>
        <v>0</v>
      </c>
      <c r="I238" cm="1">
        <f t="array" ref="I238">INDEX(Table1[riBAQ 22], MATCH(1, (Table3[[#This Row],[Gene names]:[Gene names]] = Table1[[Gene names]:[Gene names]])*1, 0))</f>
        <v>0</v>
      </c>
      <c r="J238" cm="1">
        <f t="array" ref="J238">INDEX(Table1[riBAQ 23], MATCH(1, (Table3[[#This Row],[Gene names]:[Gene names]] = Table1[[Gene names]:[Gene names]])*1, 0))</f>
        <v>0</v>
      </c>
      <c r="K238" cm="1">
        <f t="array" ref="K238">INDEX(Table1[riBAQ 37], MATCH(1, (Table3[[#This Row],[Gene names]:[Gene names]] = Table1[[Gene names]:[Gene names]])*1, 0))</f>
        <v>0</v>
      </c>
      <c r="L238" cm="1">
        <f t="array" ref="L238">INDEX(Table1[riBAQ 38], MATCH(1, (Table3[[#This Row],[Gene names]:[Gene names]] = Table1[[Gene names]:[Gene names]])*1, 0))</f>
        <v>0</v>
      </c>
      <c r="M238" cm="1">
        <f t="array" ref="M238">INDEX(Table1[riBAQ 39], MATCH(1, (Table3[[#This Row],[Gene names]:[Gene names]] = Table1[[Gene names]:[Gene names]])*1, 0))</f>
        <v>0</v>
      </c>
      <c r="N238" cm="1">
        <f t="array" ref="N238">INDEX(Table1[riBAQ 40], MATCH(1, (Table3[[#This Row],[Gene names]:[Gene names]] = Table1[[Gene names]:[Gene names]])*1, 0))</f>
        <v>0</v>
      </c>
      <c r="O238" cm="1">
        <f t="array" ref="O238">INDEX(Table1[riBAQ 41], MATCH(1, (Table3[[#This Row],[Gene names]:[Gene names]] = Table1[[Gene names]:[Gene names]])*1, 0))</f>
        <v>0</v>
      </c>
      <c r="P238" cm="1">
        <f t="array" ref="P238">INDEX(Table1[riBAQ 24], MATCH(1, (Table3[[#This Row],[Gene names]:[Gene names]] = Table1[[Gene names]:[Gene names]])*1, 0))</f>
        <v>0</v>
      </c>
      <c r="Q238" cm="1">
        <f t="array" ref="Q238">INDEX(Table1[riBAQ 25], MATCH(1, (Table3[[#This Row],[Gene names]:[Gene names]] = Table1[[Gene names]:[Gene names]])*1, 0))</f>
        <v>3.4222099999999997E-4</v>
      </c>
      <c r="R238" cm="1">
        <f t="array" ref="R238">INDEX(Table1[riBAQ 26], MATCH(1, (Table3[[#This Row],[Gene names]:[Gene names]] = Table1[[Gene names]:[Gene names]])*1, 0))</f>
        <v>3.1263299999999999E-4</v>
      </c>
      <c r="S238" cm="1">
        <f t="array" ref="S238">INDEX(Table1[riBAQ 42], MATCH(1, (Table3[[#This Row],[Gene names]:[Gene names]] = Table1[[Gene names]:[Gene names]])*1, 0))</f>
        <v>1.3450100000000001E-4</v>
      </c>
      <c r="T238" cm="1">
        <f t="array" ref="T238">INDEX(Table1[riBAQ 43], MATCH(1, (Table3[[#This Row],[Gene names]:[Gene names]] = Table1[[Gene names]:[Gene names]])*1, 0))</f>
        <v>5.5977200000000005E-4</v>
      </c>
    </row>
    <row r="239" spans="1:20" x14ac:dyDescent="0.25">
      <c r="A239" t="s">
        <v>36</v>
      </c>
      <c r="B239" cm="1">
        <f t="array" ref="B239">INDEX(Table1[riBAQ 17], MATCH(1, (Table3[[#This Row],[Gene names]:[Gene names]] = Table1[[Gene names]:[Gene names]])*1, 0))</f>
        <v>3.3500000000000001E-5</v>
      </c>
      <c r="C239" cm="1">
        <f t="array" ref="C239">INDEX(Table1[riBAQ 18], MATCH(1, (Table3[[#This Row],[Gene names]:[Gene names]] = Table1[[Gene names]:[Gene names]])*1, 0))</f>
        <v>0</v>
      </c>
      <c r="D239" cm="1">
        <f t="array" ref="D239">INDEX(Table1[riBAQ 35], MATCH(1, (Table3[[#This Row],[Gene names]:[Gene names]] = Table1[[Gene names]:[Gene names]])*1, 0))</f>
        <v>2.97E-5</v>
      </c>
      <c r="E239" cm="1">
        <f t="array" ref="E239">INDEX(Table1[riBAQ 36], MATCH(1, (Table3[[#This Row],[Gene names]:[Gene names]] = Table1[[Gene names]:[Gene names]])*1, 0))</f>
        <v>3.4100000000000002E-5</v>
      </c>
      <c r="F239" cm="1">
        <f t="array" ref="F239">INDEX(Table1[riBAQ 19], MATCH(1, (Table3[[#This Row],[Gene names]:[Gene names]] = Table1[[Gene names]:[Gene names]])*1, 0))</f>
        <v>1.73E-5</v>
      </c>
      <c r="G239" cm="1">
        <f t="array" ref="G239">INDEX(Table1[riBAQ 20], MATCH(1, (Table3[[#This Row],[Gene names]:[Gene names]] = Table1[[Gene names]:[Gene names]])*1, 0))</f>
        <v>0</v>
      </c>
      <c r="H239" cm="1">
        <f t="array" ref="H239">INDEX(Table1[riBAQ 21], MATCH(1, (Table3[[#This Row],[Gene names]:[Gene names]] = Table1[[Gene names]:[Gene names]])*1, 0))</f>
        <v>5.4299999999999998E-5</v>
      </c>
      <c r="I239" cm="1">
        <f t="array" ref="I239">INDEX(Table1[riBAQ 22], MATCH(1, (Table3[[#This Row],[Gene names]:[Gene names]] = Table1[[Gene names]:[Gene names]])*1, 0))</f>
        <v>2.3600000000000001E-5</v>
      </c>
      <c r="J239" cm="1">
        <f t="array" ref="J239">INDEX(Table1[riBAQ 23], MATCH(1, (Table3[[#This Row],[Gene names]:[Gene names]] = Table1[[Gene names]:[Gene names]])*1, 0))</f>
        <v>6.05E-5</v>
      </c>
      <c r="K239" cm="1">
        <f t="array" ref="K239">INDEX(Table1[riBAQ 37], MATCH(1, (Table3[[#This Row],[Gene names]:[Gene names]] = Table1[[Gene names]:[Gene names]])*1, 0))</f>
        <v>4.7700000000000001E-5</v>
      </c>
      <c r="L239" cm="1">
        <f t="array" ref="L239">INDEX(Table1[riBAQ 38], MATCH(1, (Table3[[#This Row],[Gene names]:[Gene names]] = Table1[[Gene names]:[Gene names]])*1, 0))</f>
        <v>3.3800000000000002E-5</v>
      </c>
      <c r="M239" cm="1">
        <f t="array" ref="M239">INDEX(Table1[riBAQ 39], MATCH(1, (Table3[[#This Row],[Gene names]:[Gene names]] = Table1[[Gene names]:[Gene names]])*1, 0))</f>
        <v>3.4900000000000001E-5</v>
      </c>
      <c r="N239" cm="1">
        <f t="array" ref="N239">INDEX(Table1[riBAQ 40], MATCH(1, (Table3[[#This Row],[Gene names]:[Gene names]] = Table1[[Gene names]:[Gene names]])*1, 0))</f>
        <v>8.0900000000000001E-5</v>
      </c>
      <c r="O239" cm="1">
        <f t="array" ref="O239">INDEX(Table1[riBAQ 41], MATCH(1, (Table3[[#This Row],[Gene names]:[Gene names]] = Table1[[Gene names]:[Gene names]])*1, 0))</f>
        <v>3.6399999999999997E-5</v>
      </c>
      <c r="P239" cm="1">
        <f t="array" ref="P239">INDEX(Table1[riBAQ 24], MATCH(1, (Table3[[#This Row],[Gene names]:[Gene names]] = Table1[[Gene names]:[Gene names]])*1, 0))</f>
        <v>7.7899999999999996E-5</v>
      </c>
      <c r="Q239" cm="1">
        <f t="array" ref="Q239">INDEX(Table1[riBAQ 25], MATCH(1, (Table3[[#This Row],[Gene names]:[Gene names]] = Table1[[Gene names]:[Gene names]])*1, 0))</f>
        <v>1.07212E-4</v>
      </c>
      <c r="R239" cm="1">
        <f t="array" ref="R239">INDEX(Table1[riBAQ 26], MATCH(1, (Table3[[#This Row],[Gene names]:[Gene names]] = Table1[[Gene names]:[Gene names]])*1, 0))</f>
        <v>1.3802500000000001E-4</v>
      </c>
      <c r="S239" cm="1">
        <f t="array" ref="S239">INDEX(Table1[riBAQ 42], MATCH(1, (Table3[[#This Row],[Gene names]:[Gene names]] = Table1[[Gene names]:[Gene names]])*1, 0))</f>
        <v>6.4800000000000003E-5</v>
      </c>
      <c r="T239" cm="1">
        <f t="array" ref="T239">INDEX(Table1[riBAQ 43], MATCH(1, (Table3[[#This Row],[Gene names]:[Gene names]] = Table1[[Gene names]:[Gene names]])*1, 0))</f>
        <v>1.50462E-4</v>
      </c>
    </row>
    <row r="240" spans="1:20" x14ac:dyDescent="0.25">
      <c r="A240" t="s">
        <v>112</v>
      </c>
      <c r="B240" cm="1">
        <f t="array" ref="B240">INDEX(Table1[riBAQ 17], MATCH(1, (Table3[[#This Row],[Gene names]:[Gene names]] = Table1[[Gene names]:[Gene names]])*1, 0))</f>
        <v>3.2135099999999999E-4</v>
      </c>
      <c r="C240" cm="1">
        <f t="array" ref="C240">INDEX(Table1[riBAQ 18], MATCH(1, (Table3[[#This Row],[Gene names]:[Gene names]] = Table1[[Gene names]:[Gene names]])*1, 0))</f>
        <v>2.0848500000000001E-4</v>
      </c>
      <c r="D240" cm="1">
        <f t="array" ref="D240">INDEX(Table1[riBAQ 35], MATCH(1, (Table3[[#This Row],[Gene names]:[Gene names]] = Table1[[Gene names]:[Gene names]])*1, 0))</f>
        <v>2.3056500000000001E-4</v>
      </c>
      <c r="E240" cm="1">
        <f t="array" ref="E240">INDEX(Table1[riBAQ 36], MATCH(1, (Table3[[#This Row],[Gene names]:[Gene names]] = Table1[[Gene names]:[Gene names]])*1, 0))</f>
        <v>2.5623900000000001E-4</v>
      </c>
      <c r="F240" cm="1">
        <f t="array" ref="F240">INDEX(Table1[riBAQ 19], MATCH(1, (Table3[[#This Row],[Gene names]:[Gene names]] = Table1[[Gene names]:[Gene names]])*1, 0))</f>
        <v>4.7307000000000002E-4</v>
      </c>
      <c r="G240" cm="1">
        <f t="array" ref="G240">INDEX(Table1[riBAQ 20], MATCH(1, (Table3[[#This Row],[Gene names]:[Gene names]] = Table1[[Gene names]:[Gene names]])*1, 0))</f>
        <v>2.9766699999999999E-4</v>
      </c>
      <c r="H240" cm="1">
        <f t="array" ref="H240">INDEX(Table1[riBAQ 21], MATCH(1, (Table3[[#This Row],[Gene names]:[Gene names]] = Table1[[Gene names]:[Gene names]])*1, 0))</f>
        <v>2.43677E-4</v>
      </c>
      <c r="I240" cm="1">
        <f t="array" ref="I240">INDEX(Table1[riBAQ 22], MATCH(1, (Table3[[#This Row],[Gene names]:[Gene names]] = Table1[[Gene names]:[Gene names]])*1, 0))</f>
        <v>2.8908299999999998E-4</v>
      </c>
      <c r="J240" cm="1">
        <f t="array" ref="J240">INDEX(Table1[riBAQ 23], MATCH(1, (Table3[[#This Row],[Gene names]:[Gene names]] = Table1[[Gene names]:[Gene names]])*1, 0))</f>
        <v>4.1741700000000001E-4</v>
      </c>
      <c r="K240" cm="1">
        <f t="array" ref="K240">INDEX(Table1[riBAQ 37], MATCH(1, (Table3[[#This Row],[Gene names]:[Gene names]] = Table1[[Gene names]:[Gene names]])*1, 0))</f>
        <v>2.5473899999999997E-4</v>
      </c>
      <c r="L240" cm="1">
        <f t="array" ref="L240">INDEX(Table1[riBAQ 38], MATCH(1, (Table3[[#This Row],[Gene names]:[Gene names]] = Table1[[Gene names]:[Gene names]])*1, 0))</f>
        <v>2.6961500000000001E-4</v>
      </c>
      <c r="M240" cm="1">
        <f t="array" ref="M240">INDEX(Table1[riBAQ 39], MATCH(1, (Table3[[#This Row],[Gene names]:[Gene names]] = Table1[[Gene names]:[Gene names]])*1, 0))</f>
        <v>3.6481000000000003E-4</v>
      </c>
      <c r="N240" cm="1">
        <f t="array" ref="N240">INDEX(Table1[riBAQ 40], MATCH(1, (Table3[[#This Row],[Gene names]:[Gene names]] = Table1[[Gene names]:[Gene names]])*1, 0))</f>
        <v>5.6466600000000002E-4</v>
      </c>
      <c r="O240" cm="1">
        <f t="array" ref="O240">INDEX(Table1[riBAQ 41], MATCH(1, (Table3[[#This Row],[Gene names]:[Gene names]] = Table1[[Gene names]:[Gene names]])*1, 0))</f>
        <v>3.2703700000000002E-4</v>
      </c>
      <c r="P240" cm="1">
        <f t="array" ref="P240">INDEX(Table1[riBAQ 24], MATCH(1, (Table3[[#This Row],[Gene names]:[Gene names]] = Table1[[Gene names]:[Gene names]])*1, 0))</f>
        <v>6.14223E-4</v>
      </c>
      <c r="Q240" cm="1">
        <f t="array" ref="Q240">INDEX(Table1[riBAQ 25], MATCH(1, (Table3[[#This Row],[Gene names]:[Gene names]] = Table1[[Gene names]:[Gene names]])*1, 0))</f>
        <v>7.6047699999999996E-4</v>
      </c>
      <c r="R240" cm="1">
        <f t="array" ref="R240">INDEX(Table1[riBAQ 26], MATCH(1, (Table3[[#This Row],[Gene names]:[Gene names]] = Table1[[Gene names]:[Gene names]])*1, 0))</f>
        <v>6.7757799999999997E-4</v>
      </c>
      <c r="S240" cm="1">
        <f t="array" ref="S240">INDEX(Table1[riBAQ 42], MATCH(1, (Table3[[#This Row],[Gene names]:[Gene names]] = Table1[[Gene names]:[Gene names]])*1, 0))</f>
        <v>7.7490299999999996E-4</v>
      </c>
      <c r="T240" cm="1">
        <f t="array" ref="T240">INDEX(Table1[riBAQ 43], MATCH(1, (Table3[[#This Row],[Gene names]:[Gene names]] = Table1[[Gene names]:[Gene names]])*1, 0))</f>
        <v>8.6021600000000002E-4</v>
      </c>
    </row>
    <row r="241" spans="1:20" x14ac:dyDescent="0.25">
      <c r="A241" t="s">
        <v>132</v>
      </c>
      <c r="B241" cm="1">
        <f t="array" ref="B241">INDEX(Table1[riBAQ 17], MATCH(1, (Table3[[#This Row],[Gene names]:[Gene names]] = Table1[[Gene names]:[Gene names]])*1, 0))</f>
        <v>1.5800000000000001E-5</v>
      </c>
      <c r="C241" cm="1">
        <f t="array" ref="C241">INDEX(Table1[riBAQ 18], MATCH(1, (Table3[[#This Row],[Gene names]:[Gene names]] = Table1[[Gene names]:[Gene names]])*1, 0))</f>
        <v>0</v>
      </c>
      <c r="D241" cm="1">
        <f t="array" ref="D241">INDEX(Table1[riBAQ 35], MATCH(1, (Table3[[#This Row],[Gene names]:[Gene names]] = Table1[[Gene names]:[Gene names]])*1, 0))</f>
        <v>1.0200000000000001E-5</v>
      </c>
      <c r="E241" cm="1">
        <f t="array" ref="E241">INDEX(Table1[riBAQ 36], MATCH(1, (Table3[[#This Row],[Gene names]:[Gene names]] = Table1[[Gene names]:[Gene names]])*1, 0))</f>
        <v>1.49E-5</v>
      </c>
      <c r="F241" cm="1">
        <f t="array" ref="F241">INDEX(Table1[riBAQ 19], MATCH(1, (Table3[[#This Row],[Gene names]:[Gene names]] = Table1[[Gene names]:[Gene names]])*1, 0))</f>
        <v>0</v>
      </c>
      <c r="G241" cm="1">
        <f t="array" ref="G241">INDEX(Table1[riBAQ 20], MATCH(1, (Table3[[#This Row],[Gene names]:[Gene names]] = Table1[[Gene names]:[Gene names]])*1, 0))</f>
        <v>1.9400000000000001E-5</v>
      </c>
      <c r="H241" cm="1">
        <f t="array" ref="H241">INDEX(Table1[riBAQ 21], MATCH(1, (Table3[[#This Row],[Gene names]:[Gene names]] = Table1[[Gene names]:[Gene names]])*1, 0))</f>
        <v>3.5500000000000002E-5</v>
      </c>
      <c r="I241" cm="1">
        <f t="array" ref="I241">INDEX(Table1[riBAQ 22], MATCH(1, (Table3[[#This Row],[Gene names]:[Gene names]] = Table1[[Gene names]:[Gene names]])*1, 0))</f>
        <v>0</v>
      </c>
      <c r="J241" cm="1">
        <f t="array" ref="J241">INDEX(Table1[riBAQ 23], MATCH(1, (Table3[[#This Row],[Gene names]:[Gene names]] = Table1[[Gene names]:[Gene names]])*1, 0))</f>
        <v>0</v>
      </c>
      <c r="K241" cm="1">
        <f t="array" ref="K241">INDEX(Table1[riBAQ 37], MATCH(1, (Table3[[#This Row],[Gene names]:[Gene names]] = Table1[[Gene names]:[Gene names]])*1, 0))</f>
        <v>4.21E-5</v>
      </c>
      <c r="L241" cm="1">
        <f t="array" ref="L241">INDEX(Table1[riBAQ 38], MATCH(1, (Table3[[#This Row],[Gene names]:[Gene names]] = Table1[[Gene names]:[Gene names]])*1, 0))</f>
        <v>0</v>
      </c>
      <c r="M241" cm="1">
        <f t="array" ref="M241">INDEX(Table1[riBAQ 39], MATCH(1, (Table3[[#This Row],[Gene names]:[Gene names]] = Table1[[Gene names]:[Gene names]])*1, 0))</f>
        <v>0</v>
      </c>
      <c r="N241" cm="1">
        <f t="array" ref="N241">INDEX(Table1[riBAQ 40], MATCH(1, (Table3[[#This Row],[Gene names]:[Gene names]] = Table1[[Gene names]:[Gene names]])*1, 0))</f>
        <v>0</v>
      </c>
      <c r="O241" cm="1">
        <f t="array" ref="O241">INDEX(Table1[riBAQ 41], MATCH(1, (Table3[[#This Row],[Gene names]:[Gene names]] = Table1[[Gene names]:[Gene names]])*1, 0))</f>
        <v>0</v>
      </c>
      <c r="P241" cm="1">
        <f t="array" ref="P241">INDEX(Table1[riBAQ 24], MATCH(1, (Table3[[#This Row],[Gene names]:[Gene names]] = Table1[[Gene names]:[Gene names]])*1, 0))</f>
        <v>4.7899999999999999E-5</v>
      </c>
      <c r="Q241" cm="1">
        <f t="array" ref="Q241">INDEX(Table1[riBAQ 25], MATCH(1, (Table3[[#This Row],[Gene names]:[Gene names]] = Table1[[Gene names]:[Gene names]])*1, 0))</f>
        <v>1.21254E-4</v>
      </c>
      <c r="R241" cm="1">
        <f t="array" ref="R241">INDEX(Table1[riBAQ 26], MATCH(1, (Table3[[#This Row],[Gene names]:[Gene names]] = Table1[[Gene names]:[Gene names]])*1, 0))</f>
        <v>3.3300000000000003E-5</v>
      </c>
      <c r="S241" cm="1">
        <f t="array" ref="S241">INDEX(Table1[riBAQ 42], MATCH(1, (Table3[[#This Row],[Gene names]:[Gene names]] = Table1[[Gene names]:[Gene names]])*1, 0))</f>
        <v>3.79E-5</v>
      </c>
      <c r="T241" cm="1">
        <f t="array" ref="T241">INDEX(Table1[riBAQ 43], MATCH(1, (Table3[[#This Row],[Gene names]:[Gene names]] = Table1[[Gene names]:[Gene names]])*1, 0))</f>
        <v>2.33081E-4</v>
      </c>
    </row>
    <row r="242" spans="1:20" x14ac:dyDescent="0.25">
      <c r="A242" t="s">
        <v>1473</v>
      </c>
      <c r="B242" cm="1">
        <f t="array" ref="B242">INDEX(Table1[riBAQ 17], MATCH(1, (Table3[[#This Row],[Gene names]:[Gene names]] = Table1[[Gene names]:[Gene names]])*1, 0))</f>
        <v>0</v>
      </c>
      <c r="C242" cm="1">
        <f t="array" ref="C242">INDEX(Table1[riBAQ 18], MATCH(1, (Table3[[#This Row],[Gene names]:[Gene names]] = Table1[[Gene names]:[Gene names]])*1, 0))</f>
        <v>0</v>
      </c>
      <c r="D242" cm="1">
        <f t="array" ref="D242">INDEX(Table1[riBAQ 35], MATCH(1, (Table3[[#This Row],[Gene names]:[Gene names]] = Table1[[Gene names]:[Gene names]])*1, 0))</f>
        <v>0</v>
      </c>
      <c r="E242" cm="1">
        <f t="array" ref="E242">INDEX(Table1[riBAQ 36], MATCH(1, (Table3[[#This Row],[Gene names]:[Gene names]] = Table1[[Gene names]:[Gene names]])*1, 0))</f>
        <v>0</v>
      </c>
      <c r="F242" cm="1">
        <f t="array" ref="F242">INDEX(Table1[riBAQ 19], MATCH(1, (Table3[[#This Row],[Gene names]:[Gene names]] = Table1[[Gene names]:[Gene names]])*1, 0))</f>
        <v>0</v>
      </c>
      <c r="G242" cm="1">
        <f t="array" ref="G242">INDEX(Table1[riBAQ 20], MATCH(1, (Table3[[#This Row],[Gene names]:[Gene names]] = Table1[[Gene names]:[Gene names]])*1, 0))</f>
        <v>0</v>
      </c>
      <c r="H242" cm="1">
        <f t="array" ref="H242">INDEX(Table1[riBAQ 21], MATCH(1, (Table3[[#This Row],[Gene names]:[Gene names]] = Table1[[Gene names]:[Gene names]])*1, 0))</f>
        <v>0</v>
      </c>
      <c r="I242" cm="1">
        <f t="array" ref="I242">INDEX(Table1[riBAQ 22], MATCH(1, (Table3[[#This Row],[Gene names]:[Gene names]] = Table1[[Gene names]:[Gene names]])*1, 0))</f>
        <v>0</v>
      </c>
      <c r="J242" cm="1">
        <f t="array" ref="J242">INDEX(Table1[riBAQ 23], MATCH(1, (Table3[[#This Row],[Gene names]:[Gene names]] = Table1[[Gene names]:[Gene names]])*1, 0))</f>
        <v>0</v>
      </c>
      <c r="K242" cm="1">
        <f t="array" ref="K242">INDEX(Table1[riBAQ 37], MATCH(1, (Table3[[#This Row],[Gene names]:[Gene names]] = Table1[[Gene names]:[Gene names]])*1, 0))</f>
        <v>0</v>
      </c>
      <c r="L242" cm="1">
        <f t="array" ref="L242">INDEX(Table1[riBAQ 38], MATCH(1, (Table3[[#This Row],[Gene names]:[Gene names]] = Table1[[Gene names]:[Gene names]])*1, 0))</f>
        <v>0</v>
      </c>
      <c r="M242" cm="1">
        <f t="array" ref="M242">INDEX(Table1[riBAQ 39], MATCH(1, (Table3[[#This Row],[Gene names]:[Gene names]] = Table1[[Gene names]:[Gene names]])*1, 0))</f>
        <v>0</v>
      </c>
      <c r="N242" cm="1">
        <f t="array" ref="N242">INDEX(Table1[riBAQ 40], MATCH(1, (Table3[[#This Row],[Gene names]:[Gene names]] = Table1[[Gene names]:[Gene names]])*1, 0))</f>
        <v>0</v>
      </c>
      <c r="O242" cm="1">
        <f t="array" ref="O242">INDEX(Table1[riBAQ 41], MATCH(1, (Table3[[#This Row],[Gene names]:[Gene names]] = Table1[[Gene names]:[Gene names]])*1, 0))</f>
        <v>0</v>
      </c>
      <c r="P242" cm="1">
        <f t="array" ref="P242">INDEX(Table1[riBAQ 24], MATCH(1, (Table3[[#This Row],[Gene names]:[Gene names]] = Table1[[Gene names]:[Gene names]])*1, 0))</f>
        <v>0</v>
      </c>
      <c r="Q242" cm="1">
        <f t="array" ref="Q242">INDEX(Table1[riBAQ 25], MATCH(1, (Table3[[#This Row],[Gene names]:[Gene names]] = Table1[[Gene names]:[Gene names]])*1, 0))</f>
        <v>1.96353E-4</v>
      </c>
      <c r="R242" cm="1">
        <f t="array" ref="R242">INDEX(Table1[riBAQ 26], MATCH(1, (Table3[[#This Row],[Gene names]:[Gene names]] = Table1[[Gene names]:[Gene names]])*1, 0))</f>
        <v>1.43094E-4</v>
      </c>
      <c r="S242" cm="1">
        <f t="array" ref="S242">INDEX(Table1[riBAQ 42], MATCH(1, (Table3[[#This Row],[Gene names]:[Gene names]] = Table1[[Gene names]:[Gene names]])*1, 0))</f>
        <v>1.5738300000000001E-4</v>
      </c>
      <c r="T242" cm="1">
        <f t="array" ref="T242">INDEX(Table1[riBAQ 43], MATCH(1, (Table3[[#This Row],[Gene names]:[Gene names]] = Table1[[Gene names]:[Gene names]])*1, 0))</f>
        <v>3.0403800000000002E-4</v>
      </c>
    </row>
    <row r="243" spans="1:20" x14ac:dyDescent="0.25">
      <c r="A243" t="s">
        <v>894</v>
      </c>
      <c r="B243" cm="1">
        <f t="array" ref="B243">INDEX(Table1[riBAQ 17], MATCH(1, (Table3[[#This Row],[Gene names]:[Gene names]] = Table1[[Gene names]:[Gene names]])*1, 0))</f>
        <v>2.2779899999999999E-4</v>
      </c>
      <c r="C243" cm="1">
        <f t="array" ref="C243">INDEX(Table1[riBAQ 18], MATCH(1, (Table3[[#This Row],[Gene names]:[Gene names]] = Table1[[Gene names]:[Gene names]])*1, 0))</f>
        <v>2.3714299999999999E-4</v>
      </c>
      <c r="D243" cm="1">
        <f t="array" ref="D243">INDEX(Table1[riBAQ 35], MATCH(1, (Table3[[#This Row],[Gene names]:[Gene names]] = Table1[[Gene names]:[Gene names]])*1, 0))</f>
        <v>1.9929100000000001E-4</v>
      </c>
      <c r="E243" cm="1">
        <f t="array" ref="E243">INDEX(Table1[riBAQ 36], MATCH(1, (Table3[[#This Row],[Gene names]:[Gene names]] = Table1[[Gene names]:[Gene names]])*1, 0))</f>
        <v>1.8363900000000001E-4</v>
      </c>
      <c r="F243" cm="1">
        <f t="array" ref="F243">INDEX(Table1[riBAQ 19], MATCH(1, (Table3[[#This Row],[Gene names]:[Gene names]] = Table1[[Gene names]:[Gene names]])*1, 0))</f>
        <v>1.60295E-4</v>
      </c>
      <c r="G243" cm="1">
        <f t="array" ref="G243">INDEX(Table1[riBAQ 20], MATCH(1, (Table3[[#This Row],[Gene names]:[Gene names]] = Table1[[Gene names]:[Gene names]])*1, 0))</f>
        <v>1.64463E-4</v>
      </c>
      <c r="H243" cm="1">
        <f t="array" ref="H243">INDEX(Table1[riBAQ 21], MATCH(1, (Table3[[#This Row],[Gene names]:[Gene names]] = Table1[[Gene names]:[Gene names]])*1, 0))</f>
        <v>1.67825E-4</v>
      </c>
      <c r="I243" cm="1">
        <f t="array" ref="I243">INDEX(Table1[riBAQ 22], MATCH(1, (Table3[[#This Row],[Gene names]:[Gene names]] = Table1[[Gene names]:[Gene names]])*1, 0))</f>
        <v>1.4871700000000001E-4</v>
      </c>
      <c r="J243" cm="1">
        <f t="array" ref="J243">INDEX(Table1[riBAQ 23], MATCH(1, (Table3[[#This Row],[Gene names]:[Gene names]] = Table1[[Gene names]:[Gene names]])*1, 0))</f>
        <v>1.8690699999999999E-4</v>
      </c>
      <c r="K243" cm="1">
        <f t="array" ref="K243">INDEX(Table1[riBAQ 37], MATCH(1, (Table3[[#This Row],[Gene names]:[Gene names]] = Table1[[Gene names]:[Gene names]])*1, 0))</f>
        <v>2.1982499999999999E-4</v>
      </c>
      <c r="L243" cm="1">
        <f t="array" ref="L243">INDEX(Table1[riBAQ 38], MATCH(1, (Table3[[#This Row],[Gene names]:[Gene names]] = Table1[[Gene names]:[Gene names]])*1, 0))</f>
        <v>2.5935800000000001E-4</v>
      </c>
      <c r="M243" cm="1">
        <f t="array" ref="M243">INDEX(Table1[riBAQ 39], MATCH(1, (Table3[[#This Row],[Gene names]:[Gene names]] = Table1[[Gene names]:[Gene names]])*1, 0))</f>
        <v>1.1441400000000001E-4</v>
      </c>
      <c r="N243" cm="1">
        <f t="array" ref="N243">INDEX(Table1[riBAQ 40], MATCH(1, (Table3[[#This Row],[Gene names]:[Gene names]] = Table1[[Gene names]:[Gene names]])*1, 0))</f>
        <v>1.3847600000000001E-4</v>
      </c>
      <c r="O243" cm="1">
        <f t="array" ref="O243">INDEX(Table1[riBAQ 41], MATCH(1, (Table3[[#This Row],[Gene names]:[Gene names]] = Table1[[Gene names]:[Gene names]])*1, 0))</f>
        <v>9.7399999999999996E-5</v>
      </c>
      <c r="P243" cm="1">
        <f t="array" ref="P243">INDEX(Table1[riBAQ 24], MATCH(1, (Table3[[#This Row],[Gene names]:[Gene names]] = Table1[[Gene names]:[Gene names]])*1, 0))</f>
        <v>1.17895E-4</v>
      </c>
      <c r="Q243" cm="1">
        <f t="array" ref="Q243">INDEX(Table1[riBAQ 25], MATCH(1, (Table3[[#This Row],[Gene names]:[Gene names]] = Table1[[Gene names]:[Gene names]])*1, 0))</f>
        <v>1.15492E-4</v>
      </c>
      <c r="R243" cm="1">
        <f t="array" ref="R243">INDEX(Table1[riBAQ 26], MATCH(1, (Table3[[#This Row],[Gene names]:[Gene names]] = Table1[[Gene names]:[Gene names]])*1, 0))</f>
        <v>9.1600000000000004E-5</v>
      </c>
      <c r="S243" cm="1">
        <f t="array" ref="S243">INDEX(Table1[riBAQ 42], MATCH(1, (Table3[[#This Row],[Gene names]:[Gene names]] = Table1[[Gene names]:[Gene names]])*1, 0))</f>
        <v>0</v>
      </c>
      <c r="T243" cm="1">
        <f t="array" ref="T243">INDEX(Table1[riBAQ 43], MATCH(1, (Table3[[#This Row],[Gene names]:[Gene names]] = Table1[[Gene names]:[Gene names]])*1, 0))</f>
        <v>7.5900000000000002E-5</v>
      </c>
    </row>
    <row r="244" spans="1:20" x14ac:dyDescent="0.25">
      <c r="A244" t="s">
        <v>1472</v>
      </c>
      <c r="B244" cm="1">
        <f t="array" ref="B244">INDEX(Table1[riBAQ 17], MATCH(1, (Table3[[#This Row],[Gene names]:[Gene names]] = Table1[[Gene names]:[Gene names]])*1, 0))</f>
        <v>0</v>
      </c>
      <c r="C244" cm="1">
        <f t="array" ref="C244">INDEX(Table1[riBAQ 18], MATCH(1, (Table3[[#This Row],[Gene names]:[Gene names]] = Table1[[Gene names]:[Gene names]])*1, 0))</f>
        <v>7.6899999999999999E-5</v>
      </c>
      <c r="D244" cm="1">
        <f t="array" ref="D244">INDEX(Table1[riBAQ 35], MATCH(1, (Table3[[#This Row],[Gene names]:[Gene names]] = Table1[[Gene names]:[Gene names]])*1, 0))</f>
        <v>0</v>
      </c>
      <c r="E244" cm="1">
        <f t="array" ref="E244">INDEX(Table1[riBAQ 36], MATCH(1, (Table3[[#This Row],[Gene names]:[Gene names]] = Table1[[Gene names]:[Gene names]])*1, 0))</f>
        <v>0</v>
      </c>
      <c r="F244" cm="1">
        <f t="array" ref="F244">INDEX(Table1[riBAQ 19], MATCH(1, (Table3[[#This Row],[Gene names]:[Gene names]] = Table1[[Gene names]:[Gene names]])*1, 0))</f>
        <v>4.8900000000000003E-5</v>
      </c>
      <c r="G244" cm="1">
        <f t="array" ref="G244">INDEX(Table1[riBAQ 20], MATCH(1, (Table3[[#This Row],[Gene names]:[Gene names]] = Table1[[Gene names]:[Gene names]])*1, 0))</f>
        <v>0</v>
      </c>
      <c r="H244" cm="1">
        <f t="array" ref="H244">INDEX(Table1[riBAQ 21], MATCH(1, (Table3[[#This Row],[Gene names]:[Gene names]] = Table1[[Gene names]:[Gene names]])*1, 0))</f>
        <v>1.14448E-4</v>
      </c>
      <c r="I244" cm="1">
        <f t="array" ref="I244">INDEX(Table1[riBAQ 22], MATCH(1, (Table3[[#This Row],[Gene names]:[Gene names]] = Table1[[Gene names]:[Gene names]])*1, 0))</f>
        <v>7.47E-5</v>
      </c>
      <c r="J244" cm="1">
        <f t="array" ref="J244">INDEX(Table1[riBAQ 23], MATCH(1, (Table3[[#This Row],[Gene names]:[Gene names]] = Table1[[Gene names]:[Gene names]])*1, 0))</f>
        <v>0</v>
      </c>
      <c r="K244" cm="1">
        <f t="array" ref="K244">INDEX(Table1[riBAQ 37], MATCH(1, (Table3[[#This Row],[Gene names]:[Gene names]] = Table1[[Gene names]:[Gene names]])*1, 0))</f>
        <v>0</v>
      </c>
      <c r="L244" cm="1">
        <f t="array" ref="L244">INDEX(Table1[riBAQ 38], MATCH(1, (Table3[[#This Row],[Gene names]:[Gene names]] = Table1[[Gene names]:[Gene names]])*1, 0))</f>
        <v>0</v>
      </c>
      <c r="M244" cm="1">
        <f t="array" ref="M244">INDEX(Table1[riBAQ 39], MATCH(1, (Table3[[#This Row],[Gene names]:[Gene names]] = Table1[[Gene names]:[Gene names]])*1, 0))</f>
        <v>0</v>
      </c>
      <c r="N244" cm="1">
        <f t="array" ref="N244">INDEX(Table1[riBAQ 40], MATCH(1, (Table3[[#This Row],[Gene names]:[Gene names]] = Table1[[Gene names]:[Gene names]])*1, 0))</f>
        <v>0</v>
      </c>
      <c r="O244" cm="1">
        <f t="array" ref="O244">INDEX(Table1[riBAQ 41], MATCH(1, (Table3[[#This Row],[Gene names]:[Gene names]] = Table1[[Gene names]:[Gene names]])*1, 0))</f>
        <v>0</v>
      </c>
      <c r="P244" cm="1">
        <f t="array" ref="P244">INDEX(Table1[riBAQ 24], MATCH(1, (Table3[[#This Row],[Gene names]:[Gene names]] = Table1[[Gene names]:[Gene names]])*1, 0))</f>
        <v>7.9400000000000006E-5</v>
      </c>
      <c r="Q244" cm="1">
        <f t="array" ref="Q244">INDEX(Table1[riBAQ 25], MATCH(1, (Table3[[#This Row],[Gene names]:[Gene names]] = Table1[[Gene names]:[Gene names]])*1, 0))</f>
        <v>1.32065E-4</v>
      </c>
      <c r="R244" cm="1">
        <f t="array" ref="R244">INDEX(Table1[riBAQ 26], MATCH(1, (Table3[[#This Row],[Gene names]:[Gene names]] = Table1[[Gene names]:[Gene names]])*1, 0))</f>
        <v>1.74897E-4</v>
      </c>
      <c r="S244" cm="1">
        <f t="array" ref="S244">INDEX(Table1[riBAQ 42], MATCH(1, (Table3[[#This Row],[Gene names]:[Gene names]] = Table1[[Gene names]:[Gene names]])*1, 0))</f>
        <v>1.0817E-4</v>
      </c>
      <c r="T244" cm="1">
        <f t="array" ref="T244">INDEX(Table1[riBAQ 43], MATCH(1, (Table3[[#This Row],[Gene names]:[Gene names]] = Table1[[Gene names]:[Gene names]])*1, 0))</f>
        <v>1.8002299999999999E-4</v>
      </c>
    </row>
    <row r="245" spans="1:20" x14ac:dyDescent="0.25">
      <c r="A245" t="s">
        <v>1140</v>
      </c>
      <c r="B245" cm="1">
        <f t="array" ref="B245">INDEX(Table1[riBAQ 17], MATCH(1, (Table3[[#This Row],[Gene names]:[Gene names]] = Table1[[Gene names]:[Gene names]])*1, 0))</f>
        <v>1.6799999999999998E-5</v>
      </c>
      <c r="C245" cm="1">
        <f t="array" ref="C245">INDEX(Table1[riBAQ 18], MATCH(1, (Table3[[#This Row],[Gene names]:[Gene names]] = Table1[[Gene names]:[Gene names]])*1, 0))</f>
        <v>0</v>
      </c>
      <c r="D245" cm="1">
        <f t="array" ref="D245">INDEX(Table1[riBAQ 35], MATCH(1, (Table3[[#This Row],[Gene names]:[Gene names]] = Table1[[Gene names]:[Gene names]])*1, 0))</f>
        <v>0</v>
      </c>
      <c r="E245" cm="1">
        <f t="array" ref="E245">INDEX(Table1[riBAQ 36], MATCH(1, (Table3[[#This Row],[Gene names]:[Gene names]] = Table1[[Gene names]:[Gene names]])*1, 0))</f>
        <v>1.7399999999999999E-5</v>
      </c>
      <c r="F245" cm="1">
        <f t="array" ref="F245">INDEX(Table1[riBAQ 19], MATCH(1, (Table3[[#This Row],[Gene names]:[Gene names]] = Table1[[Gene names]:[Gene names]])*1, 0))</f>
        <v>3.3200000000000001E-5</v>
      </c>
      <c r="G245" cm="1">
        <f t="array" ref="G245">INDEX(Table1[riBAQ 20], MATCH(1, (Table3[[#This Row],[Gene names]:[Gene names]] = Table1[[Gene names]:[Gene names]])*1, 0))</f>
        <v>0</v>
      </c>
      <c r="H245" cm="1">
        <f t="array" ref="H245">INDEX(Table1[riBAQ 21], MATCH(1, (Table3[[#This Row],[Gene names]:[Gene names]] = Table1[[Gene names]:[Gene names]])*1, 0))</f>
        <v>2.3600000000000001E-5</v>
      </c>
      <c r="I245" cm="1">
        <f t="array" ref="I245">INDEX(Table1[riBAQ 22], MATCH(1, (Table3[[#This Row],[Gene names]:[Gene names]] = Table1[[Gene names]:[Gene names]])*1, 0))</f>
        <v>1.6699999999999999E-5</v>
      </c>
      <c r="J245" cm="1">
        <f t="array" ref="J245">INDEX(Table1[riBAQ 23], MATCH(1, (Table3[[#This Row],[Gene names]:[Gene names]] = Table1[[Gene names]:[Gene names]])*1, 0))</f>
        <v>2.44E-5</v>
      </c>
      <c r="K245" cm="1">
        <f t="array" ref="K245">INDEX(Table1[riBAQ 37], MATCH(1, (Table3[[#This Row],[Gene names]:[Gene names]] = Table1[[Gene names]:[Gene names]])*1, 0))</f>
        <v>0</v>
      </c>
      <c r="L245" cm="1">
        <f t="array" ref="L245">INDEX(Table1[riBAQ 38], MATCH(1, (Table3[[#This Row],[Gene names]:[Gene names]] = Table1[[Gene names]:[Gene names]])*1, 0))</f>
        <v>0</v>
      </c>
      <c r="M245" cm="1">
        <f t="array" ref="M245">INDEX(Table1[riBAQ 39], MATCH(1, (Table3[[#This Row],[Gene names]:[Gene names]] = Table1[[Gene names]:[Gene names]])*1, 0))</f>
        <v>0</v>
      </c>
      <c r="N245" cm="1">
        <f t="array" ref="N245">INDEX(Table1[riBAQ 40], MATCH(1, (Table3[[#This Row],[Gene names]:[Gene names]] = Table1[[Gene names]:[Gene names]])*1, 0))</f>
        <v>0</v>
      </c>
      <c r="O245" cm="1">
        <f t="array" ref="O245">INDEX(Table1[riBAQ 41], MATCH(1, (Table3[[#This Row],[Gene names]:[Gene names]] = Table1[[Gene names]:[Gene names]])*1, 0))</f>
        <v>1.3499999999999999E-5</v>
      </c>
      <c r="P245" cm="1">
        <f t="array" ref="P245">INDEX(Table1[riBAQ 24], MATCH(1, (Table3[[#This Row],[Gene names]:[Gene names]] = Table1[[Gene names]:[Gene names]])*1, 0))</f>
        <v>2.3E-5</v>
      </c>
      <c r="Q245" cm="1">
        <f t="array" ref="Q245">INDEX(Table1[riBAQ 25], MATCH(1, (Table3[[#This Row],[Gene names]:[Gene names]] = Table1[[Gene names]:[Gene names]])*1, 0))</f>
        <v>5.0599999999999997E-5</v>
      </c>
      <c r="R245" cm="1">
        <f t="array" ref="R245">INDEX(Table1[riBAQ 26], MATCH(1, (Table3[[#This Row],[Gene names]:[Gene names]] = Table1[[Gene names]:[Gene names]])*1, 0))</f>
        <v>7.3800000000000005E-5</v>
      </c>
      <c r="S245" cm="1">
        <f t="array" ref="S245">INDEX(Table1[riBAQ 42], MATCH(1, (Table3[[#This Row],[Gene names]:[Gene names]] = Table1[[Gene names]:[Gene names]])*1, 0))</f>
        <v>4.1100000000000003E-5</v>
      </c>
      <c r="T245" cm="1">
        <f t="array" ref="T245">INDEX(Table1[riBAQ 43], MATCH(1, (Table3[[#This Row],[Gene names]:[Gene names]] = Table1[[Gene names]:[Gene names]])*1, 0))</f>
        <v>3.6100000000000003E-5</v>
      </c>
    </row>
    <row r="246" spans="1:20" x14ac:dyDescent="0.25">
      <c r="A246" t="s">
        <v>946</v>
      </c>
      <c r="B246" cm="1">
        <f t="array" ref="B246">INDEX(Table1[riBAQ 17], MATCH(1, (Table3[[#This Row],[Gene names]:[Gene names]] = Table1[[Gene names]:[Gene names]])*1, 0))</f>
        <v>1.26E-5</v>
      </c>
      <c r="C246" cm="1">
        <f t="array" ref="C246">INDEX(Table1[riBAQ 18], MATCH(1, (Table3[[#This Row],[Gene names]:[Gene names]] = Table1[[Gene names]:[Gene names]])*1, 0))</f>
        <v>9.6800000000000005E-6</v>
      </c>
      <c r="D246" cm="1">
        <f t="array" ref="D246">INDEX(Table1[riBAQ 35], MATCH(1, (Table3[[#This Row],[Gene names]:[Gene names]] = Table1[[Gene names]:[Gene names]])*1, 0))</f>
        <v>8.5399999999999996E-6</v>
      </c>
      <c r="E246" cm="1">
        <f t="array" ref="E246">INDEX(Table1[riBAQ 36], MATCH(1, (Table3[[#This Row],[Gene names]:[Gene names]] = Table1[[Gene names]:[Gene names]])*1, 0))</f>
        <v>8.1499999999999999E-6</v>
      </c>
      <c r="F246" cm="1">
        <f t="array" ref="F246">INDEX(Table1[riBAQ 19], MATCH(1, (Table3[[#This Row],[Gene names]:[Gene names]] = Table1[[Gene names]:[Gene names]])*1, 0))</f>
        <v>1.8300000000000001E-5</v>
      </c>
      <c r="G246" cm="1">
        <f t="array" ref="G246">INDEX(Table1[riBAQ 20], MATCH(1, (Table3[[#This Row],[Gene names]:[Gene names]] = Table1[[Gene names]:[Gene names]])*1, 0))</f>
        <v>3.9900000000000001E-5</v>
      </c>
      <c r="H246" cm="1">
        <f t="array" ref="H246">INDEX(Table1[riBAQ 21], MATCH(1, (Table3[[#This Row],[Gene names]:[Gene names]] = Table1[[Gene names]:[Gene names]])*1, 0))</f>
        <v>2.4000000000000001E-5</v>
      </c>
      <c r="I246" cm="1">
        <f t="array" ref="I246">INDEX(Table1[riBAQ 22], MATCH(1, (Table3[[#This Row],[Gene names]:[Gene names]] = Table1[[Gene names]:[Gene names]])*1, 0))</f>
        <v>1.1E-5</v>
      </c>
      <c r="J246" cm="1">
        <f t="array" ref="J246">INDEX(Table1[riBAQ 23], MATCH(1, (Table3[[#This Row],[Gene names]:[Gene names]] = Table1[[Gene names]:[Gene names]])*1, 0))</f>
        <v>1.5400000000000002E-5</v>
      </c>
      <c r="K246" cm="1">
        <f t="array" ref="K246">INDEX(Table1[riBAQ 37], MATCH(1, (Table3[[#This Row],[Gene names]:[Gene names]] = Table1[[Gene names]:[Gene names]])*1, 0))</f>
        <v>1.8499999999999999E-5</v>
      </c>
      <c r="L246" cm="1">
        <f t="array" ref="L246">INDEX(Table1[riBAQ 38], MATCH(1, (Table3[[#This Row],[Gene names]:[Gene names]] = Table1[[Gene names]:[Gene names]])*1, 0))</f>
        <v>1.59E-5</v>
      </c>
      <c r="M246" cm="1">
        <f t="array" ref="M246">INDEX(Table1[riBAQ 39], MATCH(1, (Table3[[#This Row],[Gene names]:[Gene names]] = Table1[[Gene names]:[Gene names]])*1, 0))</f>
        <v>1.2300000000000001E-5</v>
      </c>
      <c r="N246" cm="1">
        <f t="array" ref="N246">INDEX(Table1[riBAQ 40], MATCH(1, (Table3[[#This Row],[Gene names]:[Gene names]] = Table1[[Gene names]:[Gene names]])*1, 0))</f>
        <v>6.4999999999999996E-6</v>
      </c>
      <c r="O246" cm="1">
        <f t="array" ref="O246">INDEX(Table1[riBAQ 41], MATCH(1, (Table3[[#This Row],[Gene names]:[Gene names]] = Table1[[Gene names]:[Gene names]])*1, 0))</f>
        <v>7.7500000000000003E-6</v>
      </c>
      <c r="P246" cm="1">
        <f t="array" ref="P246">INDEX(Table1[riBAQ 24], MATCH(1, (Table3[[#This Row],[Gene names]:[Gene names]] = Table1[[Gene names]:[Gene names]])*1, 0))</f>
        <v>5.4200000000000003E-5</v>
      </c>
      <c r="Q246" cm="1">
        <f t="array" ref="Q246">INDEX(Table1[riBAQ 25], MATCH(1, (Table3[[#This Row],[Gene names]:[Gene names]] = Table1[[Gene names]:[Gene names]])*1, 0))</f>
        <v>9.0799999999999998E-5</v>
      </c>
      <c r="R246" cm="1">
        <f t="array" ref="R246">INDEX(Table1[riBAQ 26], MATCH(1, (Table3[[#This Row],[Gene names]:[Gene names]] = Table1[[Gene names]:[Gene names]])*1, 0))</f>
        <v>5.2099999999999999E-5</v>
      </c>
      <c r="S246" cm="1">
        <f t="array" ref="S246">INDEX(Table1[riBAQ 42], MATCH(1, (Table3[[#This Row],[Gene names]:[Gene names]] = Table1[[Gene names]:[Gene names]])*1, 0))</f>
        <v>8.8399999999999994E-5</v>
      </c>
      <c r="T246" cm="1">
        <f t="array" ref="T246">INDEX(Table1[riBAQ 43], MATCH(1, (Table3[[#This Row],[Gene names]:[Gene names]] = Table1[[Gene names]:[Gene names]])*1, 0))</f>
        <v>1.20285E-4</v>
      </c>
    </row>
    <row r="247" spans="1:20" x14ac:dyDescent="0.25">
      <c r="A247" t="s">
        <v>1839</v>
      </c>
      <c r="B247" t="e" cm="1">
        <f t="array" ref="B247">INDEX(Table1[riBAQ 17], MATCH(1, (Table3[[#This Row],[Gene names]:[Gene names]] = Table1[[Gene names]:[Gene names]])*1, 0))</f>
        <v>#N/A</v>
      </c>
      <c r="C247" t="e" cm="1">
        <f t="array" ref="C247">INDEX(Table1[riBAQ 18], MATCH(1, (Table3[[#This Row],[Gene names]:[Gene names]] = Table1[[Gene names]:[Gene names]])*1, 0))</f>
        <v>#N/A</v>
      </c>
      <c r="D247" t="e" cm="1">
        <f t="array" ref="D247">INDEX(Table1[riBAQ 35], MATCH(1, (Table3[[#This Row],[Gene names]:[Gene names]] = Table1[[Gene names]:[Gene names]])*1, 0))</f>
        <v>#N/A</v>
      </c>
      <c r="E247" t="e" cm="1">
        <f t="array" ref="E247">INDEX(Table1[riBAQ 36], MATCH(1, (Table3[[#This Row],[Gene names]:[Gene names]] = Table1[[Gene names]:[Gene names]])*1, 0))</f>
        <v>#N/A</v>
      </c>
      <c r="F247" t="e" cm="1">
        <f t="array" ref="F247">INDEX(Table1[riBAQ 19], MATCH(1, (Table3[[#This Row],[Gene names]:[Gene names]] = Table1[[Gene names]:[Gene names]])*1, 0))</f>
        <v>#N/A</v>
      </c>
      <c r="G247" t="e" cm="1">
        <f t="array" ref="G247">INDEX(Table1[riBAQ 20], MATCH(1, (Table3[[#This Row],[Gene names]:[Gene names]] = Table1[[Gene names]:[Gene names]])*1, 0))</f>
        <v>#N/A</v>
      </c>
      <c r="H247" t="e" cm="1">
        <f t="array" ref="H247">INDEX(Table1[riBAQ 21], MATCH(1, (Table3[[#This Row],[Gene names]:[Gene names]] = Table1[[Gene names]:[Gene names]])*1, 0))</f>
        <v>#N/A</v>
      </c>
      <c r="I247" t="e" cm="1">
        <f t="array" ref="I247">INDEX(Table1[riBAQ 22], MATCH(1, (Table3[[#This Row],[Gene names]:[Gene names]] = Table1[[Gene names]:[Gene names]])*1, 0))</f>
        <v>#N/A</v>
      </c>
      <c r="J247" t="e" cm="1">
        <f t="array" ref="J247">INDEX(Table1[riBAQ 23], MATCH(1, (Table3[[#This Row],[Gene names]:[Gene names]] = Table1[[Gene names]:[Gene names]])*1, 0))</f>
        <v>#N/A</v>
      </c>
      <c r="K247" t="e" cm="1">
        <f t="array" ref="K247">INDEX(Table1[riBAQ 37], MATCH(1, (Table3[[#This Row],[Gene names]:[Gene names]] = Table1[[Gene names]:[Gene names]])*1, 0))</f>
        <v>#N/A</v>
      </c>
      <c r="L247" t="e" cm="1">
        <f t="array" ref="L247">INDEX(Table1[riBAQ 38], MATCH(1, (Table3[[#This Row],[Gene names]:[Gene names]] = Table1[[Gene names]:[Gene names]])*1, 0))</f>
        <v>#N/A</v>
      </c>
      <c r="M247" t="e" cm="1">
        <f t="array" ref="M247">INDEX(Table1[riBAQ 39], MATCH(1, (Table3[[#This Row],[Gene names]:[Gene names]] = Table1[[Gene names]:[Gene names]])*1, 0))</f>
        <v>#N/A</v>
      </c>
      <c r="N247" t="e" cm="1">
        <f t="array" ref="N247">INDEX(Table1[riBAQ 40], MATCH(1, (Table3[[#This Row],[Gene names]:[Gene names]] = Table1[[Gene names]:[Gene names]])*1, 0))</f>
        <v>#N/A</v>
      </c>
      <c r="O247" t="e" cm="1">
        <f t="array" ref="O247">INDEX(Table1[riBAQ 41], MATCH(1, (Table3[[#This Row],[Gene names]:[Gene names]] = Table1[[Gene names]:[Gene names]])*1, 0))</f>
        <v>#N/A</v>
      </c>
      <c r="P247" t="e" cm="1">
        <f t="array" ref="P247">INDEX(Table1[riBAQ 24], MATCH(1, (Table3[[#This Row],[Gene names]:[Gene names]] = Table1[[Gene names]:[Gene names]])*1, 0))</f>
        <v>#N/A</v>
      </c>
      <c r="Q247" t="e" cm="1">
        <f t="array" ref="Q247">INDEX(Table1[riBAQ 25], MATCH(1, (Table3[[#This Row],[Gene names]:[Gene names]] = Table1[[Gene names]:[Gene names]])*1, 0))</f>
        <v>#N/A</v>
      </c>
      <c r="R247" t="e" cm="1">
        <f t="array" ref="R247">INDEX(Table1[riBAQ 26], MATCH(1, (Table3[[#This Row],[Gene names]:[Gene names]] = Table1[[Gene names]:[Gene names]])*1, 0))</f>
        <v>#N/A</v>
      </c>
      <c r="S247" t="e" cm="1">
        <f t="array" ref="S247">INDEX(Table1[riBAQ 42], MATCH(1, (Table3[[#This Row],[Gene names]:[Gene names]] = Table1[[Gene names]:[Gene names]])*1, 0))</f>
        <v>#N/A</v>
      </c>
      <c r="T247" t="e" cm="1">
        <f t="array" ref="T247">INDEX(Table1[riBAQ 43], MATCH(1, (Table3[[#This Row],[Gene names]:[Gene names]] = Table1[[Gene names]:[Gene names]])*1, 0))</f>
        <v>#N/A</v>
      </c>
    </row>
    <row r="248" spans="1:20" x14ac:dyDescent="0.25">
      <c r="A248" t="s">
        <v>1565</v>
      </c>
      <c r="B248" cm="1">
        <f t="array" ref="B248">INDEX(Table1[riBAQ 17], MATCH(1, (Table3[[#This Row],[Gene names]:[Gene names]] = Table1[[Gene names]:[Gene names]])*1, 0))</f>
        <v>0</v>
      </c>
      <c r="C248" cm="1">
        <f t="array" ref="C248">INDEX(Table1[riBAQ 18], MATCH(1, (Table3[[#This Row],[Gene names]:[Gene names]] = Table1[[Gene names]:[Gene names]])*1, 0))</f>
        <v>0</v>
      </c>
      <c r="D248" cm="1">
        <f t="array" ref="D248">INDEX(Table1[riBAQ 35], MATCH(1, (Table3[[#This Row],[Gene names]:[Gene names]] = Table1[[Gene names]:[Gene names]])*1, 0))</f>
        <v>0</v>
      </c>
      <c r="E248" cm="1">
        <f t="array" ref="E248">INDEX(Table1[riBAQ 36], MATCH(1, (Table3[[#This Row],[Gene names]:[Gene names]] = Table1[[Gene names]:[Gene names]])*1, 0))</f>
        <v>0</v>
      </c>
      <c r="F248" cm="1">
        <f t="array" ref="F248">INDEX(Table1[riBAQ 19], MATCH(1, (Table3[[#This Row],[Gene names]:[Gene names]] = Table1[[Gene names]:[Gene names]])*1, 0))</f>
        <v>2.0599999999999999E-5</v>
      </c>
      <c r="G248" cm="1">
        <f t="array" ref="G248">INDEX(Table1[riBAQ 20], MATCH(1, (Table3[[#This Row],[Gene names]:[Gene names]] = Table1[[Gene names]:[Gene names]])*1, 0))</f>
        <v>0</v>
      </c>
      <c r="H248" cm="1">
        <f t="array" ref="H248">INDEX(Table1[riBAQ 21], MATCH(1, (Table3[[#This Row],[Gene names]:[Gene names]] = Table1[[Gene names]:[Gene names]])*1, 0))</f>
        <v>0</v>
      </c>
      <c r="I248" cm="1">
        <f t="array" ref="I248">INDEX(Table1[riBAQ 22], MATCH(1, (Table3[[#This Row],[Gene names]:[Gene names]] = Table1[[Gene names]:[Gene names]])*1, 0))</f>
        <v>0</v>
      </c>
      <c r="J248" cm="1">
        <f t="array" ref="J248">INDEX(Table1[riBAQ 23], MATCH(1, (Table3[[#This Row],[Gene names]:[Gene names]] = Table1[[Gene names]:[Gene names]])*1, 0))</f>
        <v>0</v>
      </c>
      <c r="K248" cm="1">
        <f t="array" ref="K248">INDEX(Table1[riBAQ 37], MATCH(1, (Table3[[#This Row],[Gene names]:[Gene names]] = Table1[[Gene names]:[Gene names]])*1, 0))</f>
        <v>2.1100000000000001E-5</v>
      </c>
      <c r="L248" cm="1">
        <f t="array" ref="L248">INDEX(Table1[riBAQ 38], MATCH(1, (Table3[[#This Row],[Gene names]:[Gene names]] = Table1[[Gene names]:[Gene names]])*1, 0))</f>
        <v>0</v>
      </c>
      <c r="M248" cm="1">
        <f t="array" ref="M248">INDEX(Table1[riBAQ 39], MATCH(1, (Table3[[#This Row],[Gene names]:[Gene names]] = Table1[[Gene names]:[Gene names]])*1, 0))</f>
        <v>0</v>
      </c>
      <c r="N248" cm="1">
        <f t="array" ref="N248">INDEX(Table1[riBAQ 40], MATCH(1, (Table3[[#This Row],[Gene names]:[Gene names]] = Table1[[Gene names]:[Gene names]])*1, 0))</f>
        <v>0</v>
      </c>
      <c r="O248" cm="1">
        <f t="array" ref="O248">INDEX(Table1[riBAQ 41], MATCH(1, (Table3[[#This Row],[Gene names]:[Gene names]] = Table1[[Gene names]:[Gene names]])*1, 0))</f>
        <v>0</v>
      </c>
      <c r="P248" cm="1">
        <f t="array" ref="P248">INDEX(Table1[riBAQ 24], MATCH(1, (Table3[[#This Row],[Gene names]:[Gene names]] = Table1[[Gene names]:[Gene names]])*1, 0))</f>
        <v>3.4199999999999998E-5</v>
      </c>
      <c r="Q248" cm="1">
        <f t="array" ref="Q248">INDEX(Table1[riBAQ 25], MATCH(1, (Table3[[#This Row],[Gene names]:[Gene names]] = Table1[[Gene names]:[Gene names]])*1, 0))</f>
        <v>1.7170099999999999E-4</v>
      </c>
      <c r="R248" cm="1">
        <f t="array" ref="R248">INDEX(Table1[riBAQ 26], MATCH(1, (Table3[[#This Row],[Gene names]:[Gene names]] = Table1[[Gene names]:[Gene names]])*1, 0))</f>
        <v>9.8499999999999995E-5</v>
      </c>
      <c r="S248" cm="1">
        <f t="array" ref="S248">INDEX(Table1[riBAQ 42], MATCH(1, (Table3[[#This Row],[Gene names]:[Gene names]] = Table1[[Gene names]:[Gene names]])*1, 0))</f>
        <v>5.0699999999999999E-5</v>
      </c>
      <c r="T248" cm="1">
        <f t="array" ref="T248">INDEX(Table1[riBAQ 43], MATCH(1, (Table3[[#This Row],[Gene names]:[Gene names]] = Table1[[Gene names]:[Gene names]])*1, 0))</f>
        <v>1.9999500000000001E-4</v>
      </c>
    </row>
    <row r="249" spans="1:20" x14ac:dyDescent="0.25">
      <c r="A249" t="s">
        <v>1624</v>
      </c>
      <c r="B249" cm="1">
        <f t="array" ref="B249">INDEX(Table1[riBAQ 17], MATCH(1, (Table3[[#This Row],[Gene names]:[Gene names]] = Table1[[Gene names]:[Gene names]])*1, 0))</f>
        <v>4.3399999999999998E-5</v>
      </c>
      <c r="C249" cm="1">
        <f t="array" ref="C249">INDEX(Table1[riBAQ 18], MATCH(1, (Table3[[#This Row],[Gene names]:[Gene names]] = Table1[[Gene names]:[Gene names]])*1, 0))</f>
        <v>0</v>
      </c>
      <c r="D249" cm="1">
        <f t="array" ref="D249">INDEX(Table1[riBAQ 35], MATCH(1, (Table3[[#This Row],[Gene names]:[Gene names]] = Table1[[Gene names]:[Gene names]])*1, 0))</f>
        <v>0</v>
      </c>
      <c r="E249" cm="1">
        <f t="array" ref="E249">INDEX(Table1[riBAQ 36], MATCH(1, (Table3[[#This Row],[Gene names]:[Gene names]] = Table1[[Gene names]:[Gene names]])*1, 0))</f>
        <v>0</v>
      </c>
      <c r="F249" cm="1">
        <f t="array" ref="F249">INDEX(Table1[riBAQ 19], MATCH(1, (Table3[[#This Row],[Gene names]:[Gene names]] = Table1[[Gene names]:[Gene names]])*1, 0))</f>
        <v>6.7399999999999998E-5</v>
      </c>
      <c r="G249" cm="1">
        <f t="array" ref="G249">INDEX(Table1[riBAQ 20], MATCH(1, (Table3[[#This Row],[Gene names]:[Gene names]] = Table1[[Gene names]:[Gene names]])*1, 0))</f>
        <v>0</v>
      </c>
      <c r="H249" cm="1">
        <f t="array" ref="H249">INDEX(Table1[riBAQ 21], MATCH(1, (Table3[[#This Row],[Gene names]:[Gene names]] = Table1[[Gene names]:[Gene names]])*1, 0))</f>
        <v>0</v>
      </c>
      <c r="I249" cm="1">
        <f t="array" ref="I249">INDEX(Table1[riBAQ 22], MATCH(1, (Table3[[#This Row],[Gene names]:[Gene names]] = Table1[[Gene names]:[Gene names]])*1, 0))</f>
        <v>5.5000000000000002E-5</v>
      </c>
      <c r="J249" cm="1">
        <f t="array" ref="J249">INDEX(Table1[riBAQ 23], MATCH(1, (Table3[[#This Row],[Gene names]:[Gene names]] = Table1[[Gene names]:[Gene names]])*1, 0))</f>
        <v>5.4200000000000003E-5</v>
      </c>
      <c r="K249" cm="1">
        <f t="array" ref="K249">INDEX(Table1[riBAQ 37], MATCH(1, (Table3[[#This Row],[Gene names]:[Gene names]] = Table1[[Gene names]:[Gene names]])*1, 0))</f>
        <v>5.1700000000000003E-5</v>
      </c>
      <c r="L249" cm="1">
        <f t="array" ref="L249">INDEX(Table1[riBAQ 38], MATCH(1, (Table3[[#This Row],[Gene names]:[Gene names]] = Table1[[Gene names]:[Gene names]])*1, 0))</f>
        <v>4.2700000000000001E-5</v>
      </c>
      <c r="M249" cm="1">
        <f t="array" ref="M249">INDEX(Table1[riBAQ 39], MATCH(1, (Table3[[#This Row],[Gene names]:[Gene names]] = Table1[[Gene names]:[Gene names]])*1, 0))</f>
        <v>4.6100000000000002E-5</v>
      </c>
      <c r="N249" cm="1">
        <f t="array" ref="N249">INDEX(Table1[riBAQ 40], MATCH(1, (Table3[[#This Row],[Gene names]:[Gene names]] = Table1[[Gene names]:[Gene names]])*1, 0))</f>
        <v>4.3099999999999997E-5</v>
      </c>
      <c r="O249" cm="1">
        <f t="array" ref="O249">INDEX(Table1[riBAQ 41], MATCH(1, (Table3[[#This Row],[Gene names]:[Gene names]] = Table1[[Gene names]:[Gene names]])*1, 0))</f>
        <v>2.69E-5</v>
      </c>
      <c r="P249" cm="1">
        <f t="array" ref="P249">INDEX(Table1[riBAQ 24], MATCH(1, (Table3[[#This Row],[Gene names]:[Gene names]] = Table1[[Gene names]:[Gene names]])*1, 0))</f>
        <v>4.85E-5</v>
      </c>
      <c r="Q249" cm="1">
        <f t="array" ref="Q249">INDEX(Table1[riBAQ 25], MATCH(1, (Table3[[#This Row],[Gene names]:[Gene names]] = Table1[[Gene names]:[Gene names]])*1, 0))</f>
        <v>9.7999999999999997E-5</v>
      </c>
      <c r="R249" cm="1">
        <f t="array" ref="R249">INDEX(Table1[riBAQ 26], MATCH(1, (Table3[[#This Row],[Gene names]:[Gene names]] = Table1[[Gene names]:[Gene names]])*1, 0))</f>
        <v>8.2100000000000003E-5</v>
      </c>
      <c r="S249" cm="1">
        <f t="array" ref="S249">INDEX(Table1[riBAQ 42], MATCH(1, (Table3[[#This Row],[Gene names]:[Gene names]] = Table1[[Gene names]:[Gene names]])*1, 0))</f>
        <v>7.4999999999999993E-5</v>
      </c>
      <c r="T249" cm="1">
        <f t="array" ref="T249">INDEX(Table1[riBAQ 43], MATCH(1, (Table3[[#This Row],[Gene names]:[Gene names]] = Table1[[Gene names]:[Gene names]])*1, 0))</f>
        <v>1.1799900000000001E-4</v>
      </c>
    </row>
    <row r="250" spans="1:20" x14ac:dyDescent="0.25">
      <c r="A250" t="s">
        <v>70</v>
      </c>
      <c r="B250" cm="1">
        <f t="array" ref="B250">INDEX(Table1[riBAQ 17], MATCH(1, (Table3[[#This Row],[Gene names]:[Gene names]] = Table1[[Gene names]:[Gene names]])*1, 0))</f>
        <v>0</v>
      </c>
      <c r="C250" cm="1">
        <f t="array" ref="C250">INDEX(Table1[riBAQ 18], MATCH(1, (Table3[[#This Row],[Gene names]:[Gene names]] = Table1[[Gene names]:[Gene names]])*1, 0))</f>
        <v>0</v>
      </c>
      <c r="D250" cm="1">
        <f t="array" ref="D250">INDEX(Table1[riBAQ 35], MATCH(1, (Table3[[#This Row],[Gene names]:[Gene names]] = Table1[[Gene names]:[Gene names]])*1, 0))</f>
        <v>0</v>
      </c>
      <c r="E250" cm="1">
        <f t="array" ref="E250">INDEX(Table1[riBAQ 36], MATCH(1, (Table3[[#This Row],[Gene names]:[Gene names]] = Table1[[Gene names]:[Gene names]])*1, 0))</f>
        <v>0</v>
      </c>
      <c r="F250" cm="1">
        <f t="array" ref="F250">INDEX(Table1[riBAQ 19], MATCH(1, (Table3[[#This Row],[Gene names]:[Gene names]] = Table1[[Gene names]:[Gene names]])*1, 0))</f>
        <v>0</v>
      </c>
      <c r="G250" cm="1">
        <f t="array" ref="G250">INDEX(Table1[riBAQ 20], MATCH(1, (Table3[[#This Row],[Gene names]:[Gene names]] = Table1[[Gene names]:[Gene names]])*1, 0))</f>
        <v>0</v>
      </c>
      <c r="H250" cm="1">
        <f t="array" ref="H250">INDEX(Table1[riBAQ 21], MATCH(1, (Table3[[#This Row],[Gene names]:[Gene names]] = Table1[[Gene names]:[Gene names]])*1, 0))</f>
        <v>0</v>
      </c>
      <c r="I250" cm="1">
        <f t="array" ref="I250">INDEX(Table1[riBAQ 22], MATCH(1, (Table3[[#This Row],[Gene names]:[Gene names]] = Table1[[Gene names]:[Gene names]])*1, 0))</f>
        <v>0</v>
      </c>
      <c r="J250" cm="1">
        <f t="array" ref="J250">INDEX(Table1[riBAQ 23], MATCH(1, (Table3[[#This Row],[Gene names]:[Gene names]] = Table1[[Gene names]:[Gene names]])*1, 0))</f>
        <v>0</v>
      </c>
      <c r="K250" cm="1">
        <f t="array" ref="K250">INDEX(Table1[riBAQ 37], MATCH(1, (Table3[[#This Row],[Gene names]:[Gene names]] = Table1[[Gene names]:[Gene names]])*1, 0))</f>
        <v>0</v>
      </c>
      <c r="L250" cm="1">
        <f t="array" ref="L250">INDEX(Table1[riBAQ 38], MATCH(1, (Table3[[#This Row],[Gene names]:[Gene names]] = Table1[[Gene names]:[Gene names]])*1, 0))</f>
        <v>7.1400000000000002E-6</v>
      </c>
      <c r="M250" cm="1">
        <f t="array" ref="M250">INDEX(Table1[riBAQ 39], MATCH(1, (Table3[[#This Row],[Gene names]:[Gene names]] = Table1[[Gene names]:[Gene names]])*1, 0))</f>
        <v>0</v>
      </c>
      <c r="N250" cm="1">
        <f t="array" ref="N250">INDEX(Table1[riBAQ 40], MATCH(1, (Table3[[#This Row],[Gene names]:[Gene names]] = Table1[[Gene names]:[Gene names]])*1, 0))</f>
        <v>0</v>
      </c>
      <c r="O250" cm="1">
        <f t="array" ref="O250">INDEX(Table1[riBAQ 41], MATCH(1, (Table3[[#This Row],[Gene names]:[Gene names]] = Table1[[Gene names]:[Gene names]])*1, 0))</f>
        <v>0</v>
      </c>
      <c r="P250" cm="1">
        <f t="array" ref="P250">INDEX(Table1[riBAQ 24], MATCH(1, (Table3[[#This Row],[Gene names]:[Gene names]] = Table1[[Gene names]:[Gene names]])*1, 0))</f>
        <v>7.3799999999999996E-6</v>
      </c>
      <c r="Q250" cm="1">
        <f t="array" ref="Q250">INDEX(Table1[riBAQ 25], MATCH(1, (Table3[[#This Row],[Gene names]:[Gene names]] = Table1[[Gene names]:[Gene names]])*1, 0))</f>
        <v>1.01E-5</v>
      </c>
      <c r="R250" cm="1">
        <f t="array" ref="R250">INDEX(Table1[riBAQ 26], MATCH(1, (Table3[[#This Row],[Gene names]:[Gene names]] = Table1[[Gene names]:[Gene names]])*1, 0))</f>
        <v>1.4100000000000001E-5</v>
      </c>
      <c r="S250" cm="1">
        <f t="array" ref="S250">INDEX(Table1[riBAQ 42], MATCH(1, (Table3[[#This Row],[Gene names]:[Gene names]] = Table1[[Gene names]:[Gene names]])*1, 0))</f>
        <v>1.01E-5</v>
      </c>
      <c r="T250" cm="1">
        <f t="array" ref="T250">INDEX(Table1[riBAQ 43], MATCH(1, (Table3[[#This Row],[Gene names]:[Gene names]] = Table1[[Gene names]:[Gene names]])*1, 0))</f>
        <v>1.0699999999999999E-5</v>
      </c>
    </row>
    <row r="251" spans="1:20" x14ac:dyDescent="0.25">
      <c r="A251" t="s">
        <v>1255</v>
      </c>
      <c r="B251" cm="1">
        <f t="array" ref="B251">INDEX(Table1[riBAQ 17], MATCH(1, (Table3[[#This Row],[Gene names]:[Gene names]] = Table1[[Gene names]:[Gene names]])*1, 0))</f>
        <v>1.2799999999999999E-5</v>
      </c>
      <c r="C251" cm="1">
        <f t="array" ref="C251">INDEX(Table1[riBAQ 18], MATCH(1, (Table3[[#This Row],[Gene names]:[Gene names]] = Table1[[Gene names]:[Gene names]])*1, 0))</f>
        <v>1.17E-5</v>
      </c>
      <c r="D251" cm="1">
        <f t="array" ref="D251">INDEX(Table1[riBAQ 35], MATCH(1, (Table3[[#This Row],[Gene names]:[Gene names]] = Table1[[Gene names]:[Gene names]])*1, 0))</f>
        <v>2.6100000000000001E-5</v>
      </c>
      <c r="E251" cm="1">
        <f t="array" ref="E251">INDEX(Table1[riBAQ 36], MATCH(1, (Table3[[#This Row],[Gene names]:[Gene names]] = Table1[[Gene names]:[Gene names]])*1, 0))</f>
        <v>1.3699999999999999E-5</v>
      </c>
      <c r="F251" cm="1">
        <f t="array" ref="F251">INDEX(Table1[riBAQ 19], MATCH(1, (Table3[[#This Row],[Gene names]:[Gene names]] = Table1[[Gene names]:[Gene names]])*1, 0))</f>
        <v>2.34E-5</v>
      </c>
      <c r="G251" cm="1">
        <f t="array" ref="G251">INDEX(Table1[riBAQ 20], MATCH(1, (Table3[[#This Row],[Gene names]:[Gene names]] = Table1[[Gene names]:[Gene names]])*1, 0))</f>
        <v>1.1399999999999999E-5</v>
      </c>
      <c r="H251" cm="1">
        <f t="array" ref="H251">INDEX(Table1[riBAQ 21], MATCH(1, (Table3[[#This Row],[Gene names]:[Gene names]] = Table1[[Gene names]:[Gene names]])*1, 0))</f>
        <v>1.2300000000000001E-5</v>
      </c>
      <c r="I251" cm="1">
        <f t="array" ref="I251">INDEX(Table1[riBAQ 22], MATCH(1, (Table3[[#This Row],[Gene names]:[Gene names]] = Table1[[Gene names]:[Gene names]])*1, 0))</f>
        <v>1.38E-5</v>
      </c>
      <c r="J251" cm="1">
        <f t="array" ref="J251">INDEX(Table1[riBAQ 23], MATCH(1, (Table3[[#This Row],[Gene names]:[Gene names]] = Table1[[Gene names]:[Gene names]])*1, 0))</f>
        <v>8.8899999999999996E-6</v>
      </c>
      <c r="K251" cm="1">
        <f t="array" ref="K251">INDEX(Table1[riBAQ 37], MATCH(1, (Table3[[#This Row],[Gene names]:[Gene names]] = Table1[[Gene names]:[Gene names]])*1, 0))</f>
        <v>1.3200000000000001E-5</v>
      </c>
      <c r="L251" cm="1">
        <f t="array" ref="L251">INDEX(Table1[riBAQ 38], MATCH(1, (Table3[[#This Row],[Gene names]:[Gene names]] = Table1[[Gene names]:[Gene names]])*1, 0))</f>
        <v>1.38E-5</v>
      </c>
      <c r="M251" cm="1">
        <f t="array" ref="M251">INDEX(Table1[riBAQ 39], MATCH(1, (Table3[[#This Row],[Gene names]:[Gene names]] = Table1[[Gene names]:[Gene names]])*1, 0))</f>
        <v>1.11E-5</v>
      </c>
      <c r="N251" cm="1">
        <f t="array" ref="N251">INDEX(Table1[riBAQ 40], MATCH(1, (Table3[[#This Row],[Gene names]:[Gene names]] = Table1[[Gene names]:[Gene names]])*1, 0))</f>
        <v>1.5E-5</v>
      </c>
      <c r="O251" cm="1">
        <f t="array" ref="O251">INDEX(Table1[riBAQ 41], MATCH(1, (Table3[[#This Row],[Gene names]:[Gene names]] = Table1[[Gene names]:[Gene names]])*1, 0))</f>
        <v>1.22E-5</v>
      </c>
      <c r="P251" cm="1">
        <f t="array" ref="P251">INDEX(Table1[riBAQ 24], MATCH(1, (Table3[[#This Row],[Gene names]:[Gene names]] = Table1[[Gene names]:[Gene names]])*1, 0))</f>
        <v>4.7199999999999997E-6</v>
      </c>
      <c r="Q251" cm="1">
        <f t="array" ref="Q251">INDEX(Table1[riBAQ 25], MATCH(1, (Table3[[#This Row],[Gene names]:[Gene names]] = Table1[[Gene names]:[Gene names]])*1, 0))</f>
        <v>0</v>
      </c>
      <c r="R251" cm="1">
        <f t="array" ref="R251">INDEX(Table1[riBAQ 26], MATCH(1, (Table3[[#This Row],[Gene names]:[Gene names]] = Table1[[Gene names]:[Gene names]])*1, 0))</f>
        <v>5.5799999999999999E-6</v>
      </c>
      <c r="S251" cm="1">
        <f t="array" ref="S251">INDEX(Table1[riBAQ 42], MATCH(1, (Table3[[#This Row],[Gene names]:[Gene names]] = Table1[[Gene names]:[Gene names]])*1, 0))</f>
        <v>1.08E-5</v>
      </c>
      <c r="T251" cm="1">
        <f t="array" ref="T251">INDEX(Table1[riBAQ 43], MATCH(1, (Table3[[#This Row],[Gene names]:[Gene names]] = Table1[[Gene names]:[Gene names]])*1, 0))</f>
        <v>0</v>
      </c>
    </row>
    <row r="252" spans="1:20" x14ac:dyDescent="0.25">
      <c r="A252" t="s">
        <v>795</v>
      </c>
      <c r="B252" cm="1">
        <f t="array" ref="B252">INDEX(Table1[riBAQ 17], MATCH(1, (Table3[[#This Row],[Gene names]:[Gene names]] = Table1[[Gene names]:[Gene names]])*1, 0))</f>
        <v>5.1799999999999999E-5</v>
      </c>
      <c r="C252" cm="1">
        <f t="array" ref="C252">INDEX(Table1[riBAQ 18], MATCH(1, (Table3[[#This Row],[Gene names]:[Gene names]] = Table1[[Gene names]:[Gene names]])*1, 0))</f>
        <v>8.9499999999999994E-5</v>
      </c>
      <c r="D252" cm="1">
        <f t="array" ref="D252">INDEX(Table1[riBAQ 35], MATCH(1, (Table3[[#This Row],[Gene names]:[Gene names]] = Table1[[Gene names]:[Gene names]])*1, 0))</f>
        <v>6.9499999999999995E-5</v>
      </c>
      <c r="E252" cm="1">
        <f t="array" ref="E252">INDEX(Table1[riBAQ 36], MATCH(1, (Table3[[#This Row],[Gene names]:[Gene names]] = Table1[[Gene names]:[Gene names]])*1, 0))</f>
        <v>8.7700000000000004E-5</v>
      </c>
      <c r="F252" cm="1">
        <f t="array" ref="F252">INDEX(Table1[riBAQ 19], MATCH(1, (Table3[[#This Row],[Gene names]:[Gene names]] = Table1[[Gene names]:[Gene names]])*1, 0))</f>
        <v>4.3000000000000002E-5</v>
      </c>
      <c r="G252" cm="1">
        <f t="array" ref="G252">INDEX(Table1[riBAQ 20], MATCH(1, (Table3[[#This Row],[Gene names]:[Gene names]] = Table1[[Gene names]:[Gene names]])*1, 0))</f>
        <v>8.5099999999999995E-5</v>
      </c>
      <c r="H252" cm="1">
        <f t="array" ref="H252">INDEX(Table1[riBAQ 21], MATCH(1, (Table3[[#This Row],[Gene names]:[Gene names]] = Table1[[Gene names]:[Gene names]])*1, 0))</f>
        <v>1.57455E-4</v>
      </c>
      <c r="I252" cm="1">
        <f t="array" ref="I252">INDEX(Table1[riBAQ 22], MATCH(1, (Table3[[#This Row],[Gene names]:[Gene names]] = Table1[[Gene names]:[Gene names]])*1, 0))</f>
        <v>1.11765E-4</v>
      </c>
      <c r="J252" cm="1">
        <f t="array" ref="J252">INDEX(Table1[riBAQ 23], MATCH(1, (Table3[[#This Row],[Gene names]:[Gene names]] = Table1[[Gene names]:[Gene names]])*1, 0))</f>
        <v>7.2600000000000003E-5</v>
      </c>
      <c r="K252" cm="1">
        <f t="array" ref="K252">INDEX(Table1[riBAQ 37], MATCH(1, (Table3[[#This Row],[Gene names]:[Gene names]] = Table1[[Gene names]:[Gene names]])*1, 0))</f>
        <v>1.07858E-4</v>
      </c>
      <c r="L252" cm="1">
        <f t="array" ref="L252">INDEX(Table1[riBAQ 38], MATCH(1, (Table3[[#This Row],[Gene names]:[Gene names]] = Table1[[Gene names]:[Gene names]])*1, 0))</f>
        <v>1.27179E-4</v>
      </c>
      <c r="M252" cm="1">
        <f t="array" ref="M252">INDEX(Table1[riBAQ 39], MATCH(1, (Table3[[#This Row],[Gene names]:[Gene names]] = Table1[[Gene names]:[Gene names]])*1, 0))</f>
        <v>8.0599999999999994E-5</v>
      </c>
      <c r="N252" cm="1">
        <f t="array" ref="N252">INDEX(Table1[riBAQ 40], MATCH(1, (Table3[[#This Row],[Gene names]:[Gene names]] = Table1[[Gene names]:[Gene names]])*1, 0))</f>
        <v>6.9400000000000006E-5</v>
      </c>
      <c r="O252" cm="1">
        <f t="array" ref="O252">INDEX(Table1[riBAQ 41], MATCH(1, (Table3[[#This Row],[Gene names]:[Gene names]] = Table1[[Gene names]:[Gene names]])*1, 0))</f>
        <v>5.13E-5</v>
      </c>
      <c r="P252" cm="1">
        <f t="array" ref="P252">INDEX(Table1[riBAQ 24], MATCH(1, (Table3[[#This Row],[Gene names]:[Gene names]] = Table1[[Gene names]:[Gene names]])*1, 0))</f>
        <v>1.05623E-4</v>
      </c>
      <c r="Q252" cm="1">
        <f t="array" ref="Q252">INDEX(Table1[riBAQ 25], MATCH(1, (Table3[[#This Row],[Gene names]:[Gene names]] = Table1[[Gene names]:[Gene names]])*1, 0))</f>
        <v>1.7974199999999999E-4</v>
      </c>
      <c r="R252" cm="1">
        <f t="array" ref="R252">INDEX(Table1[riBAQ 26], MATCH(1, (Table3[[#This Row],[Gene names]:[Gene names]] = Table1[[Gene names]:[Gene names]])*1, 0))</f>
        <v>1.4796399999999999E-4</v>
      </c>
      <c r="S252" cm="1">
        <f t="array" ref="S252">INDEX(Table1[riBAQ 42], MATCH(1, (Table3[[#This Row],[Gene names]:[Gene names]] = Table1[[Gene names]:[Gene names]])*1, 0))</f>
        <v>1.4759300000000001E-4</v>
      </c>
      <c r="T252" cm="1">
        <f t="array" ref="T252">INDEX(Table1[riBAQ 43], MATCH(1, (Table3[[#This Row],[Gene names]:[Gene names]] = Table1[[Gene names]:[Gene names]])*1, 0))</f>
        <v>1.04388E-4</v>
      </c>
    </row>
    <row r="253" spans="1:20" x14ac:dyDescent="0.25">
      <c r="A253" t="s">
        <v>474</v>
      </c>
      <c r="B253" cm="1">
        <f t="array" ref="B253">INDEX(Table1[riBAQ 17], MATCH(1, (Table3[[#This Row],[Gene names]:[Gene names]] = Table1[[Gene names]:[Gene names]])*1, 0))</f>
        <v>7.1500000000000003E-5</v>
      </c>
      <c r="C253" cm="1">
        <f t="array" ref="C253">INDEX(Table1[riBAQ 18], MATCH(1, (Table3[[#This Row],[Gene names]:[Gene names]] = Table1[[Gene names]:[Gene names]])*1, 0))</f>
        <v>6.0300000000000002E-5</v>
      </c>
      <c r="D253" cm="1">
        <f t="array" ref="D253">INDEX(Table1[riBAQ 35], MATCH(1, (Table3[[#This Row],[Gene names]:[Gene names]] = Table1[[Gene names]:[Gene names]])*1, 0))</f>
        <v>5.63E-5</v>
      </c>
      <c r="E253" cm="1">
        <f t="array" ref="E253">INDEX(Table1[riBAQ 36], MATCH(1, (Table3[[#This Row],[Gene names]:[Gene names]] = Table1[[Gene names]:[Gene names]])*1, 0))</f>
        <v>5.5099999999999998E-5</v>
      </c>
      <c r="F253" cm="1">
        <f t="array" ref="F253">INDEX(Table1[riBAQ 19], MATCH(1, (Table3[[#This Row],[Gene names]:[Gene names]] = Table1[[Gene names]:[Gene names]])*1, 0))</f>
        <v>6.6699999999999995E-5</v>
      </c>
      <c r="G253" cm="1">
        <f t="array" ref="G253">INDEX(Table1[riBAQ 20], MATCH(1, (Table3[[#This Row],[Gene names]:[Gene names]] = Table1[[Gene names]:[Gene names]])*1, 0))</f>
        <v>6.2799999999999995E-5</v>
      </c>
      <c r="H253" cm="1">
        <f t="array" ref="H253">INDEX(Table1[riBAQ 21], MATCH(1, (Table3[[#This Row],[Gene names]:[Gene names]] = Table1[[Gene names]:[Gene names]])*1, 0))</f>
        <v>1.14707E-4</v>
      </c>
      <c r="I253" cm="1">
        <f t="array" ref="I253">INDEX(Table1[riBAQ 22], MATCH(1, (Table3[[#This Row],[Gene names]:[Gene names]] = Table1[[Gene names]:[Gene names]])*1, 0))</f>
        <v>7.8899999999999993E-5</v>
      </c>
      <c r="J253" cm="1">
        <f t="array" ref="J253">INDEX(Table1[riBAQ 23], MATCH(1, (Table3[[#This Row],[Gene names]:[Gene names]] = Table1[[Gene names]:[Gene names]])*1, 0))</f>
        <v>7.7399999999999998E-5</v>
      </c>
      <c r="K253" cm="1">
        <f t="array" ref="K253">INDEX(Table1[riBAQ 37], MATCH(1, (Table3[[#This Row],[Gene names]:[Gene names]] = Table1[[Gene names]:[Gene names]])*1, 0))</f>
        <v>7.0199999999999999E-5</v>
      </c>
      <c r="L253" cm="1">
        <f t="array" ref="L253">INDEX(Table1[riBAQ 38], MATCH(1, (Table3[[#This Row],[Gene names]:[Gene names]] = Table1[[Gene names]:[Gene names]])*1, 0))</f>
        <v>0</v>
      </c>
      <c r="M253" cm="1">
        <f t="array" ref="M253">INDEX(Table1[riBAQ 39], MATCH(1, (Table3[[#This Row],[Gene names]:[Gene names]] = Table1[[Gene names]:[Gene names]])*1, 0))</f>
        <v>7.6100000000000007E-5</v>
      </c>
      <c r="N253" cm="1">
        <f t="array" ref="N253">INDEX(Table1[riBAQ 40], MATCH(1, (Table3[[#This Row],[Gene names]:[Gene names]] = Table1[[Gene names]:[Gene names]])*1, 0))</f>
        <v>1.0168E-4</v>
      </c>
      <c r="O253" cm="1">
        <f t="array" ref="O253">INDEX(Table1[riBAQ 41], MATCH(1, (Table3[[#This Row],[Gene names]:[Gene names]] = Table1[[Gene names]:[Gene names]])*1, 0))</f>
        <v>5.7599999999999997E-5</v>
      </c>
      <c r="P253" cm="1">
        <f t="array" ref="P253">INDEX(Table1[riBAQ 24], MATCH(1, (Table3[[#This Row],[Gene names]:[Gene names]] = Table1[[Gene names]:[Gene names]])*1, 0))</f>
        <v>9.6399999999999999E-5</v>
      </c>
      <c r="Q253" cm="1">
        <f t="array" ref="Q253">INDEX(Table1[riBAQ 25], MATCH(1, (Table3[[#This Row],[Gene names]:[Gene names]] = Table1[[Gene names]:[Gene names]])*1, 0))</f>
        <v>1.3780500000000001E-4</v>
      </c>
      <c r="R253" cm="1">
        <f t="array" ref="R253">INDEX(Table1[riBAQ 26], MATCH(1, (Table3[[#This Row],[Gene names]:[Gene names]] = Table1[[Gene names]:[Gene names]])*1, 0))</f>
        <v>1.22015E-4</v>
      </c>
      <c r="S253" cm="1">
        <f t="array" ref="S253">INDEX(Table1[riBAQ 42], MATCH(1, (Table3[[#This Row],[Gene names]:[Gene names]] = Table1[[Gene names]:[Gene names]])*1, 0))</f>
        <v>1.3858300000000001E-4</v>
      </c>
      <c r="T253" cm="1">
        <f t="array" ref="T253">INDEX(Table1[riBAQ 43], MATCH(1, (Table3[[#This Row],[Gene names]:[Gene names]] = Table1[[Gene names]:[Gene names]])*1, 0))</f>
        <v>1.2077499999999999E-4</v>
      </c>
    </row>
    <row r="254" spans="1:20" x14ac:dyDescent="0.25">
      <c r="A254" t="s">
        <v>460</v>
      </c>
      <c r="B254" cm="1">
        <f t="array" ref="B254">INDEX(Table1[riBAQ 17], MATCH(1, (Table3[[#This Row],[Gene names]:[Gene names]] = Table1[[Gene names]:[Gene names]])*1, 0))</f>
        <v>1.5699999999999999E-5</v>
      </c>
      <c r="C254" cm="1">
        <f t="array" ref="C254">INDEX(Table1[riBAQ 18], MATCH(1, (Table3[[#This Row],[Gene names]:[Gene names]] = Table1[[Gene names]:[Gene names]])*1, 0))</f>
        <v>0</v>
      </c>
      <c r="D254" cm="1">
        <f t="array" ref="D254">INDEX(Table1[riBAQ 35], MATCH(1, (Table3[[#This Row],[Gene names]:[Gene names]] = Table1[[Gene names]:[Gene names]])*1, 0))</f>
        <v>1.47E-5</v>
      </c>
      <c r="E254" cm="1">
        <f t="array" ref="E254">INDEX(Table1[riBAQ 36], MATCH(1, (Table3[[#This Row],[Gene names]:[Gene names]] = Table1[[Gene names]:[Gene names]])*1, 0))</f>
        <v>1.2099999999999999E-5</v>
      </c>
      <c r="F254" cm="1">
        <f t="array" ref="F254">INDEX(Table1[riBAQ 19], MATCH(1, (Table3[[#This Row],[Gene names]:[Gene names]] = Table1[[Gene names]:[Gene names]])*1, 0))</f>
        <v>9.5899999999999997E-6</v>
      </c>
      <c r="G254" cm="1">
        <f t="array" ref="G254">INDEX(Table1[riBAQ 20], MATCH(1, (Table3[[#This Row],[Gene names]:[Gene names]] = Table1[[Gene names]:[Gene names]])*1, 0))</f>
        <v>1.24E-5</v>
      </c>
      <c r="H254" cm="1">
        <f t="array" ref="H254">INDEX(Table1[riBAQ 21], MATCH(1, (Table3[[#This Row],[Gene names]:[Gene names]] = Table1[[Gene names]:[Gene names]])*1, 0))</f>
        <v>9.8700000000000004E-6</v>
      </c>
      <c r="I254" cm="1">
        <f t="array" ref="I254">INDEX(Table1[riBAQ 22], MATCH(1, (Table3[[#This Row],[Gene names]:[Gene names]] = Table1[[Gene names]:[Gene names]])*1, 0))</f>
        <v>1.95E-5</v>
      </c>
      <c r="J254" cm="1">
        <f t="array" ref="J254">INDEX(Table1[riBAQ 23], MATCH(1, (Table3[[#This Row],[Gene names]:[Gene names]] = Table1[[Gene names]:[Gene names]])*1, 0))</f>
        <v>7.4200000000000001E-6</v>
      </c>
      <c r="K254" cm="1">
        <f t="array" ref="K254">INDEX(Table1[riBAQ 37], MATCH(1, (Table3[[#This Row],[Gene names]:[Gene names]] = Table1[[Gene names]:[Gene names]])*1, 0))</f>
        <v>1.17E-5</v>
      </c>
      <c r="L254" cm="1">
        <f t="array" ref="L254">INDEX(Table1[riBAQ 38], MATCH(1, (Table3[[#This Row],[Gene names]:[Gene names]] = Table1[[Gene names]:[Gene names]])*1, 0))</f>
        <v>1.7499999999999998E-5</v>
      </c>
      <c r="M254" cm="1">
        <f t="array" ref="M254">INDEX(Table1[riBAQ 39], MATCH(1, (Table3[[#This Row],[Gene names]:[Gene names]] = Table1[[Gene names]:[Gene names]])*1, 0))</f>
        <v>1.0000000000000001E-5</v>
      </c>
      <c r="N254" cm="1">
        <f t="array" ref="N254">INDEX(Table1[riBAQ 40], MATCH(1, (Table3[[#This Row],[Gene names]:[Gene names]] = Table1[[Gene names]:[Gene names]])*1, 0))</f>
        <v>8.8599999999999999E-6</v>
      </c>
      <c r="O254" cm="1">
        <f t="array" ref="O254">INDEX(Table1[riBAQ 41], MATCH(1, (Table3[[#This Row],[Gene names]:[Gene names]] = Table1[[Gene names]:[Gene names]])*1, 0))</f>
        <v>6.4400000000000002E-6</v>
      </c>
      <c r="P254" cm="1">
        <f t="array" ref="P254">INDEX(Table1[riBAQ 24], MATCH(1, (Table3[[#This Row],[Gene names]:[Gene names]] = Table1[[Gene names]:[Gene names]])*1, 0))</f>
        <v>1.8E-5</v>
      </c>
      <c r="Q254" cm="1">
        <f t="array" ref="Q254">INDEX(Table1[riBAQ 25], MATCH(1, (Table3[[#This Row],[Gene names]:[Gene names]] = Table1[[Gene names]:[Gene names]])*1, 0))</f>
        <v>4.5399999999999999E-5</v>
      </c>
      <c r="R254" cm="1">
        <f t="array" ref="R254">INDEX(Table1[riBAQ 26], MATCH(1, (Table3[[#This Row],[Gene names]:[Gene names]] = Table1[[Gene names]:[Gene names]])*1, 0))</f>
        <v>3.1199999999999999E-5</v>
      </c>
      <c r="S254" cm="1">
        <f t="array" ref="S254">INDEX(Table1[riBAQ 42], MATCH(1, (Table3[[#This Row],[Gene names]:[Gene names]] = Table1[[Gene names]:[Gene names]])*1, 0))</f>
        <v>2.7500000000000001E-5</v>
      </c>
      <c r="T254" cm="1">
        <f t="array" ref="T254">INDEX(Table1[riBAQ 43], MATCH(1, (Table3[[#This Row],[Gene names]:[Gene names]] = Table1[[Gene names]:[Gene names]])*1, 0))</f>
        <v>4.2200000000000003E-5</v>
      </c>
    </row>
    <row r="255" spans="1:20" x14ac:dyDescent="0.25">
      <c r="A255" t="s">
        <v>988</v>
      </c>
      <c r="B255" cm="1">
        <f t="array" ref="B255">INDEX(Table1[riBAQ 17], MATCH(1, (Table3[[#This Row],[Gene names]:[Gene names]] = Table1[[Gene names]:[Gene names]])*1, 0))</f>
        <v>2.4878500000000001E-4</v>
      </c>
      <c r="C255" cm="1">
        <f t="array" ref="C255">INDEX(Table1[riBAQ 18], MATCH(1, (Table3[[#This Row],[Gene names]:[Gene names]] = Table1[[Gene names]:[Gene names]])*1, 0))</f>
        <v>2.5935200000000002E-4</v>
      </c>
      <c r="D255" cm="1">
        <f t="array" ref="D255">INDEX(Table1[riBAQ 35], MATCH(1, (Table3[[#This Row],[Gene names]:[Gene names]] = Table1[[Gene names]:[Gene names]])*1, 0))</f>
        <v>2.7883399999999999E-4</v>
      </c>
      <c r="E255" cm="1">
        <f t="array" ref="E255">INDEX(Table1[riBAQ 36], MATCH(1, (Table3[[#This Row],[Gene names]:[Gene names]] = Table1[[Gene names]:[Gene names]])*1, 0))</f>
        <v>3.1086299999999998E-4</v>
      </c>
      <c r="F255" cm="1">
        <f t="array" ref="F255">INDEX(Table1[riBAQ 19], MATCH(1, (Table3[[#This Row],[Gene names]:[Gene names]] = Table1[[Gene names]:[Gene names]])*1, 0))</f>
        <v>5.3595400000000005E-4</v>
      </c>
      <c r="G255" cm="1">
        <f t="array" ref="G255">INDEX(Table1[riBAQ 20], MATCH(1, (Table3[[#This Row],[Gene names]:[Gene names]] = Table1[[Gene names]:[Gene names]])*1, 0))</f>
        <v>4.4458699999999998E-4</v>
      </c>
      <c r="H255" cm="1">
        <f t="array" ref="H255">INDEX(Table1[riBAQ 21], MATCH(1, (Table3[[#This Row],[Gene names]:[Gene names]] = Table1[[Gene names]:[Gene names]])*1, 0))</f>
        <v>2.7533400000000002E-4</v>
      </c>
      <c r="I255" cm="1">
        <f t="array" ref="I255">INDEX(Table1[riBAQ 22], MATCH(1, (Table3[[#This Row],[Gene names]:[Gene names]] = Table1[[Gene names]:[Gene names]])*1, 0))</f>
        <v>3.7196899999999999E-4</v>
      </c>
      <c r="J255" cm="1">
        <f t="array" ref="J255">INDEX(Table1[riBAQ 23], MATCH(1, (Table3[[#This Row],[Gene names]:[Gene names]] = Table1[[Gene names]:[Gene names]])*1, 0))</f>
        <v>4.5858999999999999E-4</v>
      </c>
      <c r="K255" cm="1">
        <f t="array" ref="K255">INDEX(Table1[riBAQ 37], MATCH(1, (Table3[[#This Row],[Gene names]:[Gene names]] = Table1[[Gene names]:[Gene names]])*1, 0))</f>
        <v>3.16738E-4</v>
      </c>
      <c r="L255" cm="1">
        <f t="array" ref="L255">INDEX(Table1[riBAQ 38], MATCH(1, (Table3[[#This Row],[Gene names]:[Gene names]] = Table1[[Gene names]:[Gene names]])*1, 0))</f>
        <v>4.9243699999999997E-4</v>
      </c>
      <c r="M255" cm="1">
        <f t="array" ref="M255">INDEX(Table1[riBAQ 39], MATCH(1, (Table3[[#This Row],[Gene names]:[Gene names]] = Table1[[Gene names]:[Gene names]])*1, 0))</f>
        <v>4.6923199999999998E-4</v>
      </c>
      <c r="N255" cm="1">
        <f t="array" ref="N255">INDEX(Table1[riBAQ 40], MATCH(1, (Table3[[#This Row],[Gene names]:[Gene names]] = Table1[[Gene names]:[Gene names]])*1, 0))</f>
        <v>3.3964800000000001E-4</v>
      </c>
      <c r="O255" cm="1">
        <f t="array" ref="O255">INDEX(Table1[riBAQ 41], MATCH(1, (Table3[[#This Row],[Gene names]:[Gene names]] = Table1[[Gene names]:[Gene names]])*1, 0))</f>
        <v>3.0844100000000001E-4</v>
      </c>
      <c r="P255" cm="1">
        <f t="array" ref="P255">INDEX(Table1[riBAQ 24], MATCH(1, (Table3[[#This Row],[Gene names]:[Gene names]] = Table1[[Gene names]:[Gene names]])*1, 0))</f>
        <v>5.0852700000000005E-4</v>
      </c>
      <c r="Q255" cm="1">
        <f t="array" ref="Q255">INDEX(Table1[riBAQ 25], MATCH(1, (Table3[[#This Row],[Gene names]:[Gene names]] = Table1[[Gene names]:[Gene names]])*1, 0))</f>
        <v>6.9657200000000001E-4</v>
      </c>
      <c r="R255" cm="1">
        <f t="array" ref="R255">INDEX(Table1[riBAQ 26], MATCH(1, (Table3[[#This Row],[Gene names]:[Gene names]] = Table1[[Gene names]:[Gene names]])*1, 0))</f>
        <v>4.8042499999999998E-4</v>
      </c>
      <c r="S255" cm="1">
        <f t="array" ref="S255">INDEX(Table1[riBAQ 42], MATCH(1, (Table3[[#This Row],[Gene names]:[Gene names]] = Table1[[Gene names]:[Gene names]])*1, 0))</f>
        <v>6.5914800000000003E-4</v>
      </c>
      <c r="T255" cm="1">
        <f t="array" ref="T255">INDEX(Table1[riBAQ 43], MATCH(1, (Table3[[#This Row],[Gene names]:[Gene names]] = Table1[[Gene names]:[Gene names]])*1, 0))</f>
        <v>5.5099100000000002E-4</v>
      </c>
    </row>
    <row r="256" spans="1:20" x14ac:dyDescent="0.25">
      <c r="A256" t="s">
        <v>104</v>
      </c>
      <c r="B256" cm="1">
        <f t="array" ref="B256">INDEX(Table1[riBAQ 17], MATCH(1, (Table3[[#This Row],[Gene names]:[Gene names]] = Table1[[Gene names]:[Gene names]])*1, 0))</f>
        <v>1.61569E-4</v>
      </c>
      <c r="C256" cm="1">
        <f t="array" ref="C256">INDEX(Table1[riBAQ 18], MATCH(1, (Table3[[#This Row],[Gene names]:[Gene names]] = Table1[[Gene names]:[Gene names]])*1, 0))</f>
        <v>1.3558E-4</v>
      </c>
      <c r="D256" cm="1">
        <f t="array" ref="D256">INDEX(Table1[riBAQ 35], MATCH(1, (Table3[[#This Row],[Gene names]:[Gene names]] = Table1[[Gene names]:[Gene names]])*1, 0))</f>
        <v>2.0718099999999999E-4</v>
      </c>
      <c r="E256" cm="1">
        <f t="array" ref="E256">INDEX(Table1[riBAQ 36], MATCH(1, (Table3[[#This Row],[Gene names]:[Gene names]] = Table1[[Gene names]:[Gene names]])*1, 0))</f>
        <v>1.53301E-4</v>
      </c>
      <c r="F256" cm="1">
        <f t="array" ref="F256">INDEX(Table1[riBAQ 19], MATCH(1, (Table3[[#This Row],[Gene names]:[Gene names]] = Table1[[Gene names]:[Gene names]])*1, 0))</f>
        <v>1.5187800000000001E-4</v>
      </c>
      <c r="G256" cm="1">
        <f t="array" ref="G256">INDEX(Table1[riBAQ 20], MATCH(1, (Table3[[#This Row],[Gene names]:[Gene names]] = Table1[[Gene names]:[Gene names]])*1, 0))</f>
        <v>1.9813200000000001E-4</v>
      </c>
      <c r="H256" cm="1">
        <f t="array" ref="H256">INDEX(Table1[riBAQ 21], MATCH(1, (Table3[[#This Row],[Gene names]:[Gene names]] = Table1[[Gene names]:[Gene names]])*1, 0))</f>
        <v>1.27923E-4</v>
      </c>
      <c r="I256" cm="1">
        <f t="array" ref="I256">INDEX(Table1[riBAQ 22], MATCH(1, (Table3[[#This Row],[Gene names]:[Gene names]] = Table1[[Gene names]:[Gene names]])*1, 0))</f>
        <v>1.40347E-4</v>
      </c>
      <c r="J256" cm="1">
        <f t="array" ref="J256">INDEX(Table1[riBAQ 23], MATCH(1, (Table3[[#This Row],[Gene names]:[Gene names]] = Table1[[Gene names]:[Gene names]])*1, 0))</f>
        <v>2.54386E-4</v>
      </c>
      <c r="K256" cm="1">
        <f t="array" ref="K256">INDEX(Table1[riBAQ 37], MATCH(1, (Table3[[#This Row],[Gene names]:[Gene names]] = Table1[[Gene names]:[Gene names]])*1, 0))</f>
        <v>1.4609000000000001E-4</v>
      </c>
      <c r="L256" cm="1">
        <f t="array" ref="L256">INDEX(Table1[riBAQ 38], MATCH(1, (Table3[[#This Row],[Gene names]:[Gene names]] = Table1[[Gene names]:[Gene names]])*1, 0))</f>
        <v>2.5206499999999999E-4</v>
      </c>
      <c r="M256" cm="1">
        <f t="array" ref="M256">INDEX(Table1[riBAQ 39], MATCH(1, (Table3[[#This Row],[Gene names]:[Gene names]] = Table1[[Gene names]:[Gene names]])*1, 0))</f>
        <v>2.0011599999999999E-4</v>
      </c>
      <c r="N256" cm="1">
        <f t="array" ref="N256">INDEX(Table1[riBAQ 40], MATCH(1, (Table3[[#This Row],[Gene names]:[Gene names]] = Table1[[Gene names]:[Gene names]])*1, 0))</f>
        <v>3.9452200000000002E-4</v>
      </c>
      <c r="O256" cm="1">
        <f t="array" ref="O256">INDEX(Table1[riBAQ 41], MATCH(1, (Table3[[#This Row],[Gene names]:[Gene names]] = Table1[[Gene names]:[Gene names]])*1, 0))</f>
        <v>2.21972E-4</v>
      </c>
      <c r="P256" cm="1">
        <f t="array" ref="P256">INDEX(Table1[riBAQ 24], MATCH(1, (Table3[[#This Row],[Gene names]:[Gene names]] = Table1[[Gene names]:[Gene names]])*1, 0))</f>
        <v>4.12407E-4</v>
      </c>
      <c r="Q256" cm="1">
        <f t="array" ref="Q256">INDEX(Table1[riBAQ 25], MATCH(1, (Table3[[#This Row],[Gene names]:[Gene names]] = Table1[[Gene names]:[Gene names]])*1, 0))</f>
        <v>4.0175299999999997E-4</v>
      </c>
      <c r="R256" cm="1">
        <f t="array" ref="R256">INDEX(Table1[riBAQ 26], MATCH(1, (Table3[[#This Row],[Gene names]:[Gene names]] = Table1[[Gene names]:[Gene names]])*1, 0))</f>
        <v>2.99971E-4</v>
      </c>
      <c r="S256" cm="1">
        <f t="array" ref="S256">INDEX(Table1[riBAQ 42], MATCH(1, (Table3[[#This Row],[Gene names]:[Gene names]] = Table1[[Gene names]:[Gene names]])*1, 0))</f>
        <v>2.67266E-4</v>
      </c>
      <c r="T256" cm="1">
        <f t="array" ref="T256">INDEX(Table1[riBAQ 43], MATCH(1, (Table3[[#This Row],[Gene names]:[Gene names]] = Table1[[Gene names]:[Gene names]])*1, 0))</f>
        <v>3.5174499999999999E-4</v>
      </c>
    </row>
    <row r="257" spans="1:20" x14ac:dyDescent="0.25">
      <c r="A257" t="s">
        <v>103</v>
      </c>
      <c r="B257" cm="1">
        <f t="array" ref="B257">INDEX(Table1[riBAQ 17], MATCH(1, (Table3[[#This Row],[Gene names]:[Gene names]] = Table1[[Gene names]:[Gene names]])*1, 0))</f>
        <v>1.74747E-4</v>
      </c>
      <c r="C257" cm="1">
        <f t="array" ref="C257">INDEX(Table1[riBAQ 18], MATCH(1, (Table3[[#This Row],[Gene names]:[Gene names]] = Table1[[Gene names]:[Gene names]])*1, 0))</f>
        <v>1.7293000000000001E-4</v>
      </c>
      <c r="D257" cm="1">
        <f t="array" ref="D257">INDEX(Table1[riBAQ 35], MATCH(1, (Table3[[#This Row],[Gene names]:[Gene names]] = Table1[[Gene names]:[Gene names]])*1, 0))</f>
        <v>1.8713099999999999E-4</v>
      </c>
      <c r="E257" cm="1">
        <f t="array" ref="E257">INDEX(Table1[riBAQ 36], MATCH(1, (Table3[[#This Row],[Gene names]:[Gene names]] = Table1[[Gene names]:[Gene names]])*1, 0))</f>
        <v>1.83003E-4</v>
      </c>
      <c r="F257" cm="1">
        <f t="array" ref="F257">INDEX(Table1[riBAQ 19], MATCH(1, (Table3[[#This Row],[Gene names]:[Gene names]] = Table1[[Gene names]:[Gene names]])*1, 0))</f>
        <v>2.2959900000000001E-4</v>
      </c>
      <c r="G257" cm="1">
        <f t="array" ref="G257">INDEX(Table1[riBAQ 20], MATCH(1, (Table3[[#This Row],[Gene names]:[Gene names]] = Table1[[Gene names]:[Gene names]])*1, 0))</f>
        <v>2.6987400000000003E-4</v>
      </c>
      <c r="H257" cm="1">
        <f t="array" ref="H257">INDEX(Table1[riBAQ 21], MATCH(1, (Table3[[#This Row],[Gene names]:[Gene names]] = Table1[[Gene names]:[Gene names]])*1, 0))</f>
        <v>3.42815E-4</v>
      </c>
      <c r="I257" cm="1">
        <f t="array" ref="I257">INDEX(Table1[riBAQ 22], MATCH(1, (Table3[[#This Row],[Gene names]:[Gene names]] = Table1[[Gene names]:[Gene names]])*1, 0))</f>
        <v>2.4978499999999998E-4</v>
      </c>
      <c r="J257" cm="1">
        <f t="array" ref="J257">INDEX(Table1[riBAQ 23], MATCH(1, (Table3[[#This Row],[Gene names]:[Gene names]] = Table1[[Gene names]:[Gene names]])*1, 0))</f>
        <v>1.7556599999999999E-4</v>
      </c>
      <c r="K257" cm="1">
        <f t="array" ref="K257">INDEX(Table1[riBAQ 37], MATCH(1, (Table3[[#This Row],[Gene names]:[Gene names]] = Table1[[Gene names]:[Gene names]])*1, 0))</f>
        <v>1.5635200000000001E-4</v>
      </c>
      <c r="L257" cm="1">
        <f t="array" ref="L257">INDEX(Table1[riBAQ 38], MATCH(1, (Table3[[#This Row],[Gene names]:[Gene names]] = Table1[[Gene names]:[Gene names]])*1, 0))</f>
        <v>2.0492700000000001E-4</v>
      </c>
      <c r="M257" cm="1">
        <f t="array" ref="M257">INDEX(Table1[riBAQ 39], MATCH(1, (Table3[[#This Row],[Gene names]:[Gene names]] = Table1[[Gene names]:[Gene names]])*1, 0))</f>
        <v>2.1085799999999999E-4</v>
      </c>
      <c r="N257" cm="1">
        <f t="array" ref="N257">INDEX(Table1[riBAQ 40], MATCH(1, (Table3[[#This Row],[Gene names]:[Gene names]] = Table1[[Gene names]:[Gene names]])*1, 0))</f>
        <v>2.1499900000000001E-4</v>
      </c>
      <c r="O257" cm="1">
        <f t="array" ref="O257">INDEX(Table1[riBAQ 41], MATCH(1, (Table3[[#This Row],[Gene names]:[Gene names]] = Table1[[Gene names]:[Gene names]])*1, 0))</f>
        <v>1.5793599999999999E-4</v>
      </c>
      <c r="P257" cm="1">
        <f t="array" ref="P257">INDEX(Table1[riBAQ 24], MATCH(1, (Table3[[#This Row],[Gene names]:[Gene names]] = Table1[[Gene names]:[Gene names]])*1, 0))</f>
        <v>3.6509299999999998E-4</v>
      </c>
      <c r="Q257" cm="1">
        <f t="array" ref="Q257">INDEX(Table1[riBAQ 25], MATCH(1, (Table3[[#This Row],[Gene names]:[Gene names]] = Table1[[Gene names]:[Gene names]])*1, 0))</f>
        <v>6.0729000000000002E-4</v>
      </c>
      <c r="R257" cm="1">
        <f t="array" ref="R257">INDEX(Table1[riBAQ 26], MATCH(1, (Table3[[#This Row],[Gene names]:[Gene names]] = Table1[[Gene names]:[Gene names]])*1, 0))</f>
        <v>4.0899600000000001E-4</v>
      </c>
      <c r="S257" cm="1">
        <f t="array" ref="S257">INDEX(Table1[riBAQ 42], MATCH(1, (Table3[[#This Row],[Gene names]:[Gene names]] = Table1[[Gene names]:[Gene names]])*1, 0))</f>
        <v>4.059E-4</v>
      </c>
      <c r="T257" cm="1">
        <f t="array" ref="T257">INDEX(Table1[riBAQ 43], MATCH(1, (Table3[[#This Row],[Gene names]:[Gene names]] = Table1[[Gene names]:[Gene names]])*1, 0))</f>
        <v>5.2816500000000004E-4</v>
      </c>
    </row>
    <row r="258" spans="1:20" x14ac:dyDescent="0.25">
      <c r="A258" t="s">
        <v>102</v>
      </c>
      <c r="B258" cm="1">
        <f t="array" ref="B258">INDEX(Table1[riBAQ 17], MATCH(1, (Table3[[#This Row],[Gene names]:[Gene names]] = Table1[[Gene names]:[Gene names]])*1, 0))</f>
        <v>1.6213600000000001E-4</v>
      </c>
      <c r="C258" cm="1">
        <f t="array" ref="C258">INDEX(Table1[riBAQ 18], MATCH(1, (Table3[[#This Row],[Gene names]:[Gene names]] = Table1[[Gene names]:[Gene names]])*1, 0))</f>
        <v>7.8800000000000004E-5</v>
      </c>
      <c r="D258" cm="1">
        <f t="array" ref="D258">INDEX(Table1[riBAQ 35], MATCH(1, (Table3[[#This Row],[Gene names]:[Gene names]] = Table1[[Gene names]:[Gene names]])*1, 0))</f>
        <v>9.1899999999999998E-5</v>
      </c>
      <c r="E258" cm="1">
        <f t="array" ref="E258">INDEX(Table1[riBAQ 36], MATCH(1, (Table3[[#This Row],[Gene names]:[Gene names]] = Table1[[Gene names]:[Gene names]])*1, 0))</f>
        <v>9.7399999999999996E-5</v>
      </c>
      <c r="F258" cm="1">
        <f t="array" ref="F258">INDEX(Table1[riBAQ 19], MATCH(1, (Table3[[#This Row],[Gene names]:[Gene names]] = Table1[[Gene names]:[Gene names]])*1, 0))</f>
        <v>1.99767E-4</v>
      </c>
      <c r="G258" cm="1">
        <f t="array" ref="G258">INDEX(Table1[riBAQ 20], MATCH(1, (Table3[[#This Row],[Gene names]:[Gene names]] = Table1[[Gene names]:[Gene names]])*1, 0))</f>
        <v>1.2546500000000001E-4</v>
      </c>
      <c r="H258" cm="1">
        <f t="array" ref="H258">INDEX(Table1[riBAQ 21], MATCH(1, (Table3[[#This Row],[Gene names]:[Gene names]] = Table1[[Gene names]:[Gene names]])*1, 0))</f>
        <v>1.3841099999999999E-4</v>
      </c>
      <c r="I258" cm="1">
        <f t="array" ref="I258">INDEX(Table1[riBAQ 22], MATCH(1, (Table3[[#This Row],[Gene names]:[Gene names]] = Table1[[Gene names]:[Gene names]])*1, 0))</f>
        <v>1.3393899999999999E-4</v>
      </c>
      <c r="J258" cm="1">
        <f t="array" ref="J258">INDEX(Table1[riBAQ 23], MATCH(1, (Table3[[#This Row],[Gene names]:[Gene names]] = Table1[[Gene names]:[Gene names]])*1, 0))</f>
        <v>2.2960999999999999E-4</v>
      </c>
      <c r="K258" cm="1">
        <f t="array" ref="K258">INDEX(Table1[riBAQ 37], MATCH(1, (Table3[[#This Row],[Gene names]:[Gene names]] = Table1[[Gene names]:[Gene names]])*1, 0))</f>
        <v>1.5271800000000001E-4</v>
      </c>
      <c r="L258" cm="1">
        <f t="array" ref="L258">INDEX(Table1[riBAQ 38], MATCH(1, (Table3[[#This Row],[Gene names]:[Gene names]] = Table1[[Gene names]:[Gene names]])*1, 0))</f>
        <v>1.5720600000000001E-4</v>
      </c>
      <c r="M258" cm="1">
        <f t="array" ref="M258">INDEX(Table1[riBAQ 39], MATCH(1, (Table3[[#This Row],[Gene names]:[Gene names]] = Table1[[Gene names]:[Gene names]])*1, 0))</f>
        <v>1.83778E-4</v>
      </c>
      <c r="N258" cm="1">
        <f t="array" ref="N258">INDEX(Table1[riBAQ 40], MATCH(1, (Table3[[#This Row],[Gene names]:[Gene names]] = Table1[[Gene names]:[Gene names]])*1, 0))</f>
        <v>2.5586700000000001E-4</v>
      </c>
      <c r="O258" cm="1">
        <f t="array" ref="O258">INDEX(Table1[riBAQ 41], MATCH(1, (Table3[[#This Row],[Gene names]:[Gene names]] = Table1[[Gene names]:[Gene names]])*1, 0))</f>
        <v>2.17338E-4</v>
      </c>
      <c r="P258" cm="1">
        <f t="array" ref="P258">INDEX(Table1[riBAQ 24], MATCH(1, (Table3[[#This Row],[Gene names]:[Gene names]] = Table1[[Gene names]:[Gene names]])*1, 0))</f>
        <v>1.8049299999999999E-4</v>
      </c>
      <c r="Q258" cm="1">
        <f t="array" ref="Q258">INDEX(Table1[riBAQ 25], MATCH(1, (Table3[[#This Row],[Gene names]:[Gene names]] = Table1[[Gene names]:[Gene names]])*1, 0))</f>
        <v>4.4628199999999999E-4</v>
      </c>
      <c r="R258" cm="1">
        <f t="array" ref="R258">INDEX(Table1[riBAQ 26], MATCH(1, (Table3[[#This Row],[Gene names]:[Gene names]] = Table1[[Gene names]:[Gene names]])*1, 0))</f>
        <v>5.2833199999999996E-4</v>
      </c>
      <c r="S258" cm="1">
        <f t="array" ref="S258">INDEX(Table1[riBAQ 42], MATCH(1, (Table3[[#This Row],[Gene names]:[Gene names]] = Table1[[Gene names]:[Gene names]])*1, 0))</f>
        <v>4.6570900000000002E-4</v>
      </c>
      <c r="T258" cm="1">
        <f t="array" ref="T258">INDEX(Table1[riBAQ 43], MATCH(1, (Table3[[#This Row],[Gene names]:[Gene names]] = Table1[[Gene names]:[Gene names]])*1, 0))</f>
        <v>4.2946500000000002E-4</v>
      </c>
    </row>
    <row r="259" spans="1:20" x14ac:dyDescent="0.25">
      <c r="A259" t="s">
        <v>925</v>
      </c>
      <c r="B259" cm="1">
        <f t="array" ref="B259">INDEX(Table1[riBAQ 17], MATCH(1, (Table3[[#This Row],[Gene names]:[Gene names]] = Table1[[Gene names]:[Gene names]])*1, 0))</f>
        <v>7.49889E-4</v>
      </c>
      <c r="C259" cm="1">
        <f t="array" ref="C259">INDEX(Table1[riBAQ 18], MATCH(1, (Table3[[#This Row],[Gene names]:[Gene names]] = Table1[[Gene names]:[Gene names]])*1, 0))</f>
        <v>6.7259299999999998E-4</v>
      </c>
      <c r="D259" cm="1">
        <f t="array" ref="D259">INDEX(Table1[riBAQ 35], MATCH(1, (Table3[[#This Row],[Gene names]:[Gene names]] = Table1[[Gene names]:[Gene names]])*1, 0))</f>
        <v>6.1519299999999999E-4</v>
      </c>
      <c r="E259" cm="1">
        <f t="array" ref="E259">INDEX(Table1[riBAQ 36], MATCH(1, (Table3[[#This Row],[Gene names]:[Gene names]] = Table1[[Gene names]:[Gene names]])*1, 0))</f>
        <v>5.6170299999999999E-4</v>
      </c>
      <c r="F259" cm="1">
        <f t="array" ref="F259">INDEX(Table1[riBAQ 19], MATCH(1, (Table3[[#This Row],[Gene names]:[Gene names]] = Table1[[Gene names]:[Gene names]])*1, 0))</f>
        <v>8.7698500000000005E-4</v>
      </c>
      <c r="G259" cm="1">
        <f t="array" ref="G259">INDEX(Table1[riBAQ 20], MATCH(1, (Table3[[#This Row],[Gene names]:[Gene names]] = Table1[[Gene names]:[Gene names]])*1, 0))</f>
        <v>5.3328900000000005E-4</v>
      </c>
      <c r="H259" cm="1">
        <f t="array" ref="H259">INDEX(Table1[riBAQ 21], MATCH(1, (Table3[[#This Row],[Gene names]:[Gene names]] = Table1[[Gene names]:[Gene names]])*1, 0))</f>
        <v>5.44503E-4</v>
      </c>
      <c r="I259" cm="1">
        <f t="array" ref="I259">INDEX(Table1[riBAQ 22], MATCH(1, (Table3[[#This Row],[Gene names]:[Gene names]] = Table1[[Gene names]:[Gene names]])*1, 0))</f>
        <v>5.1669599999999997E-4</v>
      </c>
      <c r="J259" cm="1">
        <f t="array" ref="J259">INDEX(Table1[riBAQ 23], MATCH(1, (Table3[[#This Row],[Gene names]:[Gene names]] = Table1[[Gene names]:[Gene names]])*1, 0))</f>
        <v>6.0508899999999995E-4</v>
      </c>
      <c r="K259" cm="1">
        <f t="array" ref="K259">INDEX(Table1[riBAQ 37], MATCH(1, (Table3[[#This Row],[Gene names]:[Gene names]] = Table1[[Gene names]:[Gene names]])*1, 0))</f>
        <v>6.6872500000000001E-4</v>
      </c>
      <c r="L259" cm="1">
        <f t="array" ref="L259">INDEX(Table1[riBAQ 38], MATCH(1, (Table3[[#This Row],[Gene names]:[Gene names]] = Table1[[Gene names]:[Gene names]])*1, 0))</f>
        <v>7.0438599999999999E-4</v>
      </c>
      <c r="M259" cm="1">
        <f t="array" ref="M259">INDEX(Table1[riBAQ 39], MATCH(1, (Table3[[#This Row],[Gene names]:[Gene names]] = Table1[[Gene names]:[Gene names]])*1, 0))</f>
        <v>6.4610000000000004E-4</v>
      </c>
      <c r="N259" cm="1">
        <f t="array" ref="N259">INDEX(Table1[riBAQ 40], MATCH(1, (Table3[[#This Row],[Gene names]:[Gene names]] = Table1[[Gene names]:[Gene names]])*1, 0))</f>
        <v>5.7586099999999999E-4</v>
      </c>
      <c r="O259" cm="1">
        <f t="array" ref="O259">INDEX(Table1[riBAQ 41], MATCH(1, (Table3[[#This Row],[Gene names]:[Gene names]] = Table1[[Gene names]:[Gene names]])*1, 0))</f>
        <v>5.2725299999999999E-4</v>
      </c>
      <c r="P259" cm="1">
        <f t="array" ref="P259">INDEX(Table1[riBAQ 24], MATCH(1, (Table3[[#This Row],[Gene names]:[Gene names]] = Table1[[Gene names]:[Gene names]])*1, 0))</f>
        <v>4.3434099999999998E-4</v>
      </c>
      <c r="Q259" cm="1">
        <f t="array" ref="Q259">INDEX(Table1[riBAQ 25], MATCH(1, (Table3[[#This Row],[Gene names]:[Gene names]] = Table1[[Gene names]:[Gene names]])*1, 0))</f>
        <v>3.78515E-4</v>
      </c>
      <c r="R259" cm="1">
        <f t="array" ref="R259">INDEX(Table1[riBAQ 26], MATCH(1, (Table3[[#This Row],[Gene names]:[Gene names]] = Table1[[Gene names]:[Gene names]])*1, 0))</f>
        <v>2.6732999999999998E-4</v>
      </c>
      <c r="S259" cm="1">
        <f t="array" ref="S259">INDEX(Table1[riBAQ 42], MATCH(1, (Table3[[#This Row],[Gene names]:[Gene names]] = Table1[[Gene names]:[Gene names]])*1, 0))</f>
        <v>2.6247500000000002E-4</v>
      </c>
      <c r="T259" cm="1">
        <f t="array" ref="T259">INDEX(Table1[riBAQ 43], MATCH(1, (Table3[[#This Row],[Gene names]:[Gene names]] = Table1[[Gene names]:[Gene names]])*1, 0))</f>
        <v>3.9995200000000002E-4</v>
      </c>
    </row>
    <row r="260" spans="1:20" x14ac:dyDescent="0.25">
      <c r="A260" t="s">
        <v>1103</v>
      </c>
      <c r="B260" cm="1">
        <f t="array" ref="B260">INDEX(Table1[riBAQ 17], MATCH(1, (Table3[[#This Row],[Gene names]:[Gene names]] = Table1[[Gene names]:[Gene names]])*1, 0))</f>
        <v>3.7700000000000002E-5</v>
      </c>
      <c r="C260" cm="1">
        <f t="array" ref="C260">INDEX(Table1[riBAQ 18], MATCH(1, (Table3[[#This Row],[Gene names]:[Gene names]] = Table1[[Gene names]:[Gene names]])*1, 0))</f>
        <v>0</v>
      </c>
      <c r="D260" cm="1">
        <f t="array" ref="D260">INDEX(Table1[riBAQ 35], MATCH(1, (Table3[[#This Row],[Gene names]:[Gene names]] = Table1[[Gene names]:[Gene names]])*1, 0))</f>
        <v>0</v>
      </c>
      <c r="E260" cm="1">
        <f t="array" ref="E260">INDEX(Table1[riBAQ 36], MATCH(1, (Table3[[#This Row],[Gene names]:[Gene names]] = Table1[[Gene names]:[Gene names]])*1, 0))</f>
        <v>0</v>
      </c>
      <c r="F260" cm="1">
        <f t="array" ref="F260">INDEX(Table1[riBAQ 19], MATCH(1, (Table3[[#This Row],[Gene names]:[Gene names]] = Table1[[Gene names]:[Gene names]])*1, 0))</f>
        <v>0</v>
      </c>
      <c r="G260" cm="1">
        <f t="array" ref="G260">INDEX(Table1[riBAQ 20], MATCH(1, (Table3[[#This Row],[Gene names]:[Gene names]] = Table1[[Gene names]:[Gene names]])*1, 0))</f>
        <v>0</v>
      </c>
      <c r="H260" cm="1">
        <f t="array" ref="H260">INDEX(Table1[riBAQ 21], MATCH(1, (Table3[[#This Row],[Gene names]:[Gene names]] = Table1[[Gene names]:[Gene names]])*1, 0))</f>
        <v>6.7000000000000002E-5</v>
      </c>
      <c r="I260" cm="1">
        <f t="array" ref="I260">INDEX(Table1[riBAQ 22], MATCH(1, (Table3[[#This Row],[Gene names]:[Gene names]] = Table1[[Gene names]:[Gene names]])*1, 0))</f>
        <v>0</v>
      </c>
      <c r="J260" cm="1">
        <f t="array" ref="J260">INDEX(Table1[riBAQ 23], MATCH(1, (Table3[[#This Row],[Gene names]:[Gene names]] = Table1[[Gene names]:[Gene names]])*1, 0))</f>
        <v>0</v>
      </c>
      <c r="K260" cm="1">
        <f t="array" ref="K260">INDEX(Table1[riBAQ 37], MATCH(1, (Table3[[#This Row],[Gene names]:[Gene names]] = Table1[[Gene names]:[Gene names]])*1, 0))</f>
        <v>4.6100000000000002E-5</v>
      </c>
      <c r="L260" cm="1">
        <f t="array" ref="L260">INDEX(Table1[riBAQ 38], MATCH(1, (Table3[[#This Row],[Gene names]:[Gene names]] = Table1[[Gene names]:[Gene names]])*1, 0))</f>
        <v>0</v>
      </c>
      <c r="M260" cm="1">
        <f t="array" ref="M260">INDEX(Table1[riBAQ 39], MATCH(1, (Table3[[#This Row],[Gene names]:[Gene names]] = Table1[[Gene names]:[Gene names]])*1, 0))</f>
        <v>0</v>
      </c>
      <c r="N260" cm="1">
        <f t="array" ref="N260">INDEX(Table1[riBAQ 40], MATCH(1, (Table3[[#This Row],[Gene names]:[Gene names]] = Table1[[Gene names]:[Gene names]])*1, 0))</f>
        <v>0</v>
      </c>
      <c r="O260" cm="1">
        <f t="array" ref="O260">INDEX(Table1[riBAQ 41], MATCH(1, (Table3[[#This Row],[Gene names]:[Gene names]] = Table1[[Gene names]:[Gene names]])*1, 0))</f>
        <v>0</v>
      </c>
      <c r="P260" cm="1">
        <f t="array" ref="P260">INDEX(Table1[riBAQ 24], MATCH(1, (Table3[[#This Row],[Gene names]:[Gene names]] = Table1[[Gene names]:[Gene names]])*1, 0))</f>
        <v>0</v>
      </c>
      <c r="Q260" cm="1">
        <f t="array" ref="Q260">INDEX(Table1[riBAQ 25], MATCH(1, (Table3[[#This Row],[Gene names]:[Gene names]] = Table1[[Gene names]:[Gene names]])*1, 0))</f>
        <v>1.73287E-4</v>
      </c>
      <c r="R260" cm="1">
        <f t="array" ref="R260">INDEX(Table1[riBAQ 26], MATCH(1, (Table3[[#This Row],[Gene names]:[Gene names]] = Table1[[Gene names]:[Gene names]])*1, 0))</f>
        <v>8.6799999999999996E-5</v>
      </c>
      <c r="S260" cm="1">
        <f t="array" ref="S260">INDEX(Table1[riBAQ 42], MATCH(1, (Table3[[#This Row],[Gene names]:[Gene names]] = Table1[[Gene names]:[Gene names]])*1, 0))</f>
        <v>3.2400000000000001E-5</v>
      </c>
      <c r="T260" cm="1">
        <f t="array" ref="T260">INDEX(Table1[riBAQ 43], MATCH(1, (Table3[[#This Row],[Gene names]:[Gene names]] = Table1[[Gene names]:[Gene names]])*1, 0))</f>
        <v>2.8297899999999999E-4</v>
      </c>
    </row>
    <row r="261" spans="1:20" x14ac:dyDescent="0.25">
      <c r="A261" t="s">
        <v>1798</v>
      </c>
      <c r="B261" cm="1">
        <f t="array" ref="B261">INDEX(Table1[riBAQ 17], MATCH(1, (Table3[[#This Row],[Gene names]:[Gene names]] = Table1[[Gene names]:[Gene names]])*1, 0))</f>
        <v>1.10542E-4</v>
      </c>
      <c r="C261" cm="1">
        <f t="array" ref="C261">INDEX(Table1[riBAQ 18], MATCH(1, (Table3[[#This Row],[Gene names]:[Gene names]] = Table1[[Gene names]:[Gene names]])*1, 0))</f>
        <v>0</v>
      </c>
      <c r="D261" cm="1">
        <f t="array" ref="D261">INDEX(Table1[riBAQ 35], MATCH(1, (Table3[[#This Row],[Gene names]:[Gene names]] = Table1[[Gene names]:[Gene names]])*1, 0))</f>
        <v>4.1699999999999997E-5</v>
      </c>
      <c r="E261" cm="1">
        <f t="array" ref="E261">INDEX(Table1[riBAQ 36], MATCH(1, (Table3[[#This Row],[Gene names]:[Gene names]] = Table1[[Gene names]:[Gene names]])*1, 0))</f>
        <v>0</v>
      </c>
      <c r="F261" cm="1">
        <f t="array" ref="F261">INDEX(Table1[riBAQ 19], MATCH(1, (Table3[[#This Row],[Gene names]:[Gene names]] = Table1[[Gene names]:[Gene names]])*1, 0))</f>
        <v>1.14201E-4</v>
      </c>
      <c r="G261" cm="1">
        <f t="array" ref="G261">INDEX(Table1[riBAQ 20], MATCH(1, (Table3[[#This Row],[Gene names]:[Gene names]] = Table1[[Gene names]:[Gene names]])*1, 0))</f>
        <v>1.2688099999999999E-4</v>
      </c>
      <c r="H261" cm="1">
        <f t="array" ref="H261">INDEX(Table1[riBAQ 21], MATCH(1, (Table3[[#This Row],[Gene names]:[Gene names]] = Table1[[Gene names]:[Gene names]])*1, 0))</f>
        <v>9.7100000000000002E-5</v>
      </c>
      <c r="I261" cm="1">
        <f t="array" ref="I261">INDEX(Table1[riBAQ 22], MATCH(1, (Table3[[#This Row],[Gene names]:[Gene names]] = Table1[[Gene names]:[Gene names]])*1, 0))</f>
        <v>1.0574200000000001E-4</v>
      </c>
      <c r="J261" cm="1">
        <f t="array" ref="J261">INDEX(Table1[riBAQ 23], MATCH(1, (Table3[[#This Row],[Gene names]:[Gene names]] = Table1[[Gene names]:[Gene names]])*1, 0))</f>
        <v>8.1799999999999996E-5</v>
      </c>
      <c r="K261" cm="1">
        <f t="array" ref="K261">INDEX(Table1[riBAQ 37], MATCH(1, (Table3[[#This Row],[Gene names]:[Gene names]] = Table1[[Gene names]:[Gene names]])*1, 0))</f>
        <v>1.1435E-4</v>
      </c>
      <c r="L261" cm="1">
        <f t="array" ref="L261">INDEX(Table1[riBAQ 38], MATCH(1, (Table3[[#This Row],[Gene names]:[Gene names]] = Table1[[Gene names]:[Gene names]])*1, 0))</f>
        <v>4.71E-5</v>
      </c>
      <c r="M261" cm="1">
        <f t="array" ref="M261">INDEX(Table1[riBAQ 39], MATCH(1, (Table3[[#This Row],[Gene names]:[Gene names]] = Table1[[Gene names]:[Gene names]])*1, 0))</f>
        <v>7.2799999999999994E-5</v>
      </c>
      <c r="N261" cm="1">
        <f t="array" ref="N261">INDEX(Table1[riBAQ 40], MATCH(1, (Table3[[#This Row],[Gene names]:[Gene names]] = Table1[[Gene names]:[Gene names]])*1, 0))</f>
        <v>6.0999999999999999E-5</v>
      </c>
      <c r="O261" cm="1">
        <f t="array" ref="O261">INDEX(Table1[riBAQ 41], MATCH(1, (Table3[[#This Row],[Gene names]:[Gene names]] = Table1[[Gene names]:[Gene names]])*1, 0))</f>
        <v>0</v>
      </c>
      <c r="P261" cm="1">
        <f t="array" ref="P261">INDEX(Table1[riBAQ 24], MATCH(1, (Table3[[#This Row],[Gene names]:[Gene names]] = Table1[[Gene names]:[Gene names]])*1, 0))</f>
        <v>1.7093800000000001E-4</v>
      </c>
      <c r="Q261" cm="1">
        <f t="array" ref="Q261">INDEX(Table1[riBAQ 25], MATCH(1, (Table3[[#This Row],[Gene names]:[Gene names]] = Table1[[Gene names]:[Gene names]])*1, 0))</f>
        <v>5.1542199999999997E-4</v>
      </c>
      <c r="R261" cm="1">
        <f t="array" ref="R261">INDEX(Table1[riBAQ 26], MATCH(1, (Table3[[#This Row],[Gene names]:[Gene names]] = Table1[[Gene names]:[Gene names]])*1, 0))</f>
        <v>2.6386600000000002E-4</v>
      </c>
      <c r="S261" cm="1">
        <f t="array" ref="S261">INDEX(Table1[riBAQ 42], MATCH(1, (Table3[[#This Row],[Gene names]:[Gene names]] = Table1[[Gene names]:[Gene names]])*1, 0))</f>
        <v>1.6048700000000001E-4</v>
      </c>
      <c r="T261" cm="1">
        <f t="array" ref="T261">INDEX(Table1[riBAQ 43], MATCH(1, (Table3[[#This Row],[Gene names]:[Gene names]] = Table1[[Gene names]:[Gene names]])*1, 0))</f>
        <v>6.9338400000000001E-4</v>
      </c>
    </row>
    <row r="262" spans="1:20" x14ac:dyDescent="0.25">
      <c r="A262" t="s">
        <v>1220</v>
      </c>
      <c r="B262" cm="1">
        <f t="array" ref="B262">INDEX(Table1[riBAQ 17], MATCH(1, (Table3[[#This Row],[Gene names]:[Gene names]] = Table1[[Gene names]:[Gene names]])*1, 0))</f>
        <v>2.05E-5</v>
      </c>
      <c r="C262" cm="1">
        <f t="array" ref="C262">INDEX(Table1[riBAQ 18], MATCH(1, (Table3[[#This Row],[Gene names]:[Gene names]] = Table1[[Gene names]:[Gene names]])*1, 0))</f>
        <v>0</v>
      </c>
      <c r="D262" cm="1">
        <f t="array" ref="D262">INDEX(Table1[riBAQ 35], MATCH(1, (Table3[[#This Row],[Gene names]:[Gene names]] = Table1[[Gene names]:[Gene names]])*1, 0))</f>
        <v>1.27E-5</v>
      </c>
      <c r="E262" cm="1">
        <f t="array" ref="E262">INDEX(Table1[riBAQ 36], MATCH(1, (Table3[[#This Row],[Gene names]:[Gene names]] = Table1[[Gene names]:[Gene names]])*1, 0))</f>
        <v>1.2099999999999999E-5</v>
      </c>
      <c r="F262" cm="1">
        <f t="array" ref="F262">INDEX(Table1[riBAQ 19], MATCH(1, (Table3[[#This Row],[Gene names]:[Gene names]] = Table1[[Gene names]:[Gene names]])*1, 0))</f>
        <v>2.3E-5</v>
      </c>
      <c r="G262" cm="1">
        <f t="array" ref="G262">INDEX(Table1[riBAQ 20], MATCH(1, (Table3[[#This Row],[Gene names]:[Gene names]] = Table1[[Gene names]:[Gene names]])*1, 0))</f>
        <v>2.44E-5</v>
      </c>
      <c r="H262" cm="1">
        <f t="array" ref="H262">INDEX(Table1[riBAQ 21], MATCH(1, (Table3[[#This Row],[Gene names]:[Gene names]] = Table1[[Gene names]:[Gene names]])*1, 0))</f>
        <v>2.3900000000000002E-5</v>
      </c>
      <c r="I262" cm="1">
        <f t="array" ref="I262">INDEX(Table1[riBAQ 22], MATCH(1, (Table3[[#This Row],[Gene names]:[Gene names]] = Table1[[Gene names]:[Gene names]])*1, 0))</f>
        <v>2.83E-5</v>
      </c>
      <c r="J262" cm="1">
        <f t="array" ref="J262">INDEX(Table1[riBAQ 23], MATCH(1, (Table3[[#This Row],[Gene names]:[Gene names]] = Table1[[Gene names]:[Gene names]])*1, 0))</f>
        <v>2.9099999999999999E-5</v>
      </c>
      <c r="K262" cm="1">
        <f t="array" ref="K262">INDEX(Table1[riBAQ 37], MATCH(1, (Table3[[#This Row],[Gene names]:[Gene names]] = Table1[[Gene names]:[Gene names]])*1, 0))</f>
        <v>1.6900000000000001E-5</v>
      </c>
      <c r="L262" cm="1">
        <f t="array" ref="L262">INDEX(Table1[riBAQ 38], MATCH(1, (Table3[[#This Row],[Gene names]:[Gene names]] = Table1[[Gene names]:[Gene names]])*1, 0))</f>
        <v>1.34E-5</v>
      </c>
      <c r="M262" cm="1">
        <f t="array" ref="M262">INDEX(Table1[riBAQ 39], MATCH(1, (Table3[[#This Row],[Gene names]:[Gene names]] = Table1[[Gene names]:[Gene names]])*1, 0))</f>
        <v>2.1500000000000001E-5</v>
      </c>
      <c r="N262" cm="1">
        <f t="array" ref="N262">INDEX(Table1[riBAQ 40], MATCH(1, (Table3[[#This Row],[Gene names]:[Gene names]] = Table1[[Gene names]:[Gene names]])*1, 0))</f>
        <v>2.2500000000000001E-5</v>
      </c>
      <c r="O262" cm="1">
        <f t="array" ref="O262">INDEX(Table1[riBAQ 41], MATCH(1, (Table3[[#This Row],[Gene names]:[Gene names]] = Table1[[Gene names]:[Gene names]])*1, 0))</f>
        <v>1.9599999999999999E-5</v>
      </c>
      <c r="P262" cm="1">
        <f t="array" ref="P262">INDEX(Table1[riBAQ 24], MATCH(1, (Table3[[#This Row],[Gene names]:[Gene names]] = Table1[[Gene names]:[Gene names]])*1, 0))</f>
        <v>4.0500000000000002E-5</v>
      </c>
      <c r="Q262" cm="1">
        <f t="array" ref="Q262">INDEX(Table1[riBAQ 25], MATCH(1, (Table3[[#This Row],[Gene names]:[Gene names]] = Table1[[Gene names]:[Gene names]])*1, 0))</f>
        <v>4.8199999999999999E-5</v>
      </c>
      <c r="R262" cm="1">
        <f t="array" ref="R262">INDEX(Table1[riBAQ 26], MATCH(1, (Table3[[#This Row],[Gene names]:[Gene names]] = Table1[[Gene names]:[Gene names]])*1, 0))</f>
        <v>4.5399999999999999E-5</v>
      </c>
      <c r="S262" cm="1">
        <f t="array" ref="S262">INDEX(Table1[riBAQ 42], MATCH(1, (Table3[[#This Row],[Gene names]:[Gene names]] = Table1[[Gene names]:[Gene names]])*1, 0))</f>
        <v>3.4499999999999998E-5</v>
      </c>
      <c r="T262" cm="1">
        <f t="array" ref="T262">INDEX(Table1[riBAQ 43], MATCH(1, (Table3[[#This Row],[Gene names]:[Gene names]] = Table1[[Gene names]:[Gene names]])*1, 0))</f>
        <v>5.1600000000000001E-5</v>
      </c>
    </row>
    <row r="263" spans="1:20" x14ac:dyDescent="0.25">
      <c r="A263" t="s">
        <v>1797</v>
      </c>
      <c r="B263" cm="1">
        <f t="array" ref="B263">INDEX(Table1[riBAQ 17], MATCH(1, (Table3[[#This Row],[Gene names]:[Gene names]] = Table1[[Gene names]:[Gene names]])*1, 0))</f>
        <v>2.4053900000000001E-4</v>
      </c>
      <c r="C263" cm="1">
        <f t="array" ref="C263">INDEX(Table1[riBAQ 18], MATCH(1, (Table3[[#This Row],[Gene names]:[Gene names]] = Table1[[Gene names]:[Gene names]])*1, 0))</f>
        <v>7.2999999999999999E-5</v>
      </c>
      <c r="D263" cm="1">
        <f t="array" ref="D263">INDEX(Table1[riBAQ 35], MATCH(1, (Table3[[#This Row],[Gene names]:[Gene names]] = Table1[[Gene names]:[Gene names]])*1, 0))</f>
        <v>8.9099999999999997E-5</v>
      </c>
      <c r="E263" cm="1">
        <f t="array" ref="E263">INDEX(Table1[riBAQ 36], MATCH(1, (Table3[[#This Row],[Gene names]:[Gene names]] = Table1[[Gene names]:[Gene names]])*1, 0))</f>
        <v>1.0094000000000001E-4</v>
      </c>
      <c r="F263" cm="1">
        <f t="array" ref="F263">INDEX(Table1[riBAQ 19], MATCH(1, (Table3[[#This Row],[Gene names]:[Gene names]] = Table1[[Gene names]:[Gene names]])*1, 0))</f>
        <v>4.5099499999999999E-4</v>
      </c>
      <c r="G263" cm="1">
        <f t="array" ref="G263">INDEX(Table1[riBAQ 20], MATCH(1, (Table3[[#This Row],[Gene names]:[Gene names]] = Table1[[Gene names]:[Gene names]])*1, 0))</f>
        <v>4.6391500000000002E-4</v>
      </c>
      <c r="H263" cm="1">
        <f t="array" ref="H263">INDEX(Table1[riBAQ 21], MATCH(1, (Table3[[#This Row],[Gene names]:[Gene names]] = Table1[[Gene names]:[Gene names]])*1, 0))</f>
        <v>2.2767100000000001E-4</v>
      </c>
      <c r="I263" cm="1">
        <f t="array" ref="I263">INDEX(Table1[riBAQ 22], MATCH(1, (Table3[[#This Row],[Gene names]:[Gene names]] = Table1[[Gene names]:[Gene names]])*1, 0))</f>
        <v>2.89559E-4</v>
      </c>
      <c r="J263" cm="1">
        <f t="array" ref="J263">INDEX(Table1[riBAQ 23], MATCH(1, (Table3[[#This Row],[Gene names]:[Gene names]] = Table1[[Gene names]:[Gene names]])*1, 0))</f>
        <v>2.8824699999999999E-4</v>
      </c>
      <c r="K263" cm="1">
        <f t="array" ref="K263">INDEX(Table1[riBAQ 37], MATCH(1, (Table3[[#This Row],[Gene names]:[Gene names]] = Table1[[Gene names]:[Gene names]])*1, 0))</f>
        <v>2.6749800000000002E-4</v>
      </c>
      <c r="L263" cm="1">
        <f t="array" ref="L263">INDEX(Table1[riBAQ 38], MATCH(1, (Table3[[#This Row],[Gene names]:[Gene names]] = Table1[[Gene names]:[Gene names]])*1, 0))</f>
        <v>1.20726E-4</v>
      </c>
      <c r="M263" cm="1">
        <f t="array" ref="M263">INDEX(Table1[riBAQ 39], MATCH(1, (Table3[[#This Row],[Gene names]:[Gene names]] = Table1[[Gene names]:[Gene names]])*1, 0))</f>
        <v>2.3745799999999999E-4</v>
      </c>
      <c r="N263" cm="1">
        <f t="array" ref="N263">INDEX(Table1[riBAQ 40], MATCH(1, (Table3[[#This Row],[Gene names]:[Gene names]] = Table1[[Gene names]:[Gene names]])*1, 0))</f>
        <v>1.28429E-4</v>
      </c>
      <c r="O263" cm="1">
        <f t="array" ref="O263">INDEX(Table1[riBAQ 41], MATCH(1, (Table3[[#This Row],[Gene names]:[Gene names]] = Table1[[Gene names]:[Gene names]])*1, 0))</f>
        <v>8.4300000000000003E-5</v>
      </c>
      <c r="P263" cm="1">
        <f t="array" ref="P263">INDEX(Table1[riBAQ 24], MATCH(1, (Table3[[#This Row],[Gene names]:[Gene names]] = Table1[[Gene names]:[Gene names]])*1, 0))</f>
        <v>7.0824099999999997E-4</v>
      </c>
      <c r="Q263" cm="1">
        <f t="array" ref="Q263">INDEX(Table1[riBAQ 25], MATCH(1, (Table3[[#This Row],[Gene names]:[Gene names]] = Table1[[Gene names]:[Gene names]])*1, 0))</f>
        <v>1.171072E-3</v>
      </c>
      <c r="R263" cm="1">
        <f t="array" ref="R263">INDEX(Table1[riBAQ 26], MATCH(1, (Table3[[#This Row],[Gene names]:[Gene names]] = Table1[[Gene names]:[Gene names]])*1, 0))</f>
        <v>1.011538E-3</v>
      </c>
      <c r="S263" cm="1">
        <f t="array" ref="S263">INDEX(Table1[riBAQ 42], MATCH(1, (Table3[[#This Row],[Gene names]:[Gene names]] = Table1[[Gene names]:[Gene names]])*1, 0))</f>
        <v>4.8058200000000001E-4</v>
      </c>
      <c r="T263" cm="1">
        <f t="array" ref="T263">INDEX(Table1[riBAQ 43], MATCH(1, (Table3[[#This Row],[Gene names]:[Gene names]] = Table1[[Gene names]:[Gene names]])*1, 0))</f>
        <v>1.752212E-3</v>
      </c>
    </row>
    <row r="264" spans="1:20" x14ac:dyDescent="0.25">
      <c r="A264" t="s">
        <v>1796</v>
      </c>
      <c r="B264" cm="1">
        <f t="array" ref="B264">INDEX(Table1[riBAQ 17], MATCH(1, (Table3[[#This Row],[Gene names]:[Gene names]] = Table1[[Gene names]:[Gene names]])*1, 0))</f>
        <v>3.6469699999999998E-4</v>
      </c>
      <c r="C264" cm="1">
        <f t="array" ref="C264">INDEX(Table1[riBAQ 18], MATCH(1, (Table3[[#This Row],[Gene names]:[Gene names]] = Table1[[Gene names]:[Gene names]])*1, 0))</f>
        <v>1.31297E-4</v>
      </c>
      <c r="D264" cm="1">
        <f t="array" ref="D264">INDEX(Table1[riBAQ 35], MATCH(1, (Table3[[#This Row],[Gene names]:[Gene names]] = Table1[[Gene names]:[Gene names]])*1, 0))</f>
        <v>1.47897E-4</v>
      </c>
      <c r="E264" cm="1">
        <f t="array" ref="E264">INDEX(Table1[riBAQ 36], MATCH(1, (Table3[[#This Row],[Gene names]:[Gene names]] = Table1[[Gene names]:[Gene names]])*1, 0))</f>
        <v>1.6122099999999999E-4</v>
      </c>
      <c r="F264" cm="1">
        <f t="array" ref="F264">INDEX(Table1[riBAQ 19], MATCH(1, (Table3[[#This Row],[Gene names]:[Gene names]] = Table1[[Gene names]:[Gene names]])*1, 0))</f>
        <v>6.5813099999999995E-4</v>
      </c>
      <c r="G264" cm="1">
        <f t="array" ref="G264">INDEX(Table1[riBAQ 20], MATCH(1, (Table3[[#This Row],[Gene names]:[Gene names]] = Table1[[Gene names]:[Gene names]])*1, 0))</f>
        <v>5.92539E-4</v>
      </c>
      <c r="H264" cm="1">
        <f t="array" ref="H264">INDEX(Table1[riBAQ 21], MATCH(1, (Table3[[#This Row],[Gene names]:[Gene names]] = Table1[[Gene names]:[Gene names]])*1, 0))</f>
        <v>4.5727400000000003E-4</v>
      </c>
      <c r="I264" cm="1">
        <f t="array" ref="I264">INDEX(Table1[riBAQ 22], MATCH(1, (Table3[[#This Row],[Gene names]:[Gene names]] = Table1[[Gene names]:[Gene names]])*1, 0))</f>
        <v>5.0659200000000004E-4</v>
      </c>
      <c r="J264" cm="1">
        <f t="array" ref="J264">INDEX(Table1[riBAQ 23], MATCH(1, (Table3[[#This Row],[Gene names]:[Gene names]] = Table1[[Gene names]:[Gene names]])*1, 0))</f>
        <v>3.4601199999999998E-4</v>
      </c>
      <c r="K264" cm="1">
        <f t="array" ref="K264">INDEX(Table1[riBAQ 37], MATCH(1, (Table3[[#This Row],[Gene names]:[Gene names]] = Table1[[Gene names]:[Gene names]])*1, 0))</f>
        <v>3.6570599999999998E-4</v>
      </c>
      <c r="L264" cm="1">
        <f t="array" ref="L264">INDEX(Table1[riBAQ 38], MATCH(1, (Table3[[#This Row],[Gene names]:[Gene names]] = Table1[[Gene names]:[Gene names]])*1, 0))</f>
        <v>1.9306099999999999E-4</v>
      </c>
      <c r="M264" cm="1">
        <f t="array" ref="M264">INDEX(Table1[riBAQ 39], MATCH(1, (Table3[[#This Row],[Gene names]:[Gene names]] = Table1[[Gene names]:[Gene names]])*1, 0))</f>
        <v>3.0275700000000002E-4</v>
      </c>
      <c r="N264" cm="1">
        <f t="array" ref="N264">INDEX(Table1[riBAQ 40], MATCH(1, (Table3[[#This Row],[Gene names]:[Gene names]] = Table1[[Gene names]:[Gene names]])*1, 0))</f>
        <v>2.16739E-4</v>
      </c>
      <c r="O264" cm="1">
        <f t="array" ref="O264">INDEX(Table1[riBAQ 41], MATCH(1, (Table3[[#This Row],[Gene names]:[Gene names]] = Table1[[Gene names]:[Gene names]])*1, 0))</f>
        <v>1.56126E-4</v>
      </c>
      <c r="P264" cm="1">
        <f t="array" ref="P264">INDEX(Table1[riBAQ 24], MATCH(1, (Table3[[#This Row],[Gene names]:[Gene names]] = Table1[[Gene names]:[Gene names]])*1, 0))</f>
        <v>1.099002E-3</v>
      </c>
      <c r="Q264" cm="1">
        <f t="array" ref="Q264">INDEX(Table1[riBAQ 25], MATCH(1, (Table3[[#This Row],[Gene names]:[Gene names]] = Table1[[Gene names]:[Gene names]])*1, 0))</f>
        <v>1.967491E-3</v>
      </c>
      <c r="R264" cm="1">
        <f t="array" ref="R264">INDEX(Table1[riBAQ 26], MATCH(1, (Table3[[#This Row],[Gene names]:[Gene names]] = Table1[[Gene names]:[Gene names]])*1, 0))</f>
        <v>1.568465E-3</v>
      </c>
      <c r="S264" cm="1">
        <f t="array" ref="S264">INDEX(Table1[riBAQ 42], MATCH(1, (Table3[[#This Row],[Gene names]:[Gene names]] = Table1[[Gene names]:[Gene names]])*1, 0))</f>
        <v>7.23991E-4</v>
      </c>
      <c r="T264" cm="1">
        <f t="array" ref="T264">INDEX(Table1[riBAQ 43], MATCH(1, (Table3[[#This Row],[Gene names]:[Gene names]] = Table1[[Gene names]:[Gene names]])*1, 0))</f>
        <v>2.3653979999999999E-3</v>
      </c>
    </row>
    <row r="265" spans="1:20" x14ac:dyDescent="0.25">
      <c r="A265" t="s">
        <v>1579</v>
      </c>
      <c r="B265" cm="1">
        <f t="array" ref="B265">INDEX(Table1[riBAQ 17], MATCH(1, (Table3[[#This Row],[Gene names]:[Gene names]] = Table1[[Gene names]:[Gene names]])*1, 0))</f>
        <v>4.8099999999999997E-5</v>
      </c>
      <c r="C265" cm="1">
        <f t="array" ref="C265">INDEX(Table1[riBAQ 18], MATCH(1, (Table3[[#This Row],[Gene names]:[Gene names]] = Table1[[Gene names]:[Gene names]])*1, 0))</f>
        <v>5.8900000000000002E-5</v>
      </c>
      <c r="D265" cm="1">
        <f t="array" ref="D265">INDEX(Table1[riBAQ 35], MATCH(1, (Table3[[#This Row],[Gene names]:[Gene names]] = Table1[[Gene names]:[Gene names]])*1, 0))</f>
        <v>5.5500000000000001E-5</v>
      </c>
      <c r="E265" cm="1">
        <f t="array" ref="E265">INDEX(Table1[riBAQ 36], MATCH(1, (Table3[[#This Row],[Gene names]:[Gene names]] = Table1[[Gene names]:[Gene names]])*1, 0))</f>
        <v>5.5899999999999997E-5</v>
      </c>
      <c r="F265" cm="1">
        <f t="array" ref="F265">INDEX(Table1[riBAQ 19], MATCH(1, (Table3[[#This Row],[Gene names]:[Gene names]] = Table1[[Gene names]:[Gene names]])*1, 0))</f>
        <v>6.5199999999999999E-5</v>
      </c>
      <c r="G265" cm="1">
        <f t="array" ref="G265">INDEX(Table1[riBAQ 20], MATCH(1, (Table3[[#This Row],[Gene names]:[Gene names]] = Table1[[Gene names]:[Gene names]])*1, 0))</f>
        <v>3.7799999999999997E-5</v>
      </c>
      <c r="H265" cm="1">
        <f t="array" ref="H265">INDEX(Table1[riBAQ 21], MATCH(1, (Table3[[#This Row],[Gene names]:[Gene names]] = Table1[[Gene names]:[Gene names]])*1, 0))</f>
        <v>4.8300000000000002E-5</v>
      </c>
      <c r="I265" cm="1">
        <f t="array" ref="I265">INDEX(Table1[riBAQ 22], MATCH(1, (Table3[[#This Row],[Gene names]:[Gene names]] = Table1[[Gene names]:[Gene names]])*1, 0))</f>
        <v>5.66E-5</v>
      </c>
      <c r="J265" cm="1">
        <f t="array" ref="J265">INDEX(Table1[riBAQ 23], MATCH(1, (Table3[[#This Row],[Gene names]:[Gene names]] = Table1[[Gene names]:[Gene names]])*1, 0))</f>
        <v>3.2400000000000001E-5</v>
      </c>
      <c r="K265" cm="1">
        <f t="array" ref="K265">INDEX(Table1[riBAQ 37], MATCH(1, (Table3[[#This Row],[Gene names]:[Gene names]] = Table1[[Gene names]:[Gene names]])*1, 0))</f>
        <v>5.0899999999999997E-5</v>
      </c>
      <c r="L265" cm="1">
        <f t="array" ref="L265">INDEX(Table1[riBAQ 38], MATCH(1, (Table3[[#This Row],[Gene names]:[Gene names]] = Table1[[Gene names]:[Gene names]])*1, 0))</f>
        <v>5.3100000000000003E-5</v>
      </c>
      <c r="M265" cm="1">
        <f t="array" ref="M265">INDEX(Table1[riBAQ 39], MATCH(1, (Table3[[#This Row],[Gene names]:[Gene names]] = Table1[[Gene names]:[Gene names]])*1, 0))</f>
        <v>4.0399999999999999E-5</v>
      </c>
      <c r="N265" cm="1">
        <f t="array" ref="N265">INDEX(Table1[riBAQ 40], MATCH(1, (Table3[[#This Row],[Gene names]:[Gene names]] = Table1[[Gene names]:[Gene names]])*1, 0))</f>
        <v>3.4499999999999998E-5</v>
      </c>
      <c r="O265" cm="1">
        <f t="array" ref="O265">INDEX(Table1[riBAQ 41], MATCH(1, (Table3[[#This Row],[Gene names]:[Gene names]] = Table1[[Gene names]:[Gene names]])*1, 0))</f>
        <v>3.26E-5</v>
      </c>
      <c r="P265" cm="1">
        <f t="array" ref="P265">INDEX(Table1[riBAQ 24], MATCH(1, (Table3[[#This Row],[Gene names]:[Gene names]] = Table1[[Gene names]:[Gene names]])*1, 0))</f>
        <v>5.0500000000000001E-5</v>
      </c>
      <c r="Q265" cm="1">
        <f t="array" ref="Q265">INDEX(Table1[riBAQ 25], MATCH(1, (Table3[[#This Row],[Gene names]:[Gene names]] = Table1[[Gene names]:[Gene names]])*1, 0))</f>
        <v>6.5199999999999999E-5</v>
      </c>
      <c r="R265" cm="1">
        <f t="array" ref="R265">INDEX(Table1[riBAQ 26], MATCH(1, (Table3[[#This Row],[Gene names]:[Gene names]] = Table1[[Gene names]:[Gene names]])*1, 0))</f>
        <v>9.2100000000000003E-5</v>
      </c>
      <c r="S265" cm="1">
        <f t="array" ref="S265">INDEX(Table1[riBAQ 42], MATCH(1, (Table3[[#This Row],[Gene names]:[Gene names]] = Table1[[Gene names]:[Gene names]])*1, 0))</f>
        <v>6.2799999999999995E-5</v>
      </c>
      <c r="T265" cm="1">
        <f t="array" ref="T265">INDEX(Table1[riBAQ 43], MATCH(1, (Table3[[#This Row],[Gene names]:[Gene names]] = Table1[[Gene names]:[Gene names]])*1, 0))</f>
        <v>7.2999999999999999E-5</v>
      </c>
    </row>
    <row r="266" spans="1:20" x14ac:dyDescent="0.25">
      <c r="A266" t="s">
        <v>1217</v>
      </c>
      <c r="B266" cm="1">
        <f t="array" ref="B266">INDEX(Table1[riBAQ 17], MATCH(1, (Table3[[#This Row],[Gene names]:[Gene names]] = Table1[[Gene names]:[Gene names]])*1, 0))</f>
        <v>3.2428699999999998E-4</v>
      </c>
      <c r="C266" cm="1">
        <f t="array" ref="C266">INDEX(Table1[riBAQ 18], MATCH(1, (Table3[[#This Row],[Gene names]:[Gene names]] = Table1[[Gene names]:[Gene names]])*1, 0))</f>
        <v>2.0438699999999999E-4</v>
      </c>
      <c r="D266" cm="1">
        <f t="array" ref="D266">INDEX(Table1[riBAQ 35], MATCH(1, (Table3[[#This Row],[Gene names]:[Gene names]] = Table1[[Gene names]:[Gene names]])*1, 0))</f>
        <v>2.5816400000000002E-4</v>
      </c>
      <c r="E266" cm="1">
        <f t="array" ref="E266">INDEX(Table1[riBAQ 36], MATCH(1, (Table3[[#This Row],[Gene names]:[Gene names]] = Table1[[Gene names]:[Gene names]])*1, 0))</f>
        <v>2.7450100000000002E-4</v>
      </c>
      <c r="F266" cm="1">
        <f t="array" ref="F266">INDEX(Table1[riBAQ 19], MATCH(1, (Table3[[#This Row],[Gene names]:[Gene names]] = Table1[[Gene names]:[Gene names]])*1, 0))</f>
        <v>2.65283E-4</v>
      </c>
      <c r="G266" cm="1">
        <f t="array" ref="G266">INDEX(Table1[riBAQ 20], MATCH(1, (Table3[[#This Row],[Gene names]:[Gene names]] = Table1[[Gene names]:[Gene names]])*1, 0))</f>
        <v>2.6675800000000002E-4</v>
      </c>
      <c r="H266" cm="1">
        <f t="array" ref="H266">INDEX(Table1[riBAQ 21], MATCH(1, (Table3[[#This Row],[Gene names]:[Gene names]] = Table1[[Gene names]:[Gene names]])*1, 0))</f>
        <v>2.1324500000000001E-4</v>
      </c>
      <c r="I266" cm="1">
        <f t="array" ref="I266">INDEX(Table1[riBAQ 22], MATCH(1, (Table3[[#This Row],[Gene names]:[Gene names]] = Table1[[Gene names]:[Gene names]])*1, 0))</f>
        <v>2.47056E-4</v>
      </c>
      <c r="J266" cm="1">
        <f t="array" ref="J266">INDEX(Table1[riBAQ 23], MATCH(1, (Table3[[#This Row],[Gene names]:[Gene names]] = Table1[[Gene names]:[Gene names]])*1, 0))</f>
        <v>3.6488100000000001E-4</v>
      </c>
      <c r="K266" cm="1">
        <f t="array" ref="K266">INDEX(Table1[riBAQ 37], MATCH(1, (Table3[[#This Row],[Gene names]:[Gene names]] = Table1[[Gene names]:[Gene names]])*1, 0))</f>
        <v>2.5127299999999999E-4</v>
      </c>
      <c r="L266" cm="1">
        <f t="array" ref="L266">INDEX(Table1[riBAQ 38], MATCH(1, (Table3[[#This Row],[Gene names]:[Gene names]] = Table1[[Gene names]:[Gene names]])*1, 0))</f>
        <v>2.1393700000000001E-4</v>
      </c>
      <c r="M266" cm="1">
        <f t="array" ref="M266">INDEX(Table1[riBAQ 39], MATCH(1, (Table3[[#This Row],[Gene names]:[Gene names]] = Table1[[Gene names]:[Gene names]])*1, 0))</f>
        <v>3.0706599999999999E-4</v>
      </c>
      <c r="N266" cm="1">
        <f t="array" ref="N266">INDEX(Table1[riBAQ 40], MATCH(1, (Table3[[#This Row],[Gene names]:[Gene names]] = Table1[[Gene names]:[Gene names]])*1, 0))</f>
        <v>2.8541299999999999E-4</v>
      </c>
      <c r="O266" cm="1">
        <f t="array" ref="O266">INDEX(Table1[riBAQ 41], MATCH(1, (Table3[[#This Row],[Gene names]:[Gene names]] = Table1[[Gene names]:[Gene names]])*1, 0))</f>
        <v>2.40287E-4</v>
      </c>
      <c r="P266" cm="1">
        <f t="array" ref="P266">INDEX(Table1[riBAQ 24], MATCH(1, (Table3[[#This Row],[Gene names]:[Gene names]] = Table1[[Gene names]:[Gene names]])*1, 0))</f>
        <v>3.1618E-4</v>
      </c>
      <c r="Q266" cm="1">
        <f t="array" ref="Q266">INDEX(Table1[riBAQ 25], MATCH(1, (Table3[[#This Row],[Gene names]:[Gene names]] = Table1[[Gene names]:[Gene names]])*1, 0))</f>
        <v>3.6549100000000001E-4</v>
      </c>
      <c r="R266" cm="1">
        <f t="array" ref="R266">INDEX(Table1[riBAQ 26], MATCH(1, (Table3[[#This Row],[Gene names]:[Gene names]] = Table1[[Gene names]:[Gene names]])*1, 0))</f>
        <v>4.4439099999999998E-4</v>
      </c>
      <c r="S266" cm="1">
        <f t="array" ref="S266">INDEX(Table1[riBAQ 42], MATCH(1, (Table3[[#This Row],[Gene names]:[Gene names]] = Table1[[Gene names]:[Gene names]])*1, 0))</f>
        <v>2.7877000000000002E-4</v>
      </c>
      <c r="T266" cm="1">
        <f t="array" ref="T266">INDEX(Table1[riBAQ 43], MATCH(1, (Table3[[#This Row],[Gene names]:[Gene names]] = Table1[[Gene names]:[Gene names]])*1, 0))</f>
        <v>3.9374599999999999E-4</v>
      </c>
    </row>
    <row r="267" spans="1:20" x14ac:dyDescent="0.25">
      <c r="A267" t="s">
        <v>1469</v>
      </c>
      <c r="B267" cm="1">
        <f t="array" ref="B267">INDEX(Table1[riBAQ 17], MATCH(1, (Table3[[#This Row],[Gene names]:[Gene names]] = Table1[[Gene names]:[Gene names]])*1, 0))</f>
        <v>9.5799999999999998E-5</v>
      </c>
      <c r="C267" cm="1">
        <f t="array" ref="C267">INDEX(Table1[riBAQ 18], MATCH(1, (Table3[[#This Row],[Gene names]:[Gene names]] = Table1[[Gene names]:[Gene names]])*1, 0))</f>
        <v>1.16861E-4</v>
      </c>
      <c r="D267" cm="1">
        <f t="array" ref="D267">INDEX(Table1[riBAQ 35], MATCH(1, (Table3[[#This Row],[Gene names]:[Gene names]] = Table1[[Gene names]:[Gene names]])*1, 0))</f>
        <v>4.2799999999999997E-5</v>
      </c>
      <c r="E267" cm="1">
        <f t="array" ref="E267">INDEX(Table1[riBAQ 36], MATCH(1, (Table3[[#This Row],[Gene names]:[Gene names]] = Table1[[Gene names]:[Gene names]])*1, 0))</f>
        <v>0</v>
      </c>
      <c r="F267" cm="1">
        <f t="array" ref="F267">INDEX(Table1[riBAQ 19], MATCH(1, (Table3[[#This Row],[Gene names]:[Gene names]] = Table1[[Gene names]:[Gene names]])*1, 0))</f>
        <v>5.3499999999999999E-5</v>
      </c>
      <c r="G267" cm="1">
        <f t="array" ref="G267">INDEX(Table1[riBAQ 20], MATCH(1, (Table3[[#This Row],[Gene names]:[Gene names]] = Table1[[Gene names]:[Gene names]])*1, 0))</f>
        <v>1.0677E-4</v>
      </c>
      <c r="H267" cm="1">
        <f t="array" ref="H267">INDEX(Table1[riBAQ 21], MATCH(1, (Table3[[#This Row],[Gene names]:[Gene names]] = Table1[[Gene names]:[Gene names]])*1, 0))</f>
        <v>9.98E-5</v>
      </c>
      <c r="I267" cm="1">
        <f t="array" ref="I267">INDEX(Table1[riBAQ 22], MATCH(1, (Table3[[#This Row],[Gene names]:[Gene names]] = Table1[[Gene names]:[Gene names]])*1, 0))</f>
        <v>7.8300000000000006E-5</v>
      </c>
      <c r="J267" cm="1">
        <f t="array" ref="J267">INDEX(Table1[riBAQ 23], MATCH(1, (Table3[[#This Row],[Gene names]:[Gene names]] = Table1[[Gene names]:[Gene names]])*1, 0))</f>
        <v>0</v>
      </c>
      <c r="K267" cm="1">
        <f t="array" ref="K267">INDEX(Table1[riBAQ 37], MATCH(1, (Table3[[#This Row],[Gene names]:[Gene names]] = Table1[[Gene names]:[Gene names]])*1, 0))</f>
        <v>8.7499999999999999E-5</v>
      </c>
      <c r="L267" cm="1">
        <f t="array" ref="L267">INDEX(Table1[riBAQ 38], MATCH(1, (Table3[[#This Row],[Gene names]:[Gene names]] = Table1[[Gene names]:[Gene names]])*1, 0))</f>
        <v>9.1100000000000005E-5</v>
      </c>
      <c r="M267" cm="1">
        <f t="array" ref="M267">INDEX(Table1[riBAQ 39], MATCH(1, (Table3[[#This Row],[Gene names]:[Gene names]] = Table1[[Gene names]:[Gene names]])*1, 0))</f>
        <v>0</v>
      </c>
      <c r="N267" cm="1">
        <f t="array" ref="N267">INDEX(Table1[riBAQ 40], MATCH(1, (Table3[[#This Row],[Gene names]:[Gene names]] = Table1[[Gene names]:[Gene names]])*1, 0))</f>
        <v>0</v>
      </c>
      <c r="O267" cm="1">
        <f t="array" ref="O267">INDEX(Table1[riBAQ 41], MATCH(1, (Table3[[#This Row],[Gene names]:[Gene names]] = Table1[[Gene names]:[Gene names]])*1, 0))</f>
        <v>5.8799999999999999E-5</v>
      </c>
      <c r="P267" cm="1">
        <f t="array" ref="P267">INDEX(Table1[riBAQ 24], MATCH(1, (Table3[[#This Row],[Gene names]:[Gene names]] = Table1[[Gene names]:[Gene names]])*1, 0))</f>
        <v>8.1899999999999999E-5</v>
      </c>
      <c r="Q267" cm="1">
        <f t="array" ref="Q267">INDEX(Table1[riBAQ 25], MATCH(1, (Table3[[#This Row],[Gene names]:[Gene names]] = Table1[[Gene names]:[Gene names]])*1, 0))</f>
        <v>1.1839400000000001E-4</v>
      </c>
      <c r="R267" cm="1">
        <f t="array" ref="R267">INDEX(Table1[riBAQ 26], MATCH(1, (Table3[[#This Row],[Gene names]:[Gene names]] = Table1[[Gene names]:[Gene names]])*1, 0))</f>
        <v>1.90025E-4</v>
      </c>
      <c r="S267" cm="1">
        <f t="array" ref="S267">INDEX(Table1[riBAQ 42], MATCH(1, (Table3[[#This Row],[Gene names]:[Gene names]] = Table1[[Gene names]:[Gene names]])*1, 0))</f>
        <v>1.46549E-4</v>
      </c>
      <c r="T267" cm="1">
        <f t="array" ref="T267">INDEX(Table1[riBAQ 43], MATCH(1, (Table3[[#This Row],[Gene names]:[Gene names]] = Table1[[Gene names]:[Gene names]])*1, 0))</f>
        <v>1.4567599999999999E-4</v>
      </c>
    </row>
    <row r="268" spans="1:20" x14ac:dyDescent="0.25">
      <c r="A268" t="s">
        <v>1795</v>
      </c>
      <c r="B268" cm="1">
        <f t="array" ref="B268">INDEX(Table1[riBAQ 17], MATCH(1, (Table3[[#This Row],[Gene names]:[Gene names]] = Table1[[Gene names]:[Gene names]])*1, 0))</f>
        <v>9.2605499999999996E-4</v>
      </c>
      <c r="C268" cm="1">
        <f t="array" ref="C268">INDEX(Table1[riBAQ 18], MATCH(1, (Table3[[#This Row],[Gene names]:[Gene names]] = Table1[[Gene names]:[Gene names]])*1, 0))</f>
        <v>1.0335909999999999E-3</v>
      </c>
      <c r="D268" cm="1">
        <f t="array" ref="D268">INDEX(Table1[riBAQ 35], MATCH(1, (Table3[[#This Row],[Gene names]:[Gene names]] = Table1[[Gene names]:[Gene names]])*1, 0))</f>
        <v>8.9348800000000001E-4</v>
      </c>
      <c r="E268" cm="1">
        <f t="array" ref="E268">INDEX(Table1[riBAQ 36], MATCH(1, (Table3[[#This Row],[Gene names]:[Gene names]] = Table1[[Gene names]:[Gene names]])*1, 0))</f>
        <v>9.4796300000000002E-4</v>
      </c>
      <c r="F268" cm="1">
        <f t="array" ref="F268">INDEX(Table1[riBAQ 19], MATCH(1, (Table3[[#This Row],[Gene names]:[Gene names]] = Table1[[Gene names]:[Gene names]])*1, 0))</f>
        <v>1.421893E-3</v>
      </c>
      <c r="G268" cm="1">
        <f t="array" ref="G268">INDEX(Table1[riBAQ 20], MATCH(1, (Table3[[#This Row],[Gene names]:[Gene names]] = Table1[[Gene names]:[Gene names]])*1, 0))</f>
        <v>9.8817000000000002E-4</v>
      </c>
      <c r="H268" cm="1">
        <f t="array" ref="H268">INDEX(Table1[riBAQ 21], MATCH(1, (Table3[[#This Row],[Gene names]:[Gene names]] = Table1[[Gene names]:[Gene names]])*1, 0))</f>
        <v>8.9497100000000005E-4</v>
      </c>
      <c r="I268" cm="1">
        <f t="array" ref="I268">INDEX(Table1[riBAQ 22], MATCH(1, (Table3[[#This Row],[Gene names]:[Gene names]] = Table1[[Gene names]:[Gene names]])*1, 0))</f>
        <v>1.1860569999999999E-3</v>
      </c>
      <c r="J268" cm="1">
        <f t="array" ref="J268">INDEX(Table1[riBAQ 23], MATCH(1, (Table3[[#This Row],[Gene names]:[Gene names]] = Table1[[Gene names]:[Gene names]])*1, 0))</f>
        <v>1.0579840000000001E-3</v>
      </c>
      <c r="K268" cm="1">
        <f t="array" ref="K268">INDEX(Table1[riBAQ 37], MATCH(1, (Table3[[#This Row],[Gene names]:[Gene names]] = Table1[[Gene names]:[Gene names]])*1, 0))</f>
        <v>1.0667350000000001E-3</v>
      </c>
      <c r="L268" cm="1">
        <f t="array" ref="L268">INDEX(Table1[riBAQ 38], MATCH(1, (Table3[[#This Row],[Gene names]:[Gene names]] = Table1[[Gene names]:[Gene names]])*1, 0))</f>
        <v>1.049924E-3</v>
      </c>
      <c r="M268" cm="1">
        <f t="array" ref="M268">INDEX(Table1[riBAQ 39], MATCH(1, (Table3[[#This Row],[Gene names]:[Gene names]] = Table1[[Gene names]:[Gene names]])*1, 0))</f>
        <v>9.43266E-4</v>
      </c>
      <c r="N268" cm="1">
        <f t="array" ref="N268">INDEX(Table1[riBAQ 40], MATCH(1, (Table3[[#This Row],[Gene names]:[Gene names]] = Table1[[Gene names]:[Gene names]])*1, 0))</f>
        <v>9.2552800000000001E-4</v>
      </c>
      <c r="O268" cm="1">
        <f t="array" ref="O268">INDEX(Table1[riBAQ 41], MATCH(1, (Table3[[#This Row],[Gene names]:[Gene names]] = Table1[[Gene names]:[Gene names]])*1, 0))</f>
        <v>1.076331E-3</v>
      </c>
      <c r="P268" cm="1">
        <f t="array" ref="P268">INDEX(Table1[riBAQ 24], MATCH(1, (Table3[[#This Row],[Gene names]:[Gene names]] = Table1[[Gene names]:[Gene names]])*1, 0))</f>
        <v>8.8497599999999999E-4</v>
      </c>
      <c r="Q268" cm="1">
        <f t="array" ref="Q268">INDEX(Table1[riBAQ 25], MATCH(1, (Table3[[#This Row],[Gene names]:[Gene names]] = Table1[[Gene names]:[Gene names]])*1, 0))</f>
        <v>6.1916399999999996E-4</v>
      </c>
      <c r="R268" cm="1">
        <f t="array" ref="R268">INDEX(Table1[riBAQ 26], MATCH(1, (Table3[[#This Row],[Gene names]:[Gene names]] = Table1[[Gene names]:[Gene names]])*1, 0))</f>
        <v>7.2007400000000002E-4</v>
      </c>
      <c r="S268" cm="1">
        <f t="array" ref="S268">INDEX(Table1[riBAQ 42], MATCH(1, (Table3[[#This Row],[Gene names]:[Gene names]] = Table1[[Gene names]:[Gene names]])*1, 0))</f>
        <v>6.9287099999999996E-4</v>
      </c>
      <c r="T268" cm="1">
        <f t="array" ref="T268">INDEX(Table1[riBAQ 43], MATCH(1, (Table3[[#This Row],[Gene names]:[Gene names]] = Table1[[Gene names]:[Gene names]])*1, 0))</f>
        <v>6.9288399999999995E-4</v>
      </c>
    </row>
    <row r="269" spans="1:20" x14ac:dyDescent="0.25">
      <c r="A269" t="s">
        <v>1794</v>
      </c>
      <c r="B269" cm="1">
        <f t="array" ref="B269">INDEX(Table1[riBAQ 17], MATCH(1, (Table3[[#This Row],[Gene names]:[Gene names]] = Table1[[Gene names]:[Gene names]])*1, 0))</f>
        <v>2.0299999999999999E-5</v>
      </c>
      <c r="C269" cm="1">
        <f t="array" ref="C269">INDEX(Table1[riBAQ 18], MATCH(1, (Table3[[#This Row],[Gene names]:[Gene names]] = Table1[[Gene names]:[Gene names]])*1, 0))</f>
        <v>1.3900000000000001E-5</v>
      </c>
      <c r="D269" cm="1">
        <f t="array" ref="D269">INDEX(Table1[riBAQ 35], MATCH(1, (Table3[[#This Row],[Gene names]:[Gene names]] = Table1[[Gene names]:[Gene names]])*1, 0))</f>
        <v>1.8300000000000001E-5</v>
      </c>
      <c r="E269" cm="1">
        <f t="array" ref="E269">INDEX(Table1[riBAQ 36], MATCH(1, (Table3[[#This Row],[Gene names]:[Gene names]] = Table1[[Gene names]:[Gene names]])*1, 0))</f>
        <v>2.83E-5</v>
      </c>
      <c r="F269" cm="1">
        <f t="array" ref="F269">INDEX(Table1[riBAQ 19], MATCH(1, (Table3[[#This Row],[Gene names]:[Gene names]] = Table1[[Gene names]:[Gene names]])*1, 0))</f>
        <v>2.58E-5</v>
      </c>
      <c r="G269" cm="1">
        <f t="array" ref="G269">INDEX(Table1[riBAQ 20], MATCH(1, (Table3[[#This Row],[Gene names]:[Gene names]] = Table1[[Gene names]:[Gene names]])*1, 0))</f>
        <v>2.1100000000000001E-5</v>
      </c>
      <c r="H269" cm="1">
        <f t="array" ref="H269">INDEX(Table1[riBAQ 21], MATCH(1, (Table3[[#This Row],[Gene names]:[Gene names]] = Table1[[Gene names]:[Gene names]])*1, 0))</f>
        <v>3.01E-5</v>
      </c>
      <c r="I269" cm="1">
        <f t="array" ref="I269">INDEX(Table1[riBAQ 22], MATCH(1, (Table3[[#This Row],[Gene names]:[Gene names]] = Table1[[Gene names]:[Gene names]])*1, 0))</f>
        <v>2.4899999999999999E-5</v>
      </c>
      <c r="J269" cm="1">
        <f t="array" ref="J269">INDEX(Table1[riBAQ 23], MATCH(1, (Table3[[#This Row],[Gene names]:[Gene names]] = Table1[[Gene names]:[Gene names]])*1, 0))</f>
        <v>2.6599999999999999E-5</v>
      </c>
      <c r="K269" cm="1">
        <f t="array" ref="K269">INDEX(Table1[riBAQ 37], MATCH(1, (Table3[[#This Row],[Gene names]:[Gene names]] = Table1[[Gene names]:[Gene names]])*1, 0))</f>
        <v>4.2200000000000003E-5</v>
      </c>
      <c r="L269" cm="1">
        <f t="array" ref="L269">INDEX(Table1[riBAQ 38], MATCH(1, (Table3[[#This Row],[Gene names]:[Gene names]] = Table1[[Gene names]:[Gene names]])*1, 0))</f>
        <v>3.2299999999999999E-5</v>
      </c>
      <c r="M269" cm="1">
        <f t="array" ref="M269">INDEX(Table1[riBAQ 39], MATCH(1, (Table3[[#This Row],[Gene names]:[Gene names]] = Table1[[Gene names]:[Gene names]])*1, 0))</f>
        <v>4.1600000000000002E-5</v>
      </c>
      <c r="N269" cm="1">
        <f t="array" ref="N269">INDEX(Table1[riBAQ 40], MATCH(1, (Table3[[#This Row],[Gene names]:[Gene names]] = Table1[[Gene names]:[Gene names]])*1, 0))</f>
        <v>5.3699999999999997E-5</v>
      </c>
      <c r="O269" cm="1">
        <f t="array" ref="O269">INDEX(Table1[riBAQ 41], MATCH(1, (Table3[[#This Row],[Gene names]:[Gene names]] = Table1[[Gene names]:[Gene names]])*1, 0))</f>
        <v>2.8799999999999999E-5</v>
      </c>
      <c r="P269" cm="1">
        <f t="array" ref="P269">INDEX(Table1[riBAQ 24], MATCH(1, (Table3[[#This Row],[Gene names]:[Gene names]] = Table1[[Gene names]:[Gene names]])*1, 0))</f>
        <v>5.3300000000000001E-5</v>
      </c>
      <c r="Q269" cm="1">
        <f t="array" ref="Q269">INDEX(Table1[riBAQ 25], MATCH(1, (Table3[[#This Row],[Gene names]:[Gene names]] = Table1[[Gene names]:[Gene names]])*1, 0))</f>
        <v>9.4599999999999996E-5</v>
      </c>
      <c r="R269" cm="1">
        <f t="array" ref="R269">INDEX(Table1[riBAQ 26], MATCH(1, (Table3[[#This Row],[Gene names]:[Gene names]] = Table1[[Gene names]:[Gene names]])*1, 0))</f>
        <v>7.6600000000000005E-5</v>
      </c>
      <c r="S269" cm="1">
        <f t="array" ref="S269">INDEX(Table1[riBAQ 42], MATCH(1, (Table3[[#This Row],[Gene names]:[Gene names]] = Table1[[Gene names]:[Gene names]])*1, 0))</f>
        <v>8.9400000000000005E-5</v>
      </c>
      <c r="T269" cm="1">
        <f t="array" ref="T269">INDEX(Table1[riBAQ 43], MATCH(1, (Table3[[#This Row],[Gene names]:[Gene names]] = Table1[[Gene names]:[Gene names]])*1, 0))</f>
        <v>1.0120600000000001E-4</v>
      </c>
    </row>
    <row r="270" spans="1:20" x14ac:dyDescent="0.25">
      <c r="A270" t="s">
        <v>372</v>
      </c>
      <c r="B270" cm="1">
        <f t="array" ref="B270">INDEX(Table1[riBAQ 17], MATCH(1, (Table3[[#This Row],[Gene names]:[Gene names]] = Table1[[Gene names]:[Gene names]])*1, 0))</f>
        <v>2.8978700000000001E-4</v>
      </c>
      <c r="C270" cm="1">
        <f t="array" ref="C270">INDEX(Table1[riBAQ 18], MATCH(1, (Table3[[#This Row],[Gene names]:[Gene names]] = Table1[[Gene names]:[Gene names]])*1, 0))</f>
        <v>2.4228699999999999E-4</v>
      </c>
      <c r="D270" cm="1">
        <f t="array" ref="D270">INDEX(Table1[riBAQ 35], MATCH(1, (Table3[[#This Row],[Gene names]:[Gene names]] = Table1[[Gene names]:[Gene names]])*1, 0))</f>
        <v>2.6049200000000003E-4</v>
      </c>
      <c r="E270" cm="1">
        <f t="array" ref="E270">INDEX(Table1[riBAQ 36], MATCH(1, (Table3[[#This Row],[Gene names]:[Gene names]] = Table1[[Gene names]:[Gene names]])*1, 0))</f>
        <v>2.66357E-4</v>
      </c>
      <c r="F270" cm="1">
        <f t="array" ref="F270">INDEX(Table1[riBAQ 19], MATCH(1, (Table3[[#This Row],[Gene names]:[Gene names]] = Table1[[Gene names]:[Gene names]])*1, 0))</f>
        <v>3.1273E-4</v>
      </c>
      <c r="G270" cm="1">
        <f t="array" ref="G270">INDEX(Table1[riBAQ 20], MATCH(1, (Table3[[#This Row],[Gene names]:[Gene names]] = Table1[[Gene names]:[Gene names]])*1, 0))</f>
        <v>2.0439899999999999E-4</v>
      </c>
      <c r="H270" cm="1">
        <f t="array" ref="H270">INDEX(Table1[riBAQ 21], MATCH(1, (Table3[[#This Row],[Gene names]:[Gene names]] = Table1[[Gene names]:[Gene names]])*1, 0))</f>
        <v>2.26505E-4</v>
      </c>
      <c r="I270" cm="1">
        <f t="array" ref="I270">INDEX(Table1[riBAQ 22], MATCH(1, (Table3[[#This Row],[Gene names]:[Gene names]] = Table1[[Gene names]:[Gene names]])*1, 0))</f>
        <v>1.99175E-4</v>
      </c>
      <c r="J270" cm="1">
        <f t="array" ref="J270">INDEX(Table1[riBAQ 23], MATCH(1, (Table3[[#This Row],[Gene names]:[Gene names]] = Table1[[Gene names]:[Gene names]])*1, 0))</f>
        <v>2.87266E-4</v>
      </c>
      <c r="K270" cm="1">
        <f t="array" ref="K270">INDEX(Table1[riBAQ 37], MATCH(1, (Table3[[#This Row],[Gene names]:[Gene names]] = Table1[[Gene names]:[Gene names]])*1, 0))</f>
        <v>3.3995899999999998E-4</v>
      </c>
      <c r="L270" cm="1">
        <f t="array" ref="L270">INDEX(Table1[riBAQ 38], MATCH(1, (Table3[[#This Row],[Gene names]:[Gene names]] = Table1[[Gene names]:[Gene names]])*1, 0))</f>
        <v>2.7902800000000001E-4</v>
      </c>
      <c r="M270" cm="1">
        <f t="array" ref="M270">INDEX(Table1[riBAQ 39], MATCH(1, (Table3[[#This Row],[Gene names]:[Gene names]] = Table1[[Gene names]:[Gene names]])*1, 0))</f>
        <v>2.61544E-4</v>
      </c>
      <c r="N270" cm="1">
        <f t="array" ref="N270">INDEX(Table1[riBAQ 40], MATCH(1, (Table3[[#This Row],[Gene names]:[Gene names]] = Table1[[Gene names]:[Gene names]])*1, 0))</f>
        <v>2.21838E-4</v>
      </c>
      <c r="O270" cm="1">
        <f t="array" ref="O270">INDEX(Table1[riBAQ 41], MATCH(1, (Table3[[#This Row],[Gene names]:[Gene names]] = Table1[[Gene names]:[Gene names]])*1, 0))</f>
        <v>2.0665899999999999E-4</v>
      </c>
      <c r="P270" cm="1">
        <f t="array" ref="P270">INDEX(Table1[riBAQ 24], MATCH(1, (Table3[[#This Row],[Gene names]:[Gene names]] = Table1[[Gene names]:[Gene names]])*1, 0))</f>
        <v>1.6411299999999999E-4</v>
      </c>
      <c r="Q270" cm="1">
        <f t="array" ref="Q270">INDEX(Table1[riBAQ 25], MATCH(1, (Table3[[#This Row],[Gene names]:[Gene names]] = Table1[[Gene names]:[Gene names]])*1, 0))</f>
        <v>1.73275E-4</v>
      </c>
      <c r="R270" cm="1">
        <f t="array" ref="R270">INDEX(Table1[riBAQ 26], MATCH(1, (Table3[[#This Row],[Gene names]:[Gene names]] = Table1[[Gene names]:[Gene names]])*1, 0))</f>
        <v>2.05069E-4</v>
      </c>
      <c r="S270" cm="1">
        <f t="array" ref="S270">INDEX(Table1[riBAQ 42], MATCH(1, (Table3[[#This Row],[Gene names]:[Gene names]] = Table1[[Gene names]:[Gene names]])*1, 0))</f>
        <v>1.10258E-4</v>
      </c>
      <c r="T270" cm="1">
        <f t="array" ref="T270">INDEX(Table1[riBAQ 43], MATCH(1, (Table3[[#This Row],[Gene names]:[Gene names]] = Table1[[Gene names]:[Gene names]])*1, 0))</f>
        <v>1.3186400000000001E-4</v>
      </c>
    </row>
    <row r="271" spans="1:20" x14ac:dyDescent="0.25">
      <c r="A271" t="s">
        <v>1485</v>
      </c>
      <c r="B271" cm="1">
        <f t="array" ref="B271">INDEX(Table1[riBAQ 17], MATCH(1, (Table3[[#This Row],[Gene names]:[Gene names]] = Table1[[Gene names]:[Gene names]])*1, 0))</f>
        <v>1.6456000000000001E-4</v>
      </c>
      <c r="C271" cm="1">
        <f t="array" ref="C271">INDEX(Table1[riBAQ 18], MATCH(1, (Table3[[#This Row],[Gene names]:[Gene names]] = Table1[[Gene names]:[Gene names]])*1, 0))</f>
        <v>2.2076999999999999E-4</v>
      </c>
      <c r="D271" cm="1">
        <f t="array" ref="D271">INDEX(Table1[riBAQ 35], MATCH(1, (Table3[[#This Row],[Gene names]:[Gene names]] = Table1[[Gene names]:[Gene names]])*1, 0))</f>
        <v>1.54623E-4</v>
      </c>
      <c r="E271" cm="1">
        <f t="array" ref="E271">INDEX(Table1[riBAQ 36], MATCH(1, (Table3[[#This Row],[Gene names]:[Gene names]] = Table1[[Gene names]:[Gene names]])*1, 0))</f>
        <v>1.3338299999999999E-4</v>
      </c>
      <c r="F271" cm="1">
        <f t="array" ref="F271">INDEX(Table1[riBAQ 19], MATCH(1, (Table3[[#This Row],[Gene names]:[Gene names]] = Table1[[Gene names]:[Gene names]])*1, 0))</f>
        <v>2.1356500000000001E-4</v>
      </c>
      <c r="G271" cm="1">
        <f t="array" ref="G271">INDEX(Table1[riBAQ 20], MATCH(1, (Table3[[#This Row],[Gene names]:[Gene names]] = Table1[[Gene names]:[Gene names]])*1, 0))</f>
        <v>3.39468E-4</v>
      </c>
      <c r="H271" cm="1">
        <f t="array" ref="H271">INDEX(Table1[riBAQ 21], MATCH(1, (Table3[[#This Row],[Gene names]:[Gene names]] = Table1[[Gene names]:[Gene names]])*1, 0))</f>
        <v>3.5880299999999999E-4</v>
      </c>
      <c r="I271" cm="1">
        <f t="array" ref="I271">INDEX(Table1[riBAQ 22], MATCH(1, (Table3[[#This Row],[Gene names]:[Gene names]] = Table1[[Gene names]:[Gene names]])*1, 0))</f>
        <v>2.52737E-4</v>
      </c>
      <c r="J271" cm="1">
        <f t="array" ref="J271">INDEX(Table1[riBAQ 23], MATCH(1, (Table3[[#This Row],[Gene names]:[Gene names]] = Table1[[Gene names]:[Gene names]])*1, 0))</f>
        <v>1.5434199999999999E-4</v>
      </c>
      <c r="K271" cm="1">
        <f t="array" ref="K271">INDEX(Table1[riBAQ 37], MATCH(1, (Table3[[#This Row],[Gene names]:[Gene names]] = Table1[[Gene names]:[Gene names]])*1, 0))</f>
        <v>2.04687E-4</v>
      </c>
      <c r="L271" cm="1">
        <f t="array" ref="L271">INDEX(Table1[riBAQ 38], MATCH(1, (Table3[[#This Row],[Gene names]:[Gene names]] = Table1[[Gene names]:[Gene names]])*1, 0))</f>
        <v>2.2690199999999999E-4</v>
      </c>
      <c r="M271" cm="1">
        <f t="array" ref="M271">INDEX(Table1[riBAQ 39], MATCH(1, (Table3[[#This Row],[Gene names]:[Gene names]] = Table1[[Gene names]:[Gene names]])*1, 0))</f>
        <v>1.15955E-4</v>
      </c>
      <c r="N271" cm="1">
        <f t="array" ref="N271">INDEX(Table1[riBAQ 40], MATCH(1, (Table3[[#This Row],[Gene names]:[Gene names]] = Table1[[Gene names]:[Gene names]])*1, 0))</f>
        <v>7.36E-5</v>
      </c>
      <c r="O271" cm="1">
        <f t="array" ref="O271">INDEX(Table1[riBAQ 41], MATCH(1, (Table3[[#This Row],[Gene names]:[Gene names]] = Table1[[Gene names]:[Gene names]])*1, 0))</f>
        <v>1.24144E-4</v>
      </c>
      <c r="P271" cm="1">
        <f t="array" ref="P271">INDEX(Table1[riBAQ 24], MATCH(1, (Table3[[#This Row],[Gene names]:[Gene names]] = Table1[[Gene names]:[Gene names]])*1, 0))</f>
        <v>1.9143099999999999E-4</v>
      </c>
      <c r="Q271" cm="1">
        <f t="array" ref="Q271">INDEX(Table1[riBAQ 25], MATCH(1, (Table3[[#This Row],[Gene names]:[Gene names]] = Table1[[Gene names]:[Gene names]])*1, 0))</f>
        <v>3.8668600000000002E-4</v>
      </c>
      <c r="R271" cm="1">
        <f t="array" ref="R271">INDEX(Table1[riBAQ 26], MATCH(1, (Table3[[#This Row],[Gene names]:[Gene names]] = Table1[[Gene names]:[Gene names]])*1, 0))</f>
        <v>4.2030600000000001E-4</v>
      </c>
      <c r="S271" cm="1">
        <f t="array" ref="S271">INDEX(Table1[riBAQ 42], MATCH(1, (Table3[[#This Row],[Gene names]:[Gene names]] = Table1[[Gene names]:[Gene names]])*1, 0))</f>
        <v>4.0778800000000002E-4</v>
      </c>
      <c r="T271" cm="1">
        <f t="array" ref="T271">INDEX(Table1[riBAQ 43], MATCH(1, (Table3[[#This Row],[Gene names]:[Gene names]] = Table1[[Gene names]:[Gene names]])*1, 0))</f>
        <v>3.8096899999999999E-4</v>
      </c>
    </row>
    <row r="272" spans="1:20" x14ac:dyDescent="0.25">
      <c r="A272" t="s">
        <v>1560</v>
      </c>
      <c r="B272" cm="1">
        <f t="array" ref="B272">INDEX(Table1[riBAQ 17], MATCH(1, (Table3[[#This Row],[Gene names]:[Gene names]] = Table1[[Gene names]:[Gene names]])*1, 0))</f>
        <v>1.17932E-4</v>
      </c>
      <c r="C272" cm="1">
        <f t="array" ref="C272">INDEX(Table1[riBAQ 18], MATCH(1, (Table3[[#This Row],[Gene names]:[Gene names]] = Table1[[Gene names]:[Gene names]])*1, 0))</f>
        <v>0</v>
      </c>
      <c r="D272" cm="1">
        <f t="array" ref="D272">INDEX(Table1[riBAQ 35], MATCH(1, (Table3[[#This Row],[Gene names]:[Gene names]] = Table1[[Gene names]:[Gene names]])*1, 0))</f>
        <v>7.3300000000000006E-5</v>
      </c>
      <c r="E272" cm="1">
        <f t="array" ref="E272">INDEX(Table1[riBAQ 36], MATCH(1, (Table3[[#This Row],[Gene names]:[Gene names]] = Table1[[Gene names]:[Gene names]])*1, 0))</f>
        <v>7.8300000000000006E-5</v>
      </c>
      <c r="F272" cm="1">
        <f t="array" ref="F272">INDEX(Table1[riBAQ 19], MATCH(1, (Table3[[#This Row],[Gene names]:[Gene names]] = Table1[[Gene names]:[Gene names]])*1, 0))</f>
        <v>1.10046E-4</v>
      </c>
      <c r="G272" cm="1">
        <f t="array" ref="G272">INDEX(Table1[riBAQ 20], MATCH(1, (Table3[[#This Row],[Gene names]:[Gene names]] = Table1[[Gene names]:[Gene names]])*1, 0))</f>
        <v>1.2108999999999999E-4</v>
      </c>
      <c r="H272" cm="1">
        <f t="array" ref="H272">INDEX(Table1[riBAQ 21], MATCH(1, (Table3[[#This Row],[Gene names]:[Gene names]] = Table1[[Gene names]:[Gene names]])*1, 0))</f>
        <v>1.15036E-4</v>
      </c>
      <c r="I272" cm="1">
        <f t="array" ref="I272">INDEX(Table1[riBAQ 22], MATCH(1, (Table3[[#This Row],[Gene names]:[Gene names]] = Table1[[Gene names]:[Gene names]])*1, 0))</f>
        <v>1.48522E-4</v>
      </c>
      <c r="J272" cm="1">
        <f t="array" ref="J272">INDEX(Table1[riBAQ 23], MATCH(1, (Table3[[#This Row],[Gene names]:[Gene names]] = Table1[[Gene names]:[Gene names]])*1, 0))</f>
        <v>1.36904E-4</v>
      </c>
      <c r="K272" cm="1">
        <f t="array" ref="K272">INDEX(Table1[riBAQ 37], MATCH(1, (Table3[[#This Row],[Gene names]:[Gene names]] = Table1[[Gene names]:[Gene names]])*1, 0))</f>
        <v>1.0085E-4</v>
      </c>
      <c r="L272" cm="1">
        <f t="array" ref="L272">INDEX(Table1[riBAQ 38], MATCH(1, (Table3[[#This Row],[Gene names]:[Gene names]] = Table1[[Gene names]:[Gene names]])*1, 0))</f>
        <v>1.6429699999999999E-4</v>
      </c>
      <c r="M272" cm="1">
        <f t="array" ref="M272">INDEX(Table1[riBAQ 39], MATCH(1, (Table3[[#This Row],[Gene names]:[Gene names]] = Table1[[Gene names]:[Gene names]])*1, 0))</f>
        <v>1.97584E-4</v>
      </c>
      <c r="N272" cm="1">
        <f t="array" ref="N272">INDEX(Table1[riBAQ 40], MATCH(1, (Table3[[#This Row],[Gene names]:[Gene names]] = Table1[[Gene names]:[Gene names]])*1, 0))</f>
        <v>1.61886E-4</v>
      </c>
      <c r="O272" cm="1">
        <f t="array" ref="O272">INDEX(Table1[riBAQ 41], MATCH(1, (Table3[[#This Row],[Gene names]:[Gene names]] = Table1[[Gene names]:[Gene names]])*1, 0))</f>
        <v>9.7200000000000004E-5</v>
      </c>
      <c r="P272" cm="1">
        <f t="array" ref="P272">INDEX(Table1[riBAQ 24], MATCH(1, (Table3[[#This Row],[Gene names]:[Gene names]] = Table1[[Gene names]:[Gene names]])*1, 0))</f>
        <v>2.3894300000000001E-4</v>
      </c>
      <c r="Q272" cm="1">
        <f t="array" ref="Q272">INDEX(Table1[riBAQ 25], MATCH(1, (Table3[[#This Row],[Gene names]:[Gene names]] = Table1[[Gene names]:[Gene names]])*1, 0))</f>
        <v>3.6689600000000002E-4</v>
      </c>
      <c r="R272" cm="1">
        <f t="array" ref="R272">INDEX(Table1[riBAQ 26], MATCH(1, (Table3[[#This Row],[Gene names]:[Gene names]] = Table1[[Gene names]:[Gene names]])*1, 0))</f>
        <v>3.4566499999999999E-4</v>
      </c>
      <c r="S272" cm="1">
        <f t="array" ref="S272">INDEX(Table1[riBAQ 42], MATCH(1, (Table3[[#This Row],[Gene names]:[Gene names]] = Table1[[Gene names]:[Gene names]])*1, 0))</f>
        <v>1.86446E-4</v>
      </c>
      <c r="T272" cm="1">
        <f t="array" ref="T272">INDEX(Table1[riBAQ 43], MATCH(1, (Table3[[#This Row],[Gene names]:[Gene names]] = Table1[[Gene names]:[Gene names]])*1, 0))</f>
        <v>1.54332E-4</v>
      </c>
    </row>
    <row r="273" spans="1:20" x14ac:dyDescent="0.25">
      <c r="A273" t="s">
        <v>1559</v>
      </c>
      <c r="B273" cm="1">
        <f t="array" ref="B273">INDEX(Table1[riBAQ 17], MATCH(1, (Table3[[#This Row],[Gene names]:[Gene names]] = Table1[[Gene names]:[Gene names]])*1, 0))</f>
        <v>5.1799999999999999E-5</v>
      </c>
      <c r="C273" cm="1">
        <f t="array" ref="C273">INDEX(Table1[riBAQ 18], MATCH(1, (Table3[[#This Row],[Gene names]:[Gene names]] = Table1[[Gene names]:[Gene names]])*1, 0))</f>
        <v>4.8300000000000002E-5</v>
      </c>
      <c r="D273" cm="1">
        <f t="array" ref="D273">INDEX(Table1[riBAQ 35], MATCH(1, (Table3[[#This Row],[Gene names]:[Gene names]] = Table1[[Gene names]:[Gene names]])*1, 0))</f>
        <v>5.6100000000000002E-5</v>
      </c>
      <c r="E273" cm="1">
        <f t="array" ref="E273">INDEX(Table1[riBAQ 36], MATCH(1, (Table3[[#This Row],[Gene names]:[Gene names]] = Table1[[Gene names]:[Gene names]])*1, 0))</f>
        <v>8.3999999999999995E-5</v>
      </c>
      <c r="F273" cm="1">
        <f t="array" ref="F273">INDEX(Table1[riBAQ 19], MATCH(1, (Table3[[#This Row],[Gene names]:[Gene names]] = Table1[[Gene names]:[Gene names]])*1, 0))</f>
        <v>4.71E-5</v>
      </c>
      <c r="G273" cm="1">
        <f t="array" ref="G273">INDEX(Table1[riBAQ 20], MATCH(1, (Table3[[#This Row],[Gene names]:[Gene names]] = Table1[[Gene names]:[Gene names]])*1, 0))</f>
        <v>3.1900000000000003E-5</v>
      </c>
      <c r="H273" cm="1">
        <f t="array" ref="H273">INDEX(Table1[riBAQ 21], MATCH(1, (Table3[[#This Row],[Gene names]:[Gene names]] = Table1[[Gene names]:[Gene names]])*1, 0))</f>
        <v>6.19E-5</v>
      </c>
      <c r="I273" cm="1">
        <f t="array" ref="I273">INDEX(Table1[riBAQ 22], MATCH(1, (Table3[[#This Row],[Gene names]:[Gene names]] = Table1[[Gene names]:[Gene names]])*1, 0))</f>
        <v>6.2500000000000001E-5</v>
      </c>
      <c r="J273" cm="1">
        <f t="array" ref="J273">INDEX(Table1[riBAQ 23], MATCH(1, (Table3[[#This Row],[Gene names]:[Gene names]] = Table1[[Gene names]:[Gene names]])*1, 0))</f>
        <v>3.0000000000000001E-5</v>
      </c>
      <c r="K273" cm="1">
        <f t="array" ref="K273">INDEX(Table1[riBAQ 37], MATCH(1, (Table3[[#This Row],[Gene names]:[Gene names]] = Table1[[Gene names]:[Gene names]])*1, 0))</f>
        <v>4.2899999999999999E-5</v>
      </c>
      <c r="L273" cm="1">
        <f t="array" ref="L273">INDEX(Table1[riBAQ 38], MATCH(1, (Table3[[#This Row],[Gene names]:[Gene names]] = Table1[[Gene names]:[Gene names]])*1, 0))</f>
        <v>4.3000000000000002E-5</v>
      </c>
      <c r="M273" cm="1">
        <f t="array" ref="M273">INDEX(Table1[riBAQ 39], MATCH(1, (Table3[[#This Row],[Gene names]:[Gene names]] = Table1[[Gene names]:[Gene names]])*1, 0))</f>
        <v>6.0600000000000003E-5</v>
      </c>
      <c r="N273" cm="1">
        <f t="array" ref="N273">INDEX(Table1[riBAQ 40], MATCH(1, (Table3[[#This Row],[Gene names]:[Gene names]] = Table1[[Gene names]:[Gene names]])*1, 0))</f>
        <v>3.1099999999999997E-5</v>
      </c>
      <c r="O273" cm="1">
        <f t="array" ref="O273">INDEX(Table1[riBAQ 41], MATCH(1, (Table3[[#This Row],[Gene names]:[Gene names]] = Table1[[Gene names]:[Gene names]])*1, 0))</f>
        <v>3.0899999999999999E-5</v>
      </c>
      <c r="P273" cm="1">
        <f t="array" ref="P273">INDEX(Table1[riBAQ 24], MATCH(1, (Table3[[#This Row],[Gene names]:[Gene names]] = Table1[[Gene names]:[Gene names]])*1, 0))</f>
        <v>4.1E-5</v>
      </c>
      <c r="Q273" cm="1">
        <f t="array" ref="Q273">INDEX(Table1[riBAQ 25], MATCH(1, (Table3[[#This Row],[Gene names]:[Gene names]] = Table1[[Gene names]:[Gene names]])*1, 0))</f>
        <v>7.8200000000000003E-5</v>
      </c>
      <c r="R273" cm="1">
        <f t="array" ref="R273">INDEX(Table1[riBAQ 26], MATCH(1, (Table3[[#This Row],[Gene names]:[Gene names]] = Table1[[Gene names]:[Gene names]])*1, 0))</f>
        <v>8.3999999999999995E-5</v>
      </c>
      <c r="S273" cm="1">
        <f t="array" ref="S273">INDEX(Table1[riBAQ 42], MATCH(1, (Table3[[#This Row],[Gene names]:[Gene names]] = Table1[[Gene names]:[Gene names]])*1, 0))</f>
        <v>9.9699999999999998E-5</v>
      </c>
      <c r="T273" cm="1">
        <f t="array" ref="T273">INDEX(Table1[riBAQ 43], MATCH(1, (Table3[[#This Row],[Gene names]:[Gene names]] = Table1[[Gene names]:[Gene names]])*1, 0))</f>
        <v>1.20383E-4</v>
      </c>
    </row>
    <row r="274" spans="1:20" x14ac:dyDescent="0.25">
      <c r="A274" t="s">
        <v>1483</v>
      </c>
      <c r="B274" cm="1">
        <f t="array" ref="B274">INDEX(Table1[riBAQ 17], MATCH(1, (Table3[[#This Row],[Gene names]:[Gene names]] = Table1[[Gene names]:[Gene names]])*1, 0))</f>
        <v>6.6799999999999997E-5</v>
      </c>
      <c r="C274" cm="1">
        <f t="array" ref="C274">INDEX(Table1[riBAQ 18], MATCH(1, (Table3[[#This Row],[Gene names]:[Gene names]] = Table1[[Gene names]:[Gene names]])*1, 0))</f>
        <v>6.9400000000000006E-5</v>
      </c>
      <c r="D274" cm="1">
        <f t="array" ref="D274">INDEX(Table1[riBAQ 35], MATCH(1, (Table3[[#This Row],[Gene names]:[Gene names]] = Table1[[Gene names]:[Gene names]])*1, 0))</f>
        <v>3.7499999999999997E-5</v>
      </c>
      <c r="E274" cm="1">
        <f t="array" ref="E274">INDEX(Table1[riBAQ 36], MATCH(1, (Table3[[#This Row],[Gene names]:[Gene names]] = Table1[[Gene names]:[Gene names]])*1, 0))</f>
        <v>0</v>
      </c>
      <c r="F274" cm="1">
        <f t="array" ref="F274">INDEX(Table1[riBAQ 19], MATCH(1, (Table3[[#This Row],[Gene names]:[Gene names]] = Table1[[Gene names]:[Gene names]])*1, 0))</f>
        <v>3.3200000000000001E-5</v>
      </c>
      <c r="G274" cm="1">
        <f t="array" ref="G274">INDEX(Table1[riBAQ 20], MATCH(1, (Table3[[#This Row],[Gene names]:[Gene names]] = Table1[[Gene names]:[Gene names]])*1, 0))</f>
        <v>0</v>
      </c>
      <c r="H274" cm="1">
        <f t="array" ref="H274">INDEX(Table1[riBAQ 21], MATCH(1, (Table3[[#This Row],[Gene names]:[Gene names]] = Table1[[Gene names]:[Gene names]])*1, 0))</f>
        <v>7.3700000000000002E-5</v>
      </c>
      <c r="I274" cm="1">
        <f t="array" ref="I274">INDEX(Table1[riBAQ 22], MATCH(1, (Table3[[#This Row],[Gene names]:[Gene names]] = Table1[[Gene names]:[Gene names]])*1, 0))</f>
        <v>6.8499999999999998E-5</v>
      </c>
      <c r="J274" cm="1">
        <f t="array" ref="J274">INDEX(Table1[riBAQ 23], MATCH(1, (Table3[[#This Row],[Gene names]:[Gene names]] = Table1[[Gene names]:[Gene names]])*1, 0))</f>
        <v>0</v>
      </c>
      <c r="K274" cm="1">
        <f t="array" ref="K274">INDEX(Table1[riBAQ 37], MATCH(1, (Table3[[#This Row],[Gene names]:[Gene names]] = Table1[[Gene names]:[Gene names]])*1, 0))</f>
        <v>0</v>
      </c>
      <c r="L274" cm="1">
        <f t="array" ref="L274">INDEX(Table1[riBAQ 38], MATCH(1, (Table3[[#This Row],[Gene names]:[Gene names]] = Table1[[Gene names]:[Gene names]])*1, 0))</f>
        <v>4.4100000000000001E-5</v>
      </c>
      <c r="M274" cm="1">
        <f t="array" ref="M274">INDEX(Table1[riBAQ 39], MATCH(1, (Table3[[#This Row],[Gene names]:[Gene names]] = Table1[[Gene names]:[Gene names]])*1, 0))</f>
        <v>2.97E-5</v>
      </c>
      <c r="N274" cm="1">
        <f t="array" ref="N274">INDEX(Table1[riBAQ 40], MATCH(1, (Table3[[#This Row],[Gene names]:[Gene names]] = Table1[[Gene names]:[Gene names]])*1, 0))</f>
        <v>6.8499999999999998E-5</v>
      </c>
      <c r="O274" cm="1">
        <f t="array" ref="O274">INDEX(Table1[riBAQ 41], MATCH(1, (Table3[[#This Row],[Gene names]:[Gene names]] = Table1[[Gene names]:[Gene names]])*1, 0))</f>
        <v>0</v>
      </c>
      <c r="P274" cm="1">
        <f t="array" ref="P274">INDEX(Table1[riBAQ 24], MATCH(1, (Table3[[#This Row],[Gene names]:[Gene names]] = Table1[[Gene names]:[Gene names]])*1, 0))</f>
        <v>7.1199999999999996E-5</v>
      </c>
      <c r="Q274" cm="1">
        <f t="array" ref="Q274">INDEX(Table1[riBAQ 25], MATCH(1, (Table3[[#This Row],[Gene names]:[Gene names]] = Table1[[Gene names]:[Gene names]])*1, 0))</f>
        <v>1.3768299999999999E-4</v>
      </c>
      <c r="R274" cm="1">
        <f t="array" ref="R274">INDEX(Table1[riBAQ 26], MATCH(1, (Table3[[#This Row],[Gene names]:[Gene names]] = Table1[[Gene names]:[Gene names]])*1, 0))</f>
        <v>8.1600000000000005E-5</v>
      </c>
      <c r="S274" cm="1">
        <f t="array" ref="S274">INDEX(Table1[riBAQ 42], MATCH(1, (Table3[[#This Row],[Gene names]:[Gene names]] = Table1[[Gene names]:[Gene names]])*1, 0))</f>
        <v>1.0424E-4</v>
      </c>
      <c r="T274" cm="1">
        <f t="array" ref="T274">INDEX(Table1[riBAQ 43], MATCH(1, (Table3[[#This Row],[Gene names]:[Gene names]] = Table1[[Gene names]:[Gene names]])*1, 0))</f>
        <v>9.6000000000000002E-5</v>
      </c>
    </row>
    <row r="275" spans="1:20" x14ac:dyDescent="0.25">
      <c r="A275" t="s">
        <v>1558</v>
      </c>
      <c r="B275" cm="1">
        <f t="array" ref="B275">INDEX(Table1[riBAQ 17], MATCH(1, (Table3[[#This Row],[Gene names]:[Gene names]] = Table1[[Gene names]:[Gene names]])*1, 0))</f>
        <v>1.63151E-4</v>
      </c>
      <c r="C275" cm="1">
        <f t="array" ref="C275">INDEX(Table1[riBAQ 18], MATCH(1, (Table3[[#This Row],[Gene names]:[Gene names]] = Table1[[Gene names]:[Gene names]])*1, 0))</f>
        <v>0</v>
      </c>
      <c r="D275" cm="1">
        <f t="array" ref="D275">INDEX(Table1[riBAQ 35], MATCH(1, (Table3[[#This Row],[Gene names]:[Gene names]] = Table1[[Gene names]:[Gene names]])*1, 0))</f>
        <v>0</v>
      </c>
      <c r="E275" cm="1">
        <f t="array" ref="E275">INDEX(Table1[riBAQ 36], MATCH(1, (Table3[[#This Row],[Gene names]:[Gene names]] = Table1[[Gene names]:[Gene names]])*1, 0))</f>
        <v>0</v>
      </c>
      <c r="F275" cm="1">
        <f t="array" ref="F275">INDEX(Table1[riBAQ 19], MATCH(1, (Table3[[#This Row],[Gene names]:[Gene names]] = Table1[[Gene names]:[Gene names]])*1, 0))</f>
        <v>3.2673400000000002E-4</v>
      </c>
      <c r="G275" cm="1">
        <f t="array" ref="G275">INDEX(Table1[riBAQ 20], MATCH(1, (Table3[[#This Row],[Gene names]:[Gene names]] = Table1[[Gene names]:[Gene names]])*1, 0))</f>
        <v>2.6411199999999999E-4</v>
      </c>
      <c r="H275" cm="1">
        <f t="array" ref="H275">INDEX(Table1[riBAQ 21], MATCH(1, (Table3[[#This Row],[Gene names]:[Gene names]] = Table1[[Gene names]:[Gene names]])*1, 0))</f>
        <v>1.57415E-4</v>
      </c>
      <c r="I275" cm="1">
        <f t="array" ref="I275">INDEX(Table1[riBAQ 22], MATCH(1, (Table3[[#This Row],[Gene names]:[Gene names]] = Table1[[Gene names]:[Gene names]])*1, 0))</f>
        <v>2.2382200000000001E-4</v>
      </c>
      <c r="J275" cm="1">
        <f t="array" ref="J275">INDEX(Table1[riBAQ 23], MATCH(1, (Table3[[#This Row],[Gene names]:[Gene names]] = Table1[[Gene names]:[Gene names]])*1, 0))</f>
        <v>4.8862199999999997E-4</v>
      </c>
      <c r="K275" cm="1">
        <f t="array" ref="K275">INDEX(Table1[riBAQ 37], MATCH(1, (Table3[[#This Row],[Gene names]:[Gene names]] = Table1[[Gene names]:[Gene names]])*1, 0))</f>
        <v>1.3230199999999999E-4</v>
      </c>
      <c r="L275" cm="1">
        <f t="array" ref="L275">INDEX(Table1[riBAQ 38], MATCH(1, (Table3[[#This Row],[Gene names]:[Gene names]] = Table1[[Gene names]:[Gene names]])*1, 0))</f>
        <v>2.1234199999999999E-4</v>
      </c>
      <c r="M275" cm="1">
        <f t="array" ref="M275">INDEX(Table1[riBAQ 39], MATCH(1, (Table3[[#This Row],[Gene names]:[Gene names]] = Table1[[Gene names]:[Gene names]])*1, 0))</f>
        <v>4.0637300000000002E-4</v>
      </c>
      <c r="N275" cm="1">
        <f t="array" ref="N275">INDEX(Table1[riBAQ 40], MATCH(1, (Table3[[#This Row],[Gene names]:[Gene names]] = Table1[[Gene names]:[Gene names]])*1, 0))</f>
        <v>0</v>
      </c>
      <c r="O275" cm="1">
        <f t="array" ref="O275">INDEX(Table1[riBAQ 41], MATCH(1, (Table3[[#This Row],[Gene names]:[Gene names]] = Table1[[Gene names]:[Gene names]])*1, 0))</f>
        <v>0</v>
      </c>
      <c r="P275" cm="1">
        <f t="array" ref="P275">INDEX(Table1[riBAQ 24], MATCH(1, (Table3[[#This Row],[Gene names]:[Gene names]] = Table1[[Gene names]:[Gene names]])*1, 0))</f>
        <v>6.9965299999999995E-4</v>
      </c>
      <c r="Q275" cm="1">
        <f t="array" ref="Q275">INDEX(Table1[riBAQ 25], MATCH(1, (Table3[[#This Row],[Gene names]:[Gene names]] = Table1[[Gene names]:[Gene names]])*1, 0))</f>
        <v>9.4267999999999999E-4</v>
      </c>
      <c r="R275" cm="1">
        <f t="array" ref="R275">INDEX(Table1[riBAQ 26], MATCH(1, (Table3[[#This Row],[Gene names]:[Gene names]] = Table1[[Gene names]:[Gene names]])*1, 0))</f>
        <v>1.925609E-3</v>
      </c>
      <c r="S275" cm="1">
        <f t="array" ref="S275">INDEX(Table1[riBAQ 42], MATCH(1, (Table3[[#This Row],[Gene names]:[Gene names]] = Table1[[Gene names]:[Gene names]])*1, 0))</f>
        <v>9.2795599999999996E-4</v>
      </c>
      <c r="T275" cm="1">
        <f t="array" ref="T275">INDEX(Table1[riBAQ 43], MATCH(1, (Table3[[#This Row],[Gene names]:[Gene names]] = Table1[[Gene names]:[Gene names]])*1, 0))</f>
        <v>1.5228780000000001E-3</v>
      </c>
    </row>
    <row r="276" spans="1:20" x14ac:dyDescent="0.25">
      <c r="A276" t="s">
        <v>793</v>
      </c>
      <c r="B276" cm="1">
        <f t="array" ref="B276">INDEX(Table1[riBAQ 17], MATCH(1, (Table3[[#This Row],[Gene names]:[Gene names]] = Table1[[Gene names]:[Gene names]])*1, 0))</f>
        <v>0</v>
      </c>
      <c r="C276" cm="1">
        <f t="array" ref="C276">INDEX(Table1[riBAQ 18], MATCH(1, (Table3[[#This Row],[Gene names]:[Gene names]] = Table1[[Gene names]:[Gene names]])*1, 0))</f>
        <v>0</v>
      </c>
      <c r="D276" cm="1">
        <f t="array" ref="D276">INDEX(Table1[riBAQ 35], MATCH(1, (Table3[[#This Row],[Gene names]:[Gene names]] = Table1[[Gene names]:[Gene names]])*1, 0))</f>
        <v>3.4700000000000003E-5</v>
      </c>
      <c r="E276" cm="1">
        <f t="array" ref="E276">INDEX(Table1[riBAQ 36], MATCH(1, (Table3[[#This Row],[Gene names]:[Gene names]] = Table1[[Gene names]:[Gene names]])*1, 0))</f>
        <v>0</v>
      </c>
      <c r="F276" cm="1">
        <f t="array" ref="F276">INDEX(Table1[riBAQ 19], MATCH(1, (Table3[[#This Row],[Gene names]:[Gene names]] = Table1[[Gene names]:[Gene names]])*1, 0))</f>
        <v>0</v>
      </c>
      <c r="G276" cm="1">
        <f t="array" ref="G276">INDEX(Table1[riBAQ 20], MATCH(1, (Table3[[#This Row],[Gene names]:[Gene names]] = Table1[[Gene names]:[Gene names]])*1, 0))</f>
        <v>0</v>
      </c>
      <c r="H276" cm="1">
        <f t="array" ref="H276">INDEX(Table1[riBAQ 21], MATCH(1, (Table3[[#This Row],[Gene names]:[Gene names]] = Table1[[Gene names]:[Gene names]])*1, 0))</f>
        <v>4.8300000000000002E-5</v>
      </c>
      <c r="I276" cm="1">
        <f t="array" ref="I276">INDEX(Table1[riBAQ 22], MATCH(1, (Table3[[#This Row],[Gene names]:[Gene names]] = Table1[[Gene names]:[Gene names]])*1, 0))</f>
        <v>0</v>
      </c>
      <c r="J276" cm="1">
        <f t="array" ref="J276">INDEX(Table1[riBAQ 23], MATCH(1, (Table3[[#This Row],[Gene names]:[Gene names]] = Table1[[Gene names]:[Gene names]])*1, 0))</f>
        <v>5.5000000000000002E-5</v>
      </c>
      <c r="K276" cm="1">
        <f t="array" ref="K276">INDEX(Table1[riBAQ 37], MATCH(1, (Table3[[#This Row],[Gene names]:[Gene names]] = Table1[[Gene names]:[Gene names]])*1, 0))</f>
        <v>0</v>
      </c>
      <c r="L276" cm="1">
        <f t="array" ref="L276">INDEX(Table1[riBAQ 38], MATCH(1, (Table3[[#This Row],[Gene names]:[Gene names]] = Table1[[Gene names]:[Gene names]])*1, 0))</f>
        <v>2.19E-5</v>
      </c>
      <c r="M276" cm="1">
        <f t="array" ref="M276">INDEX(Table1[riBAQ 39], MATCH(1, (Table3[[#This Row],[Gene names]:[Gene names]] = Table1[[Gene names]:[Gene names]])*1, 0))</f>
        <v>4.2500000000000003E-5</v>
      </c>
      <c r="N276" cm="1">
        <f t="array" ref="N276">INDEX(Table1[riBAQ 40], MATCH(1, (Table3[[#This Row],[Gene names]:[Gene names]] = Table1[[Gene names]:[Gene names]])*1, 0))</f>
        <v>4.6400000000000003E-5</v>
      </c>
      <c r="O276" cm="1">
        <f t="array" ref="O276">INDEX(Table1[riBAQ 41], MATCH(1, (Table3[[#This Row],[Gene names]:[Gene names]] = Table1[[Gene names]:[Gene names]])*1, 0))</f>
        <v>5.4200000000000003E-5</v>
      </c>
      <c r="P276" cm="1">
        <f t="array" ref="P276">INDEX(Table1[riBAQ 24], MATCH(1, (Table3[[#This Row],[Gene names]:[Gene names]] = Table1[[Gene names]:[Gene names]])*1, 0))</f>
        <v>6.5900000000000003E-5</v>
      </c>
      <c r="Q276" cm="1">
        <f t="array" ref="Q276">INDEX(Table1[riBAQ 25], MATCH(1, (Table3[[#This Row],[Gene names]:[Gene names]] = Table1[[Gene names]:[Gene names]])*1, 0))</f>
        <v>1.02328E-4</v>
      </c>
      <c r="R276" cm="1">
        <f t="array" ref="R276">INDEX(Table1[riBAQ 26], MATCH(1, (Table3[[#This Row],[Gene names]:[Gene names]] = Table1[[Gene names]:[Gene names]])*1, 0))</f>
        <v>1.53284E-4</v>
      </c>
      <c r="S276" cm="1">
        <f t="array" ref="S276">INDEX(Table1[riBAQ 42], MATCH(1, (Table3[[#This Row],[Gene names]:[Gene names]] = Table1[[Gene names]:[Gene names]])*1, 0))</f>
        <v>1.66971E-4</v>
      </c>
      <c r="T276" cm="1">
        <f t="array" ref="T276">INDEX(Table1[riBAQ 43], MATCH(1, (Table3[[#This Row],[Gene names]:[Gene names]] = Table1[[Gene names]:[Gene names]])*1, 0))</f>
        <v>1.5427299999999999E-4</v>
      </c>
    </row>
    <row r="277" spans="1:20" x14ac:dyDescent="0.25">
      <c r="A277" t="s">
        <v>1110</v>
      </c>
      <c r="B277" cm="1">
        <f t="array" ref="B277">INDEX(Table1[riBAQ 17], MATCH(1, (Table3[[#This Row],[Gene names]:[Gene names]] = Table1[[Gene names]:[Gene names]])*1, 0))</f>
        <v>0</v>
      </c>
      <c r="C277" cm="1">
        <f t="array" ref="C277">INDEX(Table1[riBAQ 18], MATCH(1, (Table3[[#This Row],[Gene names]:[Gene names]] = Table1[[Gene names]:[Gene names]])*1, 0))</f>
        <v>0</v>
      </c>
      <c r="D277" cm="1">
        <f t="array" ref="D277">INDEX(Table1[riBAQ 35], MATCH(1, (Table3[[#This Row],[Gene names]:[Gene names]] = Table1[[Gene names]:[Gene names]])*1, 0))</f>
        <v>0</v>
      </c>
      <c r="E277" cm="1">
        <f t="array" ref="E277">INDEX(Table1[riBAQ 36], MATCH(1, (Table3[[#This Row],[Gene names]:[Gene names]] = Table1[[Gene names]:[Gene names]])*1, 0))</f>
        <v>0</v>
      </c>
      <c r="F277" cm="1">
        <f t="array" ref="F277">INDEX(Table1[riBAQ 19], MATCH(1, (Table3[[#This Row],[Gene names]:[Gene names]] = Table1[[Gene names]:[Gene names]])*1, 0))</f>
        <v>0</v>
      </c>
      <c r="G277" cm="1">
        <f t="array" ref="G277">INDEX(Table1[riBAQ 20], MATCH(1, (Table3[[#This Row],[Gene names]:[Gene names]] = Table1[[Gene names]:[Gene names]])*1, 0))</f>
        <v>0</v>
      </c>
      <c r="H277" cm="1">
        <f t="array" ref="H277">INDEX(Table1[riBAQ 21], MATCH(1, (Table3[[#This Row],[Gene names]:[Gene names]] = Table1[[Gene names]:[Gene names]])*1, 0))</f>
        <v>7.5499999999999997E-6</v>
      </c>
      <c r="I277" cm="1">
        <f t="array" ref="I277">INDEX(Table1[riBAQ 22], MATCH(1, (Table3[[#This Row],[Gene names]:[Gene names]] = Table1[[Gene names]:[Gene names]])*1, 0))</f>
        <v>0</v>
      </c>
      <c r="J277" cm="1">
        <f t="array" ref="J277">INDEX(Table1[riBAQ 23], MATCH(1, (Table3[[#This Row],[Gene names]:[Gene names]] = Table1[[Gene names]:[Gene names]])*1, 0))</f>
        <v>0</v>
      </c>
      <c r="K277" cm="1">
        <f t="array" ref="K277">INDEX(Table1[riBAQ 37], MATCH(1, (Table3[[#This Row],[Gene names]:[Gene names]] = Table1[[Gene names]:[Gene names]])*1, 0))</f>
        <v>0</v>
      </c>
      <c r="L277" cm="1">
        <f t="array" ref="L277">INDEX(Table1[riBAQ 38], MATCH(1, (Table3[[#This Row],[Gene names]:[Gene names]] = Table1[[Gene names]:[Gene names]])*1, 0))</f>
        <v>0</v>
      </c>
      <c r="M277" cm="1">
        <f t="array" ref="M277">INDEX(Table1[riBAQ 39], MATCH(1, (Table3[[#This Row],[Gene names]:[Gene names]] = Table1[[Gene names]:[Gene names]])*1, 0))</f>
        <v>0</v>
      </c>
      <c r="N277" cm="1">
        <f t="array" ref="N277">INDEX(Table1[riBAQ 40], MATCH(1, (Table3[[#This Row],[Gene names]:[Gene names]] = Table1[[Gene names]:[Gene names]])*1, 0))</f>
        <v>0</v>
      </c>
      <c r="O277" cm="1">
        <f t="array" ref="O277">INDEX(Table1[riBAQ 41], MATCH(1, (Table3[[#This Row],[Gene names]:[Gene names]] = Table1[[Gene names]:[Gene names]])*1, 0))</f>
        <v>0</v>
      </c>
      <c r="P277" cm="1">
        <f t="array" ref="P277">INDEX(Table1[riBAQ 24], MATCH(1, (Table3[[#This Row],[Gene names]:[Gene names]] = Table1[[Gene names]:[Gene names]])*1, 0))</f>
        <v>1.3200000000000001E-5</v>
      </c>
      <c r="Q277" cm="1">
        <f t="array" ref="Q277">INDEX(Table1[riBAQ 25], MATCH(1, (Table3[[#This Row],[Gene names]:[Gene names]] = Table1[[Gene names]:[Gene names]])*1, 0))</f>
        <v>3.3399999999999999E-5</v>
      </c>
      <c r="R277" cm="1">
        <f t="array" ref="R277">INDEX(Table1[riBAQ 26], MATCH(1, (Table3[[#This Row],[Gene names]:[Gene names]] = Table1[[Gene names]:[Gene names]])*1, 0))</f>
        <v>3.1399999999999998E-5</v>
      </c>
      <c r="S277" cm="1">
        <f t="array" ref="S277">INDEX(Table1[riBAQ 42], MATCH(1, (Table3[[#This Row],[Gene names]:[Gene names]] = Table1[[Gene names]:[Gene names]])*1, 0))</f>
        <v>1.9400000000000001E-5</v>
      </c>
      <c r="T277" cm="1">
        <f t="array" ref="T277">INDEX(Table1[riBAQ 43], MATCH(1, (Table3[[#This Row],[Gene names]:[Gene names]] = Table1[[Gene names]:[Gene names]])*1, 0))</f>
        <v>7.5799999999999999E-5</v>
      </c>
    </row>
    <row r="278" spans="1:20" x14ac:dyDescent="0.25">
      <c r="A278" t="s">
        <v>121</v>
      </c>
      <c r="B278" cm="1">
        <f t="array" ref="B278">INDEX(Table1[riBAQ 17], MATCH(1, (Table3[[#This Row],[Gene names]:[Gene names]] = Table1[[Gene names]:[Gene names]])*1, 0))</f>
        <v>2.4600000000000002E-5</v>
      </c>
      <c r="C278" cm="1">
        <f t="array" ref="C278">INDEX(Table1[riBAQ 18], MATCH(1, (Table3[[#This Row],[Gene names]:[Gene names]] = Table1[[Gene names]:[Gene names]])*1, 0))</f>
        <v>1.6399999999999999E-5</v>
      </c>
      <c r="D278" cm="1">
        <f t="array" ref="D278">INDEX(Table1[riBAQ 35], MATCH(1, (Table3[[#This Row],[Gene names]:[Gene names]] = Table1[[Gene names]:[Gene names]])*1, 0))</f>
        <v>0</v>
      </c>
      <c r="E278" cm="1">
        <f t="array" ref="E278">INDEX(Table1[riBAQ 36], MATCH(1, (Table3[[#This Row],[Gene names]:[Gene names]] = Table1[[Gene names]:[Gene names]])*1, 0))</f>
        <v>0</v>
      </c>
      <c r="F278" cm="1">
        <f t="array" ref="F278">INDEX(Table1[riBAQ 19], MATCH(1, (Table3[[#This Row],[Gene names]:[Gene names]] = Table1[[Gene names]:[Gene names]])*1, 0))</f>
        <v>4.2200000000000003E-5</v>
      </c>
      <c r="G278" cm="1">
        <f t="array" ref="G278">INDEX(Table1[riBAQ 20], MATCH(1, (Table3[[#This Row],[Gene names]:[Gene names]] = Table1[[Gene names]:[Gene names]])*1, 0))</f>
        <v>3.3200000000000001E-5</v>
      </c>
      <c r="H278" cm="1">
        <f t="array" ref="H278">INDEX(Table1[riBAQ 21], MATCH(1, (Table3[[#This Row],[Gene names]:[Gene names]] = Table1[[Gene names]:[Gene names]])*1, 0))</f>
        <v>3.26E-5</v>
      </c>
      <c r="I278" cm="1">
        <f t="array" ref="I278">INDEX(Table1[riBAQ 22], MATCH(1, (Table3[[#This Row],[Gene names]:[Gene names]] = Table1[[Gene names]:[Gene names]])*1, 0))</f>
        <v>4.0899999999999998E-5</v>
      </c>
      <c r="J278" cm="1">
        <f t="array" ref="J278">INDEX(Table1[riBAQ 23], MATCH(1, (Table3[[#This Row],[Gene names]:[Gene names]] = Table1[[Gene names]:[Gene names]])*1, 0))</f>
        <v>4.74E-5</v>
      </c>
      <c r="K278" cm="1">
        <f t="array" ref="K278">INDEX(Table1[riBAQ 37], MATCH(1, (Table3[[#This Row],[Gene names]:[Gene names]] = Table1[[Gene names]:[Gene names]])*1, 0))</f>
        <v>3.4999999999999997E-5</v>
      </c>
      <c r="L278" cm="1">
        <f t="array" ref="L278">INDEX(Table1[riBAQ 38], MATCH(1, (Table3[[#This Row],[Gene names]:[Gene names]] = Table1[[Gene names]:[Gene names]])*1, 0))</f>
        <v>2.94E-5</v>
      </c>
      <c r="M278" cm="1">
        <f t="array" ref="M278">INDEX(Table1[riBAQ 39], MATCH(1, (Table3[[#This Row],[Gene names]:[Gene names]] = Table1[[Gene names]:[Gene names]])*1, 0))</f>
        <v>3.4700000000000003E-5</v>
      </c>
      <c r="N278" cm="1">
        <f t="array" ref="N278">INDEX(Table1[riBAQ 40], MATCH(1, (Table3[[#This Row],[Gene names]:[Gene names]] = Table1[[Gene names]:[Gene names]])*1, 0))</f>
        <v>1.8600000000000001E-5</v>
      </c>
      <c r="O278" cm="1">
        <f t="array" ref="O278">INDEX(Table1[riBAQ 41], MATCH(1, (Table3[[#This Row],[Gene names]:[Gene names]] = Table1[[Gene names]:[Gene names]])*1, 0))</f>
        <v>1.26E-5</v>
      </c>
      <c r="P278" cm="1">
        <f t="array" ref="P278">INDEX(Table1[riBAQ 24], MATCH(1, (Table3[[#This Row],[Gene names]:[Gene names]] = Table1[[Gene names]:[Gene names]])*1, 0))</f>
        <v>7.8999999999999996E-5</v>
      </c>
      <c r="Q278" cm="1">
        <f t="array" ref="Q278">INDEX(Table1[riBAQ 25], MATCH(1, (Table3[[#This Row],[Gene names]:[Gene names]] = Table1[[Gene names]:[Gene names]])*1, 0))</f>
        <v>1.4024600000000001E-4</v>
      </c>
      <c r="R278" cm="1">
        <f t="array" ref="R278">INDEX(Table1[riBAQ 26], MATCH(1, (Table3[[#This Row],[Gene names]:[Gene names]] = Table1[[Gene names]:[Gene names]])*1, 0))</f>
        <v>1.7537100000000001E-4</v>
      </c>
      <c r="S278" cm="1">
        <f t="array" ref="S278">INDEX(Table1[riBAQ 42], MATCH(1, (Table3[[#This Row],[Gene names]:[Gene names]] = Table1[[Gene names]:[Gene names]])*1, 0))</f>
        <v>9.9400000000000004E-5</v>
      </c>
      <c r="T278" cm="1">
        <f t="array" ref="T278">INDEX(Table1[riBAQ 43], MATCH(1, (Table3[[#This Row],[Gene names]:[Gene names]] = Table1[[Gene names]:[Gene names]])*1, 0))</f>
        <v>1.0609E-4</v>
      </c>
    </row>
    <row r="279" spans="1:20" x14ac:dyDescent="0.25">
      <c r="A279" t="s">
        <v>94</v>
      </c>
      <c r="B279" cm="1">
        <f t="array" ref="B279">INDEX(Table1[riBAQ 17], MATCH(1, (Table3[[#This Row],[Gene names]:[Gene names]] = Table1[[Gene names]:[Gene names]])*1, 0))</f>
        <v>0</v>
      </c>
      <c r="C279" cm="1">
        <f t="array" ref="C279">INDEX(Table1[riBAQ 18], MATCH(1, (Table3[[#This Row],[Gene names]:[Gene names]] = Table1[[Gene names]:[Gene names]])*1, 0))</f>
        <v>0</v>
      </c>
      <c r="D279" cm="1">
        <f t="array" ref="D279">INDEX(Table1[riBAQ 35], MATCH(1, (Table3[[#This Row],[Gene names]:[Gene names]] = Table1[[Gene names]:[Gene names]])*1, 0))</f>
        <v>0</v>
      </c>
      <c r="E279" cm="1">
        <f t="array" ref="E279">INDEX(Table1[riBAQ 36], MATCH(1, (Table3[[#This Row],[Gene names]:[Gene names]] = Table1[[Gene names]:[Gene names]])*1, 0))</f>
        <v>0</v>
      </c>
      <c r="F279" cm="1">
        <f t="array" ref="F279">INDEX(Table1[riBAQ 19], MATCH(1, (Table3[[#This Row],[Gene names]:[Gene names]] = Table1[[Gene names]:[Gene names]])*1, 0))</f>
        <v>0</v>
      </c>
      <c r="G279" cm="1">
        <f t="array" ref="G279">INDEX(Table1[riBAQ 20], MATCH(1, (Table3[[#This Row],[Gene names]:[Gene names]] = Table1[[Gene names]:[Gene names]])*1, 0))</f>
        <v>0</v>
      </c>
      <c r="H279" cm="1">
        <f t="array" ref="H279">INDEX(Table1[riBAQ 21], MATCH(1, (Table3[[#This Row],[Gene names]:[Gene names]] = Table1[[Gene names]:[Gene names]])*1, 0))</f>
        <v>0</v>
      </c>
      <c r="I279" cm="1">
        <f t="array" ref="I279">INDEX(Table1[riBAQ 22], MATCH(1, (Table3[[#This Row],[Gene names]:[Gene names]] = Table1[[Gene names]:[Gene names]])*1, 0))</f>
        <v>1.7E-5</v>
      </c>
      <c r="J279" cm="1">
        <f t="array" ref="J279">INDEX(Table1[riBAQ 23], MATCH(1, (Table3[[#This Row],[Gene names]:[Gene names]] = Table1[[Gene names]:[Gene names]])*1, 0))</f>
        <v>2.6299999999999999E-5</v>
      </c>
      <c r="K279" cm="1">
        <f t="array" ref="K279">INDEX(Table1[riBAQ 37], MATCH(1, (Table3[[#This Row],[Gene names]:[Gene names]] = Table1[[Gene names]:[Gene names]])*1, 0))</f>
        <v>0</v>
      </c>
      <c r="L279" cm="1">
        <f t="array" ref="L279">INDEX(Table1[riBAQ 38], MATCH(1, (Table3[[#This Row],[Gene names]:[Gene names]] = Table1[[Gene names]:[Gene names]])*1, 0))</f>
        <v>1.3699999999999999E-5</v>
      </c>
      <c r="M279" cm="1">
        <f t="array" ref="M279">INDEX(Table1[riBAQ 39], MATCH(1, (Table3[[#This Row],[Gene names]:[Gene names]] = Table1[[Gene names]:[Gene names]])*1, 0))</f>
        <v>0</v>
      </c>
      <c r="N279" cm="1">
        <f t="array" ref="N279">INDEX(Table1[riBAQ 40], MATCH(1, (Table3[[#This Row],[Gene names]:[Gene names]] = Table1[[Gene names]:[Gene names]])*1, 0))</f>
        <v>3.65E-5</v>
      </c>
      <c r="O279" cm="1">
        <f t="array" ref="O279">INDEX(Table1[riBAQ 41], MATCH(1, (Table3[[#This Row],[Gene names]:[Gene names]] = Table1[[Gene names]:[Gene names]])*1, 0))</f>
        <v>2.16E-5</v>
      </c>
      <c r="P279" cm="1">
        <f t="array" ref="P279">INDEX(Table1[riBAQ 24], MATCH(1, (Table3[[#This Row],[Gene names]:[Gene names]] = Table1[[Gene names]:[Gene names]])*1, 0))</f>
        <v>4.0099999999999999E-5</v>
      </c>
      <c r="Q279" cm="1">
        <f t="array" ref="Q279">INDEX(Table1[riBAQ 25], MATCH(1, (Table3[[#This Row],[Gene names]:[Gene names]] = Table1[[Gene names]:[Gene names]])*1, 0))</f>
        <v>7.86E-5</v>
      </c>
      <c r="R279" cm="1">
        <f t="array" ref="R279">INDEX(Table1[riBAQ 26], MATCH(1, (Table3[[#This Row],[Gene names]:[Gene names]] = Table1[[Gene names]:[Gene names]])*1, 0))</f>
        <v>6.8999999999999997E-5</v>
      </c>
      <c r="S279" cm="1">
        <f t="array" ref="S279">INDEX(Table1[riBAQ 42], MATCH(1, (Table3[[#This Row],[Gene names]:[Gene names]] = Table1[[Gene names]:[Gene names]])*1, 0))</f>
        <v>1.12817E-4</v>
      </c>
      <c r="T279" cm="1">
        <f t="array" ref="T279">INDEX(Table1[riBAQ 43], MATCH(1, (Table3[[#This Row],[Gene names]:[Gene names]] = Table1[[Gene names]:[Gene names]])*1, 0))</f>
        <v>8.0099999999999995E-5</v>
      </c>
    </row>
    <row r="280" spans="1:20" x14ac:dyDescent="0.25">
      <c r="A280" t="s">
        <v>96</v>
      </c>
      <c r="B280" cm="1">
        <f t="array" ref="B280">INDEX(Table1[riBAQ 17], MATCH(1, (Table3[[#This Row],[Gene names]:[Gene names]] = Table1[[Gene names]:[Gene names]])*1, 0))</f>
        <v>0</v>
      </c>
      <c r="C280" cm="1">
        <f t="array" ref="C280">INDEX(Table1[riBAQ 18], MATCH(1, (Table3[[#This Row],[Gene names]:[Gene names]] = Table1[[Gene names]:[Gene names]])*1, 0))</f>
        <v>0</v>
      </c>
      <c r="D280" cm="1">
        <f t="array" ref="D280">INDEX(Table1[riBAQ 35], MATCH(1, (Table3[[#This Row],[Gene names]:[Gene names]] = Table1[[Gene names]:[Gene names]])*1, 0))</f>
        <v>0</v>
      </c>
      <c r="E280" cm="1">
        <f t="array" ref="E280">INDEX(Table1[riBAQ 36], MATCH(1, (Table3[[#This Row],[Gene names]:[Gene names]] = Table1[[Gene names]:[Gene names]])*1, 0))</f>
        <v>0</v>
      </c>
      <c r="F280" cm="1">
        <f t="array" ref="F280">INDEX(Table1[riBAQ 19], MATCH(1, (Table3[[#This Row],[Gene names]:[Gene names]] = Table1[[Gene names]:[Gene names]])*1, 0))</f>
        <v>0</v>
      </c>
      <c r="G280" cm="1">
        <f t="array" ref="G280">INDEX(Table1[riBAQ 20], MATCH(1, (Table3[[#This Row],[Gene names]:[Gene names]] = Table1[[Gene names]:[Gene names]])*1, 0))</f>
        <v>0</v>
      </c>
      <c r="H280" cm="1">
        <f t="array" ref="H280">INDEX(Table1[riBAQ 21], MATCH(1, (Table3[[#This Row],[Gene names]:[Gene names]] = Table1[[Gene names]:[Gene names]])*1, 0))</f>
        <v>0</v>
      </c>
      <c r="I280" cm="1">
        <f t="array" ref="I280">INDEX(Table1[riBAQ 22], MATCH(1, (Table3[[#This Row],[Gene names]:[Gene names]] = Table1[[Gene names]:[Gene names]])*1, 0))</f>
        <v>0</v>
      </c>
      <c r="J280" cm="1">
        <f t="array" ref="J280">INDEX(Table1[riBAQ 23], MATCH(1, (Table3[[#This Row],[Gene names]:[Gene names]] = Table1[[Gene names]:[Gene names]])*1, 0))</f>
        <v>0</v>
      </c>
      <c r="K280" cm="1">
        <f t="array" ref="K280">INDEX(Table1[riBAQ 37], MATCH(1, (Table3[[#This Row],[Gene names]:[Gene names]] = Table1[[Gene names]:[Gene names]])*1, 0))</f>
        <v>0</v>
      </c>
      <c r="L280" cm="1">
        <f t="array" ref="L280">INDEX(Table1[riBAQ 38], MATCH(1, (Table3[[#This Row],[Gene names]:[Gene names]] = Table1[[Gene names]:[Gene names]])*1, 0))</f>
        <v>0</v>
      </c>
      <c r="M280" cm="1">
        <f t="array" ref="M280">INDEX(Table1[riBAQ 39], MATCH(1, (Table3[[#This Row],[Gene names]:[Gene names]] = Table1[[Gene names]:[Gene names]])*1, 0))</f>
        <v>0</v>
      </c>
      <c r="N280" cm="1">
        <f t="array" ref="N280">INDEX(Table1[riBAQ 40], MATCH(1, (Table3[[#This Row],[Gene names]:[Gene names]] = Table1[[Gene names]:[Gene names]])*1, 0))</f>
        <v>0</v>
      </c>
      <c r="O280" cm="1">
        <f t="array" ref="O280">INDEX(Table1[riBAQ 41], MATCH(1, (Table3[[#This Row],[Gene names]:[Gene names]] = Table1[[Gene names]:[Gene names]])*1, 0))</f>
        <v>0</v>
      </c>
      <c r="P280" cm="1">
        <f t="array" ref="P280">INDEX(Table1[riBAQ 24], MATCH(1, (Table3[[#This Row],[Gene names]:[Gene names]] = Table1[[Gene names]:[Gene names]])*1, 0))</f>
        <v>0</v>
      </c>
      <c r="Q280" cm="1">
        <f t="array" ref="Q280">INDEX(Table1[riBAQ 25], MATCH(1, (Table3[[#This Row],[Gene names]:[Gene names]] = Table1[[Gene names]:[Gene names]])*1, 0))</f>
        <v>7.1500000000000003E-5</v>
      </c>
      <c r="R280" cm="1">
        <f t="array" ref="R280">INDEX(Table1[riBAQ 26], MATCH(1, (Table3[[#This Row],[Gene names]:[Gene names]] = Table1[[Gene names]:[Gene names]])*1, 0))</f>
        <v>3.6600000000000002E-5</v>
      </c>
      <c r="S280" cm="1">
        <f t="array" ref="S280">INDEX(Table1[riBAQ 42], MATCH(1, (Table3[[#This Row],[Gene names]:[Gene names]] = Table1[[Gene names]:[Gene names]])*1, 0))</f>
        <v>5.1199999999999998E-5</v>
      </c>
      <c r="T280" cm="1">
        <f t="array" ref="T280">INDEX(Table1[riBAQ 43], MATCH(1, (Table3[[#This Row],[Gene names]:[Gene names]] = Table1[[Gene names]:[Gene names]])*1, 0))</f>
        <v>1.7751299999999999E-4</v>
      </c>
    </row>
    <row r="281" spans="1:20" x14ac:dyDescent="0.25">
      <c r="A281" t="s">
        <v>927</v>
      </c>
      <c r="B281" cm="1">
        <f t="array" ref="B281">INDEX(Table1[riBAQ 17], MATCH(1, (Table3[[#This Row],[Gene names]:[Gene names]] = Table1[[Gene names]:[Gene names]])*1, 0))</f>
        <v>1.35563E-4</v>
      </c>
      <c r="C281" cm="1">
        <f t="array" ref="C281">INDEX(Table1[riBAQ 18], MATCH(1, (Table3[[#This Row],[Gene names]:[Gene names]] = Table1[[Gene names]:[Gene names]])*1, 0))</f>
        <v>1.18861E-4</v>
      </c>
      <c r="D281" cm="1">
        <f t="array" ref="D281">INDEX(Table1[riBAQ 35], MATCH(1, (Table3[[#This Row],[Gene names]:[Gene names]] = Table1[[Gene names]:[Gene names]])*1, 0))</f>
        <v>8.3399999999999994E-5</v>
      </c>
      <c r="E281" cm="1">
        <f t="array" ref="E281">INDEX(Table1[riBAQ 36], MATCH(1, (Table3[[#This Row],[Gene names]:[Gene names]] = Table1[[Gene names]:[Gene names]])*1, 0))</f>
        <v>7.47E-5</v>
      </c>
      <c r="F281" cm="1">
        <f t="array" ref="F281">INDEX(Table1[riBAQ 19], MATCH(1, (Table3[[#This Row],[Gene names]:[Gene names]] = Table1[[Gene names]:[Gene names]])*1, 0))</f>
        <v>1.7010699999999999E-4</v>
      </c>
      <c r="G281" cm="1">
        <f t="array" ref="G281">INDEX(Table1[riBAQ 20], MATCH(1, (Table3[[#This Row],[Gene names]:[Gene names]] = Table1[[Gene names]:[Gene names]])*1, 0))</f>
        <v>1.8081E-4</v>
      </c>
      <c r="H281" cm="1">
        <f t="array" ref="H281">INDEX(Table1[riBAQ 21], MATCH(1, (Table3[[#This Row],[Gene names]:[Gene names]] = Table1[[Gene names]:[Gene names]])*1, 0))</f>
        <v>1.8730299999999999E-4</v>
      </c>
      <c r="I281" cm="1">
        <f t="array" ref="I281">INDEX(Table1[riBAQ 22], MATCH(1, (Table3[[#This Row],[Gene names]:[Gene names]] = Table1[[Gene names]:[Gene names]])*1, 0))</f>
        <v>2.30676E-4</v>
      </c>
      <c r="J281" cm="1">
        <f t="array" ref="J281">INDEX(Table1[riBAQ 23], MATCH(1, (Table3[[#This Row],[Gene names]:[Gene names]] = Table1[[Gene names]:[Gene names]])*1, 0))</f>
        <v>2.8364200000000002E-4</v>
      </c>
      <c r="K281" cm="1">
        <f t="array" ref="K281">INDEX(Table1[riBAQ 37], MATCH(1, (Table3[[#This Row],[Gene names]:[Gene names]] = Table1[[Gene names]:[Gene names]])*1, 0))</f>
        <v>1.74857E-4</v>
      </c>
      <c r="L281" cm="1">
        <f t="array" ref="L281">INDEX(Table1[riBAQ 38], MATCH(1, (Table3[[#This Row],[Gene names]:[Gene names]] = Table1[[Gene names]:[Gene names]])*1, 0))</f>
        <v>1.3179000000000001E-4</v>
      </c>
      <c r="M281" cm="1">
        <f t="array" ref="M281">INDEX(Table1[riBAQ 39], MATCH(1, (Table3[[#This Row],[Gene names]:[Gene names]] = Table1[[Gene names]:[Gene names]])*1, 0))</f>
        <v>1.44139E-4</v>
      </c>
      <c r="N281" cm="1">
        <f t="array" ref="N281">INDEX(Table1[riBAQ 40], MATCH(1, (Table3[[#This Row],[Gene names]:[Gene names]] = Table1[[Gene names]:[Gene names]])*1, 0))</f>
        <v>2.32215E-4</v>
      </c>
      <c r="O281" cm="1">
        <f t="array" ref="O281">INDEX(Table1[riBAQ 41], MATCH(1, (Table3[[#This Row],[Gene names]:[Gene names]] = Table1[[Gene names]:[Gene names]])*1, 0))</f>
        <v>2.0979700000000001E-4</v>
      </c>
      <c r="P281" cm="1">
        <f t="array" ref="P281">INDEX(Table1[riBAQ 24], MATCH(1, (Table3[[#This Row],[Gene names]:[Gene names]] = Table1[[Gene names]:[Gene names]])*1, 0))</f>
        <v>4.2108E-4</v>
      </c>
      <c r="Q281" cm="1">
        <f t="array" ref="Q281">INDEX(Table1[riBAQ 25], MATCH(1, (Table3[[#This Row],[Gene names]:[Gene names]] = Table1[[Gene names]:[Gene names]])*1, 0))</f>
        <v>4.9649299999999998E-4</v>
      </c>
      <c r="R281" cm="1">
        <f t="array" ref="R281">INDEX(Table1[riBAQ 26], MATCH(1, (Table3[[#This Row],[Gene names]:[Gene names]] = Table1[[Gene names]:[Gene names]])*1, 0))</f>
        <v>5.9119399999999996E-4</v>
      </c>
      <c r="S281" cm="1">
        <f t="array" ref="S281">INDEX(Table1[riBAQ 42], MATCH(1, (Table3[[#This Row],[Gene names]:[Gene names]] = Table1[[Gene names]:[Gene names]])*1, 0))</f>
        <v>3.9634700000000002E-4</v>
      </c>
      <c r="T281" cm="1">
        <f t="array" ref="T281">INDEX(Table1[riBAQ 43], MATCH(1, (Table3[[#This Row],[Gene names]:[Gene names]] = Table1[[Gene names]:[Gene names]])*1, 0))</f>
        <v>5.3675399999999996E-4</v>
      </c>
    </row>
    <row r="282" spans="1:20" x14ac:dyDescent="0.25">
      <c r="A282" t="s">
        <v>186</v>
      </c>
      <c r="B282" cm="1">
        <f t="array" ref="B282">INDEX(Table1[riBAQ 17], MATCH(1, (Table3[[#This Row],[Gene names]:[Gene names]] = Table1[[Gene names]:[Gene names]])*1, 0))</f>
        <v>4.2299999999999998E-5</v>
      </c>
      <c r="C282" cm="1">
        <f t="array" ref="C282">INDEX(Table1[riBAQ 18], MATCH(1, (Table3[[#This Row],[Gene names]:[Gene names]] = Table1[[Gene names]:[Gene names]])*1, 0))</f>
        <v>7.2200000000000007E-5</v>
      </c>
      <c r="D282" cm="1">
        <f t="array" ref="D282">INDEX(Table1[riBAQ 35], MATCH(1, (Table3[[#This Row],[Gene names]:[Gene names]] = Table1[[Gene names]:[Gene names]])*1, 0))</f>
        <v>4.4100000000000001E-5</v>
      </c>
      <c r="E282" cm="1">
        <f t="array" ref="E282">INDEX(Table1[riBAQ 36], MATCH(1, (Table3[[#This Row],[Gene names]:[Gene names]] = Table1[[Gene names]:[Gene names]])*1, 0))</f>
        <v>5.49E-5</v>
      </c>
      <c r="F282" cm="1">
        <f t="array" ref="F282">INDEX(Table1[riBAQ 19], MATCH(1, (Table3[[#This Row],[Gene names]:[Gene names]] = Table1[[Gene names]:[Gene names]])*1, 0))</f>
        <v>0</v>
      </c>
      <c r="G282" cm="1">
        <f t="array" ref="G282">INDEX(Table1[riBAQ 20], MATCH(1, (Table3[[#This Row],[Gene names]:[Gene names]] = Table1[[Gene names]:[Gene names]])*1, 0))</f>
        <v>8.0199999999999998E-5</v>
      </c>
      <c r="H282" cm="1">
        <f t="array" ref="H282">INDEX(Table1[riBAQ 21], MATCH(1, (Table3[[#This Row],[Gene names]:[Gene names]] = Table1[[Gene names]:[Gene names]])*1, 0))</f>
        <v>1.12587E-4</v>
      </c>
      <c r="I282" cm="1">
        <f t="array" ref="I282">INDEX(Table1[riBAQ 22], MATCH(1, (Table3[[#This Row],[Gene names]:[Gene names]] = Table1[[Gene names]:[Gene names]])*1, 0))</f>
        <v>4.8900000000000003E-5</v>
      </c>
      <c r="J282" cm="1">
        <f t="array" ref="J282">INDEX(Table1[riBAQ 23], MATCH(1, (Table3[[#This Row],[Gene names]:[Gene names]] = Table1[[Gene names]:[Gene names]])*1, 0))</f>
        <v>1.34914E-4</v>
      </c>
      <c r="K282" cm="1">
        <f t="array" ref="K282">INDEX(Table1[riBAQ 37], MATCH(1, (Table3[[#This Row],[Gene names]:[Gene names]] = Table1[[Gene names]:[Gene names]])*1, 0))</f>
        <v>8.1699999999999994E-5</v>
      </c>
      <c r="L282" cm="1">
        <f t="array" ref="L282">INDEX(Table1[riBAQ 38], MATCH(1, (Table3[[#This Row],[Gene names]:[Gene names]] = Table1[[Gene names]:[Gene names]])*1, 0))</f>
        <v>3.5299999999999997E-5</v>
      </c>
      <c r="M282" cm="1">
        <f t="array" ref="M282">INDEX(Table1[riBAQ 39], MATCH(1, (Table3[[#This Row],[Gene names]:[Gene names]] = Table1[[Gene names]:[Gene names]])*1, 0))</f>
        <v>6.1400000000000002E-5</v>
      </c>
      <c r="N282" cm="1">
        <f t="array" ref="N282">INDEX(Table1[riBAQ 40], MATCH(1, (Table3[[#This Row],[Gene names]:[Gene names]] = Table1[[Gene names]:[Gene names]])*1, 0))</f>
        <v>7.5500000000000006E-5</v>
      </c>
      <c r="O282" cm="1">
        <f t="array" ref="O282">INDEX(Table1[riBAQ 41], MATCH(1, (Table3[[#This Row],[Gene names]:[Gene names]] = Table1[[Gene names]:[Gene names]])*1, 0))</f>
        <v>6.5500000000000006E-5</v>
      </c>
      <c r="P282" cm="1">
        <f t="array" ref="P282">INDEX(Table1[riBAQ 24], MATCH(1, (Table3[[#This Row],[Gene names]:[Gene names]] = Table1[[Gene names]:[Gene names]])*1, 0))</f>
        <v>1.3867600000000001E-4</v>
      </c>
      <c r="Q282" cm="1">
        <f t="array" ref="Q282">INDEX(Table1[riBAQ 25], MATCH(1, (Table3[[#This Row],[Gene names]:[Gene names]] = Table1[[Gene names]:[Gene names]])*1, 0))</f>
        <v>1.61643E-4</v>
      </c>
      <c r="R282" cm="1">
        <f t="array" ref="R282">INDEX(Table1[riBAQ 26], MATCH(1, (Table3[[#This Row],[Gene names]:[Gene names]] = Table1[[Gene names]:[Gene names]])*1, 0))</f>
        <v>1.32352E-4</v>
      </c>
      <c r="S282" cm="1">
        <f t="array" ref="S282">INDEX(Table1[riBAQ 42], MATCH(1, (Table3[[#This Row],[Gene names]:[Gene names]] = Table1[[Gene names]:[Gene names]])*1, 0))</f>
        <v>1.57987E-4</v>
      </c>
      <c r="T282" cm="1">
        <f t="array" ref="T282">INDEX(Table1[riBAQ 43], MATCH(1, (Table3[[#This Row],[Gene names]:[Gene names]] = Table1[[Gene names]:[Gene names]])*1, 0))</f>
        <v>1.1104599999999999E-4</v>
      </c>
    </row>
    <row r="283" spans="1:20" x14ac:dyDescent="0.25">
      <c r="A283" t="s">
        <v>458</v>
      </c>
      <c r="B283" cm="1">
        <f t="array" ref="B283">INDEX(Table1[riBAQ 17], MATCH(1, (Table3[[#This Row],[Gene names]:[Gene names]] = Table1[[Gene names]:[Gene names]])*1, 0))</f>
        <v>0</v>
      </c>
      <c r="C283" cm="1">
        <f t="array" ref="C283">INDEX(Table1[riBAQ 18], MATCH(1, (Table3[[#This Row],[Gene names]:[Gene names]] = Table1[[Gene names]:[Gene names]])*1, 0))</f>
        <v>0</v>
      </c>
      <c r="D283" cm="1">
        <f t="array" ref="D283">INDEX(Table1[riBAQ 35], MATCH(1, (Table3[[#This Row],[Gene names]:[Gene names]] = Table1[[Gene names]:[Gene names]])*1, 0))</f>
        <v>0</v>
      </c>
      <c r="E283" cm="1">
        <f t="array" ref="E283">INDEX(Table1[riBAQ 36], MATCH(1, (Table3[[#This Row],[Gene names]:[Gene names]] = Table1[[Gene names]:[Gene names]])*1, 0))</f>
        <v>0</v>
      </c>
      <c r="F283" cm="1">
        <f t="array" ref="F283">INDEX(Table1[riBAQ 19], MATCH(1, (Table3[[#This Row],[Gene names]:[Gene names]] = Table1[[Gene names]:[Gene names]])*1, 0))</f>
        <v>0</v>
      </c>
      <c r="G283" cm="1">
        <f t="array" ref="G283">INDEX(Table1[riBAQ 20], MATCH(1, (Table3[[#This Row],[Gene names]:[Gene names]] = Table1[[Gene names]:[Gene names]])*1, 0))</f>
        <v>0</v>
      </c>
      <c r="H283" cm="1">
        <f t="array" ref="H283">INDEX(Table1[riBAQ 21], MATCH(1, (Table3[[#This Row],[Gene names]:[Gene names]] = Table1[[Gene names]:[Gene names]])*1, 0))</f>
        <v>0</v>
      </c>
      <c r="I283" cm="1">
        <f t="array" ref="I283">INDEX(Table1[riBAQ 22], MATCH(1, (Table3[[#This Row],[Gene names]:[Gene names]] = Table1[[Gene names]:[Gene names]])*1, 0))</f>
        <v>0</v>
      </c>
      <c r="J283" cm="1">
        <f t="array" ref="J283">INDEX(Table1[riBAQ 23], MATCH(1, (Table3[[#This Row],[Gene names]:[Gene names]] = Table1[[Gene names]:[Gene names]])*1, 0))</f>
        <v>0</v>
      </c>
      <c r="K283" cm="1">
        <f t="array" ref="K283">INDEX(Table1[riBAQ 37], MATCH(1, (Table3[[#This Row],[Gene names]:[Gene names]] = Table1[[Gene names]:[Gene names]])*1, 0))</f>
        <v>0</v>
      </c>
      <c r="L283" cm="1">
        <f t="array" ref="L283">INDEX(Table1[riBAQ 38], MATCH(1, (Table3[[#This Row],[Gene names]:[Gene names]] = Table1[[Gene names]:[Gene names]])*1, 0))</f>
        <v>0</v>
      </c>
      <c r="M283" cm="1">
        <f t="array" ref="M283">INDEX(Table1[riBAQ 39], MATCH(1, (Table3[[#This Row],[Gene names]:[Gene names]] = Table1[[Gene names]:[Gene names]])*1, 0))</f>
        <v>0</v>
      </c>
      <c r="N283" cm="1">
        <f t="array" ref="N283">INDEX(Table1[riBAQ 40], MATCH(1, (Table3[[#This Row],[Gene names]:[Gene names]] = Table1[[Gene names]:[Gene names]])*1, 0))</f>
        <v>0</v>
      </c>
      <c r="O283" cm="1">
        <f t="array" ref="O283">INDEX(Table1[riBAQ 41], MATCH(1, (Table3[[#This Row],[Gene names]:[Gene names]] = Table1[[Gene names]:[Gene names]])*1, 0))</f>
        <v>0</v>
      </c>
      <c r="P283" cm="1">
        <f t="array" ref="P283">INDEX(Table1[riBAQ 24], MATCH(1, (Table3[[#This Row],[Gene names]:[Gene names]] = Table1[[Gene names]:[Gene names]])*1, 0))</f>
        <v>0</v>
      </c>
      <c r="Q283" cm="1">
        <f t="array" ref="Q283">INDEX(Table1[riBAQ 25], MATCH(1, (Table3[[#This Row],[Gene names]:[Gene names]] = Table1[[Gene names]:[Gene names]])*1, 0))</f>
        <v>9.6800000000000005E-6</v>
      </c>
      <c r="R283" cm="1">
        <f t="array" ref="R283">INDEX(Table1[riBAQ 26], MATCH(1, (Table3[[#This Row],[Gene names]:[Gene names]] = Table1[[Gene names]:[Gene names]])*1, 0))</f>
        <v>1.9700000000000001E-5</v>
      </c>
      <c r="S283" cm="1">
        <f t="array" ref="S283">INDEX(Table1[riBAQ 42], MATCH(1, (Table3[[#This Row],[Gene names]:[Gene names]] = Table1[[Gene names]:[Gene names]])*1, 0))</f>
        <v>2.3200000000000001E-5</v>
      </c>
      <c r="T283" cm="1">
        <f t="array" ref="T283">INDEX(Table1[riBAQ 43], MATCH(1, (Table3[[#This Row],[Gene names]:[Gene names]] = Table1[[Gene names]:[Gene names]])*1, 0))</f>
        <v>1.47E-5</v>
      </c>
    </row>
    <row r="284" spans="1:20" x14ac:dyDescent="0.25">
      <c r="A284" t="s">
        <v>245</v>
      </c>
      <c r="B284" cm="1">
        <f t="array" ref="B284">INDEX(Table1[riBAQ 17], MATCH(1, (Table3[[#This Row],[Gene names]:[Gene names]] = Table1[[Gene names]:[Gene names]])*1, 0))</f>
        <v>9.1605400000000002E-4</v>
      </c>
      <c r="C284" cm="1">
        <f t="array" ref="C284">INDEX(Table1[riBAQ 18], MATCH(1, (Table3[[#This Row],[Gene names]:[Gene names]] = Table1[[Gene names]:[Gene names]])*1, 0))</f>
        <v>8.6917799999999996E-4</v>
      </c>
      <c r="D284" cm="1">
        <f t="array" ref="D284">INDEX(Table1[riBAQ 35], MATCH(1, (Table3[[#This Row],[Gene names]:[Gene names]] = Table1[[Gene names]:[Gene names]])*1, 0))</f>
        <v>1.1374480000000001E-3</v>
      </c>
      <c r="E284" cm="1">
        <f t="array" ref="E284">INDEX(Table1[riBAQ 36], MATCH(1, (Table3[[#This Row],[Gene names]:[Gene names]] = Table1[[Gene names]:[Gene names]])*1, 0))</f>
        <v>1.02943E-3</v>
      </c>
      <c r="F284" cm="1">
        <f t="array" ref="F284">INDEX(Table1[riBAQ 19], MATCH(1, (Table3[[#This Row],[Gene names]:[Gene names]] = Table1[[Gene names]:[Gene names]])*1, 0))</f>
        <v>9.8633000000000011E-4</v>
      </c>
      <c r="G284" cm="1">
        <f t="array" ref="G284">INDEX(Table1[riBAQ 20], MATCH(1, (Table3[[#This Row],[Gene names]:[Gene names]] = Table1[[Gene names]:[Gene names]])*1, 0))</f>
        <v>9.6547699999999996E-4</v>
      </c>
      <c r="H284" cm="1">
        <f t="array" ref="H284">INDEX(Table1[riBAQ 21], MATCH(1, (Table3[[#This Row],[Gene names]:[Gene names]] = Table1[[Gene names]:[Gene names]])*1, 0))</f>
        <v>1.104105E-3</v>
      </c>
      <c r="I284" cm="1">
        <f t="array" ref="I284">INDEX(Table1[riBAQ 22], MATCH(1, (Table3[[#This Row],[Gene names]:[Gene names]] = Table1[[Gene names]:[Gene names]])*1, 0))</f>
        <v>9.31525E-4</v>
      </c>
      <c r="J284" cm="1">
        <f t="array" ref="J284">INDEX(Table1[riBAQ 23], MATCH(1, (Table3[[#This Row],[Gene names]:[Gene names]] = Table1[[Gene names]:[Gene names]])*1, 0))</f>
        <v>9.56232E-4</v>
      </c>
      <c r="K284" cm="1">
        <f t="array" ref="K284">INDEX(Table1[riBAQ 37], MATCH(1, (Table3[[#This Row],[Gene names]:[Gene names]] = Table1[[Gene names]:[Gene names]])*1, 0))</f>
        <v>8.7230300000000005E-4</v>
      </c>
      <c r="L284" cm="1">
        <f t="array" ref="L284">INDEX(Table1[riBAQ 38], MATCH(1, (Table3[[#This Row],[Gene names]:[Gene names]] = Table1[[Gene names]:[Gene names]])*1, 0))</f>
        <v>1.1139940000000001E-3</v>
      </c>
      <c r="M284" cm="1">
        <f t="array" ref="M284">INDEX(Table1[riBAQ 39], MATCH(1, (Table3[[#This Row],[Gene names]:[Gene names]] = Table1[[Gene names]:[Gene names]])*1, 0))</f>
        <v>1.1991829999999999E-3</v>
      </c>
      <c r="N284" cm="1">
        <f t="array" ref="N284">INDEX(Table1[riBAQ 40], MATCH(1, (Table3[[#This Row],[Gene names]:[Gene names]] = Table1[[Gene names]:[Gene names]])*1, 0))</f>
        <v>8.6201500000000005E-4</v>
      </c>
      <c r="O284" cm="1">
        <f t="array" ref="O284">INDEX(Table1[riBAQ 41], MATCH(1, (Table3[[#This Row],[Gene names]:[Gene names]] = Table1[[Gene names]:[Gene names]])*1, 0))</f>
        <v>8.9128600000000003E-4</v>
      </c>
      <c r="P284" cm="1">
        <f t="array" ref="P284">INDEX(Table1[riBAQ 24], MATCH(1, (Table3[[#This Row],[Gene names]:[Gene names]] = Table1[[Gene names]:[Gene names]])*1, 0))</f>
        <v>1.1896299999999999E-3</v>
      </c>
      <c r="Q284" cm="1">
        <f t="array" ref="Q284">INDEX(Table1[riBAQ 25], MATCH(1, (Table3[[#This Row],[Gene names]:[Gene names]] = Table1[[Gene names]:[Gene names]])*1, 0))</f>
        <v>1.9189400000000001E-3</v>
      </c>
      <c r="R284" cm="1">
        <f t="array" ref="R284">INDEX(Table1[riBAQ 26], MATCH(1, (Table3[[#This Row],[Gene names]:[Gene names]] = Table1[[Gene names]:[Gene names]])*1, 0))</f>
        <v>1.8383609999999999E-3</v>
      </c>
      <c r="S284" cm="1">
        <f t="array" ref="S284">INDEX(Table1[riBAQ 42], MATCH(1, (Table3[[#This Row],[Gene names]:[Gene names]] = Table1[[Gene names]:[Gene names]])*1, 0))</f>
        <v>1.3008200000000001E-3</v>
      </c>
      <c r="T284" cm="1">
        <f t="array" ref="T284">INDEX(Table1[riBAQ 43], MATCH(1, (Table3[[#This Row],[Gene names]:[Gene names]] = Table1[[Gene names]:[Gene names]])*1, 0))</f>
        <v>1.7754610000000001E-3</v>
      </c>
    </row>
    <row r="285" spans="1:20" x14ac:dyDescent="0.25">
      <c r="A285" t="s">
        <v>247</v>
      </c>
      <c r="B285" cm="1">
        <f t="array" ref="B285">INDEX(Table1[riBAQ 17], MATCH(1, (Table3[[#This Row],[Gene names]:[Gene names]] = Table1[[Gene names]:[Gene names]])*1, 0))</f>
        <v>2.23E-5</v>
      </c>
      <c r="C285" cm="1">
        <f t="array" ref="C285">INDEX(Table1[riBAQ 18], MATCH(1, (Table3[[#This Row],[Gene names]:[Gene names]] = Table1[[Gene names]:[Gene names]])*1, 0))</f>
        <v>1.5400000000000002E-5</v>
      </c>
      <c r="D285" cm="1">
        <f t="array" ref="D285">INDEX(Table1[riBAQ 35], MATCH(1, (Table3[[#This Row],[Gene names]:[Gene names]] = Table1[[Gene names]:[Gene names]])*1, 0))</f>
        <v>0</v>
      </c>
      <c r="E285" cm="1">
        <f t="array" ref="E285">INDEX(Table1[riBAQ 36], MATCH(1, (Table3[[#This Row],[Gene names]:[Gene names]] = Table1[[Gene names]:[Gene names]])*1, 0))</f>
        <v>0</v>
      </c>
      <c r="F285" cm="1">
        <f t="array" ref="F285">INDEX(Table1[riBAQ 19], MATCH(1, (Table3[[#This Row],[Gene names]:[Gene names]] = Table1[[Gene names]:[Gene names]])*1, 0))</f>
        <v>0</v>
      </c>
      <c r="G285" cm="1">
        <f t="array" ref="G285">INDEX(Table1[riBAQ 20], MATCH(1, (Table3[[#This Row],[Gene names]:[Gene names]] = Table1[[Gene names]:[Gene names]])*1, 0))</f>
        <v>5.6499999999999998E-5</v>
      </c>
      <c r="H285" cm="1">
        <f t="array" ref="H285">INDEX(Table1[riBAQ 21], MATCH(1, (Table3[[#This Row],[Gene names]:[Gene names]] = Table1[[Gene names]:[Gene names]])*1, 0))</f>
        <v>2.23E-5</v>
      </c>
      <c r="I285" cm="1">
        <f t="array" ref="I285">INDEX(Table1[riBAQ 22], MATCH(1, (Table3[[#This Row],[Gene names]:[Gene names]] = Table1[[Gene names]:[Gene names]])*1, 0))</f>
        <v>1.8099999999999999E-5</v>
      </c>
      <c r="J285" cm="1">
        <f t="array" ref="J285">INDEX(Table1[riBAQ 23], MATCH(1, (Table3[[#This Row],[Gene names]:[Gene names]] = Table1[[Gene names]:[Gene names]])*1, 0))</f>
        <v>2.87E-5</v>
      </c>
      <c r="K285" cm="1">
        <f t="array" ref="K285">INDEX(Table1[riBAQ 37], MATCH(1, (Table3[[#This Row],[Gene names]:[Gene names]] = Table1[[Gene names]:[Gene names]])*1, 0))</f>
        <v>4.4100000000000001E-5</v>
      </c>
      <c r="L285" cm="1">
        <f t="array" ref="L285">INDEX(Table1[riBAQ 38], MATCH(1, (Table3[[#This Row],[Gene names]:[Gene names]] = Table1[[Gene names]:[Gene names]])*1, 0))</f>
        <v>1.7600000000000001E-5</v>
      </c>
      <c r="M285" cm="1">
        <f t="array" ref="M285">INDEX(Table1[riBAQ 39], MATCH(1, (Table3[[#This Row],[Gene names]:[Gene names]] = Table1[[Gene names]:[Gene names]])*1, 0))</f>
        <v>3.4199999999999998E-5</v>
      </c>
      <c r="N285" cm="1">
        <f t="array" ref="N285">INDEX(Table1[riBAQ 40], MATCH(1, (Table3[[#This Row],[Gene names]:[Gene names]] = Table1[[Gene names]:[Gene names]])*1, 0))</f>
        <v>1.38E-5</v>
      </c>
      <c r="O285" cm="1">
        <f t="array" ref="O285">INDEX(Table1[riBAQ 41], MATCH(1, (Table3[[#This Row],[Gene names]:[Gene names]] = Table1[[Gene names]:[Gene names]])*1, 0))</f>
        <v>2.1399999999999998E-5</v>
      </c>
      <c r="P285" cm="1">
        <f t="array" ref="P285">INDEX(Table1[riBAQ 24], MATCH(1, (Table3[[#This Row],[Gene names]:[Gene names]] = Table1[[Gene names]:[Gene names]])*1, 0))</f>
        <v>7.1899999999999999E-5</v>
      </c>
      <c r="Q285" cm="1">
        <f t="array" ref="Q285">INDEX(Table1[riBAQ 25], MATCH(1, (Table3[[#This Row],[Gene names]:[Gene names]] = Table1[[Gene names]:[Gene names]])*1, 0))</f>
        <v>1.26993E-4</v>
      </c>
      <c r="R285" cm="1">
        <f t="array" ref="R285">INDEX(Table1[riBAQ 26], MATCH(1, (Table3[[#This Row],[Gene names]:[Gene names]] = Table1[[Gene names]:[Gene names]])*1, 0))</f>
        <v>4.5200000000000001E-5</v>
      </c>
      <c r="S285" cm="1">
        <f t="array" ref="S285">INDEX(Table1[riBAQ 42], MATCH(1, (Table3[[#This Row],[Gene names]:[Gene names]] = Table1[[Gene names]:[Gene names]])*1, 0))</f>
        <v>5.0399999999999999E-5</v>
      </c>
      <c r="T285" cm="1">
        <f t="array" ref="T285">INDEX(Table1[riBAQ 43], MATCH(1, (Table3[[#This Row],[Gene names]:[Gene names]] = Table1[[Gene names]:[Gene names]])*1, 0))</f>
        <v>8.1299999999999997E-5</v>
      </c>
    </row>
    <row r="286" spans="1:20" x14ac:dyDescent="0.25">
      <c r="A286" t="s">
        <v>1272</v>
      </c>
      <c r="B286" cm="1">
        <f t="array" ref="B286">INDEX(Table1[riBAQ 17], MATCH(1, (Table3[[#This Row],[Gene names]:[Gene names]] = Table1[[Gene names]:[Gene names]])*1, 0))</f>
        <v>0</v>
      </c>
      <c r="C286" cm="1">
        <f t="array" ref="C286">INDEX(Table1[riBAQ 18], MATCH(1, (Table3[[#This Row],[Gene names]:[Gene names]] = Table1[[Gene names]:[Gene names]])*1, 0))</f>
        <v>0</v>
      </c>
      <c r="D286" cm="1">
        <f t="array" ref="D286">INDEX(Table1[riBAQ 35], MATCH(1, (Table3[[#This Row],[Gene names]:[Gene names]] = Table1[[Gene names]:[Gene names]])*1, 0))</f>
        <v>0</v>
      </c>
      <c r="E286" cm="1">
        <f t="array" ref="E286">INDEX(Table1[riBAQ 36], MATCH(1, (Table3[[#This Row],[Gene names]:[Gene names]] = Table1[[Gene names]:[Gene names]])*1, 0))</f>
        <v>0</v>
      </c>
      <c r="F286" cm="1">
        <f t="array" ref="F286">INDEX(Table1[riBAQ 19], MATCH(1, (Table3[[#This Row],[Gene names]:[Gene names]] = Table1[[Gene names]:[Gene names]])*1, 0))</f>
        <v>0</v>
      </c>
      <c r="G286" cm="1">
        <f t="array" ref="G286">INDEX(Table1[riBAQ 20], MATCH(1, (Table3[[#This Row],[Gene names]:[Gene names]] = Table1[[Gene names]:[Gene names]])*1, 0))</f>
        <v>0</v>
      </c>
      <c r="H286" cm="1">
        <f t="array" ref="H286">INDEX(Table1[riBAQ 21], MATCH(1, (Table3[[#This Row],[Gene names]:[Gene names]] = Table1[[Gene names]:[Gene names]])*1, 0))</f>
        <v>0</v>
      </c>
      <c r="I286" cm="1">
        <f t="array" ref="I286">INDEX(Table1[riBAQ 22], MATCH(1, (Table3[[#This Row],[Gene names]:[Gene names]] = Table1[[Gene names]:[Gene names]])*1, 0))</f>
        <v>0</v>
      </c>
      <c r="J286" cm="1">
        <f t="array" ref="J286">INDEX(Table1[riBAQ 23], MATCH(1, (Table3[[#This Row],[Gene names]:[Gene names]] = Table1[[Gene names]:[Gene names]])*1, 0))</f>
        <v>0</v>
      </c>
      <c r="K286" cm="1">
        <f t="array" ref="K286">INDEX(Table1[riBAQ 37], MATCH(1, (Table3[[#This Row],[Gene names]:[Gene names]] = Table1[[Gene names]:[Gene names]])*1, 0))</f>
        <v>0</v>
      </c>
      <c r="L286" cm="1">
        <f t="array" ref="L286">INDEX(Table1[riBAQ 38], MATCH(1, (Table3[[#This Row],[Gene names]:[Gene names]] = Table1[[Gene names]:[Gene names]])*1, 0))</f>
        <v>0</v>
      </c>
      <c r="M286" cm="1">
        <f t="array" ref="M286">INDEX(Table1[riBAQ 39], MATCH(1, (Table3[[#This Row],[Gene names]:[Gene names]] = Table1[[Gene names]:[Gene names]])*1, 0))</f>
        <v>0</v>
      </c>
      <c r="N286" cm="1">
        <f t="array" ref="N286">INDEX(Table1[riBAQ 40], MATCH(1, (Table3[[#This Row],[Gene names]:[Gene names]] = Table1[[Gene names]:[Gene names]])*1, 0))</f>
        <v>0</v>
      </c>
      <c r="O286" cm="1">
        <f t="array" ref="O286">INDEX(Table1[riBAQ 41], MATCH(1, (Table3[[#This Row],[Gene names]:[Gene names]] = Table1[[Gene names]:[Gene names]])*1, 0))</f>
        <v>0</v>
      </c>
      <c r="P286" cm="1">
        <f t="array" ref="P286">INDEX(Table1[riBAQ 24], MATCH(1, (Table3[[#This Row],[Gene names]:[Gene names]] = Table1[[Gene names]:[Gene names]])*1, 0))</f>
        <v>0</v>
      </c>
      <c r="Q286" cm="1">
        <f t="array" ref="Q286">INDEX(Table1[riBAQ 25], MATCH(1, (Table3[[#This Row],[Gene names]:[Gene names]] = Table1[[Gene names]:[Gene names]])*1, 0))</f>
        <v>7.2799999999999994E-5</v>
      </c>
      <c r="R286" cm="1">
        <f t="array" ref="R286">INDEX(Table1[riBAQ 26], MATCH(1, (Table3[[#This Row],[Gene names]:[Gene names]] = Table1[[Gene names]:[Gene names]])*1, 0))</f>
        <v>9.2999999999999997E-5</v>
      </c>
      <c r="S286" cm="1">
        <f t="array" ref="S286">INDEX(Table1[riBAQ 42], MATCH(1, (Table3[[#This Row],[Gene names]:[Gene names]] = Table1[[Gene names]:[Gene names]])*1, 0))</f>
        <v>6.7500000000000001E-5</v>
      </c>
      <c r="T286" cm="1">
        <f t="array" ref="T286">INDEX(Table1[riBAQ 43], MATCH(1, (Table3[[#This Row],[Gene names]:[Gene names]] = Table1[[Gene names]:[Gene names]])*1, 0))</f>
        <v>1.0513700000000001E-4</v>
      </c>
    </row>
    <row r="287" spans="1:20" x14ac:dyDescent="0.25">
      <c r="A287" t="s">
        <v>1815</v>
      </c>
      <c r="B287" cm="1">
        <f t="array" ref="B287">INDEX(Table1[riBAQ 17], MATCH(1, (Table3[[#This Row],[Gene names]:[Gene names]] = Table1[[Gene names]:[Gene names]])*1, 0))</f>
        <v>9.0600000000000007E-5</v>
      </c>
      <c r="C287" cm="1">
        <f t="array" ref="C287">INDEX(Table1[riBAQ 18], MATCH(1, (Table3[[#This Row],[Gene names]:[Gene names]] = Table1[[Gene names]:[Gene names]])*1, 0))</f>
        <v>2.4732999999999998E-4</v>
      </c>
      <c r="D287" cm="1">
        <f t="array" ref="D287">INDEX(Table1[riBAQ 35], MATCH(1, (Table3[[#This Row],[Gene names]:[Gene names]] = Table1[[Gene names]:[Gene names]])*1, 0))</f>
        <v>2.4958000000000001E-4</v>
      </c>
      <c r="E287" cm="1">
        <f t="array" ref="E287">INDEX(Table1[riBAQ 36], MATCH(1, (Table3[[#This Row],[Gene names]:[Gene names]] = Table1[[Gene names]:[Gene names]])*1, 0))</f>
        <v>3.4337000000000001E-4</v>
      </c>
      <c r="F287" cm="1">
        <f t="array" ref="F287">INDEX(Table1[riBAQ 19], MATCH(1, (Table3[[#This Row],[Gene names]:[Gene names]] = Table1[[Gene names]:[Gene names]])*1, 0))</f>
        <v>1.2246199999999999E-4</v>
      </c>
      <c r="G287" cm="1">
        <f t="array" ref="G287">INDEX(Table1[riBAQ 20], MATCH(1, (Table3[[#This Row],[Gene names]:[Gene names]] = Table1[[Gene names]:[Gene names]])*1, 0))</f>
        <v>2.8809899999999999E-4</v>
      </c>
      <c r="H287" cm="1">
        <f t="array" ref="H287">INDEX(Table1[riBAQ 21], MATCH(1, (Table3[[#This Row],[Gene names]:[Gene names]] = Table1[[Gene names]:[Gene names]])*1, 0))</f>
        <v>1.5629700000000001E-4</v>
      </c>
      <c r="I287" cm="1">
        <f t="array" ref="I287">INDEX(Table1[riBAQ 22], MATCH(1, (Table3[[#This Row],[Gene names]:[Gene names]] = Table1[[Gene names]:[Gene names]])*1, 0))</f>
        <v>1.2388399999999999E-4</v>
      </c>
      <c r="J287" cm="1">
        <f t="array" ref="J287">INDEX(Table1[riBAQ 23], MATCH(1, (Table3[[#This Row],[Gene names]:[Gene names]] = Table1[[Gene names]:[Gene names]])*1, 0))</f>
        <v>1.1414E-4</v>
      </c>
      <c r="K287" cm="1">
        <f t="array" ref="K287">INDEX(Table1[riBAQ 37], MATCH(1, (Table3[[#This Row],[Gene names]:[Gene names]] = Table1[[Gene names]:[Gene names]])*1, 0))</f>
        <v>2.4630300000000002E-4</v>
      </c>
      <c r="L287" cm="1">
        <f t="array" ref="L287">INDEX(Table1[riBAQ 38], MATCH(1, (Table3[[#This Row],[Gene names]:[Gene names]] = Table1[[Gene names]:[Gene names]])*1, 0))</f>
        <v>2.4066800000000001E-4</v>
      </c>
      <c r="M287" cm="1">
        <f t="array" ref="M287">INDEX(Table1[riBAQ 39], MATCH(1, (Table3[[#This Row],[Gene names]:[Gene names]] = Table1[[Gene names]:[Gene names]])*1, 0))</f>
        <v>1.7400400000000001E-4</v>
      </c>
      <c r="N287" cm="1">
        <f t="array" ref="N287">INDEX(Table1[riBAQ 40], MATCH(1, (Table3[[#This Row],[Gene names]:[Gene names]] = Table1[[Gene names]:[Gene names]])*1, 0))</f>
        <v>9.8200000000000002E-5</v>
      </c>
      <c r="O287" cm="1">
        <f t="array" ref="O287">INDEX(Table1[riBAQ 41], MATCH(1, (Table3[[#This Row],[Gene names]:[Gene names]] = Table1[[Gene names]:[Gene names]])*1, 0))</f>
        <v>1.7485999999999999E-4</v>
      </c>
      <c r="P287" cm="1">
        <f t="array" ref="P287">INDEX(Table1[riBAQ 24], MATCH(1, (Table3[[#This Row],[Gene names]:[Gene names]] = Table1[[Gene names]:[Gene names]])*1, 0))</f>
        <v>1.6716999999999999E-4</v>
      </c>
      <c r="Q287" cm="1">
        <f t="array" ref="Q287">INDEX(Table1[riBAQ 25], MATCH(1, (Table3[[#This Row],[Gene names]:[Gene names]] = Table1[[Gene names]:[Gene names]])*1, 0))</f>
        <v>3.4518999999999999E-4</v>
      </c>
      <c r="R287" cm="1">
        <f t="array" ref="R287">INDEX(Table1[riBAQ 26], MATCH(1, (Table3[[#This Row],[Gene names]:[Gene names]] = Table1[[Gene names]:[Gene names]])*1, 0))</f>
        <v>2.8711699999999998E-4</v>
      </c>
      <c r="S287" cm="1">
        <f t="array" ref="S287">INDEX(Table1[riBAQ 42], MATCH(1, (Table3[[#This Row],[Gene names]:[Gene names]] = Table1[[Gene names]:[Gene names]])*1, 0))</f>
        <v>3.67487E-4</v>
      </c>
      <c r="T287" cm="1">
        <f t="array" ref="T287">INDEX(Table1[riBAQ 43], MATCH(1, (Table3[[#This Row],[Gene names]:[Gene names]] = Table1[[Gene names]:[Gene names]])*1, 0))</f>
        <v>3.7443699999999998E-4</v>
      </c>
    </row>
    <row r="288" spans="1:20" x14ac:dyDescent="0.25">
      <c r="A288" t="s">
        <v>1621</v>
      </c>
      <c r="B288" cm="1">
        <f t="array" ref="B288">INDEX(Table1[riBAQ 17], MATCH(1, (Table3[[#This Row],[Gene names]:[Gene names]] = Table1[[Gene names]:[Gene names]])*1, 0))</f>
        <v>0</v>
      </c>
      <c r="C288" cm="1">
        <f t="array" ref="C288">INDEX(Table1[riBAQ 18], MATCH(1, (Table3[[#This Row],[Gene names]:[Gene names]] = Table1[[Gene names]:[Gene names]])*1, 0))</f>
        <v>0</v>
      </c>
      <c r="D288" cm="1">
        <f t="array" ref="D288">INDEX(Table1[riBAQ 35], MATCH(1, (Table3[[#This Row],[Gene names]:[Gene names]] = Table1[[Gene names]:[Gene names]])*1, 0))</f>
        <v>0</v>
      </c>
      <c r="E288" cm="1">
        <f t="array" ref="E288">INDEX(Table1[riBAQ 36], MATCH(1, (Table3[[#This Row],[Gene names]:[Gene names]] = Table1[[Gene names]:[Gene names]])*1, 0))</f>
        <v>0</v>
      </c>
      <c r="F288" cm="1">
        <f t="array" ref="F288">INDEX(Table1[riBAQ 19], MATCH(1, (Table3[[#This Row],[Gene names]:[Gene names]] = Table1[[Gene names]:[Gene names]])*1, 0))</f>
        <v>0</v>
      </c>
      <c r="G288" cm="1">
        <f t="array" ref="G288">INDEX(Table1[riBAQ 20], MATCH(1, (Table3[[#This Row],[Gene names]:[Gene names]] = Table1[[Gene names]:[Gene names]])*1, 0))</f>
        <v>0</v>
      </c>
      <c r="H288" cm="1">
        <f t="array" ref="H288">INDEX(Table1[riBAQ 21], MATCH(1, (Table3[[#This Row],[Gene names]:[Gene names]] = Table1[[Gene names]:[Gene names]])*1, 0))</f>
        <v>0</v>
      </c>
      <c r="I288" cm="1">
        <f t="array" ref="I288">INDEX(Table1[riBAQ 22], MATCH(1, (Table3[[#This Row],[Gene names]:[Gene names]] = Table1[[Gene names]:[Gene names]])*1, 0))</f>
        <v>0</v>
      </c>
      <c r="J288" cm="1">
        <f t="array" ref="J288">INDEX(Table1[riBAQ 23], MATCH(1, (Table3[[#This Row],[Gene names]:[Gene names]] = Table1[[Gene names]:[Gene names]])*1, 0))</f>
        <v>0</v>
      </c>
      <c r="K288" cm="1">
        <f t="array" ref="K288">INDEX(Table1[riBAQ 37], MATCH(1, (Table3[[#This Row],[Gene names]:[Gene names]] = Table1[[Gene names]:[Gene names]])*1, 0))</f>
        <v>0</v>
      </c>
      <c r="L288" cm="1">
        <f t="array" ref="L288">INDEX(Table1[riBAQ 38], MATCH(1, (Table3[[#This Row],[Gene names]:[Gene names]] = Table1[[Gene names]:[Gene names]])*1, 0))</f>
        <v>0</v>
      </c>
      <c r="M288" cm="1">
        <f t="array" ref="M288">INDEX(Table1[riBAQ 39], MATCH(1, (Table3[[#This Row],[Gene names]:[Gene names]] = Table1[[Gene names]:[Gene names]])*1, 0))</f>
        <v>0</v>
      </c>
      <c r="N288" cm="1">
        <f t="array" ref="N288">INDEX(Table1[riBAQ 40], MATCH(1, (Table3[[#This Row],[Gene names]:[Gene names]] = Table1[[Gene names]:[Gene names]])*1, 0))</f>
        <v>0</v>
      </c>
      <c r="O288" cm="1">
        <f t="array" ref="O288">INDEX(Table1[riBAQ 41], MATCH(1, (Table3[[#This Row],[Gene names]:[Gene names]] = Table1[[Gene names]:[Gene names]])*1, 0))</f>
        <v>0</v>
      </c>
      <c r="P288" cm="1">
        <f t="array" ref="P288">INDEX(Table1[riBAQ 24], MATCH(1, (Table3[[#This Row],[Gene names]:[Gene names]] = Table1[[Gene names]:[Gene names]])*1, 0))</f>
        <v>0</v>
      </c>
      <c r="Q288" cm="1">
        <f t="array" ref="Q288">INDEX(Table1[riBAQ 25], MATCH(1, (Table3[[#This Row],[Gene names]:[Gene names]] = Table1[[Gene names]:[Gene names]])*1, 0))</f>
        <v>1.6958199999999999E-4</v>
      </c>
      <c r="R288" cm="1">
        <f t="array" ref="R288">INDEX(Table1[riBAQ 26], MATCH(1, (Table3[[#This Row],[Gene names]:[Gene names]] = Table1[[Gene names]:[Gene names]])*1, 0))</f>
        <v>2.03935E-4</v>
      </c>
      <c r="S288" cm="1">
        <f t="array" ref="S288">INDEX(Table1[riBAQ 42], MATCH(1, (Table3[[#This Row],[Gene names]:[Gene names]] = Table1[[Gene names]:[Gene names]])*1, 0))</f>
        <v>2.2952199999999999E-4</v>
      </c>
      <c r="T288" cm="1">
        <f t="array" ref="T288">INDEX(Table1[riBAQ 43], MATCH(1, (Table3[[#This Row],[Gene names]:[Gene names]] = Table1[[Gene names]:[Gene names]])*1, 0))</f>
        <v>3.7320700000000002E-4</v>
      </c>
    </row>
    <row r="289" spans="1:20" x14ac:dyDescent="0.25">
      <c r="A289" t="s">
        <v>986</v>
      </c>
      <c r="B289" cm="1">
        <f t="array" ref="B289">INDEX(Table1[riBAQ 17], MATCH(1, (Table3[[#This Row],[Gene names]:[Gene names]] = Table1[[Gene names]:[Gene names]])*1, 0))</f>
        <v>6.5264200000000004E-4</v>
      </c>
      <c r="C289" cm="1">
        <f t="array" ref="C289">INDEX(Table1[riBAQ 18], MATCH(1, (Table3[[#This Row],[Gene names]:[Gene names]] = Table1[[Gene names]:[Gene names]])*1, 0))</f>
        <v>6.5745699999999996E-4</v>
      </c>
      <c r="D289" cm="1">
        <f t="array" ref="D289">INDEX(Table1[riBAQ 35], MATCH(1, (Table3[[#This Row],[Gene names]:[Gene names]] = Table1[[Gene names]:[Gene names]])*1, 0))</f>
        <v>6.78165E-4</v>
      </c>
      <c r="E289" cm="1">
        <f t="array" ref="E289">INDEX(Table1[riBAQ 36], MATCH(1, (Table3[[#This Row],[Gene names]:[Gene names]] = Table1[[Gene names]:[Gene names]])*1, 0))</f>
        <v>7.6474699999999997E-4</v>
      </c>
      <c r="F289" cm="1">
        <f t="array" ref="F289">INDEX(Table1[riBAQ 19], MATCH(1, (Table3[[#This Row],[Gene names]:[Gene names]] = Table1[[Gene names]:[Gene names]])*1, 0))</f>
        <v>5.6879900000000004E-4</v>
      </c>
      <c r="G289" cm="1">
        <f t="array" ref="G289">INDEX(Table1[riBAQ 20], MATCH(1, (Table3[[#This Row],[Gene names]:[Gene names]] = Table1[[Gene names]:[Gene names]])*1, 0))</f>
        <v>4.1692900000000002E-4</v>
      </c>
      <c r="H289" cm="1">
        <f t="array" ref="H289">INDEX(Table1[riBAQ 21], MATCH(1, (Table3[[#This Row],[Gene names]:[Gene names]] = Table1[[Gene names]:[Gene names]])*1, 0))</f>
        <v>4.33922E-4</v>
      </c>
      <c r="I289" cm="1">
        <f t="array" ref="I289">INDEX(Table1[riBAQ 22], MATCH(1, (Table3[[#This Row],[Gene names]:[Gene names]] = Table1[[Gene names]:[Gene names]])*1, 0))</f>
        <v>7.3670300000000001E-4</v>
      </c>
      <c r="J289" cm="1">
        <f t="array" ref="J289">INDEX(Table1[riBAQ 23], MATCH(1, (Table3[[#This Row],[Gene names]:[Gene names]] = Table1[[Gene names]:[Gene names]])*1, 0))</f>
        <v>6.6513200000000003E-4</v>
      </c>
      <c r="K289" cm="1">
        <f t="array" ref="K289">INDEX(Table1[riBAQ 37], MATCH(1, (Table3[[#This Row],[Gene names]:[Gene names]] = Table1[[Gene names]:[Gene names]])*1, 0))</f>
        <v>6.4249700000000001E-4</v>
      </c>
      <c r="L289" cm="1">
        <f t="array" ref="L289">INDEX(Table1[riBAQ 38], MATCH(1, (Table3[[#This Row],[Gene names]:[Gene names]] = Table1[[Gene names]:[Gene names]])*1, 0))</f>
        <v>4.8452800000000002E-4</v>
      </c>
      <c r="M289" cm="1">
        <f t="array" ref="M289">INDEX(Table1[riBAQ 39], MATCH(1, (Table3[[#This Row],[Gene names]:[Gene names]] = Table1[[Gene names]:[Gene names]])*1, 0))</f>
        <v>4.6395099999999999E-4</v>
      </c>
      <c r="N289" cm="1">
        <f t="array" ref="N289">INDEX(Table1[riBAQ 40], MATCH(1, (Table3[[#This Row],[Gene names]:[Gene names]] = Table1[[Gene names]:[Gene names]])*1, 0))</f>
        <v>6.0307999999999998E-4</v>
      </c>
      <c r="O289" cm="1">
        <f t="array" ref="O289">INDEX(Table1[riBAQ 41], MATCH(1, (Table3[[#This Row],[Gene names]:[Gene names]] = Table1[[Gene names]:[Gene names]])*1, 0))</f>
        <v>6.0108799999999995E-4</v>
      </c>
      <c r="P289" cm="1">
        <f t="array" ref="P289">INDEX(Table1[riBAQ 24], MATCH(1, (Table3[[#This Row],[Gene names]:[Gene names]] = Table1[[Gene names]:[Gene names]])*1, 0))</f>
        <v>3.2780199999999998E-4</v>
      </c>
      <c r="Q289" cm="1">
        <f t="array" ref="Q289">INDEX(Table1[riBAQ 25], MATCH(1, (Table3[[#This Row],[Gene names]:[Gene names]] = Table1[[Gene names]:[Gene names]])*1, 0))</f>
        <v>2.0965799999999999E-4</v>
      </c>
      <c r="R289" cm="1">
        <f t="array" ref="R289">INDEX(Table1[riBAQ 26], MATCH(1, (Table3[[#This Row],[Gene names]:[Gene names]] = Table1[[Gene names]:[Gene names]])*1, 0))</f>
        <v>2.3173200000000001E-4</v>
      </c>
      <c r="S289" cm="1">
        <f t="array" ref="S289">INDEX(Table1[riBAQ 42], MATCH(1, (Table3[[#This Row],[Gene names]:[Gene names]] = Table1[[Gene names]:[Gene names]])*1, 0))</f>
        <v>2.1649399999999999E-4</v>
      </c>
      <c r="T289" cm="1">
        <f t="array" ref="T289">INDEX(Table1[riBAQ 43], MATCH(1, (Table3[[#This Row],[Gene names]:[Gene names]] = Table1[[Gene names]:[Gene names]])*1, 0))</f>
        <v>1.5379200000000001E-4</v>
      </c>
    </row>
    <row r="290" spans="1:20" x14ac:dyDescent="0.25">
      <c r="A290" t="s">
        <v>1214</v>
      </c>
      <c r="B290" cm="1">
        <f t="array" ref="B290">INDEX(Table1[riBAQ 17], MATCH(1, (Table3[[#This Row],[Gene names]:[Gene names]] = Table1[[Gene names]:[Gene names]])*1, 0))</f>
        <v>3.3445000000000003E-4</v>
      </c>
      <c r="C290" cm="1">
        <f t="array" ref="C290">INDEX(Table1[riBAQ 18], MATCH(1, (Table3[[#This Row],[Gene names]:[Gene names]] = Table1[[Gene names]:[Gene names]])*1, 0))</f>
        <v>2.3349699999999999E-4</v>
      </c>
      <c r="D290" cm="1">
        <f t="array" ref="D290">INDEX(Table1[riBAQ 35], MATCH(1, (Table3[[#This Row],[Gene names]:[Gene names]] = Table1[[Gene names]:[Gene names]])*1, 0))</f>
        <v>2.2557999999999999E-4</v>
      </c>
      <c r="E290" cm="1">
        <f t="array" ref="E290">INDEX(Table1[riBAQ 36], MATCH(1, (Table3[[#This Row],[Gene names]:[Gene names]] = Table1[[Gene names]:[Gene names]])*1, 0))</f>
        <v>2.76858E-4</v>
      </c>
      <c r="F290" cm="1">
        <f t="array" ref="F290">INDEX(Table1[riBAQ 19], MATCH(1, (Table3[[#This Row],[Gene names]:[Gene names]] = Table1[[Gene names]:[Gene names]])*1, 0))</f>
        <v>3.4869000000000002E-4</v>
      </c>
      <c r="G290" cm="1">
        <f t="array" ref="G290">INDEX(Table1[riBAQ 20], MATCH(1, (Table3[[#This Row],[Gene names]:[Gene names]] = Table1[[Gene names]:[Gene names]])*1, 0))</f>
        <v>2.54985E-4</v>
      </c>
      <c r="H290" cm="1">
        <f t="array" ref="H290">INDEX(Table1[riBAQ 21], MATCH(1, (Table3[[#This Row],[Gene names]:[Gene names]] = Table1[[Gene names]:[Gene names]])*1, 0))</f>
        <v>2.4603100000000002E-4</v>
      </c>
      <c r="I290" cm="1">
        <f t="array" ref="I290">INDEX(Table1[riBAQ 22], MATCH(1, (Table3[[#This Row],[Gene names]:[Gene names]] = Table1[[Gene names]:[Gene names]])*1, 0))</f>
        <v>2.9466600000000001E-4</v>
      </c>
      <c r="J290" cm="1">
        <f t="array" ref="J290">INDEX(Table1[riBAQ 23], MATCH(1, (Table3[[#This Row],[Gene names]:[Gene names]] = Table1[[Gene names]:[Gene names]])*1, 0))</f>
        <v>3.6454499999999997E-4</v>
      </c>
      <c r="K290" cm="1">
        <f t="array" ref="K290">INDEX(Table1[riBAQ 37], MATCH(1, (Table3[[#This Row],[Gene names]:[Gene names]] = Table1[[Gene names]:[Gene names]])*1, 0))</f>
        <v>2.70881E-4</v>
      </c>
      <c r="L290" cm="1">
        <f t="array" ref="L290">INDEX(Table1[riBAQ 38], MATCH(1, (Table3[[#This Row],[Gene names]:[Gene names]] = Table1[[Gene names]:[Gene names]])*1, 0))</f>
        <v>2.6038400000000001E-4</v>
      </c>
      <c r="M290" cm="1">
        <f t="array" ref="M290">INDEX(Table1[riBAQ 39], MATCH(1, (Table3[[#This Row],[Gene names]:[Gene names]] = Table1[[Gene names]:[Gene names]])*1, 0))</f>
        <v>2.8728800000000002E-4</v>
      </c>
      <c r="N290" cm="1">
        <f t="array" ref="N290">INDEX(Table1[riBAQ 40], MATCH(1, (Table3[[#This Row],[Gene names]:[Gene names]] = Table1[[Gene names]:[Gene names]])*1, 0))</f>
        <v>3.0141199999999998E-4</v>
      </c>
      <c r="O290" cm="1">
        <f t="array" ref="O290">INDEX(Table1[riBAQ 41], MATCH(1, (Table3[[#This Row],[Gene names]:[Gene names]] = Table1[[Gene names]:[Gene names]])*1, 0))</f>
        <v>3.1848999999999999E-4</v>
      </c>
      <c r="P290" cm="1">
        <f t="array" ref="P290">INDEX(Table1[riBAQ 24], MATCH(1, (Table3[[#This Row],[Gene names]:[Gene names]] = Table1[[Gene names]:[Gene names]])*1, 0))</f>
        <v>4.4260700000000003E-4</v>
      </c>
      <c r="Q290" cm="1">
        <f t="array" ref="Q290">INDEX(Table1[riBAQ 25], MATCH(1, (Table3[[#This Row],[Gene names]:[Gene names]] = Table1[[Gene names]:[Gene names]])*1, 0))</f>
        <v>4.07818E-4</v>
      </c>
      <c r="R290" cm="1">
        <f t="array" ref="R290">INDEX(Table1[riBAQ 26], MATCH(1, (Table3[[#This Row],[Gene names]:[Gene names]] = Table1[[Gene names]:[Gene names]])*1, 0))</f>
        <v>5.4328700000000005E-4</v>
      </c>
      <c r="S290" cm="1">
        <f t="array" ref="S290">INDEX(Table1[riBAQ 42], MATCH(1, (Table3[[#This Row],[Gene names]:[Gene names]] = Table1[[Gene names]:[Gene names]])*1, 0))</f>
        <v>3.1108299999999998E-4</v>
      </c>
      <c r="T290" cm="1">
        <f t="array" ref="T290">INDEX(Table1[riBAQ 43], MATCH(1, (Table3[[#This Row],[Gene names]:[Gene names]] = Table1[[Gene names]:[Gene names]])*1, 0))</f>
        <v>4.1244099999999999E-4</v>
      </c>
    </row>
    <row r="291" spans="1:20" x14ac:dyDescent="0.25">
      <c r="A291" t="s">
        <v>1809</v>
      </c>
      <c r="B291" cm="1">
        <f t="array" ref="B291">INDEX(Table1[riBAQ 17], MATCH(1, (Table3[[#This Row],[Gene names]:[Gene names]] = Table1[[Gene names]:[Gene names]])*1, 0))</f>
        <v>0</v>
      </c>
      <c r="C291" cm="1">
        <f t="array" ref="C291">INDEX(Table1[riBAQ 18], MATCH(1, (Table3[[#This Row],[Gene names]:[Gene names]] = Table1[[Gene names]:[Gene names]])*1, 0))</f>
        <v>0</v>
      </c>
      <c r="D291" cm="1">
        <f t="array" ref="D291">INDEX(Table1[riBAQ 35], MATCH(1, (Table3[[#This Row],[Gene names]:[Gene names]] = Table1[[Gene names]:[Gene names]])*1, 0))</f>
        <v>0</v>
      </c>
      <c r="E291" cm="1">
        <f t="array" ref="E291">INDEX(Table1[riBAQ 36], MATCH(1, (Table3[[#This Row],[Gene names]:[Gene names]] = Table1[[Gene names]:[Gene names]])*1, 0))</f>
        <v>0</v>
      </c>
      <c r="F291" cm="1">
        <f t="array" ref="F291">INDEX(Table1[riBAQ 19], MATCH(1, (Table3[[#This Row],[Gene names]:[Gene names]] = Table1[[Gene names]:[Gene names]])*1, 0))</f>
        <v>0</v>
      </c>
      <c r="G291" cm="1">
        <f t="array" ref="G291">INDEX(Table1[riBAQ 20], MATCH(1, (Table3[[#This Row],[Gene names]:[Gene names]] = Table1[[Gene names]:[Gene names]])*1, 0))</f>
        <v>0</v>
      </c>
      <c r="H291" cm="1">
        <f t="array" ref="H291">INDEX(Table1[riBAQ 21], MATCH(1, (Table3[[#This Row],[Gene names]:[Gene names]] = Table1[[Gene names]:[Gene names]])*1, 0))</f>
        <v>0</v>
      </c>
      <c r="I291" cm="1">
        <f t="array" ref="I291">INDEX(Table1[riBAQ 22], MATCH(1, (Table3[[#This Row],[Gene names]:[Gene names]] = Table1[[Gene names]:[Gene names]])*1, 0))</f>
        <v>0</v>
      </c>
      <c r="J291" cm="1">
        <f t="array" ref="J291">INDEX(Table1[riBAQ 23], MATCH(1, (Table3[[#This Row],[Gene names]:[Gene names]] = Table1[[Gene names]:[Gene names]])*1, 0))</f>
        <v>0</v>
      </c>
      <c r="K291" cm="1">
        <f t="array" ref="K291">INDEX(Table1[riBAQ 37], MATCH(1, (Table3[[#This Row],[Gene names]:[Gene names]] = Table1[[Gene names]:[Gene names]])*1, 0))</f>
        <v>0</v>
      </c>
      <c r="L291" cm="1">
        <f t="array" ref="L291">INDEX(Table1[riBAQ 38], MATCH(1, (Table3[[#This Row],[Gene names]:[Gene names]] = Table1[[Gene names]:[Gene names]])*1, 0))</f>
        <v>0</v>
      </c>
      <c r="M291" cm="1">
        <f t="array" ref="M291">INDEX(Table1[riBAQ 39], MATCH(1, (Table3[[#This Row],[Gene names]:[Gene names]] = Table1[[Gene names]:[Gene names]])*1, 0))</f>
        <v>0</v>
      </c>
      <c r="N291" cm="1">
        <f t="array" ref="N291">INDEX(Table1[riBAQ 40], MATCH(1, (Table3[[#This Row],[Gene names]:[Gene names]] = Table1[[Gene names]:[Gene names]])*1, 0))</f>
        <v>0</v>
      </c>
      <c r="O291" cm="1">
        <f t="array" ref="O291">INDEX(Table1[riBAQ 41], MATCH(1, (Table3[[#This Row],[Gene names]:[Gene names]] = Table1[[Gene names]:[Gene names]])*1, 0))</f>
        <v>0</v>
      </c>
      <c r="P291" cm="1">
        <f t="array" ref="P291">INDEX(Table1[riBAQ 24], MATCH(1, (Table3[[#This Row],[Gene names]:[Gene names]] = Table1[[Gene names]:[Gene names]])*1, 0))</f>
        <v>0</v>
      </c>
      <c r="Q291" cm="1">
        <f t="array" ref="Q291">INDEX(Table1[riBAQ 25], MATCH(1, (Table3[[#This Row],[Gene names]:[Gene names]] = Table1[[Gene names]:[Gene names]])*1, 0))</f>
        <v>5.8100000000000003E-6</v>
      </c>
      <c r="R291" cm="1">
        <f t="array" ref="R291">INDEX(Table1[riBAQ 26], MATCH(1, (Table3[[#This Row],[Gene names]:[Gene names]] = Table1[[Gene names]:[Gene names]])*1, 0))</f>
        <v>9.4099999999999997E-6</v>
      </c>
      <c r="S291" cm="1">
        <f t="array" ref="S291">INDEX(Table1[riBAQ 42], MATCH(1, (Table3[[#This Row],[Gene names]:[Gene names]] = Table1[[Gene names]:[Gene names]])*1, 0))</f>
        <v>5.5199999999999997E-6</v>
      </c>
      <c r="T291" cm="1">
        <f t="array" ref="T291">INDEX(Table1[riBAQ 43], MATCH(1, (Table3[[#This Row],[Gene names]:[Gene names]] = Table1[[Gene names]:[Gene names]])*1, 0))</f>
        <v>6.7900000000000002E-6</v>
      </c>
    </row>
    <row r="292" spans="1:20" x14ac:dyDescent="0.25">
      <c r="A292" t="s">
        <v>978</v>
      </c>
      <c r="B292" cm="1">
        <f t="array" ref="B292">INDEX(Table1[riBAQ 17], MATCH(1, (Table3[[#This Row],[Gene names]:[Gene names]] = Table1[[Gene names]:[Gene names]])*1, 0))</f>
        <v>2.0738399999999999E-4</v>
      </c>
      <c r="C292" cm="1">
        <f t="array" ref="C292">INDEX(Table1[riBAQ 18], MATCH(1, (Table3[[#This Row],[Gene names]:[Gene names]] = Table1[[Gene names]:[Gene names]])*1, 0))</f>
        <v>1.53871E-4</v>
      </c>
      <c r="D292" cm="1">
        <f t="array" ref="D292">INDEX(Table1[riBAQ 35], MATCH(1, (Table3[[#This Row],[Gene names]:[Gene names]] = Table1[[Gene names]:[Gene names]])*1, 0))</f>
        <v>1.5197100000000001E-4</v>
      </c>
      <c r="E292" cm="1">
        <f t="array" ref="E292">INDEX(Table1[riBAQ 36], MATCH(1, (Table3[[#This Row],[Gene names]:[Gene names]] = Table1[[Gene names]:[Gene names]])*1, 0))</f>
        <v>1.94809E-4</v>
      </c>
      <c r="F292" cm="1">
        <f t="array" ref="F292">INDEX(Table1[riBAQ 19], MATCH(1, (Table3[[#This Row],[Gene names]:[Gene names]] = Table1[[Gene names]:[Gene names]])*1, 0))</f>
        <v>1.3689999999999999E-4</v>
      </c>
      <c r="G292" cm="1">
        <f t="array" ref="G292">INDEX(Table1[riBAQ 20], MATCH(1, (Table3[[#This Row],[Gene names]:[Gene names]] = Table1[[Gene names]:[Gene names]])*1, 0))</f>
        <v>8.3599999999999999E-5</v>
      </c>
      <c r="H292" cm="1">
        <f t="array" ref="H292">INDEX(Table1[riBAQ 21], MATCH(1, (Table3[[#This Row],[Gene names]:[Gene names]] = Table1[[Gene names]:[Gene names]])*1, 0))</f>
        <v>1.2253399999999999E-4</v>
      </c>
      <c r="I292" cm="1">
        <f t="array" ref="I292">INDEX(Table1[riBAQ 22], MATCH(1, (Table3[[#This Row],[Gene names]:[Gene names]] = Table1[[Gene names]:[Gene names]])*1, 0))</f>
        <v>1.6691399999999999E-4</v>
      </c>
      <c r="J292" cm="1">
        <f t="array" ref="J292">INDEX(Table1[riBAQ 23], MATCH(1, (Table3[[#This Row],[Gene names]:[Gene names]] = Table1[[Gene names]:[Gene names]])*1, 0))</f>
        <v>1.8944E-4</v>
      </c>
      <c r="K292" cm="1">
        <f t="array" ref="K292">INDEX(Table1[riBAQ 37], MATCH(1, (Table3[[#This Row],[Gene names]:[Gene names]] = Table1[[Gene names]:[Gene names]])*1, 0))</f>
        <v>1.6322600000000001E-4</v>
      </c>
      <c r="L292" cm="1">
        <f t="array" ref="L292">INDEX(Table1[riBAQ 38], MATCH(1, (Table3[[#This Row],[Gene names]:[Gene names]] = Table1[[Gene names]:[Gene names]])*1, 0))</f>
        <v>1.20703E-4</v>
      </c>
      <c r="M292" cm="1">
        <f t="array" ref="M292">INDEX(Table1[riBAQ 39], MATCH(1, (Table3[[#This Row],[Gene names]:[Gene names]] = Table1[[Gene names]:[Gene names]])*1, 0))</f>
        <v>1.1192999999999999E-4</v>
      </c>
      <c r="N292" cm="1">
        <f t="array" ref="N292">INDEX(Table1[riBAQ 40], MATCH(1, (Table3[[#This Row],[Gene names]:[Gene names]] = Table1[[Gene names]:[Gene names]])*1, 0))</f>
        <v>1.4307400000000001E-4</v>
      </c>
      <c r="O292" cm="1">
        <f t="array" ref="O292">INDEX(Table1[riBAQ 41], MATCH(1, (Table3[[#This Row],[Gene names]:[Gene names]] = Table1[[Gene names]:[Gene names]])*1, 0))</f>
        <v>1.6495099999999999E-4</v>
      </c>
      <c r="P292" cm="1">
        <f t="array" ref="P292">INDEX(Table1[riBAQ 24], MATCH(1, (Table3[[#This Row],[Gene names]:[Gene names]] = Table1[[Gene names]:[Gene names]])*1, 0))</f>
        <v>7.6199999999999995E-5</v>
      </c>
      <c r="Q292" cm="1">
        <f t="array" ref="Q292">INDEX(Table1[riBAQ 25], MATCH(1, (Table3[[#This Row],[Gene names]:[Gene names]] = Table1[[Gene names]:[Gene names]])*1, 0))</f>
        <v>3.0000000000000001E-5</v>
      </c>
      <c r="R292" cm="1">
        <f t="array" ref="R292">INDEX(Table1[riBAQ 26], MATCH(1, (Table3[[#This Row],[Gene names]:[Gene names]] = Table1[[Gene names]:[Gene names]])*1, 0))</f>
        <v>4.5800000000000002E-5</v>
      </c>
      <c r="S292" cm="1">
        <f t="array" ref="S292">INDEX(Table1[riBAQ 42], MATCH(1, (Table3[[#This Row],[Gene names]:[Gene names]] = Table1[[Gene names]:[Gene names]])*1, 0))</f>
        <v>2.48E-5</v>
      </c>
      <c r="T292" cm="1">
        <f t="array" ref="T292">INDEX(Table1[riBAQ 43], MATCH(1, (Table3[[#This Row],[Gene names]:[Gene names]] = Table1[[Gene names]:[Gene names]])*1, 0))</f>
        <v>1.7399999999999999E-5</v>
      </c>
    </row>
    <row r="293" spans="1:20" x14ac:dyDescent="0.25">
      <c r="A293" t="s">
        <v>1213</v>
      </c>
      <c r="B293" cm="1">
        <f t="array" ref="B293">INDEX(Table1[riBAQ 17], MATCH(1, (Table3[[#This Row],[Gene names]:[Gene names]] = Table1[[Gene names]:[Gene names]])*1, 0))</f>
        <v>0</v>
      </c>
      <c r="C293" cm="1">
        <f t="array" ref="C293">INDEX(Table1[riBAQ 18], MATCH(1, (Table3[[#This Row],[Gene names]:[Gene names]] = Table1[[Gene names]:[Gene names]])*1, 0))</f>
        <v>0</v>
      </c>
      <c r="D293" cm="1">
        <f t="array" ref="D293">INDEX(Table1[riBAQ 35], MATCH(1, (Table3[[#This Row],[Gene names]:[Gene names]] = Table1[[Gene names]:[Gene names]])*1, 0))</f>
        <v>0</v>
      </c>
      <c r="E293" cm="1">
        <f t="array" ref="E293">INDEX(Table1[riBAQ 36], MATCH(1, (Table3[[#This Row],[Gene names]:[Gene names]] = Table1[[Gene names]:[Gene names]])*1, 0))</f>
        <v>0</v>
      </c>
      <c r="F293" cm="1">
        <f t="array" ref="F293">INDEX(Table1[riBAQ 19], MATCH(1, (Table3[[#This Row],[Gene names]:[Gene names]] = Table1[[Gene names]:[Gene names]])*1, 0))</f>
        <v>7.0099999999999996E-5</v>
      </c>
      <c r="G293" cm="1">
        <f t="array" ref="G293">INDEX(Table1[riBAQ 20], MATCH(1, (Table3[[#This Row],[Gene names]:[Gene names]] = Table1[[Gene names]:[Gene names]])*1, 0))</f>
        <v>0</v>
      </c>
      <c r="H293" cm="1">
        <f t="array" ref="H293">INDEX(Table1[riBAQ 21], MATCH(1, (Table3[[#This Row],[Gene names]:[Gene names]] = Table1[[Gene names]:[Gene names]])*1, 0))</f>
        <v>2.65E-5</v>
      </c>
      <c r="I293" cm="1">
        <f t="array" ref="I293">INDEX(Table1[riBAQ 22], MATCH(1, (Table3[[#This Row],[Gene names]:[Gene names]] = Table1[[Gene names]:[Gene names]])*1, 0))</f>
        <v>1.26964E-4</v>
      </c>
      <c r="J293" cm="1">
        <f t="array" ref="J293">INDEX(Table1[riBAQ 23], MATCH(1, (Table3[[#This Row],[Gene names]:[Gene names]] = Table1[[Gene names]:[Gene names]])*1, 0))</f>
        <v>1.2745599999999999E-4</v>
      </c>
      <c r="K293" cm="1">
        <f t="array" ref="K293">INDEX(Table1[riBAQ 37], MATCH(1, (Table3[[#This Row],[Gene names]:[Gene names]] = Table1[[Gene names]:[Gene names]])*1, 0))</f>
        <v>2.3499999999999999E-5</v>
      </c>
      <c r="L293" cm="1">
        <f t="array" ref="L293">INDEX(Table1[riBAQ 38], MATCH(1, (Table3[[#This Row],[Gene names]:[Gene names]] = Table1[[Gene names]:[Gene names]])*1, 0))</f>
        <v>1.8899999999999999E-5</v>
      </c>
      <c r="M293" cm="1">
        <f t="array" ref="M293">INDEX(Table1[riBAQ 39], MATCH(1, (Table3[[#This Row],[Gene names]:[Gene names]] = Table1[[Gene names]:[Gene names]])*1, 0))</f>
        <v>1.88E-5</v>
      </c>
      <c r="N293" cm="1">
        <f t="array" ref="N293">INDEX(Table1[riBAQ 40], MATCH(1, (Table3[[#This Row],[Gene names]:[Gene names]] = Table1[[Gene names]:[Gene names]])*1, 0))</f>
        <v>6.7700000000000006E-5</v>
      </c>
      <c r="O293" cm="1">
        <f t="array" ref="O293">INDEX(Table1[riBAQ 41], MATCH(1, (Table3[[#This Row],[Gene names]:[Gene names]] = Table1[[Gene names]:[Gene names]])*1, 0))</f>
        <v>3.5599999999999998E-5</v>
      </c>
      <c r="P293" cm="1">
        <f t="array" ref="P293">INDEX(Table1[riBAQ 24], MATCH(1, (Table3[[#This Row],[Gene names]:[Gene names]] = Table1[[Gene names]:[Gene names]])*1, 0))</f>
        <v>1.3713899999999999E-4</v>
      </c>
      <c r="Q293" cm="1">
        <f t="array" ref="Q293">INDEX(Table1[riBAQ 25], MATCH(1, (Table3[[#This Row],[Gene names]:[Gene names]] = Table1[[Gene names]:[Gene names]])*1, 0))</f>
        <v>5.2372200000000001E-4</v>
      </c>
      <c r="R293" cm="1">
        <f t="array" ref="R293">INDEX(Table1[riBAQ 26], MATCH(1, (Table3[[#This Row],[Gene names]:[Gene names]] = Table1[[Gene names]:[Gene names]])*1, 0))</f>
        <v>7.9465899999999997E-4</v>
      </c>
      <c r="S293" cm="1">
        <f t="array" ref="S293">INDEX(Table1[riBAQ 42], MATCH(1, (Table3[[#This Row],[Gene names]:[Gene names]] = Table1[[Gene names]:[Gene names]])*1, 0))</f>
        <v>1.65346E-4</v>
      </c>
      <c r="T293" cm="1">
        <f t="array" ref="T293">INDEX(Table1[riBAQ 43], MATCH(1, (Table3[[#This Row],[Gene names]:[Gene names]] = Table1[[Gene names]:[Gene names]])*1, 0))</f>
        <v>4.5538399999999998E-4</v>
      </c>
    </row>
    <row r="294" spans="1:20" x14ac:dyDescent="0.25">
      <c r="A294" t="s">
        <v>945</v>
      </c>
      <c r="B294" cm="1">
        <f t="array" ref="B294">INDEX(Table1[riBAQ 17], MATCH(1, (Table3[[#This Row],[Gene names]:[Gene names]] = Table1[[Gene names]:[Gene names]])*1, 0))</f>
        <v>0</v>
      </c>
      <c r="C294" cm="1">
        <f t="array" ref="C294">INDEX(Table1[riBAQ 18], MATCH(1, (Table3[[#This Row],[Gene names]:[Gene names]] = Table1[[Gene names]:[Gene names]])*1, 0))</f>
        <v>0</v>
      </c>
      <c r="D294" cm="1">
        <f t="array" ref="D294">INDEX(Table1[riBAQ 35], MATCH(1, (Table3[[#This Row],[Gene names]:[Gene names]] = Table1[[Gene names]:[Gene names]])*1, 0))</f>
        <v>4.42E-6</v>
      </c>
      <c r="E294" cm="1">
        <f t="array" ref="E294">INDEX(Table1[riBAQ 36], MATCH(1, (Table3[[#This Row],[Gene names]:[Gene names]] = Table1[[Gene names]:[Gene names]])*1, 0))</f>
        <v>0</v>
      </c>
      <c r="F294" cm="1">
        <f t="array" ref="F294">INDEX(Table1[riBAQ 19], MATCH(1, (Table3[[#This Row],[Gene names]:[Gene names]] = Table1[[Gene names]:[Gene names]])*1, 0))</f>
        <v>6.4300000000000003E-6</v>
      </c>
      <c r="G294" cm="1">
        <f t="array" ref="G294">INDEX(Table1[riBAQ 20], MATCH(1, (Table3[[#This Row],[Gene names]:[Gene names]] = Table1[[Gene names]:[Gene names]])*1, 0))</f>
        <v>1.7200000000000001E-5</v>
      </c>
      <c r="H294" cm="1">
        <f t="array" ref="H294">INDEX(Table1[riBAQ 21], MATCH(1, (Table3[[#This Row],[Gene names]:[Gene names]] = Table1[[Gene names]:[Gene names]])*1, 0))</f>
        <v>8.4400000000000005E-6</v>
      </c>
      <c r="I294" cm="1">
        <f t="array" ref="I294">INDEX(Table1[riBAQ 22], MATCH(1, (Table3[[#This Row],[Gene names]:[Gene names]] = Table1[[Gene names]:[Gene names]])*1, 0))</f>
        <v>4.4000000000000002E-6</v>
      </c>
      <c r="J294" cm="1">
        <f t="array" ref="J294">INDEX(Table1[riBAQ 23], MATCH(1, (Table3[[#This Row],[Gene names]:[Gene names]] = Table1[[Gene names]:[Gene names]])*1, 0))</f>
        <v>0</v>
      </c>
      <c r="K294" cm="1">
        <f t="array" ref="K294">INDEX(Table1[riBAQ 37], MATCH(1, (Table3[[#This Row],[Gene names]:[Gene names]] = Table1[[Gene names]:[Gene names]])*1, 0))</f>
        <v>7.3499999999999999E-6</v>
      </c>
      <c r="L294" cm="1">
        <f t="array" ref="L294">INDEX(Table1[riBAQ 38], MATCH(1, (Table3[[#This Row],[Gene names]:[Gene names]] = Table1[[Gene names]:[Gene names]])*1, 0))</f>
        <v>4.6800000000000001E-6</v>
      </c>
      <c r="M294" cm="1">
        <f t="array" ref="M294">INDEX(Table1[riBAQ 39], MATCH(1, (Table3[[#This Row],[Gene names]:[Gene names]] = Table1[[Gene names]:[Gene names]])*1, 0))</f>
        <v>0</v>
      </c>
      <c r="N294" cm="1">
        <f t="array" ref="N294">INDEX(Table1[riBAQ 40], MATCH(1, (Table3[[#This Row],[Gene names]:[Gene names]] = Table1[[Gene names]:[Gene names]])*1, 0))</f>
        <v>0</v>
      </c>
      <c r="O294" cm="1">
        <f t="array" ref="O294">INDEX(Table1[riBAQ 41], MATCH(1, (Table3[[#This Row],[Gene names]:[Gene names]] = Table1[[Gene names]:[Gene names]])*1, 0))</f>
        <v>0</v>
      </c>
      <c r="P294" cm="1">
        <f t="array" ref="P294">INDEX(Table1[riBAQ 24], MATCH(1, (Table3[[#This Row],[Gene names]:[Gene names]] = Table1[[Gene names]:[Gene names]])*1, 0))</f>
        <v>1.22E-5</v>
      </c>
      <c r="Q294" cm="1">
        <f t="array" ref="Q294">INDEX(Table1[riBAQ 25], MATCH(1, (Table3[[#This Row],[Gene names]:[Gene names]] = Table1[[Gene names]:[Gene names]])*1, 0))</f>
        <v>1.9400000000000001E-5</v>
      </c>
      <c r="R294" cm="1">
        <f t="array" ref="R294">INDEX(Table1[riBAQ 26], MATCH(1, (Table3[[#This Row],[Gene names]:[Gene names]] = Table1[[Gene names]:[Gene names]])*1, 0))</f>
        <v>1.26E-5</v>
      </c>
      <c r="S294" cm="1">
        <f t="array" ref="S294">INDEX(Table1[riBAQ 42], MATCH(1, (Table3[[#This Row],[Gene names]:[Gene names]] = Table1[[Gene names]:[Gene names]])*1, 0))</f>
        <v>1.1199999999999999E-5</v>
      </c>
      <c r="T294" cm="1">
        <f t="array" ref="T294">INDEX(Table1[riBAQ 43], MATCH(1, (Table3[[#This Row],[Gene names]:[Gene names]] = Table1[[Gene names]:[Gene names]])*1, 0))</f>
        <v>2.34E-5</v>
      </c>
    </row>
    <row r="295" spans="1:20" x14ac:dyDescent="0.25">
      <c r="A295" t="s">
        <v>973</v>
      </c>
      <c r="B295" cm="1">
        <f t="array" ref="B295">INDEX(Table1[riBAQ 17], MATCH(1, (Table3[[#This Row],[Gene names]:[Gene names]] = Table1[[Gene names]:[Gene names]])*1, 0))</f>
        <v>6.7000000000000002E-5</v>
      </c>
      <c r="C295" cm="1">
        <f t="array" ref="C295">INDEX(Table1[riBAQ 18], MATCH(1, (Table3[[#This Row],[Gene names]:[Gene names]] = Table1[[Gene names]:[Gene names]])*1, 0))</f>
        <v>2.08801E-4</v>
      </c>
      <c r="D295" cm="1">
        <f t="array" ref="D295">INDEX(Table1[riBAQ 35], MATCH(1, (Table3[[#This Row],[Gene names]:[Gene names]] = Table1[[Gene names]:[Gene names]])*1, 0))</f>
        <v>2.0111900000000001E-4</v>
      </c>
      <c r="E295" cm="1">
        <f t="array" ref="E295">INDEX(Table1[riBAQ 36], MATCH(1, (Table3[[#This Row],[Gene names]:[Gene names]] = Table1[[Gene names]:[Gene names]])*1, 0))</f>
        <v>1.9189899999999999E-4</v>
      </c>
      <c r="F295" cm="1">
        <f t="array" ref="F295">INDEX(Table1[riBAQ 19], MATCH(1, (Table3[[#This Row],[Gene names]:[Gene names]] = Table1[[Gene names]:[Gene names]])*1, 0))</f>
        <v>1.0807E-4</v>
      </c>
      <c r="G295" cm="1">
        <f t="array" ref="G295">INDEX(Table1[riBAQ 20], MATCH(1, (Table3[[#This Row],[Gene names]:[Gene names]] = Table1[[Gene names]:[Gene names]])*1, 0))</f>
        <v>2.25427E-4</v>
      </c>
      <c r="H295" cm="1">
        <f t="array" ref="H295">INDEX(Table1[riBAQ 21], MATCH(1, (Table3[[#This Row],[Gene names]:[Gene names]] = Table1[[Gene names]:[Gene names]])*1, 0))</f>
        <v>1.3146800000000001E-4</v>
      </c>
      <c r="I295" cm="1">
        <f t="array" ref="I295">INDEX(Table1[riBAQ 22], MATCH(1, (Table3[[#This Row],[Gene names]:[Gene names]] = Table1[[Gene names]:[Gene names]])*1, 0))</f>
        <v>1.9724900000000001E-4</v>
      </c>
      <c r="J295" cm="1">
        <f t="array" ref="J295">INDEX(Table1[riBAQ 23], MATCH(1, (Table3[[#This Row],[Gene names]:[Gene names]] = Table1[[Gene names]:[Gene names]])*1, 0))</f>
        <v>1.7423699999999999E-4</v>
      </c>
      <c r="K295" cm="1">
        <f t="array" ref="K295">INDEX(Table1[riBAQ 37], MATCH(1, (Table3[[#This Row],[Gene names]:[Gene names]] = Table1[[Gene names]:[Gene names]])*1, 0))</f>
        <v>1.6525200000000001E-4</v>
      </c>
      <c r="L295" cm="1">
        <f t="array" ref="L295">INDEX(Table1[riBAQ 38], MATCH(1, (Table3[[#This Row],[Gene names]:[Gene names]] = Table1[[Gene names]:[Gene names]])*1, 0))</f>
        <v>1.5928700000000001E-4</v>
      </c>
      <c r="M295" cm="1">
        <f t="array" ref="M295">INDEX(Table1[riBAQ 39], MATCH(1, (Table3[[#This Row],[Gene names]:[Gene names]] = Table1[[Gene names]:[Gene names]])*1, 0))</f>
        <v>1.0558800000000001E-4</v>
      </c>
      <c r="N295" cm="1">
        <f t="array" ref="N295">INDEX(Table1[riBAQ 40], MATCH(1, (Table3[[#This Row],[Gene names]:[Gene names]] = Table1[[Gene names]:[Gene names]])*1, 0))</f>
        <v>1.7707199999999999E-4</v>
      </c>
      <c r="O295" cm="1">
        <f t="array" ref="O295">INDEX(Table1[riBAQ 41], MATCH(1, (Table3[[#This Row],[Gene names]:[Gene names]] = Table1[[Gene names]:[Gene names]])*1, 0))</f>
        <v>1.6381800000000001E-4</v>
      </c>
      <c r="P295" cm="1">
        <f t="array" ref="P295">INDEX(Table1[riBAQ 24], MATCH(1, (Table3[[#This Row],[Gene names]:[Gene names]] = Table1[[Gene names]:[Gene names]])*1, 0))</f>
        <v>6.5199999999999999E-5</v>
      </c>
      <c r="Q295" cm="1">
        <f t="array" ref="Q295">INDEX(Table1[riBAQ 25], MATCH(1, (Table3[[#This Row],[Gene names]:[Gene names]] = Table1[[Gene names]:[Gene names]])*1, 0))</f>
        <v>3.2799999999999998E-5</v>
      </c>
      <c r="R295" cm="1">
        <f t="array" ref="R295">INDEX(Table1[riBAQ 26], MATCH(1, (Table3[[#This Row],[Gene names]:[Gene names]] = Table1[[Gene names]:[Gene names]])*1, 0))</f>
        <v>3.4499999999999998E-5</v>
      </c>
      <c r="S295" cm="1">
        <f t="array" ref="S295">INDEX(Table1[riBAQ 42], MATCH(1, (Table3[[#This Row],[Gene names]:[Gene names]] = Table1[[Gene names]:[Gene names]])*1, 0))</f>
        <v>3.6100000000000003E-5</v>
      </c>
      <c r="T295" cm="1">
        <f t="array" ref="T295">INDEX(Table1[riBAQ 43], MATCH(1, (Table3[[#This Row],[Gene names]:[Gene names]] = Table1[[Gene names]:[Gene names]])*1, 0))</f>
        <v>3.8899999999999997E-5</v>
      </c>
    </row>
    <row r="296" spans="1:20" x14ac:dyDescent="0.25">
      <c r="A296" t="s">
        <v>1265</v>
      </c>
      <c r="B296" cm="1">
        <f t="array" ref="B296">INDEX(Table1[riBAQ 17], MATCH(1, (Table3[[#This Row],[Gene names]:[Gene names]] = Table1[[Gene names]:[Gene names]])*1, 0))</f>
        <v>2.9639400000000001E-4</v>
      </c>
      <c r="C296" cm="1">
        <f t="array" ref="C296">INDEX(Table1[riBAQ 18], MATCH(1, (Table3[[#This Row],[Gene names]:[Gene names]] = Table1[[Gene names]:[Gene names]])*1, 0))</f>
        <v>2.96118E-4</v>
      </c>
      <c r="D296" cm="1">
        <f t="array" ref="D296">INDEX(Table1[riBAQ 35], MATCH(1, (Table3[[#This Row],[Gene names]:[Gene names]] = Table1[[Gene names]:[Gene names]])*1, 0))</f>
        <v>3.0443100000000003E-4</v>
      </c>
      <c r="E296" cm="1">
        <f t="array" ref="E296">INDEX(Table1[riBAQ 36], MATCH(1, (Table3[[#This Row],[Gene names]:[Gene names]] = Table1[[Gene names]:[Gene names]])*1, 0))</f>
        <v>2.2128E-4</v>
      </c>
      <c r="F296" cm="1">
        <f t="array" ref="F296">INDEX(Table1[riBAQ 19], MATCH(1, (Table3[[#This Row],[Gene names]:[Gene names]] = Table1[[Gene names]:[Gene names]])*1, 0))</f>
        <v>2.5493800000000002E-4</v>
      </c>
      <c r="G296" cm="1">
        <f t="array" ref="G296">INDEX(Table1[riBAQ 20], MATCH(1, (Table3[[#This Row],[Gene names]:[Gene names]] = Table1[[Gene names]:[Gene names]])*1, 0))</f>
        <v>2.97788E-4</v>
      </c>
      <c r="H296" cm="1">
        <f t="array" ref="H296">INDEX(Table1[riBAQ 21], MATCH(1, (Table3[[#This Row],[Gene names]:[Gene names]] = Table1[[Gene names]:[Gene names]])*1, 0))</f>
        <v>2.5285500000000002E-4</v>
      </c>
      <c r="I296" cm="1">
        <f t="array" ref="I296">INDEX(Table1[riBAQ 22], MATCH(1, (Table3[[#This Row],[Gene names]:[Gene names]] = Table1[[Gene names]:[Gene names]])*1, 0))</f>
        <v>3.5121099999999998E-4</v>
      </c>
      <c r="J296" cm="1">
        <f t="array" ref="J296">INDEX(Table1[riBAQ 23], MATCH(1, (Table3[[#This Row],[Gene names]:[Gene names]] = Table1[[Gene names]:[Gene names]])*1, 0))</f>
        <v>2.5824799999999998E-4</v>
      </c>
      <c r="K296" cm="1">
        <f t="array" ref="K296">INDEX(Table1[riBAQ 37], MATCH(1, (Table3[[#This Row],[Gene names]:[Gene names]] = Table1[[Gene names]:[Gene names]])*1, 0))</f>
        <v>3.1252E-4</v>
      </c>
      <c r="L296" cm="1">
        <f t="array" ref="L296">INDEX(Table1[riBAQ 38], MATCH(1, (Table3[[#This Row],[Gene names]:[Gene names]] = Table1[[Gene names]:[Gene names]])*1, 0))</f>
        <v>3.3733199999999997E-4</v>
      </c>
      <c r="M296" cm="1">
        <f t="array" ref="M296">INDEX(Table1[riBAQ 39], MATCH(1, (Table3[[#This Row],[Gene names]:[Gene names]] = Table1[[Gene names]:[Gene names]])*1, 0))</f>
        <v>2.5049600000000001E-4</v>
      </c>
      <c r="N296" cm="1">
        <f t="array" ref="N296">INDEX(Table1[riBAQ 40], MATCH(1, (Table3[[#This Row],[Gene names]:[Gene names]] = Table1[[Gene names]:[Gene names]])*1, 0))</f>
        <v>3.8079699999999999E-4</v>
      </c>
      <c r="O296" cm="1">
        <f t="array" ref="O296">INDEX(Table1[riBAQ 41], MATCH(1, (Table3[[#This Row],[Gene names]:[Gene names]] = Table1[[Gene names]:[Gene names]])*1, 0))</f>
        <v>2.82563E-4</v>
      </c>
      <c r="P296" cm="1">
        <f t="array" ref="P296">INDEX(Table1[riBAQ 24], MATCH(1, (Table3[[#This Row],[Gene names]:[Gene names]] = Table1[[Gene names]:[Gene names]])*1, 0))</f>
        <v>3.0880099999999999E-4</v>
      </c>
      <c r="Q296" cm="1">
        <f t="array" ref="Q296">INDEX(Table1[riBAQ 25], MATCH(1, (Table3[[#This Row],[Gene names]:[Gene names]] = Table1[[Gene names]:[Gene names]])*1, 0))</f>
        <v>1.6167800000000001E-4</v>
      </c>
      <c r="R296" cm="1">
        <f t="array" ref="R296">INDEX(Table1[riBAQ 26], MATCH(1, (Table3[[#This Row],[Gene names]:[Gene names]] = Table1[[Gene names]:[Gene names]])*1, 0))</f>
        <v>2.1970099999999999E-4</v>
      </c>
      <c r="S296" cm="1">
        <f t="array" ref="S296">INDEX(Table1[riBAQ 42], MATCH(1, (Table3[[#This Row],[Gene names]:[Gene names]] = Table1[[Gene names]:[Gene names]])*1, 0))</f>
        <v>1.8412999999999999E-4</v>
      </c>
      <c r="T296" cm="1">
        <f t="array" ref="T296">INDEX(Table1[riBAQ 43], MATCH(1, (Table3[[#This Row],[Gene names]:[Gene names]] = Table1[[Gene names]:[Gene names]])*1, 0))</f>
        <v>1.9140300000000001E-4</v>
      </c>
    </row>
    <row r="297" spans="1:20" x14ac:dyDescent="0.25">
      <c r="A297" t="s">
        <v>970</v>
      </c>
      <c r="B297" cm="1">
        <f t="array" ref="B297">INDEX(Table1[riBAQ 17], MATCH(1, (Table3[[#This Row],[Gene names]:[Gene names]] = Table1[[Gene names]:[Gene names]])*1, 0))</f>
        <v>1.2167600000000001E-4</v>
      </c>
      <c r="C297" cm="1">
        <f t="array" ref="C297">INDEX(Table1[riBAQ 18], MATCH(1, (Table3[[#This Row],[Gene names]:[Gene names]] = Table1[[Gene names]:[Gene names]])*1, 0))</f>
        <v>2.06465E-4</v>
      </c>
      <c r="D297" cm="1">
        <f t="array" ref="D297">INDEX(Table1[riBAQ 35], MATCH(1, (Table3[[#This Row],[Gene names]:[Gene names]] = Table1[[Gene names]:[Gene names]])*1, 0))</f>
        <v>1.8023099999999999E-4</v>
      </c>
      <c r="E297" cm="1">
        <f t="array" ref="E297">INDEX(Table1[riBAQ 36], MATCH(1, (Table3[[#This Row],[Gene names]:[Gene names]] = Table1[[Gene names]:[Gene names]])*1, 0))</f>
        <v>1.5971200000000001E-4</v>
      </c>
      <c r="F297" cm="1">
        <f t="array" ref="F297">INDEX(Table1[riBAQ 19], MATCH(1, (Table3[[#This Row],[Gene names]:[Gene names]] = Table1[[Gene names]:[Gene names]])*1, 0))</f>
        <v>1.38038E-4</v>
      </c>
      <c r="G297" cm="1">
        <f t="array" ref="G297">INDEX(Table1[riBAQ 20], MATCH(1, (Table3[[#This Row],[Gene names]:[Gene names]] = Table1[[Gene names]:[Gene names]])*1, 0))</f>
        <v>1.8159200000000001E-4</v>
      </c>
      <c r="H297" cm="1">
        <f t="array" ref="H297">INDEX(Table1[riBAQ 21], MATCH(1, (Table3[[#This Row],[Gene names]:[Gene names]] = Table1[[Gene names]:[Gene names]])*1, 0))</f>
        <v>1.6442E-4</v>
      </c>
      <c r="I297" cm="1">
        <f t="array" ref="I297">INDEX(Table1[riBAQ 22], MATCH(1, (Table3[[#This Row],[Gene names]:[Gene names]] = Table1[[Gene names]:[Gene names]])*1, 0))</f>
        <v>2.5594300000000001E-4</v>
      </c>
      <c r="J297" cm="1">
        <f t="array" ref="J297">INDEX(Table1[riBAQ 23], MATCH(1, (Table3[[#This Row],[Gene names]:[Gene names]] = Table1[[Gene names]:[Gene names]])*1, 0))</f>
        <v>1.68954E-4</v>
      </c>
      <c r="K297" cm="1">
        <f t="array" ref="K297">INDEX(Table1[riBAQ 37], MATCH(1, (Table3[[#This Row],[Gene names]:[Gene names]] = Table1[[Gene names]:[Gene names]])*1, 0))</f>
        <v>1.94148E-4</v>
      </c>
      <c r="L297" cm="1">
        <f t="array" ref="L297">INDEX(Table1[riBAQ 38], MATCH(1, (Table3[[#This Row],[Gene names]:[Gene names]] = Table1[[Gene names]:[Gene names]])*1, 0))</f>
        <v>2.1967800000000001E-4</v>
      </c>
      <c r="M297" cm="1">
        <f t="array" ref="M297">INDEX(Table1[riBAQ 39], MATCH(1, (Table3[[#This Row],[Gene names]:[Gene names]] = Table1[[Gene names]:[Gene names]])*1, 0))</f>
        <v>1.4379900000000001E-4</v>
      </c>
      <c r="N297" cm="1">
        <f t="array" ref="N297">INDEX(Table1[riBAQ 40], MATCH(1, (Table3[[#This Row],[Gene names]:[Gene names]] = Table1[[Gene names]:[Gene names]])*1, 0))</f>
        <v>2.0587200000000001E-4</v>
      </c>
      <c r="O297" cm="1">
        <f t="array" ref="O297">INDEX(Table1[riBAQ 41], MATCH(1, (Table3[[#This Row],[Gene names]:[Gene names]] = Table1[[Gene names]:[Gene names]])*1, 0))</f>
        <v>1.9421600000000001E-4</v>
      </c>
      <c r="P297" cm="1">
        <f t="array" ref="P297">INDEX(Table1[riBAQ 24], MATCH(1, (Table3[[#This Row],[Gene names]:[Gene names]] = Table1[[Gene names]:[Gene names]])*1, 0))</f>
        <v>9.8099999999999999E-5</v>
      </c>
      <c r="Q297" cm="1">
        <f t="array" ref="Q297">INDEX(Table1[riBAQ 25], MATCH(1, (Table3[[#This Row],[Gene names]:[Gene names]] = Table1[[Gene names]:[Gene names]])*1, 0))</f>
        <v>4.5399999999999999E-5</v>
      </c>
      <c r="R297" cm="1">
        <f t="array" ref="R297">INDEX(Table1[riBAQ 26], MATCH(1, (Table3[[#This Row],[Gene names]:[Gene names]] = Table1[[Gene names]:[Gene names]])*1, 0))</f>
        <v>5.9200000000000002E-5</v>
      </c>
      <c r="S297" cm="1">
        <f t="array" ref="S297">INDEX(Table1[riBAQ 42], MATCH(1, (Table3[[#This Row],[Gene names]:[Gene names]] = Table1[[Gene names]:[Gene names]])*1, 0))</f>
        <v>4.2700000000000001E-5</v>
      </c>
      <c r="T297" cm="1">
        <f t="array" ref="T297">INDEX(Table1[riBAQ 43], MATCH(1, (Table3[[#This Row],[Gene names]:[Gene names]] = Table1[[Gene names]:[Gene names]])*1, 0))</f>
        <v>3.0700000000000001E-5</v>
      </c>
    </row>
    <row r="298" spans="1:20" x14ac:dyDescent="0.25">
      <c r="A298" t="s">
        <v>971</v>
      </c>
      <c r="B298" cm="1">
        <f t="array" ref="B298">INDEX(Table1[riBAQ 17], MATCH(1, (Table3[[#This Row],[Gene names]:[Gene names]] = Table1[[Gene names]:[Gene names]])*1, 0))</f>
        <v>2.8257500000000002E-4</v>
      </c>
      <c r="C298" cm="1">
        <f t="array" ref="C298">INDEX(Table1[riBAQ 18], MATCH(1, (Table3[[#This Row],[Gene names]:[Gene names]] = Table1[[Gene names]:[Gene names]])*1, 0))</f>
        <v>4.3878500000000002E-4</v>
      </c>
      <c r="D298" cm="1">
        <f t="array" ref="D298">INDEX(Table1[riBAQ 35], MATCH(1, (Table3[[#This Row],[Gene names]:[Gene names]] = Table1[[Gene names]:[Gene names]])*1, 0))</f>
        <v>4.0019799999999999E-4</v>
      </c>
      <c r="E298" cm="1">
        <f t="array" ref="E298">INDEX(Table1[riBAQ 36], MATCH(1, (Table3[[#This Row],[Gene names]:[Gene names]] = Table1[[Gene names]:[Gene names]])*1, 0))</f>
        <v>3.4850499999999998E-4</v>
      </c>
      <c r="F298" cm="1">
        <f t="array" ref="F298">INDEX(Table1[riBAQ 19], MATCH(1, (Table3[[#This Row],[Gene names]:[Gene names]] = Table1[[Gene names]:[Gene names]])*1, 0))</f>
        <v>2.8024799999999998E-4</v>
      </c>
      <c r="G298" cm="1">
        <f t="array" ref="G298">INDEX(Table1[riBAQ 20], MATCH(1, (Table3[[#This Row],[Gene names]:[Gene names]] = Table1[[Gene names]:[Gene names]])*1, 0))</f>
        <v>3.9576599999999998E-4</v>
      </c>
      <c r="H298" cm="1">
        <f t="array" ref="H298">INDEX(Table1[riBAQ 21], MATCH(1, (Table3[[#This Row],[Gene names]:[Gene names]] = Table1[[Gene names]:[Gene names]])*1, 0))</f>
        <v>2.87428E-4</v>
      </c>
      <c r="I298" cm="1">
        <f t="array" ref="I298">INDEX(Table1[riBAQ 22], MATCH(1, (Table3[[#This Row],[Gene names]:[Gene names]] = Table1[[Gene names]:[Gene names]])*1, 0))</f>
        <v>4.6409899999999999E-4</v>
      </c>
      <c r="J298" cm="1">
        <f t="array" ref="J298">INDEX(Table1[riBAQ 23], MATCH(1, (Table3[[#This Row],[Gene names]:[Gene names]] = Table1[[Gene names]:[Gene names]])*1, 0))</f>
        <v>4.52325E-4</v>
      </c>
      <c r="K298" cm="1">
        <f t="array" ref="K298">INDEX(Table1[riBAQ 37], MATCH(1, (Table3[[#This Row],[Gene names]:[Gene names]] = Table1[[Gene names]:[Gene names]])*1, 0))</f>
        <v>4.9477799999999997E-4</v>
      </c>
      <c r="L298" cm="1">
        <f t="array" ref="L298">INDEX(Table1[riBAQ 38], MATCH(1, (Table3[[#This Row],[Gene names]:[Gene names]] = Table1[[Gene names]:[Gene names]])*1, 0))</f>
        <v>5.3476299999999995E-4</v>
      </c>
      <c r="M298" cm="1">
        <f t="array" ref="M298">INDEX(Table1[riBAQ 39], MATCH(1, (Table3[[#This Row],[Gene names]:[Gene names]] = Table1[[Gene names]:[Gene names]])*1, 0))</f>
        <v>3.4530299999999998E-4</v>
      </c>
      <c r="N298" cm="1">
        <f t="array" ref="N298">INDEX(Table1[riBAQ 40], MATCH(1, (Table3[[#This Row],[Gene names]:[Gene names]] = Table1[[Gene names]:[Gene names]])*1, 0))</f>
        <v>4.9287199999999999E-4</v>
      </c>
      <c r="O298" cm="1">
        <f t="array" ref="O298">INDEX(Table1[riBAQ 41], MATCH(1, (Table3[[#This Row],[Gene names]:[Gene names]] = Table1[[Gene names]:[Gene names]])*1, 0))</f>
        <v>4.8275E-4</v>
      </c>
      <c r="P298" cm="1">
        <f t="array" ref="P298">INDEX(Table1[riBAQ 24], MATCH(1, (Table3[[#This Row],[Gene names]:[Gene names]] = Table1[[Gene names]:[Gene names]])*1, 0))</f>
        <v>2.6926700000000001E-4</v>
      </c>
      <c r="Q298" cm="1">
        <f t="array" ref="Q298">INDEX(Table1[riBAQ 25], MATCH(1, (Table3[[#This Row],[Gene names]:[Gene names]] = Table1[[Gene names]:[Gene names]])*1, 0))</f>
        <v>1.5333100000000001E-4</v>
      </c>
      <c r="R298" cm="1">
        <f t="array" ref="R298">INDEX(Table1[riBAQ 26], MATCH(1, (Table3[[#This Row],[Gene names]:[Gene names]] = Table1[[Gene names]:[Gene names]])*1, 0))</f>
        <v>2.24875E-4</v>
      </c>
      <c r="S298" cm="1">
        <f t="array" ref="S298">INDEX(Table1[riBAQ 42], MATCH(1, (Table3[[#This Row],[Gene names]:[Gene names]] = Table1[[Gene names]:[Gene names]])*1, 0))</f>
        <v>1.4897700000000001E-4</v>
      </c>
      <c r="T298" cm="1">
        <f t="array" ref="T298">INDEX(Table1[riBAQ 43], MATCH(1, (Table3[[#This Row],[Gene names]:[Gene names]] = Table1[[Gene names]:[Gene names]])*1, 0))</f>
        <v>1.14719E-4</v>
      </c>
    </row>
    <row r="299" spans="1:20" x14ac:dyDescent="0.25">
      <c r="A299" t="s">
        <v>620</v>
      </c>
      <c r="B299" cm="1">
        <f t="array" ref="B299">INDEX(Table1[riBAQ 17], MATCH(1, (Table3[[#This Row],[Gene names]:[Gene names]] = Table1[[Gene names]:[Gene names]])*1, 0))</f>
        <v>0</v>
      </c>
      <c r="C299" cm="1">
        <f t="array" ref="C299">INDEX(Table1[riBAQ 18], MATCH(1, (Table3[[#This Row],[Gene names]:[Gene names]] = Table1[[Gene names]:[Gene names]])*1, 0))</f>
        <v>0</v>
      </c>
      <c r="D299" cm="1">
        <f t="array" ref="D299">INDEX(Table1[riBAQ 35], MATCH(1, (Table3[[#This Row],[Gene names]:[Gene names]] = Table1[[Gene names]:[Gene names]])*1, 0))</f>
        <v>0</v>
      </c>
      <c r="E299" cm="1">
        <f t="array" ref="E299">INDEX(Table1[riBAQ 36], MATCH(1, (Table3[[#This Row],[Gene names]:[Gene names]] = Table1[[Gene names]:[Gene names]])*1, 0))</f>
        <v>0</v>
      </c>
      <c r="F299" cm="1">
        <f t="array" ref="F299">INDEX(Table1[riBAQ 19], MATCH(1, (Table3[[#This Row],[Gene names]:[Gene names]] = Table1[[Gene names]:[Gene names]])*1, 0))</f>
        <v>0</v>
      </c>
      <c r="G299" cm="1">
        <f t="array" ref="G299">INDEX(Table1[riBAQ 20], MATCH(1, (Table3[[#This Row],[Gene names]:[Gene names]] = Table1[[Gene names]:[Gene names]])*1, 0))</f>
        <v>0</v>
      </c>
      <c r="H299" cm="1">
        <f t="array" ref="H299">INDEX(Table1[riBAQ 21], MATCH(1, (Table3[[#This Row],[Gene names]:[Gene names]] = Table1[[Gene names]:[Gene names]])*1, 0))</f>
        <v>0</v>
      </c>
      <c r="I299" cm="1">
        <f t="array" ref="I299">INDEX(Table1[riBAQ 22], MATCH(1, (Table3[[#This Row],[Gene names]:[Gene names]] = Table1[[Gene names]:[Gene names]])*1, 0))</f>
        <v>0</v>
      </c>
      <c r="J299" cm="1">
        <f t="array" ref="J299">INDEX(Table1[riBAQ 23], MATCH(1, (Table3[[#This Row],[Gene names]:[Gene names]] = Table1[[Gene names]:[Gene names]])*1, 0))</f>
        <v>0</v>
      </c>
      <c r="K299" cm="1">
        <f t="array" ref="K299">INDEX(Table1[riBAQ 37], MATCH(1, (Table3[[#This Row],[Gene names]:[Gene names]] = Table1[[Gene names]:[Gene names]])*1, 0))</f>
        <v>0</v>
      </c>
      <c r="L299" cm="1">
        <f t="array" ref="L299">INDEX(Table1[riBAQ 38], MATCH(1, (Table3[[#This Row],[Gene names]:[Gene names]] = Table1[[Gene names]:[Gene names]])*1, 0))</f>
        <v>0</v>
      </c>
      <c r="M299" cm="1">
        <f t="array" ref="M299">INDEX(Table1[riBAQ 39], MATCH(1, (Table3[[#This Row],[Gene names]:[Gene names]] = Table1[[Gene names]:[Gene names]])*1, 0))</f>
        <v>0</v>
      </c>
      <c r="N299" cm="1">
        <f t="array" ref="N299">INDEX(Table1[riBAQ 40], MATCH(1, (Table3[[#This Row],[Gene names]:[Gene names]] = Table1[[Gene names]:[Gene names]])*1, 0))</f>
        <v>0</v>
      </c>
      <c r="O299" cm="1">
        <f t="array" ref="O299">INDEX(Table1[riBAQ 41], MATCH(1, (Table3[[#This Row],[Gene names]:[Gene names]] = Table1[[Gene names]:[Gene names]])*1, 0))</f>
        <v>0</v>
      </c>
      <c r="P299" cm="1">
        <f t="array" ref="P299">INDEX(Table1[riBAQ 24], MATCH(1, (Table3[[#This Row],[Gene names]:[Gene names]] = Table1[[Gene names]:[Gene names]])*1, 0))</f>
        <v>0</v>
      </c>
      <c r="Q299" cm="1">
        <f t="array" ref="Q299">INDEX(Table1[riBAQ 25], MATCH(1, (Table3[[#This Row],[Gene names]:[Gene names]] = Table1[[Gene names]:[Gene names]])*1, 0))</f>
        <v>2.37E-5</v>
      </c>
      <c r="R299" cm="1">
        <f t="array" ref="R299">INDEX(Table1[riBAQ 26], MATCH(1, (Table3[[#This Row],[Gene names]:[Gene names]] = Table1[[Gene names]:[Gene names]])*1, 0))</f>
        <v>1.5800000000000001E-5</v>
      </c>
      <c r="S299" cm="1">
        <f t="array" ref="S299">INDEX(Table1[riBAQ 42], MATCH(1, (Table3[[#This Row],[Gene names]:[Gene names]] = Table1[[Gene names]:[Gene names]])*1, 0))</f>
        <v>8.9299999999999992E-6</v>
      </c>
      <c r="T299" cm="1">
        <f t="array" ref="T299">INDEX(Table1[riBAQ 43], MATCH(1, (Table3[[#This Row],[Gene names]:[Gene names]] = Table1[[Gene names]:[Gene names]])*1, 0))</f>
        <v>1.73E-5</v>
      </c>
    </row>
    <row r="300" spans="1:20" x14ac:dyDescent="0.25">
      <c r="A300" t="s">
        <v>1241</v>
      </c>
      <c r="B300" cm="1">
        <f t="array" ref="B300">INDEX(Table1[riBAQ 17], MATCH(1, (Table3[[#This Row],[Gene names]:[Gene names]] = Table1[[Gene names]:[Gene names]])*1, 0))</f>
        <v>5.1E-5</v>
      </c>
      <c r="C300" cm="1">
        <f t="array" ref="C300">INDEX(Table1[riBAQ 18], MATCH(1, (Table3[[#This Row],[Gene names]:[Gene names]] = Table1[[Gene names]:[Gene names]])*1, 0))</f>
        <v>4.6400000000000003E-5</v>
      </c>
      <c r="D300" cm="1">
        <f t="array" ref="D300">INDEX(Table1[riBAQ 35], MATCH(1, (Table3[[#This Row],[Gene names]:[Gene names]] = Table1[[Gene names]:[Gene names]])*1, 0))</f>
        <v>7.5799999999999999E-5</v>
      </c>
      <c r="E300" cm="1">
        <f t="array" ref="E300">INDEX(Table1[riBAQ 36], MATCH(1, (Table3[[#This Row],[Gene names]:[Gene names]] = Table1[[Gene names]:[Gene names]])*1, 0))</f>
        <v>6.2000000000000003E-5</v>
      </c>
      <c r="F300" cm="1">
        <f t="array" ref="F300">INDEX(Table1[riBAQ 19], MATCH(1, (Table3[[#This Row],[Gene names]:[Gene names]] = Table1[[Gene names]:[Gene names]])*1, 0))</f>
        <v>4.2500000000000003E-5</v>
      </c>
      <c r="G300" cm="1">
        <f t="array" ref="G300">INDEX(Table1[riBAQ 20], MATCH(1, (Table3[[#This Row],[Gene names]:[Gene names]] = Table1[[Gene names]:[Gene names]])*1, 0))</f>
        <v>4.0599999999999998E-5</v>
      </c>
      <c r="H300" cm="1">
        <f t="array" ref="H300">INDEX(Table1[riBAQ 21], MATCH(1, (Table3[[#This Row],[Gene names]:[Gene names]] = Table1[[Gene names]:[Gene names]])*1, 0))</f>
        <v>8.2999999999999998E-5</v>
      </c>
      <c r="I300" cm="1">
        <f t="array" ref="I300">INDEX(Table1[riBAQ 22], MATCH(1, (Table3[[#This Row],[Gene names]:[Gene names]] = Table1[[Gene names]:[Gene names]])*1, 0))</f>
        <v>4.8900000000000003E-5</v>
      </c>
      <c r="J300" cm="1">
        <f t="array" ref="J300">INDEX(Table1[riBAQ 23], MATCH(1, (Table3[[#This Row],[Gene names]:[Gene names]] = Table1[[Gene names]:[Gene names]])*1, 0))</f>
        <v>0</v>
      </c>
      <c r="K300" cm="1">
        <f t="array" ref="K300">INDEX(Table1[riBAQ 37], MATCH(1, (Table3[[#This Row],[Gene names]:[Gene names]] = Table1[[Gene names]:[Gene names]])*1, 0))</f>
        <v>5.8E-5</v>
      </c>
      <c r="L300" cm="1">
        <f t="array" ref="L300">INDEX(Table1[riBAQ 38], MATCH(1, (Table3[[#This Row],[Gene names]:[Gene names]] = Table1[[Gene names]:[Gene names]])*1, 0))</f>
        <v>6.05E-5</v>
      </c>
      <c r="M300" cm="1">
        <f t="array" ref="M300">INDEX(Table1[riBAQ 39], MATCH(1, (Table3[[#This Row],[Gene names]:[Gene names]] = Table1[[Gene names]:[Gene names]])*1, 0))</f>
        <v>4.3099999999999997E-5</v>
      </c>
      <c r="N300" cm="1">
        <f t="array" ref="N300">INDEX(Table1[riBAQ 40], MATCH(1, (Table3[[#This Row],[Gene names]:[Gene names]] = Table1[[Gene names]:[Gene names]])*1, 0))</f>
        <v>3.8000000000000002E-5</v>
      </c>
      <c r="O300" cm="1">
        <f t="array" ref="O300">INDEX(Table1[riBAQ 41], MATCH(1, (Table3[[#This Row],[Gene names]:[Gene names]] = Table1[[Gene names]:[Gene names]])*1, 0))</f>
        <v>6.5199999999999999E-5</v>
      </c>
      <c r="P300" cm="1">
        <f t="array" ref="P300">INDEX(Table1[riBAQ 24], MATCH(1, (Table3[[#This Row],[Gene names]:[Gene names]] = Table1[[Gene names]:[Gene names]])*1, 0))</f>
        <v>5.7899999999999998E-5</v>
      </c>
      <c r="Q300" cm="1">
        <f t="array" ref="Q300">INDEX(Table1[riBAQ 25], MATCH(1, (Table3[[#This Row],[Gene names]:[Gene names]] = Table1[[Gene names]:[Gene names]])*1, 0))</f>
        <v>9.7100000000000002E-5</v>
      </c>
      <c r="R300" cm="1">
        <f t="array" ref="R300">INDEX(Table1[riBAQ 26], MATCH(1, (Table3[[#This Row],[Gene names]:[Gene names]] = Table1[[Gene names]:[Gene names]])*1, 0))</f>
        <v>9.5099999999999994E-5</v>
      </c>
      <c r="S300" cm="1">
        <f t="array" ref="S300">INDEX(Table1[riBAQ 42], MATCH(1, (Table3[[#This Row],[Gene names]:[Gene names]] = Table1[[Gene names]:[Gene names]])*1, 0))</f>
        <v>5.1999999999999997E-5</v>
      </c>
      <c r="T300" cm="1">
        <f t="array" ref="T300">INDEX(Table1[riBAQ 43], MATCH(1, (Table3[[#This Row],[Gene names]:[Gene names]] = Table1[[Gene names]:[Gene names]])*1, 0))</f>
        <v>1.13501E-4</v>
      </c>
    </row>
    <row r="301" spans="1:20" x14ac:dyDescent="0.25">
      <c r="A301" t="s">
        <v>54</v>
      </c>
      <c r="B301" cm="1">
        <f t="array" ref="B301">INDEX(Table1[riBAQ 17], MATCH(1, (Table3[[#This Row],[Gene names]:[Gene names]] = Table1[[Gene names]:[Gene names]])*1, 0))</f>
        <v>0</v>
      </c>
      <c r="C301" cm="1">
        <f t="array" ref="C301">INDEX(Table1[riBAQ 18], MATCH(1, (Table3[[#This Row],[Gene names]:[Gene names]] = Table1[[Gene names]:[Gene names]])*1, 0))</f>
        <v>0</v>
      </c>
      <c r="D301" cm="1">
        <f t="array" ref="D301">INDEX(Table1[riBAQ 35], MATCH(1, (Table3[[#This Row],[Gene names]:[Gene names]] = Table1[[Gene names]:[Gene names]])*1, 0))</f>
        <v>0</v>
      </c>
      <c r="E301" cm="1">
        <f t="array" ref="E301">INDEX(Table1[riBAQ 36], MATCH(1, (Table3[[#This Row],[Gene names]:[Gene names]] = Table1[[Gene names]:[Gene names]])*1, 0))</f>
        <v>0</v>
      </c>
      <c r="F301" cm="1">
        <f t="array" ref="F301">INDEX(Table1[riBAQ 19], MATCH(1, (Table3[[#This Row],[Gene names]:[Gene names]] = Table1[[Gene names]:[Gene names]])*1, 0))</f>
        <v>3.3900000000000002E-6</v>
      </c>
      <c r="G301" cm="1">
        <f t="array" ref="G301">INDEX(Table1[riBAQ 20], MATCH(1, (Table3[[#This Row],[Gene names]:[Gene names]] = Table1[[Gene names]:[Gene names]])*1, 0))</f>
        <v>0</v>
      </c>
      <c r="H301" cm="1">
        <f t="array" ref="H301">INDEX(Table1[riBAQ 21], MATCH(1, (Table3[[#This Row],[Gene names]:[Gene names]] = Table1[[Gene names]:[Gene names]])*1, 0))</f>
        <v>2.7499999999999999E-6</v>
      </c>
      <c r="I301" cm="1">
        <f t="array" ref="I301">INDEX(Table1[riBAQ 22], MATCH(1, (Table3[[#This Row],[Gene names]:[Gene names]] = Table1[[Gene names]:[Gene names]])*1, 0))</f>
        <v>0</v>
      </c>
      <c r="J301" cm="1">
        <f t="array" ref="J301">INDEX(Table1[riBAQ 23], MATCH(1, (Table3[[#This Row],[Gene names]:[Gene names]] = Table1[[Gene names]:[Gene names]])*1, 0))</f>
        <v>0</v>
      </c>
      <c r="K301" cm="1">
        <f t="array" ref="K301">INDEX(Table1[riBAQ 37], MATCH(1, (Table3[[#This Row],[Gene names]:[Gene names]] = Table1[[Gene names]:[Gene names]])*1, 0))</f>
        <v>0</v>
      </c>
      <c r="L301" cm="1">
        <f t="array" ref="L301">INDEX(Table1[riBAQ 38], MATCH(1, (Table3[[#This Row],[Gene names]:[Gene names]] = Table1[[Gene names]:[Gene names]])*1, 0))</f>
        <v>0</v>
      </c>
      <c r="M301" cm="1">
        <f t="array" ref="M301">INDEX(Table1[riBAQ 39], MATCH(1, (Table3[[#This Row],[Gene names]:[Gene names]] = Table1[[Gene names]:[Gene names]])*1, 0))</f>
        <v>0</v>
      </c>
      <c r="N301" cm="1">
        <f t="array" ref="N301">INDEX(Table1[riBAQ 40], MATCH(1, (Table3[[#This Row],[Gene names]:[Gene names]] = Table1[[Gene names]:[Gene names]])*1, 0))</f>
        <v>0</v>
      </c>
      <c r="O301" cm="1">
        <f t="array" ref="O301">INDEX(Table1[riBAQ 41], MATCH(1, (Table3[[#This Row],[Gene names]:[Gene names]] = Table1[[Gene names]:[Gene names]])*1, 0))</f>
        <v>0</v>
      </c>
      <c r="P301" cm="1">
        <f t="array" ref="P301">INDEX(Table1[riBAQ 24], MATCH(1, (Table3[[#This Row],[Gene names]:[Gene names]] = Table1[[Gene names]:[Gene names]])*1, 0))</f>
        <v>4.6199999999999998E-6</v>
      </c>
      <c r="Q301" cm="1">
        <f t="array" ref="Q301">INDEX(Table1[riBAQ 25], MATCH(1, (Table3[[#This Row],[Gene names]:[Gene names]] = Table1[[Gene names]:[Gene names]])*1, 0))</f>
        <v>3.8500000000000004E-6</v>
      </c>
      <c r="R301" cm="1">
        <f t="array" ref="R301">INDEX(Table1[riBAQ 26], MATCH(1, (Table3[[#This Row],[Gene names]:[Gene names]] = Table1[[Gene names]:[Gene names]])*1, 0))</f>
        <v>8.1300000000000001E-6</v>
      </c>
      <c r="S301" cm="1">
        <f t="array" ref="S301">INDEX(Table1[riBAQ 42], MATCH(1, (Table3[[#This Row],[Gene names]:[Gene names]] = Table1[[Gene names]:[Gene names]])*1, 0))</f>
        <v>0</v>
      </c>
      <c r="T301" cm="1">
        <f t="array" ref="T301">INDEX(Table1[riBAQ 43], MATCH(1, (Table3[[#This Row],[Gene names]:[Gene names]] = Table1[[Gene names]:[Gene names]])*1, 0))</f>
        <v>8.3100000000000001E-6</v>
      </c>
    </row>
    <row r="302" spans="1:20" x14ac:dyDescent="0.25">
      <c r="A302" t="s">
        <v>489</v>
      </c>
      <c r="B302" cm="1">
        <f t="array" ref="B302">INDEX(Table1[riBAQ 17], MATCH(1, (Table3[[#This Row],[Gene names]:[Gene names]] = Table1[[Gene names]:[Gene names]])*1, 0))</f>
        <v>0</v>
      </c>
      <c r="C302" cm="1">
        <f t="array" ref="C302">INDEX(Table1[riBAQ 18], MATCH(1, (Table3[[#This Row],[Gene names]:[Gene names]] = Table1[[Gene names]:[Gene names]])*1, 0))</f>
        <v>4.0000000000000003E-5</v>
      </c>
      <c r="D302" cm="1">
        <f t="array" ref="D302">INDEX(Table1[riBAQ 35], MATCH(1, (Table3[[#This Row],[Gene names]:[Gene names]] = Table1[[Gene names]:[Gene names]])*1, 0))</f>
        <v>0</v>
      </c>
      <c r="E302" cm="1">
        <f t="array" ref="E302">INDEX(Table1[riBAQ 36], MATCH(1, (Table3[[#This Row],[Gene names]:[Gene names]] = Table1[[Gene names]:[Gene names]])*1, 0))</f>
        <v>0</v>
      </c>
      <c r="F302" cm="1">
        <f t="array" ref="F302">INDEX(Table1[riBAQ 19], MATCH(1, (Table3[[#This Row],[Gene names]:[Gene names]] = Table1[[Gene names]:[Gene names]])*1, 0))</f>
        <v>2.2099999999999998E-5</v>
      </c>
      <c r="G302" cm="1">
        <f t="array" ref="G302">INDEX(Table1[riBAQ 20], MATCH(1, (Table3[[#This Row],[Gene names]:[Gene names]] = Table1[[Gene names]:[Gene names]])*1, 0))</f>
        <v>0</v>
      </c>
      <c r="H302" cm="1">
        <f t="array" ref="H302">INDEX(Table1[riBAQ 21], MATCH(1, (Table3[[#This Row],[Gene names]:[Gene names]] = Table1[[Gene names]:[Gene names]])*1, 0))</f>
        <v>4.3900000000000003E-5</v>
      </c>
      <c r="I302" cm="1">
        <f t="array" ref="I302">INDEX(Table1[riBAQ 22], MATCH(1, (Table3[[#This Row],[Gene names]:[Gene names]] = Table1[[Gene names]:[Gene names]])*1, 0))</f>
        <v>2.8399999999999999E-5</v>
      </c>
      <c r="J302" cm="1">
        <f t="array" ref="J302">INDEX(Table1[riBAQ 23], MATCH(1, (Table3[[#This Row],[Gene names]:[Gene names]] = Table1[[Gene names]:[Gene names]])*1, 0))</f>
        <v>3.3399999999999999E-5</v>
      </c>
      <c r="K302" cm="1">
        <f t="array" ref="K302">INDEX(Table1[riBAQ 37], MATCH(1, (Table3[[#This Row],[Gene names]:[Gene names]] = Table1[[Gene names]:[Gene names]])*1, 0))</f>
        <v>2.8500000000000002E-5</v>
      </c>
      <c r="L302" cm="1">
        <f t="array" ref="L302">INDEX(Table1[riBAQ 38], MATCH(1, (Table3[[#This Row],[Gene names]:[Gene names]] = Table1[[Gene names]:[Gene names]])*1, 0))</f>
        <v>2.5000000000000001E-5</v>
      </c>
      <c r="M302" cm="1">
        <f t="array" ref="M302">INDEX(Table1[riBAQ 39], MATCH(1, (Table3[[#This Row],[Gene names]:[Gene names]] = Table1[[Gene names]:[Gene names]])*1, 0))</f>
        <v>0</v>
      </c>
      <c r="N302" cm="1">
        <f t="array" ref="N302">INDEX(Table1[riBAQ 40], MATCH(1, (Table3[[#This Row],[Gene names]:[Gene names]] = Table1[[Gene names]:[Gene names]])*1, 0))</f>
        <v>0</v>
      </c>
      <c r="O302" cm="1">
        <f t="array" ref="O302">INDEX(Table1[riBAQ 41], MATCH(1, (Table3[[#This Row],[Gene names]:[Gene names]] = Table1[[Gene names]:[Gene names]])*1, 0))</f>
        <v>0</v>
      </c>
      <c r="P302" cm="1">
        <f t="array" ref="P302">INDEX(Table1[riBAQ 24], MATCH(1, (Table3[[#This Row],[Gene names]:[Gene names]] = Table1[[Gene names]:[Gene names]])*1, 0))</f>
        <v>0</v>
      </c>
      <c r="Q302" cm="1">
        <f t="array" ref="Q302">INDEX(Table1[riBAQ 25], MATCH(1, (Table3[[#This Row],[Gene names]:[Gene names]] = Table1[[Gene names]:[Gene names]])*1, 0))</f>
        <v>8.7399999999999997E-5</v>
      </c>
      <c r="R302" cm="1">
        <f t="array" ref="R302">INDEX(Table1[riBAQ 26], MATCH(1, (Table3[[#This Row],[Gene names]:[Gene names]] = Table1[[Gene names]:[Gene names]])*1, 0))</f>
        <v>7.3499999999999998E-5</v>
      </c>
      <c r="S302" cm="1">
        <f t="array" ref="S302">INDEX(Table1[riBAQ 42], MATCH(1, (Table3[[#This Row],[Gene names]:[Gene names]] = Table1[[Gene names]:[Gene names]])*1, 0))</f>
        <v>8.7499999999999999E-5</v>
      </c>
      <c r="T302" cm="1">
        <f t="array" ref="T302">INDEX(Table1[riBAQ 43], MATCH(1, (Table3[[#This Row],[Gene names]:[Gene names]] = Table1[[Gene names]:[Gene names]])*1, 0))</f>
        <v>8.9800000000000001E-5</v>
      </c>
    </row>
    <row r="303" spans="1:20" x14ac:dyDescent="0.25">
      <c r="A303" t="s">
        <v>1113</v>
      </c>
      <c r="B303" cm="1">
        <f t="array" ref="B303">INDEX(Table1[riBAQ 17], MATCH(1, (Table3[[#This Row],[Gene names]:[Gene names]] = Table1[[Gene names]:[Gene names]])*1, 0))</f>
        <v>0</v>
      </c>
      <c r="C303" cm="1">
        <f t="array" ref="C303">INDEX(Table1[riBAQ 18], MATCH(1, (Table3[[#This Row],[Gene names]:[Gene names]] = Table1[[Gene names]:[Gene names]])*1, 0))</f>
        <v>0</v>
      </c>
      <c r="D303" cm="1">
        <f t="array" ref="D303">INDEX(Table1[riBAQ 35], MATCH(1, (Table3[[#This Row],[Gene names]:[Gene names]] = Table1[[Gene names]:[Gene names]])*1, 0))</f>
        <v>0</v>
      </c>
      <c r="E303" cm="1">
        <f t="array" ref="E303">INDEX(Table1[riBAQ 36], MATCH(1, (Table3[[#This Row],[Gene names]:[Gene names]] = Table1[[Gene names]:[Gene names]])*1, 0))</f>
        <v>0</v>
      </c>
      <c r="F303" cm="1">
        <f t="array" ref="F303">INDEX(Table1[riBAQ 19], MATCH(1, (Table3[[#This Row],[Gene names]:[Gene names]] = Table1[[Gene names]:[Gene names]])*1, 0))</f>
        <v>0</v>
      </c>
      <c r="G303" cm="1">
        <f t="array" ref="G303">INDEX(Table1[riBAQ 20], MATCH(1, (Table3[[#This Row],[Gene names]:[Gene names]] = Table1[[Gene names]:[Gene names]])*1, 0))</f>
        <v>1.19098E-4</v>
      </c>
      <c r="H303" cm="1">
        <f t="array" ref="H303">INDEX(Table1[riBAQ 21], MATCH(1, (Table3[[#This Row],[Gene names]:[Gene names]] = Table1[[Gene names]:[Gene names]])*1, 0))</f>
        <v>0</v>
      </c>
      <c r="I303" cm="1">
        <f t="array" ref="I303">INDEX(Table1[riBAQ 22], MATCH(1, (Table3[[#This Row],[Gene names]:[Gene names]] = Table1[[Gene names]:[Gene names]])*1, 0))</f>
        <v>0</v>
      </c>
      <c r="J303" cm="1">
        <f t="array" ref="J303">INDEX(Table1[riBAQ 23], MATCH(1, (Table3[[#This Row],[Gene names]:[Gene names]] = Table1[[Gene names]:[Gene names]])*1, 0))</f>
        <v>0</v>
      </c>
      <c r="K303" cm="1">
        <f t="array" ref="K303">INDEX(Table1[riBAQ 37], MATCH(1, (Table3[[#This Row],[Gene names]:[Gene names]] = Table1[[Gene names]:[Gene names]])*1, 0))</f>
        <v>0</v>
      </c>
      <c r="L303" cm="1">
        <f t="array" ref="L303">INDEX(Table1[riBAQ 38], MATCH(1, (Table3[[#This Row],[Gene names]:[Gene names]] = Table1[[Gene names]:[Gene names]])*1, 0))</f>
        <v>0</v>
      </c>
      <c r="M303" cm="1">
        <f t="array" ref="M303">INDEX(Table1[riBAQ 39], MATCH(1, (Table3[[#This Row],[Gene names]:[Gene names]] = Table1[[Gene names]:[Gene names]])*1, 0))</f>
        <v>0</v>
      </c>
      <c r="N303" cm="1">
        <f t="array" ref="N303">INDEX(Table1[riBAQ 40], MATCH(1, (Table3[[#This Row],[Gene names]:[Gene names]] = Table1[[Gene names]:[Gene names]])*1, 0))</f>
        <v>0</v>
      </c>
      <c r="O303" cm="1">
        <f t="array" ref="O303">INDEX(Table1[riBAQ 41], MATCH(1, (Table3[[#This Row],[Gene names]:[Gene names]] = Table1[[Gene names]:[Gene names]])*1, 0))</f>
        <v>0</v>
      </c>
      <c r="P303" cm="1">
        <f t="array" ref="P303">INDEX(Table1[riBAQ 24], MATCH(1, (Table3[[#This Row],[Gene names]:[Gene names]] = Table1[[Gene names]:[Gene names]])*1, 0))</f>
        <v>1.49293E-4</v>
      </c>
      <c r="Q303" cm="1">
        <f t="array" ref="Q303">INDEX(Table1[riBAQ 25], MATCH(1, (Table3[[#This Row],[Gene names]:[Gene names]] = Table1[[Gene names]:[Gene names]])*1, 0))</f>
        <v>2.38342E-4</v>
      </c>
      <c r="R303" cm="1">
        <f t="array" ref="R303">INDEX(Table1[riBAQ 26], MATCH(1, (Table3[[#This Row],[Gene names]:[Gene names]] = Table1[[Gene names]:[Gene names]])*1, 0))</f>
        <v>1.5572700000000001E-4</v>
      </c>
      <c r="S303" cm="1">
        <f t="array" ref="S303">INDEX(Table1[riBAQ 42], MATCH(1, (Table3[[#This Row],[Gene names]:[Gene names]] = Table1[[Gene names]:[Gene names]])*1, 0))</f>
        <v>2.32883E-4</v>
      </c>
      <c r="T303" cm="1">
        <f t="array" ref="T303">INDEX(Table1[riBAQ 43], MATCH(1, (Table3[[#This Row],[Gene names]:[Gene names]] = Table1[[Gene names]:[Gene names]])*1, 0))</f>
        <v>2.40306E-4</v>
      </c>
    </row>
    <row r="304" spans="1:20" x14ac:dyDescent="0.25">
      <c r="A304" t="s">
        <v>969</v>
      </c>
      <c r="B304" cm="1">
        <f t="array" ref="B304">INDEX(Table1[riBAQ 17], MATCH(1, (Table3[[#This Row],[Gene names]:[Gene names]] = Table1[[Gene names]:[Gene names]])*1, 0))</f>
        <v>1.3240999999999999E-4</v>
      </c>
      <c r="C304" cm="1">
        <f t="array" ref="C304">INDEX(Table1[riBAQ 18], MATCH(1, (Table3[[#This Row],[Gene names]:[Gene names]] = Table1[[Gene names]:[Gene names]])*1, 0))</f>
        <v>7.6199999999999995E-5</v>
      </c>
      <c r="D304" cm="1">
        <f t="array" ref="D304">INDEX(Table1[riBAQ 35], MATCH(1, (Table3[[#This Row],[Gene names]:[Gene names]] = Table1[[Gene names]:[Gene names]])*1, 0))</f>
        <v>6.1699999999999995E-5</v>
      </c>
      <c r="E304" cm="1">
        <f t="array" ref="E304">INDEX(Table1[riBAQ 36], MATCH(1, (Table3[[#This Row],[Gene names]:[Gene names]] = Table1[[Gene names]:[Gene names]])*1, 0))</f>
        <v>6.4300000000000004E-5</v>
      </c>
      <c r="F304" cm="1">
        <f t="array" ref="F304">INDEX(Table1[riBAQ 19], MATCH(1, (Table3[[#This Row],[Gene names]:[Gene names]] = Table1[[Gene names]:[Gene names]])*1, 0))</f>
        <v>1.3386260000000001E-3</v>
      </c>
      <c r="G304" cm="1">
        <f t="array" ref="G304">INDEX(Table1[riBAQ 20], MATCH(1, (Table3[[#This Row],[Gene names]:[Gene names]] = Table1[[Gene names]:[Gene names]])*1, 0))</f>
        <v>8.96118E-4</v>
      </c>
      <c r="H304" cm="1">
        <f t="array" ref="H304">INDEX(Table1[riBAQ 21], MATCH(1, (Table3[[#This Row],[Gene names]:[Gene names]] = Table1[[Gene names]:[Gene names]])*1, 0))</f>
        <v>4.7681399999999999E-4</v>
      </c>
      <c r="I304" cm="1">
        <f t="array" ref="I304">INDEX(Table1[riBAQ 22], MATCH(1, (Table3[[#This Row],[Gene names]:[Gene names]] = Table1[[Gene names]:[Gene names]])*1, 0))</f>
        <v>4.0646399999999999E-4</v>
      </c>
      <c r="J304" cm="1">
        <f t="array" ref="J304">INDEX(Table1[riBAQ 23], MATCH(1, (Table3[[#This Row],[Gene names]:[Gene names]] = Table1[[Gene names]:[Gene names]])*1, 0))</f>
        <v>5.8431599999999998E-4</v>
      </c>
      <c r="K304" cm="1">
        <f t="array" ref="K304">INDEX(Table1[riBAQ 37], MATCH(1, (Table3[[#This Row],[Gene names]:[Gene names]] = Table1[[Gene names]:[Gene names]])*1, 0))</f>
        <v>2.1602399999999999E-4</v>
      </c>
      <c r="L304" cm="1">
        <f t="array" ref="L304">INDEX(Table1[riBAQ 38], MATCH(1, (Table3[[#This Row],[Gene names]:[Gene names]] = Table1[[Gene names]:[Gene names]])*1, 0))</f>
        <v>1.8115399999999999E-4</v>
      </c>
      <c r="M304" cm="1">
        <f t="array" ref="M304">INDEX(Table1[riBAQ 39], MATCH(1, (Table3[[#This Row],[Gene names]:[Gene names]] = Table1[[Gene names]:[Gene names]])*1, 0))</f>
        <v>1.6812500000000001E-4</v>
      </c>
      <c r="N304" cm="1">
        <f t="array" ref="N304">INDEX(Table1[riBAQ 40], MATCH(1, (Table3[[#This Row],[Gene names]:[Gene names]] = Table1[[Gene names]:[Gene names]])*1, 0))</f>
        <v>1.95255E-4</v>
      </c>
      <c r="O304" cm="1">
        <f t="array" ref="O304">INDEX(Table1[riBAQ 41], MATCH(1, (Table3[[#This Row],[Gene names]:[Gene names]] = Table1[[Gene names]:[Gene names]])*1, 0))</f>
        <v>1.73277E-4</v>
      </c>
      <c r="P304" cm="1">
        <f t="array" ref="P304">INDEX(Table1[riBAQ 24], MATCH(1, (Table3[[#This Row],[Gene names]:[Gene names]] = Table1[[Gene names]:[Gene names]])*1, 0))</f>
        <v>2.0937040000000001E-3</v>
      </c>
      <c r="Q304" cm="1">
        <f t="array" ref="Q304">INDEX(Table1[riBAQ 25], MATCH(1, (Table3[[#This Row],[Gene names]:[Gene names]] = Table1[[Gene names]:[Gene names]])*1, 0))</f>
        <v>5.2669029999999999E-3</v>
      </c>
      <c r="R304" cm="1">
        <f t="array" ref="R304">INDEX(Table1[riBAQ 26], MATCH(1, (Table3[[#This Row],[Gene names]:[Gene names]] = Table1[[Gene names]:[Gene names]])*1, 0))</f>
        <v>6.3151149999999996E-3</v>
      </c>
      <c r="S304" cm="1">
        <f t="array" ref="S304">INDEX(Table1[riBAQ 42], MATCH(1, (Table3[[#This Row],[Gene names]:[Gene names]] = Table1[[Gene names]:[Gene names]])*1, 0))</f>
        <v>2.8111270000000001E-3</v>
      </c>
      <c r="T304" cm="1">
        <f t="array" ref="T304">INDEX(Table1[riBAQ 43], MATCH(1, (Table3[[#This Row],[Gene names]:[Gene names]] = Table1[[Gene names]:[Gene names]])*1, 0))</f>
        <v>5.450926E-3</v>
      </c>
    </row>
    <row r="305" spans="1:20" x14ac:dyDescent="0.25">
      <c r="A305" t="s">
        <v>1248</v>
      </c>
      <c r="B305" cm="1">
        <f t="array" ref="B305">INDEX(Table1[riBAQ 17], MATCH(1, (Table3[[#This Row],[Gene names]:[Gene names]] = Table1[[Gene names]:[Gene names]])*1, 0))</f>
        <v>6.4700000000000001E-5</v>
      </c>
      <c r="C305" cm="1">
        <f t="array" ref="C305">INDEX(Table1[riBAQ 18], MATCH(1, (Table3[[#This Row],[Gene names]:[Gene names]] = Table1[[Gene names]:[Gene names]])*1, 0))</f>
        <v>9.9300000000000001E-5</v>
      </c>
      <c r="D305" cm="1">
        <f t="array" ref="D305">INDEX(Table1[riBAQ 35], MATCH(1, (Table3[[#This Row],[Gene names]:[Gene names]] = Table1[[Gene names]:[Gene names]])*1, 0))</f>
        <v>7.6899999999999999E-5</v>
      </c>
      <c r="E305" cm="1">
        <f t="array" ref="E305">INDEX(Table1[riBAQ 36], MATCH(1, (Table3[[#This Row],[Gene names]:[Gene names]] = Table1[[Gene names]:[Gene names]])*1, 0))</f>
        <v>8.0500000000000005E-5</v>
      </c>
      <c r="F305" cm="1">
        <f t="array" ref="F305">INDEX(Table1[riBAQ 19], MATCH(1, (Table3[[#This Row],[Gene names]:[Gene names]] = Table1[[Gene names]:[Gene names]])*1, 0))</f>
        <v>5.6199999999999997E-5</v>
      </c>
      <c r="G305" cm="1">
        <f t="array" ref="G305">INDEX(Table1[riBAQ 20], MATCH(1, (Table3[[#This Row],[Gene names]:[Gene names]] = Table1[[Gene names]:[Gene names]])*1, 0))</f>
        <v>5.1E-5</v>
      </c>
      <c r="H305" cm="1">
        <f t="array" ref="H305">INDEX(Table1[riBAQ 21], MATCH(1, (Table3[[#This Row],[Gene names]:[Gene names]] = Table1[[Gene names]:[Gene names]])*1, 0))</f>
        <v>1.2363399999999999E-4</v>
      </c>
      <c r="I305" cm="1">
        <f t="array" ref="I305">INDEX(Table1[riBAQ 22], MATCH(1, (Table3[[#This Row],[Gene names]:[Gene names]] = Table1[[Gene names]:[Gene names]])*1, 0))</f>
        <v>1.5482000000000001E-4</v>
      </c>
      <c r="J305" cm="1">
        <f t="array" ref="J305">INDEX(Table1[riBAQ 23], MATCH(1, (Table3[[#This Row],[Gene names]:[Gene names]] = Table1[[Gene names]:[Gene names]])*1, 0))</f>
        <v>7.3899999999999994E-5</v>
      </c>
      <c r="K305" cm="1">
        <f t="array" ref="K305">INDEX(Table1[riBAQ 37], MATCH(1, (Table3[[#This Row],[Gene names]:[Gene names]] = Table1[[Gene names]:[Gene names]])*1, 0))</f>
        <v>1.07703E-4</v>
      </c>
      <c r="L305" cm="1">
        <f t="array" ref="L305">INDEX(Table1[riBAQ 38], MATCH(1, (Table3[[#This Row],[Gene names]:[Gene names]] = Table1[[Gene names]:[Gene names]])*1, 0))</f>
        <v>1.24323E-4</v>
      </c>
      <c r="M305" cm="1">
        <f t="array" ref="M305">INDEX(Table1[riBAQ 39], MATCH(1, (Table3[[#This Row],[Gene names]:[Gene names]] = Table1[[Gene names]:[Gene names]])*1, 0))</f>
        <v>7.7899999999999996E-5</v>
      </c>
      <c r="N305" cm="1">
        <f t="array" ref="N305">INDEX(Table1[riBAQ 40], MATCH(1, (Table3[[#This Row],[Gene names]:[Gene names]] = Table1[[Gene names]:[Gene names]])*1, 0))</f>
        <v>1.3906199999999999E-4</v>
      </c>
      <c r="O305" cm="1">
        <f t="array" ref="O305">INDEX(Table1[riBAQ 41], MATCH(1, (Table3[[#This Row],[Gene names]:[Gene names]] = Table1[[Gene names]:[Gene names]])*1, 0))</f>
        <v>1.0597700000000001E-4</v>
      </c>
      <c r="P305" cm="1">
        <f t="array" ref="P305">INDEX(Table1[riBAQ 24], MATCH(1, (Table3[[#This Row],[Gene names]:[Gene names]] = Table1[[Gene names]:[Gene names]])*1, 0))</f>
        <v>1.1449400000000001E-4</v>
      </c>
      <c r="Q305" cm="1">
        <f t="array" ref="Q305">INDEX(Table1[riBAQ 25], MATCH(1, (Table3[[#This Row],[Gene names]:[Gene names]] = Table1[[Gene names]:[Gene names]])*1, 0))</f>
        <v>1.3552200000000001E-4</v>
      </c>
      <c r="R305" cm="1">
        <f t="array" ref="R305">INDEX(Table1[riBAQ 26], MATCH(1, (Table3[[#This Row],[Gene names]:[Gene names]] = Table1[[Gene names]:[Gene names]])*1, 0))</f>
        <v>1.80533E-4</v>
      </c>
      <c r="S305" cm="1">
        <f t="array" ref="S305">INDEX(Table1[riBAQ 42], MATCH(1, (Table3[[#This Row],[Gene names]:[Gene names]] = Table1[[Gene names]:[Gene names]])*1, 0))</f>
        <v>1.86773E-4</v>
      </c>
      <c r="T305" cm="1">
        <f t="array" ref="T305">INDEX(Table1[riBAQ 43], MATCH(1, (Table3[[#This Row],[Gene names]:[Gene names]] = Table1[[Gene names]:[Gene names]])*1, 0))</f>
        <v>1.7803200000000001E-4</v>
      </c>
    </row>
    <row r="306" spans="1:20" x14ac:dyDescent="0.25">
      <c r="A306" t="s">
        <v>643</v>
      </c>
      <c r="B306" cm="1">
        <f t="array" ref="B306">INDEX(Table1[riBAQ 17], MATCH(1, (Table3[[#This Row],[Gene names]:[Gene names]] = Table1[[Gene names]:[Gene names]])*1, 0))</f>
        <v>4.20794E-4</v>
      </c>
      <c r="C306" cm="1">
        <f t="array" ref="C306">INDEX(Table1[riBAQ 18], MATCH(1, (Table3[[#This Row],[Gene names]:[Gene names]] = Table1[[Gene names]:[Gene names]])*1, 0))</f>
        <v>4.0060200000000001E-4</v>
      </c>
      <c r="D306" cm="1">
        <f t="array" ref="D306">INDEX(Table1[riBAQ 35], MATCH(1, (Table3[[#This Row],[Gene names]:[Gene names]] = Table1[[Gene names]:[Gene names]])*1, 0))</f>
        <v>2.9994599999999999E-4</v>
      </c>
      <c r="E306" cm="1">
        <f t="array" ref="E306">INDEX(Table1[riBAQ 36], MATCH(1, (Table3[[#This Row],[Gene names]:[Gene names]] = Table1[[Gene names]:[Gene names]])*1, 0))</f>
        <v>4.0903800000000002E-4</v>
      </c>
      <c r="F306" cm="1">
        <f t="array" ref="F306">INDEX(Table1[riBAQ 19], MATCH(1, (Table3[[#This Row],[Gene names]:[Gene names]] = Table1[[Gene names]:[Gene names]])*1, 0))</f>
        <v>4.1071100000000002E-4</v>
      </c>
      <c r="G306" cm="1">
        <f t="array" ref="G306">INDEX(Table1[riBAQ 20], MATCH(1, (Table3[[#This Row],[Gene names]:[Gene names]] = Table1[[Gene names]:[Gene names]])*1, 0))</f>
        <v>3.8099100000000001E-4</v>
      </c>
      <c r="H306" cm="1">
        <f t="array" ref="H306">INDEX(Table1[riBAQ 21], MATCH(1, (Table3[[#This Row],[Gene names]:[Gene names]] = Table1[[Gene names]:[Gene names]])*1, 0))</f>
        <v>5.9346500000000005E-4</v>
      </c>
      <c r="I306" cm="1">
        <f t="array" ref="I306">INDEX(Table1[riBAQ 22], MATCH(1, (Table3[[#This Row],[Gene names]:[Gene names]] = Table1[[Gene names]:[Gene names]])*1, 0))</f>
        <v>5.1752099999999995E-4</v>
      </c>
      <c r="J306" cm="1">
        <f t="array" ref="J306">INDEX(Table1[riBAQ 23], MATCH(1, (Table3[[#This Row],[Gene names]:[Gene names]] = Table1[[Gene names]:[Gene names]])*1, 0))</f>
        <v>4.0747E-4</v>
      </c>
      <c r="K306" cm="1">
        <f t="array" ref="K306">INDEX(Table1[riBAQ 37], MATCH(1, (Table3[[#This Row],[Gene names]:[Gene names]] = Table1[[Gene names]:[Gene names]])*1, 0))</f>
        <v>4.7838500000000001E-4</v>
      </c>
      <c r="L306" cm="1">
        <f t="array" ref="L306">INDEX(Table1[riBAQ 38], MATCH(1, (Table3[[#This Row],[Gene names]:[Gene names]] = Table1[[Gene names]:[Gene names]])*1, 0))</f>
        <v>2.9197499999999998E-4</v>
      </c>
      <c r="M306" cm="1">
        <f t="array" ref="M306">INDEX(Table1[riBAQ 39], MATCH(1, (Table3[[#This Row],[Gene names]:[Gene names]] = Table1[[Gene names]:[Gene names]])*1, 0))</f>
        <v>3.38952E-4</v>
      </c>
      <c r="N306" cm="1">
        <f t="array" ref="N306">INDEX(Table1[riBAQ 40], MATCH(1, (Table3[[#This Row],[Gene names]:[Gene names]] = Table1[[Gene names]:[Gene names]])*1, 0))</f>
        <v>3.2426200000000002E-4</v>
      </c>
      <c r="O306" cm="1">
        <f t="array" ref="O306">INDEX(Table1[riBAQ 41], MATCH(1, (Table3[[#This Row],[Gene names]:[Gene names]] = Table1[[Gene names]:[Gene names]])*1, 0))</f>
        <v>3.39527E-4</v>
      </c>
      <c r="P306" cm="1">
        <f t="array" ref="P306">INDEX(Table1[riBAQ 24], MATCH(1, (Table3[[#This Row],[Gene names]:[Gene names]] = Table1[[Gene names]:[Gene names]])*1, 0))</f>
        <v>2.3418000000000001E-4</v>
      </c>
      <c r="Q306" cm="1">
        <f t="array" ref="Q306">INDEX(Table1[riBAQ 25], MATCH(1, (Table3[[#This Row],[Gene names]:[Gene names]] = Table1[[Gene names]:[Gene names]])*1, 0))</f>
        <v>1.61569E-4</v>
      </c>
      <c r="R306" cm="1">
        <f t="array" ref="R306">INDEX(Table1[riBAQ 26], MATCH(1, (Table3[[#This Row],[Gene names]:[Gene names]] = Table1[[Gene names]:[Gene names]])*1, 0))</f>
        <v>1.6809999999999999E-4</v>
      </c>
      <c r="S306" cm="1">
        <f t="array" ref="S306">INDEX(Table1[riBAQ 42], MATCH(1, (Table3[[#This Row],[Gene names]:[Gene names]] = Table1[[Gene names]:[Gene names]])*1, 0))</f>
        <v>1.4536400000000001E-4</v>
      </c>
      <c r="T306" cm="1">
        <f t="array" ref="T306">INDEX(Table1[riBAQ 43], MATCH(1, (Table3[[#This Row],[Gene names]:[Gene names]] = Table1[[Gene names]:[Gene names]])*1, 0))</f>
        <v>1.6423699999999999E-4</v>
      </c>
    </row>
    <row r="307" spans="1:20" x14ac:dyDescent="0.25">
      <c r="A307" t="s">
        <v>1210</v>
      </c>
      <c r="B307" cm="1">
        <f t="array" ref="B307">INDEX(Table1[riBAQ 17], MATCH(1, (Table3[[#This Row],[Gene names]:[Gene names]] = Table1[[Gene names]:[Gene names]])*1, 0))</f>
        <v>7.2377900000000002E-4</v>
      </c>
      <c r="C307" cm="1">
        <f t="array" ref="C307">INDEX(Table1[riBAQ 18], MATCH(1, (Table3[[#This Row],[Gene names]:[Gene names]] = Table1[[Gene names]:[Gene names]])*1, 0))</f>
        <v>6.1185099999999995E-4</v>
      </c>
      <c r="D307" cm="1">
        <f t="array" ref="D307">INDEX(Table1[riBAQ 35], MATCH(1, (Table3[[#This Row],[Gene names]:[Gene names]] = Table1[[Gene names]:[Gene names]])*1, 0))</f>
        <v>7.8738600000000005E-4</v>
      </c>
      <c r="E307" cm="1">
        <f t="array" ref="E307">INDEX(Table1[riBAQ 36], MATCH(1, (Table3[[#This Row],[Gene names]:[Gene names]] = Table1[[Gene names]:[Gene names]])*1, 0))</f>
        <v>6.4013500000000001E-4</v>
      </c>
      <c r="F307" cm="1">
        <f t="array" ref="F307">INDEX(Table1[riBAQ 19], MATCH(1, (Table3[[#This Row],[Gene names]:[Gene names]] = Table1[[Gene names]:[Gene names]])*1, 0))</f>
        <v>8.8433000000000001E-4</v>
      </c>
      <c r="G307" cm="1">
        <f t="array" ref="G307">INDEX(Table1[riBAQ 20], MATCH(1, (Table3[[#This Row],[Gene names]:[Gene names]] = Table1[[Gene names]:[Gene names]])*1, 0))</f>
        <v>7.5291799999999999E-4</v>
      </c>
      <c r="H307" cm="1">
        <f t="array" ref="H307">INDEX(Table1[riBAQ 21], MATCH(1, (Table3[[#This Row],[Gene names]:[Gene names]] = Table1[[Gene names]:[Gene names]])*1, 0))</f>
        <v>6.3258200000000002E-4</v>
      </c>
      <c r="I307" cm="1">
        <f t="array" ref="I307">INDEX(Table1[riBAQ 22], MATCH(1, (Table3[[#This Row],[Gene names]:[Gene names]] = Table1[[Gene names]:[Gene names]])*1, 0))</f>
        <v>7.0461899999999997E-4</v>
      </c>
      <c r="J307" cm="1">
        <f t="array" ref="J307">INDEX(Table1[riBAQ 23], MATCH(1, (Table3[[#This Row],[Gene names]:[Gene names]] = Table1[[Gene names]:[Gene names]])*1, 0))</f>
        <v>8.4216800000000002E-4</v>
      </c>
      <c r="K307" cm="1">
        <f t="array" ref="K307">INDEX(Table1[riBAQ 37], MATCH(1, (Table3[[#This Row],[Gene names]:[Gene names]] = Table1[[Gene names]:[Gene names]])*1, 0))</f>
        <v>8.15608E-4</v>
      </c>
      <c r="L307" cm="1">
        <f t="array" ref="L307">INDEX(Table1[riBAQ 38], MATCH(1, (Table3[[#This Row],[Gene names]:[Gene names]] = Table1[[Gene names]:[Gene names]])*1, 0))</f>
        <v>9.0808499999999999E-4</v>
      </c>
      <c r="M307" cm="1">
        <f t="array" ref="M307">INDEX(Table1[riBAQ 39], MATCH(1, (Table3[[#This Row],[Gene names]:[Gene names]] = Table1[[Gene names]:[Gene names]])*1, 0))</f>
        <v>5.9751800000000001E-4</v>
      </c>
      <c r="N307" cm="1">
        <f t="array" ref="N307">INDEX(Table1[riBAQ 40], MATCH(1, (Table3[[#This Row],[Gene names]:[Gene names]] = Table1[[Gene names]:[Gene names]])*1, 0))</f>
        <v>9.3943100000000001E-4</v>
      </c>
      <c r="O307" cm="1">
        <f t="array" ref="O307">INDEX(Table1[riBAQ 41], MATCH(1, (Table3[[#This Row],[Gene names]:[Gene names]] = Table1[[Gene names]:[Gene names]])*1, 0))</f>
        <v>7.4607700000000005E-4</v>
      </c>
      <c r="P307" cm="1">
        <f t="array" ref="P307">INDEX(Table1[riBAQ 24], MATCH(1, (Table3[[#This Row],[Gene names]:[Gene names]] = Table1[[Gene names]:[Gene names]])*1, 0))</f>
        <v>9.8311899999999996E-4</v>
      </c>
      <c r="Q307" cm="1">
        <f t="array" ref="Q307">INDEX(Table1[riBAQ 25], MATCH(1, (Table3[[#This Row],[Gene names]:[Gene names]] = Table1[[Gene names]:[Gene names]])*1, 0))</f>
        <v>7.7487300000000003E-4</v>
      </c>
      <c r="R307" cm="1">
        <f t="array" ref="R307">INDEX(Table1[riBAQ 26], MATCH(1, (Table3[[#This Row],[Gene names]:[Gene names]] = Table1[[Gene names]:[Gene names]])*1, 0))</f>
        <v>1.0047369999999999E-3</v>
      </c>
      <c r="S307" cm="1">
        <f t="array" ref="S307">INDEX(Table1[riBAQ 42], MATCH(1, (Table3[[#This Row],[Gene names]:[Gene names]] = Table1[[Gene names]:[Gene names]])*1, 0))</f>
        <v>1.27648E-3</v>
      </c>
      <c r="T307" cm="1">
        <f t="array" ref="T307">INDEX(Table1[riBAQ 43], MATCH(1, (Table3[[#This Row],[Gene names]:[Gene names]] = Table1[[Gene names]:[Gene names]])*1, 0))</f>
        <v>9.7505699999999999E-4</v>
      </c>
    </row>
    <row r="308" spans="1:20" x14ac:dyDescent="0.25">
      <c r="A308" t="s">
        <v>968</v>
      </c>
      <c r="B308" cm="1">
        <f t="array" ref="B308">INDEX(Table1[riBAQ 17], MATCH(1, (Table3[[#This Row],[Gene names]:[Gene names]] = Table1[[Gene names]:[Gene names]])*1, 0))</f>
        <v>1.6200000000000001E-5</v>
      </c>
      <c r="C308" cm="1">
        <f t="array" ref="C308">INDEX(Table1[riBAQ 18], MATCH(1, (Table3[[#This Row],[Gene names]:[Gene names]] = Table1[[Gene names]:[Gene names]])*1, 0))</f>
        <v>0</v>
      </c>
      <c r="D308" cm="1">
        <f t="array" ref="D308">INDEX(Table1[riBAQ 35], MATCH(1, (Table3[[#This Row],[Gene names]:[Gene names]] = Table1[[Gene names]:[Gene names]])*1, 0))</f>
        <v>1.7399999999999999E-5</v>
      </c>
      <c r="E308" cm="1">
        <f t="array" ref="E308">INDEX(Table1[riBAQ 36], MATCH(1, (Table3[[#This Row],[Gene names]:[Gene names]] = Table1[[Gene names]:[Gene names]])*1, 0))</f>
        <v>0</v>
      </c>
      <c r="F308" cm="1">
        <f t="array" ref="F308">INDEX(Table1[riBAQ 19], MATCH(1, (Table3[[#This Row],[Gene names]:[Gene names]] = Table1[[Gene names]:[Gene names]])*1, 0))</f>
        <v>1.2283300000000001E-4</v>
      </c>
      <c r="G308" cm="1">
        <f t="array" ref="G308">INDEX(Table1[riBAQ 20], MATCH(1, (Table3[[#This Row],[Gene names]:[Gene names]] = Table1[[Gene names]:[Gene names]])*1, 0))</f>
        <v>1.02865E-4</v>
      </c>
      <c r="H308" cm="1">
        <f t="array" ref="H308">INDEX(Table1[riBAQ 21], MATCH(1, (Table3[[#This Row],[Gene names]:[Gene names]] = Table1[[Gene names]:[Gene names]])*1, 0))</f>
        <v>1.4654199999999999E-4</v>
      </c>
      <c r="I308" cm="1">
        <f t="array" ref="I308">INDEX(Table1[riBAQ 22], MATCH(1, (Table3[[#This Row],[Gene names]:[Gene names]] = Table1[[Gene names]:[Gene names]])*1, 0))</f>
        <v>5.2299999999999997E-5</v>
      </c>
      <c r="J308" cm="1">
        <f t="array" ref="J308">INDEX(Table1[riBAQ 23], MATCH(1, (Table3[[#This Row],[Gene names]:[Gene names]] = Table1[[Gene names]:[Gene names]])*1, 0))</f>
        <v>4.71E-5</v>
      </c>
      <c r="K308" cm="1">
        <f t="array" ref="K308">INDEX(Table1[riBAQ 37], MATCH(1, (Table3[[#This Row],[Gene names]:[Gene names]] = Table1[[Gene names]:[Gene names]])*1, 0))</f>
        <v>6.8999999999999997E-5</v>
      </c>
      <c r="L308" cm="1">
        <f t="array" ref="L308">INDEX(Table1[riBAQ 38], MATCH(1, (Table3[[#This Row],[Gene names]:[Gene names]] = Table1[[Gene names]:[Gene names]])*1, 0))</f>
        <v>4.8900000000000003E-5</v>
      </c>
      <c r="M308" cm="1">
        <f t="array" ref="M308">INDEX(Table1[riBAQ 39], MATCH(1, (Table3[[#This Row],[Gene names]:[Gene names]] = Table1[[Gene names]:[Gene names]])*1, 0))</f>
        <v>3.6399999999999997E-5</v>
      </c>
      <c r="N308" cm="1">
        <f t="array" ref="N308">INDEX(Table1[riBAQ 40], MATCH(1, (Table3[[#This Row],[Gene names]:[Gene names]] = Table1[[Gene names]:[Gene names]])*1, 0))</f>
        <v>4.21E-5</v>
      </c>
      <c r="O308" cm="1">
        <f t="array" ref="O308">INDEX(Table1[riBAQ 41], MATCH(1, (Table3[[#This Row],[Gene names]:[Gene names]] = Table1[[Gene names]:[Gene names]])*1, 0))</f>
        <v>4.5300000000000003E-5</v>
      </c>
      <c r="P308" cm="1">
        <f t="array" ref="P308">INDEX(Table1[riBAQ 24], MATCH(1, (Table3[[#This Row],[Gene names]:[Gene names]] = Table1[[Gene names]:[Gene names]])*1, 0))</f>
        <v>1.3843300000000001E-4</v>
      </c>
      <c r="Q308" cm="1">
        <f t="array" ref="Q308">INDEX(Table1[riBAQ 25], MATCH(1, (Table3[[#This Row],[Gene names]:[Gene names]] = Table1[[Gene names]:[Gene names]])*1, 0))</f>
        <v>1.7558299999999999E-4</v>
      </c>
      <c r="R308" cm="1">
        <f t="array" ref="R308">INDEX(Table1[riBAQ 26], MATCH(1, (Table3[[#This Row],[Gene names]:[Gene names]] = Table1[[Gene names]:[Gene names]])*1, 0))</f>
        <v>1.99805E-4</v>
      </c>
      <c r="S308" cm="1">
        <f t="array" ref="S308">INDEX(Table1[riBAQ 42], MATCH(1, (Table3[[#This Row],[Gene names]:[Gene names]] = Table1[[Gene names]:[Gene names]])*1, 0))</f>
        <v>1.2923500000000001E-4</v>
      </c>
      <c r="T308" cm="1">
        <f t="array" ref="T308">INDEX(Table1[riBAQ 43], MATCH(1, (Table3[[#This Row],[Gene names]:[Gene names]] = Table1[[Gene names]:[Gene names]])*1, 0))</f>
        <v>1.7882600000000001E-4</v>
      </c>
    </row>
    <row r="309" spans="1:20" x14ac:dyDescent="0.25">
      <c r="A309" t="s">
        <v>1246</v>
      </c>
      <c r="B309" cm="1">
        <f t="array" ref="B309">INDEX(Table1[riBAQ 17], MATCH(1, (Table3[[#This Row],[Gene names]:[Gene names]] = Table1[[Gene names]:[Gene names]])*1, 0))</f>
        <v>0</v>
      </c>
      <c r="C309" cm="1">
        <f t="array" ref="C309">INDEX(Table1[riBAQ 18], MATCH(1, (Table3[[#This Row],[Gene names]:[Gene names]] = Table1[[Gene names]:[Gene names]])*1, 0))</f>
        <v>7.4499999999999998E-6</v>
      </c>
      <c r="D309" cm="1">
        <f t="array" ref="D309">INDEX(Table1[riBAQ 35], MATCH(1, (Table3[[#This Row],[Gene names]:[Gene names]] = Table1[[Gene names]:[Gene names]])*1, 0))</f>
        <v>0</v>
      </c>
      <c r="E309" cm="1">
        <f t="array" ref="E309">INDEX(Table1[riBAQ 36], MATCH(1, (Table3[[#This Row],[Gene names]:[Gene names]] = Table1[[Gene names]:[Gene names]])*1, 0))</f>
        <v>3.8E-6</v>
      </c>
      <c r="F309" cm="1">
        <f t="array" ref="F309">INDEX(Table1[riBAQ 19], MATCH(1, (Table3[[#This Row],[Gene names]:[Gene names]] = Table1[[Gene names]:[Gene names]])*1, 0))</f>
        <v>6.0299999999999999E-6</v>
      </c>
      <c r="G309" cm="1">
        <f t="array" ref="G309">INDEX(Table1[riBAQ 20], MATCH(1, (Table3[[#This Row],[Gene names]:[Gene names]] = Table1[[Gene names]:[Gene names]])*1, 0))</f>
        <v>0</v>
      </c>
      <c r="H309" cm="1">
        <f t="array" ref="H309">INDEX(Table1[riBAQ 21], MATCH(1, (Table3[[#This Row],[Gene names]:[Gene names]] = Table1[[Gene names]:[Gene names]])*1, 0))</f>
        <v>7.6599999999999995E-6</v>
      </c>
      <c r="I309" cm="1">
        <f t="array" ref="I309">INDEX(Table1[riBAQ 22], MATCH(1, (Table3[[#This Row],[Gene names]:[Gene names]] = Table1[[Gene names]:[Gene names]])*1, 0))</f>
        <v>0</v>
      </c>
      <c r="J309" cm="1">
        <f t="array" ref="J309">INDEX(Table1[riBAQ 23], MATCH(1, (Table3[[#This Row],[Gene names]:[Gene names]] = Table1[[Gene names]:[Gene names]])*1, 0))</f>
        <v>0</v>
      </c>
      <c r="K309" cm="1">
        <f t="array" ref="K309">INDEX(Table1[riBAQ 37], MATCH(1, (Table3[[#This Row],[Gene names]:[Gene names]] = Table1[[Gene names]:[Gene names]])*1, 0))</f>
        <v>0</v>
      </c>
      <c r="L309" cm="1">
        <f t="array" ref="L309">INDEX(Table1[riBAQ 38], MATCH(1, (Table3[[#This Row],[Gene names]:[Gene names]] = Table1[[Gene names]:[Gene names]])*1, 0))</f>
        <v>0</v>
      </c>
      <c r="M309" cm="1">
        <f t="array" ref="M309">INDEX(Table1[riBAQ 39], MATCH(1, (Table3[[#This Row],[Gene names]:[Gene names]] = Table1[[Gene names]:[Gene names]])*1, 0))</f>
        <v>0</v>
      </c>
      <c r="N309" cm="1">
        <f t="array" ref="N309">INDEX(Table1[riBAQ 40], MATCH(1, (Table3[[#This Row],[Gene names]:[Gene names]] = Table1[[Gene names]:[Gene names]])*1, 0))</f>
        <v>0</v>
      </c>
      <c r="O309" cm="1">
        <f t="array" ref="O309">INDEX(Table1[riBAQ 41], MATCH(1, (Table3[[#This Row],[Gene names]:[Gene names]] = Table1[[Gene names]:[Gene names]])*1, 0))</f>
        <v>0</v>
      </c>
      <c r="P309" cm="1">
        <f t="array" ref="P309">INDEX(Table1[riBAQ 24], MATCH(1, (Table3[[#This Row],[Gene names]:[Gene names]] = Table1[[Gene names]:[Gene names]])*1, 0))</f>
        <v>0</v>
      </c>
      <c r="Q309" cm="1">
        <f t="array" ref="Q309">INDEX(Table1[riBAQ 25], MATCH(1, (Table3[[#This Row],[Gene names]:[Gene names]] = Table1[[Gene names]:[Gene names]])*1, 0))</f>
        <v>1.27E-5</v>
      </c>
      <c r="R309" cm="1">
        <f t="array" ref="R309">INDEX(Table1[riBAQ 26], MATCH(1, (Table3[[#This Row],[Gene names]:[Gene names]] = Table1[[Gene names]:[Gene names]])*1, 0))</f>
        <v>5.04E-6</v>
      </c>
      <c r="S309" cm="1">
        <f t="array" ref="S309">INDEX(Table1[riBAQ 42], MATCH(1, (Table3[[#This Row],[Gene names]:[Gene names]] = Table1[[Gene names]:[Gene names]])*1, 0))</f>
        <v>1.4600000000000001E-5</v>
      </c>
      <c r="T309" cm="1">
        <f t="array" ref="T309">INDEX(Table1[riBAQ 43], MATCH(1, (Table3[[#This Row],[Gene names]:[Gene names]] = Table1[[Gene names]:[Gene names]])*1, 0))</f>
        <v>7.8900000000000007E-6</v>
      </c>
    </row>
    <row r="310" spans="1:20" x14ac:dyDescent="0.25">
      <c r="A310" t="s">
        <v>1567</v>
      </c>
      <c r="B310" cm="1">
        <f t="array" ref="B310">INDEX(Table1[riBAQ 17], MATCH(1, (Table3[[#This Row],[Gene names]:[Gene names]] = Table1[[Gene names]:[Gene names]])*1, 0))</f>
        <v>1.52E-5</v>
      </c>
      <c r="C310" cm="1">
        <f t="array" ref="C310">INDEX(Table1[riBAQ 18], MATCH(1, (Table3[[#This Row],[Gene names]:[Gene names]] = Table1[[Gene names]:[Gene names]])*1, 0))</f>
        <v>0</v>
      </c>
      <c r="D310" cm="1">
        <f t="array" ref="D310">INDEX(Table1[riBAQ 35], MATCH(1, (Table3[[#This Row],[Gene names]:[Gene names]] = Table1[[Gene names]:[Gene names]])*1, 0))</f>
        <v>5.9000000000000003E-6</v>
      </c>
      <c r="E310" cm="1">
        <f t="array" ref="E310">INDEX(Table1[riBAQ 36], MATCH(1, (Table3[[#This Row],[Gene names]:[Gene names]] = Table1[[Gene names]:[Gene names]])*1, 0))</f>
        <v>0</v>
      </c>
      <c r="F310" cm="1">
        <f t="array" ref="F310">INDEX(Table1[riBAQ 19], MATCH(1, (Table3[[#This Row],[Gene names]:[Gene names]] = Table1[[Gene names]:[Gene names]])*1, 0))</f>
        <v>0</v>
      </c>
      <c r="G310" cm="1">
        <f t="array" ref="G310">INDEX(Table1[riBAQ 20], MATCH(1, (Table3[[#This Row],[Gene names]:[Gene names]] = Table1[[Gene names]:[Gene names]])*1, 0))</f>
        <v>3.6199999999999999E-5</v>
      </c>
      <c r="H310" cm="1">
        <f t="array" ref="H310">INDEX(Table1[riBAQ 21], MATCH(1, (Table3[[#This Row],[Gene names]:[Gene names]] = Table1[[Gene names]:[Gene names]])*1, 0))</f>
        <v>2.9899999999999998E-5</v>
      </c>
      <c r="I310" cm="1">
        <f t="array" ref="I310">INDEX(Table1[riBAQ 22], MATCH(1, (Table3[[#This Row],[Gene names]:[Gene names]] = Table1[[Gene names]:[Gene names]])*1, 0))</f>
        <v>1.2E-5</v>
      </c>
      <c r="J310" cm="1">
        <f t="array" ref="J310">INDEX(Table1[riBAQ 23], MATCH(1, (Table3[[#This Row],[Gene names]:[Gene names]] = Table1[[Gene names]:[Gene names]])*1, 0))</f>
        <v>0</v>
      </c>
      <c r="K310" cm="1">
        <f t="array" ref="K310">INDEX(Table1[riBAQ 37], MATCH(1, (Table3[[#This Row],[Gene names]:[Gene names]] = Table1[[Gene names]:[Gene names]])*1, 0))</f>
        <v>2.0299999999999999E-5</v>
      </c>
      <c r="L310" cm="1">
        <f t="array" ref="L310">INDEX(Table1[riBAQ 38], MATCH(1, (Table3[[#This Row],[Gene names]:[Gene names]] = Table1[[Gene names]:[Gene names]])*1, 0))</f>
        <v>0</v>
      </c>
      <c r="M310" cm="1">
        <f t="array" ref="M310">INDEX(Table1[riBAQ 39], MATCH(1, (Table3[[#This Row],[Gene names]:[Gene names]] = Table1[[Gene names]:[Gene names]])*1, 0))</f>
        <v>1.1399999999999999E-5</v>
      </c>
      <c r="N310" cm="1">
        <f t="array" ref="N310">INDEX(Table1[riBAQ 40], MATCH(1, (Table3[[#This Row],[Gene names]:[Gene names]] = Table1[[Gene names]:[Gene names]])*1, 0))</f>
        <v>1.06E-5</v>
      </c>
      <c r="O310" cm="1">
        <f t="array" ref="O310">INDEX(Table1[riBAQ 41], MATCH(1, (Table3[[#This Row],[Gene names]:[Gene names]] = Table1[[Gene names]:[Gene names]])*1, 0))</f>
        <v>0</v>
      </c>
      <c r="P310" cm="1">
        <f t="array" ref="P310">INDEX(Table1[riBAQ 24], MATCH(1, (Table3[[#This Row],[Gene names]:[Gene names]] = Table1[[Gene names]:[Gene names]])*1, 0))</f>
        <v>3.9400000000000002E-5</v>
      </c>
      <c r="Q310" cm="1">
        <f t="array" ref="Q310">INDEX(Table1[riBAQ 25], MATCH(1, (Table3[[#This Row],[Gene names]:[Gene names]] = Table1[[Gene names]:[Gene names]])*1, 0))</f>
        <v>9.8900000000000005E-5</v>
      </c>
      <c r="R310" cm="1">
        <f t="array" ref="R310">INDEX(Table1[riBAQ 26], MATCH(1, (Table3[[#This Row],[Gene names]:[Gene names]] = Table1[[Gene names]:[Gene names]])*1, 0))</f>
        <v>5.1600000000000001E-5</v>
      </c>
      <c r="S310" cm="1">
        <f t="array" ref="S310">INDEX(Table1[riBAQ 42], MATCH(1, (Table3[[#This Row],[Gene names]:[Gene names]] = Table1[[Gene names]:[Gene names]])*1, 0))</f>
        <v>2.3799999999999999E-5</v>
      </c>
      <c r="T310" cm="1">
        <f t="array" ref="T310">INDEX(Table1[riBAQ 43], MATCH(1, (Table3[[#This Row],[Gene names]:[Gene names]] = Table1[[Gene names]:[Gene names]])*1, 0))</f>
        <v>1.4622800000000001E-4</v>
      </c>
    </row>
    <row r="311" spans="1:20" x14ac:dyDescent="0.25">
      <c r="A311" t="s">
        <v>1244</v>
      </c>
      <c r="B311" cm="1">
        <f t="array" ref="B311">INDEX(Table1[riBAQ 17], MATCH(1, (Table3[[#This Row],[Gene names]:[Gene names]] = Table1[[Gene names]:[Gene names]])*1, 0))</f>
        <v>8.8200000000000003E-5</v>
      </c>
      <c r="C311" cm="1">
        <f t="array" ref="C311">INDEX(Table1[riBAQ 18], MATCH(1, (Table3[[#This Row],[Gene names]:[Gene names]] = Table1[[Gene names]:[Gene names]])*1, 0))</f>
        <v>6.7000000000000002E-5</v>
      </c>
      <c r="D311" cm="1">
        <f t="array" ref="D311">INDEX(Table1[riBAQ 35], MATCH(1, (Table3[[#This Row],[Gene names]:[Gene names]] = Table1[[Gene names]:[Gene names]])*1, 0))</f>
        <v>5.7899999999999998E-5</v>
      </c>
      <c r="E311" cm="1">
        <f t="array" ref="E311">INDEX(Table1[riBAQ 36], MATCH(1, (Table3[[#This Row],[Gene names]:[Gene names]] = Table1[[Gene names]:[Gene names]])*1, 0))</f>
        <v>7.3999999999999996E-5</v>
      </c>
      <c r="F311" cm="1">
        <f t="array" ref="F311">INDEX(Table1[riBAQ 19], MATCH(1, (Table3[[#This Row],[Gene names]:[Gene names]] = Table1[[Gene names]:[Gene names]])*1, 0))</f>
        <v>1.28441E-4</v>
      </c>
      <c r="G311" cm="1">
        <f t="array" ref="G311">INDEX(Table1[riBAQ 20], MATCH(1, (Table3[[#This Row],[Gene names]:[Gene names]] = Table1[[Gene names]:[Gene names]])*1, 0))</f>
        <v>1.17626E-4</v>
      </c>
      <c r="H311" cm="1">
        <f t="array" ref="H311">INDEX(Table1[riBAQ 21], MATCH(1, (Table3[[#This Row],[Gene names]:[Gene names]] = Table1[[Gene names]:[Gene names]])*1, 0))</f>
        <v>1.00962E-4</v>
      </c>
      <c r="I311" cm="1">
        <f t="array" ref="I311">INDEX(Table1[riBAQ 22], MATCH(1, (Table3[[#This Row],[Gene names]:[Gene names]] = Table1[[Gene names]:[Gene names]])*1, 0))</f>
        <v>1.2686300000000001E-4</v>
      </c>
      <c r="J311" cm="1">
        <f t="array" ref="J311">INDEX(Table1[riBAQ 23], MATCH(1, (Table3[[#This Row],[Gene names]:[Gene names]] = Table1[[Gene names]:[Gene names]])*1, 0))</f>
        <v>1.2306799999999999E-4</v>
      </c>
      <c r="K311" cm="1">
        <f t="array" ref="K311">INDEX(Table1[riBAQ 37], MATCH(1, (Table3[[#This Row],[Gene names]:[Gene names]] = Table1[[Gene names]:[Gene names]])*1, 0))</f>
        <v>9.3399999999999993E-5</v>
      </c>
      <c r="L311" cm="1">
        <f t="array" ref="L311">INDEX(Table1[riBAQ 38], MATCH(1, (Table3[[#This Row],[Gene names]:[Gene names]] = Table1[[Gene names]:[Gene names]])*1, 0))</f>
        <v>8.4900000000000004E-5</v>
      </c>
      <c r="M311" cm="1">
        <f t="array" ref="M311">INDEX(Table1[riBAQ 39], MATCH(1, (Table3[[#This Row],[Gene names]:[Gene names]] = Table1[[Gene names]:[Gene names]])*1, 0))</f>
        <v>1.15946E-4</v>
      </c>
      <c r="N311" cm="1">
        <f t="array" ref="N311">INDEX(Table1[riBAQ 40], MATCH(1, (Table3[[#This Row],[Gene names]:[Gene names]] = Table1[[Gene names]:[Gene names]])*1, 0))</f>
        <v>1.8921500000000001E-4</v>
      </c>
      <c r="O311" cm="1">
        <f t="array" ref="O311">INDEX(Table1[riBAQ 41], MATCH(1, (Table3[[#This Row],[Gene names]:[Gene names]] = Table1[[Gene names]:[Gene names]])*1, 0))</f>
        <v>6.86E-5</v>
      </c>
      <c r="P311" cm="1">
        <f t="array" ref="P311">INDEX(Table1[riBAQ 24], MATCH(1, (Table3[[#This Row],[Gene names]:[Gene names]] = Table1[[Gene names]:[Gene names]])*1, 0))</f>
        <v>1.7953199999999999E-4</v>
      </c>
      <c r="Q311" cm="1">
        <f t="array" ref="Q311">INDEX(Table1[riBAQ 25], MATCH(1, (Table3[[#This Row],[Gene names]:[Gene names]] = Table1[[Gene names]:[Gene names]])*1, 0))</f>
        <v>2.6534300000000002E-4</v>
      </c>
      <c r="R311" cm="1">
        <f t="array" ref="R311">INDEX(Table1[riBAQ 26], MATCH(1, (Table3[[#This Row],[Gene names]:[Gene names]] = Table1[[Gene names]:[Gene names]])*1, 0))</f>
        <v>3.3805599999999999E-4</v>
      </c>
      <c r="S311" cm="1">
        <f t="array" ref="S311">INDEX(Table1[riBAQ 42], MATCH(1, (Table3[[#This Row],[Gene names]:[Gene names]] = Table1[[Gene names]:[Gene names]])*1, 0))</f>
        <v>3.93144E-4</v>
      </c>
      <c r="T311" cm="1">
        <f t="array" ref="T311">INDEX(Table1[riBAQ 43], MATCH(1, (Table3[[#This Row],[Gene names]:[Gene names]] = Table1[[Gene names]:[Gene names]])*1, 0))</f>
        <v>2.9712100000000002E-4</v>
      </c>
    </row>
    <row r="312" spans="1:20" x14ac:dyDescent="0.25">
      <c r="A312" t="s">
        <v>1004</v>
      </c>
      <c r="B312" cm="1">
        <f t="array" ref="B312">INDEX(Table1[riBAQ 17], MATCH(1, (Table3[[#This Row],[Gene names]:[Gene names]] = Table1[[Gene names]:[Gene names]])*1, 0))</f>
        <v>6.69E-5</v>
      </c>
      <c r="C312" cm="1">
        <f t="array" ref="C312">INDEX(Table1[riBAQ 18], MATCH(1, (Table3[[#This Row],[Gene names]:[Gene names]] = Table1[[Gene names]:[Gene names]])*1, 0))</f>
        <v>0</v>
      </c>
      <c r="D312" cm="1">
        <f t="array" ref="D312">INDEX(Table1[riBAQ 35], MATCH(1, (Table3[[#This Row],[Gene names]:[Gene names]] = Table1[[Gene names]:[Gene names]])*1, 0))</f>
        <v>0</v>
      </c>
      <c r="E312" cm="1">
        <f t="array" ref="E312">INDEX(Table1[riBAQ 36], MATCH(1, (Table3[[#This Row],[Gene names]:[Gene names]] = Table1[[Gene names]:[Gene names]])*1, 0))</f>
        <v>3.1000000000000001E-5</v>
      </c>
      <c r="F312" cm="1">
        <f t="array" ref="F312">INDEX(Table1[riBAQ 19], MATCH(1, (Table3[[#This Row],[Gene names]:[Gene names]] = Table1[[Gene names]:[Gene names]])*1, 0))</f>
        <v>0</v>
      </c>
      <c r="G312" cm="1">
        <f t="array" ref="G312">INDEX(Table1[riBAQ 20], MATCH(1, (Table3[[#This Row],[Gene names]:[Gene names]] = Table1[[Gene names]:[Gene names]])*1, 0))</f>
        <v>5.4799999999999997E-5</v>
      </c>
      <c r="H312" cm="1">
        <f t="array" ref="H312">INDEX(Table1[riBAQ 21], MATCH(1, (Table3[[#This Row],[Gene names]:[Gene names]] = Table1[[Gene names]:[Gene names]])*1, 0))</f>
        <v>5.5500000000000001E-5</v>
      </c>
      <c r="I312" cm="1">
        <f t="array" ref="I312">INDEX(Table1[riBAQ 22], MATCH(1, (Table3[[#This Row],[Gene names]:[Gene names]] = Table1[[Gene names]:[Gene names]])*1, 0))</f>
        <v>0</v>
      </c>
      <c r="J312" cm="1">
        <f t="array" ref="J312">INDEX(Table1[riBAQ 23], MATCH(1, (Table3[[#This Row],[Gene names]:[Gene names]] = Table1[[Gene names]:[Gene names]])*1, 0))</f>
        <v>0</v>
      </c>
      <c r="K312" cm="1">
        <f t="array" ref="K312">INDEX(Table1[riBAQ 37], MATCH(1, (Table3[[#This Row],[Gene names]:[Gene names]] = Table1[[Gene names]:[Gene names]])*1, 0))</f>
        <v>1.2115700000000001E-4</v>
      </c>
      <c r="L312" cm="1">
        <f t="array" ref="L312">INDEX(Table1[riBAQ 38], MATCH(1, (Table3[[#This Row],[Gene names]:[Gene names]] = Table1[[Gene names]:[Gene names]])*1, 0))</f>
        <v>0</v>
      </c>
      <c r="M312" cm="1">
        <f t="array" ref="M312">INDEX(Table1[riBAQ 39], MATCH(1, (Table3[[#This Row],[Gene names]:[Gene names]] = Table1[[Gene names]:[Gene names]])*1, 0))</f>
        <v>4.0800000000000002E-5</v>
      </c>
      <c r="N312" cm="1">
        <f t="array" ref="N312">INDEX(Table1[riBAQ 40], MATCH(1, (Table3[[#This Row],[Gene names]:[Gene names]] = Table1[[Gene names]:[Gene names]])*1, 0))</f>
        <v>0</v>
      </c>
      <c r="O312" cm="1">
        <f t="array" ref="O312">INDEX(Table1[riBAQ 41], MATCH(1, (Table3[[#This Row],[Gene names]:[Gene names]] = Table1[[Gene names]:[Gene names]])*1, 0))</f>
        <v>3.0000000000000001E-5</v>
      </c>
      <c r="P312" cm="1">
        <f t="array" ref="P312">INDEX(Table1[riBAQ 24], MATCH(1, (Table3[[#This Row],[Gene names]:[Gene names]] = Table1[[Gene names]:[Gene names]])*1, 0))</f>
        <v>5.3199999999999999E-5</v>
      </c>
      <c r="Q312" cm="1">
        <f t="array" ref="Q312">INDEX(Table1[riBAQ 25], MATCH(1, (Table3[[#This Row],[Gene names]:[Gene names]] = Table1[[Gene names]:[Gene names]])*1, 0))</f>
        <v>1.26916E-4</v>
      </c>
      <c r="R312" cm="1">
        <f t="array" ref="R312">INDEX(Table1[riBAQ 26], MATCH(1, (Table3[[#This Row],[Gene names]:[Gene names]] = Table1[[Gene names]:[Gene names]])*1, 0))</f>
        <v>3.5899999999999998E-5</v>
      </c>
      <c r="S312" cm="1">
        <f t="array" ref="S312">INDEX(Table1[riBAQ 42], MATCH(1, (Table3[[#This Row],[Gene names]:[Gene names]] = Table1[[Gene names]:[Gene names]])*1, 0))</f>
        <v>4.6199999999999998E-5</v>
      </c>
      <c r="T312" cm="1">
        <f t="array" ref="T312">INDEX(Table1[riBAQ 43], MATCH(1, (Table3[[#This Row],[Gene names]:[Gene names]] = Table1[[Gene names]:[Gene names]])*1, 0))</f>
        <v>5.2634000000000003E-4</v>
      </c>
    </row>
    <row r="313" spans="1:20" x14ac:dyDescent="0.25">
      <c r="A313" t="s">
        <v>1333</v>
      </c>
      <c r="B313" cm="1">
        <f t="array" ref="B313">INDEX(Table1[riBAQ 17], MATCH(1, (Table3[[#This Row],[Gene names]:[Gene names]] = Table1[[Gene names]:[Gene names]])*1, 0))</f>
        <v>1.42273E-4</v>
      </c>
      <c r="C313" cm="1">
        <f t="array" ref="C313">INDEX(Table1[riBAQ 18], MATCH(1, (Table3[[#This Row],[Gene names]:[Gene names]] = Table1[[Gene names]:[Gene names]])*1, 0))</f>
        <v>4.5899999999999998E-5</v>
      </c>
      <c r="D313" cm="1">
        <f t="array" ref="D313">INDEX(Table1[riBAQ 35], MATCH(1, (Table3[[#This Row],[Gene names]:[Gene names]] = Table1[[Gene names]:[Gene names]])*1, 0))</f>
        <v>8.2899999999999996E-5</v>
      </c>
      <c r="E313" cm="1">
        <f t="array" ref="E313">INDEX(Table1[riBAQ 36], MATCH(1, (Table3[[#This Row],[Gene names]:[Gene names]] = Table1[[Gene names]:[Gene names]])*1, 0))</f>
        <v>1.0830100000000001E-4</v>
      </c>
      <c r="F313" cm="1">
        <f t="array" ref="F313">INDEX(Table1[riBAQ 19], MATCH(1, (Table3[[#This Row],[Gene names]:[Gene names]] = Table1[[Gene names]:[Gene names]])*1, 0))</f>
        <v>7.0099999999999996E-5</v>
      </c>
      <c r="G313" cm="1">
        <f t="array" ref="G313">INDEX(Table1[riBAQ 20], MATCH(1, (Table3[[#This Row],[Gene names]:[Gene names]] = Table1[[Gene names]:[Gene names]])*1, 0))</f>
        <v>6.7600000000000003E-5</v>
      </c>
      <c r="H313" cm="1">
        <f t="array" ref="H313">INDEX(Table1[riBAQ 21], MATCH(1, (Table3[[#This Row],[Gene names]:[Gene names]] = Table1[[Gene names]:[Gene names]])*1, 0))</f>
        <v>1.4772200000000001E-4</v>
      </c>
      <c r="I313" cm="1">
        <f t="array" ref="I313">INDEX(Table1[riBAQ 22], MATCH(1, (Table3[[#This Row],[Gene names]:[Gene names]] = Table1[[Gene names]:[Gene names]])*1, 0))</f>
        <v>7.4800000000000002E-5</v>
      </c>
      <c r="J313" cm="1">
        <f t="array" ref="J313">INDEX(Table1[riBAQ 23], MATCH(1, (Table3[[#This Row],[Gene names]:[Gene names]] = Table1[[Gene names]:[Gene names]])*1, 0))</f>
        <v>9.5299999999999999E-5</v>
      </c>
      <c r="K313" cm="1">
        <f t="array" ref="K313">INDEX(Table1[riBAQ 37], MATCH(1, (Table3[[#This Row],[Gene names]:[Gene names]] = Table1[[Gene names]:[Gene names]])*1, 0))</f>
        <v>9.5400000000000001E-5</v>
      </c>
      <c r="L313" cm="1">
        <f t="array" ref="L313">INDEX(Table1[riBAQ 38], MATCH(1, (Table3[[#This Row],[Gene names]:[Gene names]] = Table1[[Gene names]:[Gene names]])*1, 0))</f>
        <v>7.5599999999999994E-5</v>
      </c>
      <c r="M313" cm="1">
        <f t="array" ref="M313">INDEX(Table1[riBAQ 39], MATCH(1, (Table3[[#This Row],[Gene names]:[Gene names]] = Table1[[Gene names]:[Gene names]])*1, 0))</f>
        <v>1.1041599999999999E-4</v>
      </c>
      <c r="N313" cm="1">
        <f t="array" ref="N313">INDEX(Table1[riBAQ 40], MATCH(1, (Table3[[#This Row],[Gene names]:[Gene names]] = Table1[[Gene names]:[Gene names]])*1, 0))</f>
        <v>7.5900000000000002E-5</v>
      </c>
      <c r="O313" cm="1">
        <f t="array" ref="O313">INDEX(Table1[riBAQ 41], MATCH(1, (Table3[[#This Row],[Gene names]:[Gene names]] = Table1[[Gene names]:[Gene names]])*1, 0))</f>
        <v>1.2278199999999999E-4</v>
      </c>
      <c r="P313" cm="1">
        <f t="array" ref="P313">INDEX(Table1[riBAQ 24], MATCH(1, (Table3[[#This Row],[Gene names]:[Gene names]] = Table1[[Gene names]:[Gene names]])*1, 0))</f>
        <v>6.1500000000000004E-5</v>
      </c>
      <c r="Q313" cm="1">
        <f t="array" ref="Q313">INDEX(Table1[riBAQ 25], MATCH(1, (Table3[[#This Row],[Gene names]:[Gene names]] = Table1[[Gene names]:[Gene names]])*1, 0))</f>
        <v>3.0300000000000001E-5</v>
      </c>
      <c r="R313" cm="1">
        <f t="array" ref="R313">INDEX(Table1[riBAQ 26], MATCH(1, (Table3[[#This Row],[Gene names]:[Gene names]] = Table1[[Gene names]:[Gene names]])*1, 0))</f>
        <v>6.6699999999999995E-5</v>
      </c>
      <c r="S313" cm="1">
        <f t="array" ref="S313">INDEX(Table1[riBAQ 42], MATCH(1, (Table3[[#This Row],[Gene names]:[Gene names]] = Table1[[Gene names]:[Gene names]])*1, 0))</f>
        <v>0</v>
      </c>
      <c r="T313" cm="1">
        <f t="array" ref="T313">INDEX(Table1[riBAQ 43], MATCH(1, (Table3[[#This Row],[Gene names]:[Gene names]] = Table1[[Gene names]:[Gene names]])*1, 0))</f>
        <v>0</v>
      </c>
    </row>
    <row r="314" spans="1:20" x14ac:dyDescent="0.25">
      <c r="A314" t="s">
        <v>1019</v>
      </c>
      <c r="B314" cm="1">
        <f t="array" ref="B314">INDEX(Table1[riBAQ 17], MATCH(1, (Table3[[#This Row],[Gene names]:[Gene names]] = Table1[[Gene names]:[Gene names]])*1, 0))</f>
        <v>9.8300000000000008E-6</v>
      </c>
      <c r="C314" cm="1">
        <f t="array" ref="C314">INDEX(Table1[riBAQ 18], MATCH(1, (Table3[[#This Row],[Gene names]:[Gene names]] = Table1[[Gene names]:[Gene names]])*1, 0))</f>
        <v>0</v>
      </c>
      <c r="D314" cm="1">
        <f t="array" ref="D314">INDEX(Table1[riBAQ 35], MATCH(1, (Table3[[#This Row],[Gene names]:[Gene names]] = Table1[[Gene names]:[Gene names]])*1, 0))</f>
        <v>0</v>
      </c>
      <c r="E314" cm="1">
        <f t="array" ref="E314">INDEX(Table1[riBAQ 36], MATCH(1, (Table3[[#This Row],[Gene names]:[Gene names]] = Table1[[Gene names]:[Gene names]])*1, 0))</f>
        <v>0</v>
      </c>
      <c r="F314" cm="1">
        <f t="array" ref="F314">INDEX(Table1[riBAQ 19], MATCH(1, (Table3[[#This Row],[Gene names]:[Gene names]] = Table1[[Gene names]:[Gene names]])*1, 0))</f>
        <v>0</v>
      </c>
      <c r="G314" cm="1">
        <f t="array" ref="G314">INDEX(Table1[riBAQ 20], MATCH(1, (Table3[[#This Row],[Gene names]:[Gene names]] = Table1[[Gene names]:[Gene names]])*1, 0))</f>
        <v>9.1800000000000002E-6</v>
      </c>
      <c r="H314" cm="1">
        <f t="array" ref="H314">INDEX(Table1[riBAQ 21], MATCH(1, (Table3[[#This Row],[Gene names]:[Gene names]] = Table1[[Gene names]:[Gene names]])*1, 0))</f>
        <v>0</v>
      </c>
      <c r="I314" cm="1">
        <f t="array" ref="I314">INDEX(Table1[riBAQ 22], MATCH(1, (Table3[[#This Row],[Gene names]:[Gene names]] = Table1[[Gene names]:[Gene names]])*1, 0))</f>
        <v>0</v>
      </c>
      <c r="J314" cm="1">
        <f t="array" ref="J314">INDEX(Table1[riBAQ 23], MATCH(1, (Table3[[#This Row],[Gene names]:[Gene names]] = Table1[[Gene names]:[Gene names]])*1, 0))</f>
        <v>9.7799999999999995E-6</v>
      </c>
      <c r="K314" cm="1">
        <f t="array" ref="K314">INDEX(Table1[riBAQ 37], MATCH(1, (Table3[[#This Row],[Gene names]:[Gene names]] = Table1[[Gene names]:[Gene names]])*1, 0))</f>
        <v>3.2199999999999997E-5</v>
      </c>
      <c r="L314" cm="1">
        <f t="array" ref="L314">INDEX(Table1[riBAQ 38], MATCH(1, (Table3[[#This Row],[Gene names]:[Gene names]] = Table1[[Gene names]:[Gene names]])*1, 0))</f>
        <v>0</v>
      </c>
      <c r="M314" cm="1">
        <f t="array" ref="M314">INDEX(Table1[riBAQ 39], MATCH(1, (Table3[[#This Row],[Gene names]:[Gene names]] = Table1[[Gene names]:[Gene names]])*1, 0))</f>
        <v>9.1500000000000005E-6</v>
      </c>
      <c r="N314" cm="1">
        <f t="array" ref="N314">INDEX(Table1[riBAQ 40], MATCH(1, (Table3[[#This Row],[Gene names]:[Gene names]] = Table1[[Gene names]:[Gene names]])*1, 0))</f>
        <v>0</v>
      </c>
      <c r="O314" cm="1">
        <f t="array" ref="O314">INDEX(Table1[riBAQ 41], MATCH(1, (Table3[[#This Row],[Gene names]:[Gene names]] = Table1[[Gene names]:[Gene names]])*1, 0))</f>
        <v>0</v>
      </c>
      <c r="P314" cm="1">
        <f t="array" ref="P314">INDEX(Table1[riBAQ 24], MATCH(1, (Table3[[#This Row],[Gene names]:[Gene names]] = Table1[[Gene names]:[Gene names]])*1, 0))</f>
        <v>5.6900000000000001E-5</v>
      </c>
      <c r="Q314" cm="1">
        <f t="array" ref="Q314">INDEX(Table1[riBAQ 25], MATCH(1, (Table3[[#This Row],[Gene names]:[Gene names]] = Table1[[Gene names]:[Gene names]])*1, 0))</f>
        <v>5.1E-5</v>
      </c>
      <c r="R314" cm="1">
        <f t="array" ref="R314">INDEX(Table1[riBAQ 26], MATCH(1, (Table3[[#This Row],[Gene names]:[Gene names]] = Table1[[Gene names]:[Gene names]])*1, 0))</f>
        <v>1.19E-5</v>
      </c>
      <c r="S314" cm="1">
        <f t="array" ref="S314">INDEX(Table1[riBAQ 42], MATCH(1, (Table3[[#This Row],[Gene names]:[Gene names]] = Table1[[Gene names]:[Gene names]])*1, 0))</f>
        <v>2.4600000000000002E-5</v>
      </c>
      <c r="T314" cm="1">
        <f t="array" ref="T314">INDEX(Table1[riBAQ 43], MATCH(1, (Table3[[#This Row],[Gene names]:[Gene names]] = Table1[[Gene names]:[Gene names]])*1, 0))</f>
        <v>8.7000000000000001E-5</v>
      </c>
    </row>
    <row r="315" spans="1:20" x14ac:dyDescent="0.25">
      <c r="A315" t="s">
        <v>609</v>
      </c>
      <c r="B315" cm="1">
        <f t="array" ref="B315">INDEX(Table1[riBAQ 17], MATCH(1, (Table3[[#This Row],[Gene names]:[Gene names]] = Table1[[Gene names]:[Gene names]])*1, 0))</f>
        <v>2.0400000000000001E-5</v>
      </c>
      <c r="C315" cm="1">
        <f t="array" ref="C315">INDEX(Table1[riBAQ 18], MATCH(1, (Table3[[#This Row],[Gene names]:[Gene names]] = Table1[[Gene names]:[Gene names]])*1, 0))</f>
        <v>2.34E-5</v>
      </c>
      <c r="D315" cm="1">
        <f t="array" ref="D315">INDEX(Table1[riBAQ 35], MATCH(1, (Table3[[#This Row],[Gene names]:[Gene names]] = Table1[[Gene names]:[Gene names]])*1, 0))</f>
        <v>0</v>
      </c>
      <c r="E315" cm="1">
        <f t="array" ref="E315">INDEX(Table1[riBAQ 36], MATCH(1, (Table3[[#This Row],[Gene names]:[Gene names]] = Table1[[Gene names]:[Gene names]])*1, 0))</f>
        <v>1.29E-5</v>
      </c>
      <c r="F315" cm="1">
        <f t="array" ref="F315">INDEX(Table1[riBAQ 19], MATCH(1, (Table3[[#This Row],[Gene names]:[Gene names]] = Table1[[Gene names]:[Gene names]])*1, 0))</f>
        <v>3.2499999999999997E-5</v>
      </c>
      <c r="G315" cm="1">
        <f t="array" ref="G315">INDEX(Table1[riBAQ 20], MATCH(1, (Table3[[#This Row],[Gene names]:[Gene names]] = Table1[[Gene names]:[Gene names]])*1, 0))</f>
        <v>1.9599999999999999E-5</v>
      </c>
      <c r="H315" cm="1">
        <f t="array" ref="H315">INDEX(Table1[riBAQ 21], MATCH(1, (Table3[[#This Row],[Gene names]:[Gene names]] = Table1[[Gene names]:[Gene names]])*1, 0))</f>
        <v>1.63E-5</v>
      </c>
      <c r="I315" cm="1">
        <f t="array" ref="I315">INDEX(Table1[riBAQ 22], MATCH(1, (Table3[[#This Row],[Gene names]:[Gene names]] = Table1[[Gene names]:[Gene names]])*1, 0))</f>
        <v>2.6299999999999999E-5</v>
      </c>
      <c r="J315" cm="1">
        <f t="array" ref="J315">INDEX(Table1[riBAQ 23], MATCH(1, (Table3[[#This Row],[Gene names]:[Gene names]] = Table1[[Gene names]:[Gene names]])*1, 0))</f>
        <v>2.8600000000000001E-5</v>
      </c>
      <c r="K315" cm="1">
        <f t="array" ref="K315">INDEX(Table1[riBAQ 37], MATCH(1, (Table3[[#This Row],[Gene names]:[Gene names]] = Table1[[Gene names]:[Gene names]])*1, 0))</f>
        <v>0</v>
      </c>
      <c r="L315" cm="1">
        <f t="array" ref="L315">INDEX(Table1[riBAQ 38], MATCH(1, (Table3[[#This Row],[Gene names]:[Gene names]] = Table1[[Gene names]:[Gene names]])*1, 0))</f>
        <v>1.2500000000000001E-5</v>
      </c>
      <c r="M315" cm="1">
        <f t="array" ref="M315">INDEX(Table1[riBAQ 39], MATCH(1, (Table3[[#This Row],[Gene names]:[Gene names]] = Table1[[Gene names]:[Gene names]])*1, 0))</f>
        <v>2.0299999999999999E-5</v>
      </c>
      <c r="N315" cm="1">
        <f t="array" ref="N315">INDEX(Table1[riBAQ 40], MATCH(1, (Table3[[#This Row],[Gene names]:[Gene names]] = Table1[[Gene names]:[Gene names]])*1, 0))</f>
        <v>3.1900000000000003E-5</v>
      </c>
      <c r="O315" cm="1">
        <f t="array" ref="O315">INDEX(Table1[riBAQ 41], MATCH(1, (Table3[[#This Row],[Gene names]:[Gene names]] = Table1[[Gene names]:[Gene names]])*1, 0))</f>
        <v>1.7399999999999999E-5</v>
      </c>
      <c r="P315" cm="1">
        <f t="array" ref="P315">INDEX(Table1[riBAQ 24], MATCH(1, (Table3[[#This Row],[Gene names]:[Gene names]] = Table1[[Gene names]:[Gene names]])*1, 0))</f>
        <v>5.5600000000000003E-5</v>
      </c>
      <c r="Q315" cm="1">
        <f t="array" ref="Q315">INDEX(Table1[riBAQ 25], MATCH(1, (Table3[[#This Row],[Gene names]:[Gene names]] = Table1[[Gene names]:[Gene names]])*1, 0))</f>
        <v>3.9400000000000002E-5</v>
      </c>
      <c r="R315" cm="1">
        <f t="array" ref="R315">INDEX(Table1[riBAQ 26], MATCH(1, (Table3[[#This Row],[Gene names]:[Gene names]] = Table1[[Gene names]:[Gene names]])*1, 0))</f>
        <v>6.3700000000000003E-5</v>
      </c>
      <c r="S315" cm="1">
        <f t="array" ref="S315">INDEX(Table1[riBAQ 42], MATCH(1, (Table3[[#This Row],[Gene names]:[Gene names]] = Table1[[Gene names]:[Gene names]])*1, 0))</f>
        <v>5.9500000000000003E-5</v>
      </c>
      <c r="T315" cm="1">
        <f t="array" ref="T315">INDEX(Table1[riBAQ 43], MATCH(1, (Table3[[#This Row],[Gene names]:[Gene names]] = Table1[[Gene names]:[Gene names]])*1, 0))</f>
        <v>6.3399999999999996E-5</v>
      </c>
    </row>
    <row r="316" spans="1:20" x14ac:dyDescent="0.25">
      <c r="A316" t="s">
        <v>761</v>
      </c>
      <c r="B316" cm="1">
        <f t="array" ref="B316">INDEX(Table1[riBAQ 17], MATCH(1, (Table3[[#This Row],[Gene names]:[Gene names]] = Table1[[Gene names]:[Gene names]])*1, 0))</f>
        <v>6.4499999999999996E-5</v>
      </c>
      <c r="C316" cm="1">
        <f t="array" ref="C316">INDEX(Table1[riBAQ 18], MATCH(1, (Table3[[#This Row],[Gene names]:[Gene names]] = Table1[[Gene names]:[Gene names]])*1, 0))</f>
        <v>0</v>
      </c>
      <c r="D316" cm="1">
        <f t="array" ref="D316">INDEX(Table1[riBAQ 35], MATCH(1, (Table3[[#This Row],[Gene names]:[Gene names]] = Table1[[Gene names]:[Gene names]])*1, 0))</f>
        <v>2.0999999999999999E-5</v>
      </c>
      <c r="E316" cm="1">
        <f t="array" ref="E316">INDEX(Table1[riBAQ 36], MATCH(1, (Table3[[#This Row],[Gene names]:[Gene names]] = Table1[[Gene names]:[Gene names]])*1, 0))</f>
        <v>1.8700000000000001E-5</v>
      </c>
      <c r="F316" cm="1">
        <f t="array" ref="F316">INDEX(Table1[riBAQ 19], MATCH(1, (Table3[[#This Row],[Gene names]:[Gene names]] = Table1[[Gene names]:[Gene names]])*1, 0))</f>
        <v>9.1700000000000006E-5</v>
      </c>
      <c r="G316" cm="1">
        <f t="array" ref="G316">INDEX(Table1[riBAQ 20], MATCH(1, (Table3[[#This Row],[Gene names]:[Gene names]] = Table1[[Gene names]:[Gene names]])*1, 0))</f>
        <v>5.77E-5</v>
      </c>
      <c r="H316" cm="1">
        <f t="array" ref="H316">INDEX(Table1[riBAQ 21], MATCH(1, (Table3[[#This Row],[Gene names]:[Gene names]] = Table1[[Gene names]:[Gene names]])*1, 0))</f>
        <v>1.3999499999999999E-4</v>
      </c>
      <c r="I316" cm="1">
        <f t="array" ref="I316">INDEX(Table1[riBAQ 22], MATCH(1, (Table3[[#This Row],[Gene names]:[Gene names]] = Table1[[Gene names]:[Gene names]])*1, 0))</f>
        <v>5.8300000000000001E-5</v>
      </c>
      <c r="J316" cm="1">
        <f t="array" ref="J316">INDEX(Table1[riBAQ 23], MATCH(1, (Table3[[#This Row],[Gene names]:[Gene names]] = Table1[[Gene names]:[Gene names]])*1, 0))</f>
        <v>7.1600000000000006E-5</v>
      </c>
      <c r="K316" cm="1">
        <f t="array" ref="K316">INDEX(Table1[riBAQ 37], MATCH(1, (Table3[[#This Row],[Gene names]:[Gene names]] = Table1[[Gene names]:[Gene names]])*1, 0))</f>
        <v>4.7700000000000001E-5</v>
      </c>
      <c r="L316" cm="1">
        <f t="array" ref="L316">INDEX(Table1[riBAQ 38], MATCH(1, (Table3[[#This Row],[Gene names]:[Gene names]] = Table1[[Gene names]:[Gene names]])*1, 0))</f>
        <v>2.0000000000000002E-5</v>
      </c>
      <c r="M316" cm="1">
        <f t="array" ref="M316">INDEX(Table1[riBAQ 39], MATCH(1, (Table3[[#This Row],[Gene names]:[Gene names]] = Table1[[Gene names]:[Gene names]])*1, 0))</f>
        <v>5.0899999999999997E-5</v>
      </c>
      <c r="N316" cm="1">
        <f t="array" ref="N316">INDEX(Table1[riBAQ 40], MATCH(1, (Table3[[#This Row],[Gene names]:[Gene names]] = Table1[[Gene names]:[Gene names]])*1, 0))</f>
        <v>3.9799999999999998E-5</v>
      </c>
      <c r="O316" cm="1">
        <f t="array" ref="O316">INDEX(Table1[riBAQ 41], MATCH(1, (Table3[[#This Row],[Gene names]:[Gene names]] = Table1[[Gene names]:[Gene names]])*1, 0))</f>
        <v>3.5500000000000002E-5</v>
      </c>
      <c r="P316" cm="1">
        <f t="array" ref="P316">INDEX(Table1[riBAQ 24], MATCH(1, (Table3[[#This Row],[Gene names]:[Gene names]] = Table1[[Gene names]:[Gene names]])*1, 0))</f>
        <v>1.9147599999999999E-4</v>
      </c>
      <c r="Q316" cm="1">
        <f t="array" ref="Q316">INDEX(Table1[riBAQ 25], MATCH(1, (Table3[[#This Row],[Gene names]:[Gene names]] = Table1[[Gene names]:[Gene names]])*1, 0))</f>
        <v>4.65243E-4</v>
      </c>
      <c r="R316" cm="1">
        <f t="array" ref="R316">INDEX(Table1[riBAQ 26], MATCH(1, (Table3[[#This Row],[Gene names]:[Gene names]] = Table1[[Gene names]:[Gene names]])*1, 0))</f>
        <v>4.9786000000000003E-4</v>
      </c>
      <c r="S316" cm="1">
        <f t="array" ref="S316">INDEX(Table1[riBAQ 42], MATCH(1, (Table3[[#This Row],[Gene names]:[Gene names]] = Table1[[Gene names]:[Gene names]])*1, 0))</f>
        <v>2.6179699999999997E-4</v>
      </c>
      <c r="T316" cm="1">
        <f t="array" ref="T316">INDEX(Table1[riBAQ 43], MATCH(1, (Table3[[#This Row],[Gene names]:[Gene names]] = Table1[[Gene names]:[Gene names]])*1, 0))</f>
        <v>8.7954500000000002E-4</v>
      </c>
    </row>
    <row r="317" spans="1:20" x14ac:dyDescent="0.25">
      <c r="A317" t="s">
        <v>760</v>
      </c>
      <c r="B317" cm="1">
        <f t="array" ref="B317">INDEX(Table1[riBAQ 17], MATCH(1, (Table3[[#This Row],[Gene names]:[Gene names]] = Table1[[Gene names]:[Gene names]])*1, 0))</f>
        <v>3.8099999999999998E-5</v>
      </c>
      <c r="C317" cm="1">
        <f t="array" ref="C317">INDEX(Table1[riBAQ 18], MATCH(1, (Table3[[#This Row],[Gene names]:[Gene names]] = Table1[[Gene names]:[Gene names]])*1, 0))</f>
        <v>0</v>
      </c>
      <c r="D317" cm="1">
        <f t="array" ref="D317">INDEX(Table1[riBAQ 35], MATCH(1, (Table3[[#This Row],[Gene names]:[Gene names]] = Table1[[Gene names]:[Gene names]])*1, 0))</f>
        <v>3.65E-5</v>
      </c>
      <c r="E317" cm="1">
        <f t="array" ref="E317">INDEX(Table1[riBAQ 36], MATCH(1, (Table3[[#This Row],[Gene names]:[Gene names]] = Table1[[Gene names]:[Gene names]])*1, 0))</f>
        <v>1.6900000000000001E-5</v>
      </c>
      <c r="F317" cm="1">
        <f t="array" ref="F317">INDEX(Table1[riBAQ 19], MATCH(1, (Table3[[#This Row],[Gene names]:[Gene names]] = Table1[[Gene names]:[Gene names]])*1, 0))</f>
        <v>4.1399999999999997E-5</v>
      </c>
      <c r="G317" cm="1">
        <f t="array" ref="G317">INDEX(Table1[riBAQ 20], MATCH(1, (Table3[[#This Row],[Gene names]:[Gene names]] = Table1[[Gene names]:[Gene names]])*1, 0))</f>
        <v>0</v>
      </c>
      <c r="H317" cm="1">
        <f t="array" ref="H317">INDEX(Table1[riBAQ 21], MATCH(1, (Table3[[#This Row],[Gene names]:[Gene names]] = Table1[[Gene names]:[Gene names]])*1, 0))</f>
        <v>4.0899999999999998E-5</v>
      </c>
      <c r="I317" cm="1">
        <f t="array" ref="I317">INDEX(Table1[riBAQ 22], MATCH(1, (Table3[[#This Row],[Gene names]:[Gene names]] = Table1[[Gene names]:[Gene names]])*1, 0))</f>
        <v>2.4199999999999999E-5</v>
      </c>
      <c r="J317" cm="1">
        <f t="array" ref="J317">INDEX(Table1[riBAQ 23], MATCH(1, (Table3[[#This Row],[Gene names]:[Gene names]] = Table1[[Gene names]:[Gene names]])*1, 0))</f>
        <v>0</v>
      </c>
      <c r="K317" cm="1">
        <f t="array" ref="K317">INDEX(Table1[riBAQ 37], MATCH(1, (Table3[[#This Row],[Gene names]:[Gene names]] = Table1[[Gene names]:[Gene names]])*1, 0))</f>
        <v>5.5600000000000003E-5</v>
      </c>
      <c r="L317" cm="1">
        <f t="array" ref="L317">INDEX(Table1[riBAQ 38], MATCH(1, (Table3[[#This Row],[Gene names]:[Gene names]] = Table1[[Gene names]:[Gene names]])*1, 0))</f>
        <v>0</v>
      </c>
      <c r="M317" cm="1">
        <f t="array" ref="M317">INDEX(Table1[riBAQ 39], MATCH(1, (Table3[[#This Row],[Gene names]:[Gene names]] = Table1[[Gene names]:[Gene names]])*1, 0))</f>
        <v>3.4900000000000001E-5</v>
      </c>
      <c r="N317" cm="1">
        <f t="array" ref="N317">INDEX(Table1[riBAQ 40], MATCH(1, (Table3[[#This Row],[Gene names]:[Gene names]] = Table1[[Gene names]:[Gene names]])*1, 0))</f>
        <v>7.9900000000000004E-5</v>
      </c>
      <c r="O317" cm="1">
        <f t="array" ref="O317">INDEX(Table1[riBAQ 41], MATCH(1, (Table3[[#This Row],[Gene names]:[Gene names]] = Table1[[Gene names]:[Gene names]])*1, 0))</f>
        <v>3.2499999999999997E-5</v>
      </c>
      <c r="P317" cm="1">
        <f t="array" ref="P317">INDEX(Table1[riBAQ 24], MATCH(1, (Table3[[#This Row],[Gene names]:[Gene names]] = Table1[[Gene names]:[Gene names]])*1, 0))</f>
        <v>9.8200000000000002E-5</v>
      </c>
      <c r="Q317" cm="1">
        <f t="array" ref="Q317">INDEX(Table1[riBAQ 25], MATCH(1, (Table3[[#This Row],[Gene names]:[Gene names]] = Table1[[Gene names]:[Gene names]])*1, 0))</f>
        <v>1.41297E-4</v>
      </c>
      <c r="R317" cm="1">
        <f t="array" ref="R317">INDEX(Table1[riBAQ 26], MATCH(1, (Table3[[#This Row],[Gene names]:[Gene names]] = Table1[[Gene names]:[Gene names]])*1, 0))</f>
        <v>1.7998499999999999E-4</v>
      </c>
      <c r="S317" cm="1">
        <f t="array" ref="S317">INDEX(Table1[riBAQ 42], MATCH(1, (Table3[[#This Row],[Gene names]:[Gene names]] = Table1[[Gene names]:[Gene names]])*1, 0))</f>
        <v>9.2800000000000006E-5</v>
      </c>
      <c r="T317" cm="1">
        <f t="array" ref="T317">INDEX(Table1[riBAQ 43], MATCH(1, (Table3[[#This Row],[Gene names]:[Gene names]] = Table1[[Gene names]:[Gene names]])*1, 0))</f>
        <v>1.8145800000000001E-4</v>
      </c>
    </row>
    <row r="318" spans="1:20" x14ac:dyDescent="0.25">
      <c r="A318" t="s">
        <v>762</v>
      </c>
      <c r="B318" cm="1">
        <f t="array" ref="B318">INDEX(Table1[riBAQ 17], MATCH(1, (Table3[[#This Row],[Gene names]:[Gene names]] = Table1[[Gene names]:[Gene names]])*1, 0))</f>
        <v>5.3300000000000001E-5</v>
      </c>
      <c r="C318" cm="1">
        <f t="array" ref="C318">INDEX(Table1[riBAQ 18], MATCH(1, (Table3[[#This Row],[Gene names]:[Gene names]] = Table1[[Gene names]:[Gene names]])*1, 0))</f>
        <v>0</v>
      </c>
      <c r="D318" cm="1">
        <f t="array" ref="D318">INDEX(Table1[riBAQ 35], MATCH(1, (Table3[[#This Row],[Gene names]:[Gene names]] = Table1[[Gene names]:[Gene names]])*1, 0))</f>
        <v>1.4100000000000001E-5</v>
      </c>
      <c r="E318" cm="1">
        <f t="array" ref="E318">INDEX(Table1[riBAQ 36], MATCH(1, (Table3[[#This Row],[Gene names]:[Gene names]] = Table1[[Gene names]:[Gene names]])*1, 0))</f>
        <v>1.88E-5</v>
      </c>
      <c r="F318" cm="1">
        <f t="array" ref="F318">INDEX(Table1[riBAQ 19], MATCH(1, (Table3[[#This Row],[Gene names]:[Gene names]] = Table1[[Gene names]:[Gene names]])*1, 0))</f>
        <v>7.2999999999999999E-5</v>
      </c>
      <c r="G318" cm="1">
        <f t="array" ref="G318">INDEX(Table1[riBAQ 20], MATCH(1, (Table3[[#This Row],[Gene names]:[Gene names]] = Table1[[Gene names]:[Gene names]])*1, 0))</f>
        <v>5.7800000000000002E-5</v>
      </c>
      <c r="H318" cm="1">
        <f t="array" ref="H318">INDEX(Table1[riBAQ 21], MATCH(1, (Table3[[#This Row],[Gene names]:[Gene names]] = Table1[[Gene names]:[Gene names]])*1, 0))</f>
        <v>1.49469E-4</v>
      </c>
      <c r="I318" cm="1">
        <f t="array" ref="I318">INDEX(Table1[riBAQ 22], MATCH(1, (Table3[[#This Row],[Gene names]:[Gene names]] = Table1[[Gene names]:[Gene names]])*1, 0))</f>
        <v>4.7599999999999998E-5</v>
      </c>
      <c r="J318" cm="1">
        <f t="array" ref="J318">INDEX(Table1[riBAQ 23], MATCH(1, (Table3[[#This Row],[Gene names]:[Gene names]] = Table1[[Gene names]:[Gene names]])*1, 0))</f>
        <v>8.3399999999999994E-5</v>
      </c>
      <c r="K318" cm="1">
        <f t="array" ref="K318">INDEX(Table1[riBAQ 37], MATCH(1, (Table3[[#This Row],[Gene names]:[Gene names]] = Table1[[Gene names]:[Gene names]])*1, 0))</f>
        <v>3.6399999999999997E-5</v>
      </c>
      <c r="L318" cm="1">
        <f t="array" ref="L318">INDEX(Table1[riBAQ 38], MATCH(1, (Table3[[#This Row],[Gene names]:[Gene names]] = Table1[[Gene names]:[Gene names]])*1, 0))</f>
        <v>1.34E-5</v>
      </c>
      <c r="M318" cm="1">
        <f t="array" ref="M318">INDEX(Table1[riBAQ 39], MATCH(1, (Table3[[#This Row],[Gene names]:[Gene names]] = Table1[[Gene names]:[Gene names]])*1, 0))</f>
        <v>3.6199999999999999E-5</v>
      </c>
      <c r="N318" cm="1">
        <f t="array" ref="N318">INDEX(Table1[riBAQ 40], MATCH(1, (Table3[[#This Row],[Gene names]:[Gene names]] = Table1[[Gene names]:[Gene names]])*1, 0))</f>
        <v>3.1600000000000002E-5</v>
      </c>
      <c r="O318" cm="1">
        <f t="array" ref="O318">INDEX(Table1[riBAQ 41], MATCH(1, (Table3[[#This Row],[Gene names]:[Gene names]] = Table1[[Gene names]:[Gene names]])*1, 0))</f>
        <v>3.4600000000000001E-5</v>
      </c>
      <c r="P318" cm="1">
        <f t="array" ref="P318">INDEX(Table1[riBAQ 24], MATCH(1, (Table3[[#This Row],[Gene names]:[Gene names]] = Table1[[Gene names]:[Gene names]])*1, 0))</f>
        <v>1.9298500000000001E-4</v>
      </c>
      <c r="Q318" cm="1">
        <f t="array" ref="Q318">INDEX(Table1[riBAQ 25], MATCH(1, (Table3[[#This Row],[Gene names]:[Gene names]] = Table1[[Gene names]:[Gene names]])*1, 0))</f>
        <v>4.3380099999999999E-4</v>
      </c>
      <c r="R318" cm="1">
        <f t="array" ref="R318">INDEX(Table1[riBAQ 26], MATCH(1, (Table3[[#This Row],[Gene names]:[Gene names]] = Table1[[Gene names]:[Gene names]])*1, 0))</f>
        <v>5.1597100000000005E-4</v>
      </c>
      <c r="S318" cm="1">
        <f t="array" ref="S318">INDEX(Table1[riBAQ 42], MATCH(1, (Table3[[#This Row],[Gene names]:[Gene names]] = Table1[[Gene names]:[Gene names]])*1, 0))</f>
        <v>2.2789699999999999E-4</v>
      </c>
      <c r="T318" cm="1">
        <f t="array" ref="T318">INDEX(Table1[riBAQ 43], MATCH(1, (Table3[[#This Row],[Gene names]:[Gene names]] = Table1[[Gene names]:[Gene names]])*1, 0))</f>
        <v>6.8287399999999998E-4</v>
      </c>
    </row>
    <row r="319" spans="1:20" x14ac:dyDescent="0.25">
      <c r="A319" t="s">
        <v>1539</v>
      </c>
      <c r="B319" cm="1">
        <f t="array" ref="B319">INDEX(Table1[riBAQ 17], MATCH(1, (Table3[[#This Row],[Gene names]:[Gene names]] = Table1[[Gene names]:[Gene names]])*1, 0))</f>
        <v>0</v>
      </c>
      <c r="C319" cm="1">
        <f t="array" ref="C319">INDEX(Table1[riBAQ 18], MATCH(1, (Table3[[#This Row],[Gene names]:[Gene names]] = Table1[[Gene names]:[Gene names]])*1, 0))</f>
        <v>0</v>
      </c>
      <c r="D319" cm="1">
        <f t="array" ref="D319">INDEX(Table1[riBAQ 35], MATCH(1, (Table3[[#This Row],[Gene names]:[Gene names]] = Table1[[Gene names]:[Gene names]])*1, 0))</f>
        <v>0</v>
      </c>
      <c r="E319" cm="1">
        <f t="array" ref="E319">INDEX(Table1[riBAQ 36], MATCH(1, (Table3[[#This Row],[Gene names]:[Gene names]] = Table1[[Gene names]:[Gene names]])*1, 0))</f>
        <v>0</v>
      </c>
      <c r="F319" cm="1">
        <f t="array" ref="F319">INDEX(Table1[riBAQ 19], MATCH(1, (Table3[[#This Row],[Gene names]:[Gene names]] = Table1[[Gene names]:[Gene names]])*1, 0))</f>
        <v>1.2271800000000001E-4</v>
      </c>
      <c r="G319" cm="1">
        <f t="array" ref="G319">INDEX(Table1[riBAQ 20], MATCH(1, (Table3[[#This Row],[Gene names]:[Gene names]] = Table1[[Gene names]:[Gene names]])*1, 0))</f>
        <v>4.1E-5</v>
      </c>
      <c r="H319" cm="1">
        <f t="array" ref="H319">INDEX(Table1[riBAQ 21], MATCH(1, (Table3[[#This Row],[Gene names]:[Gene names]] = Table1[[Gene names]:[Gene names]])*1, 0))</f>
        <v>3.7400000000000001E-5</v>
      </c>
      <c r="I319" cm="1">
        <f t="array" ref="I319">INDEX(Table1[riBAQ 22], MATCH(1, (Table3[[#This Row],[Gene names]:[Gene names]] = Table1[[Gene names]:[Gene names]])*1, 0))</f>
        <v>0</v>
      </c>
      <c r="J319" cm="1">
        <f t="array" ref="J319">INDEX(Table1[riBAQ 23], MATCH(1, (Table3[[#This Row],[Gene names]:[Gene names]] = Table1[[Gene names]:[Gene names]])*1, 0))</f>
        <v>0</v>
      </c>
      <c r="K319" cm="1">
        <f t="array" ref="K319">INDEX(Table1[riBAQ 37], MATCH(1, (Table3[[#This Row],[Gene names]:[Gene names]] = Table1[[Gene names]:[Gene names]])*1, 0))</f>
        <v>0</v>
      </c>
      <c r="L319" cm="1">
        <f t="array" ref="L319">INDEX(Table1[riBAQ 38], MATCH(1, (Table3[[#This Row],[Gene names]:[Gene names]] = Table1[[Gene names]:[Gene names]])*1, 0))</f>
        <v>0</v>
      </c>
      <c r="M319" cm="1">
        <f t="array" ref="M319">INDEX(Table1[riBAQ 39], MATCH(1, (Table3[[#This Row],[Gene names]:[Gene names]] = Table1[[Gene names]:[Gene names]])*1, 0))</f>
        <v>0</v>
      </c>
      <c r="N319" cm="1">
        <f t="array" ref="N319">INDEX(Table1[riBAQ 40], MATCH(1, (Table3[[#This Row],[Gene names]:[Gene names]] = Table1[[Gene names]:[Gene names]])*1, 0))</f>
        <v>0</v>
      </c>
      <c r="O319" cm="1">
        <f t="array" ref="O319">INDEX(Table1[riBAQ 41], MATCH(1, (Table3[[#This Row],[Gene names]:[Gene names]] = Table1[[Gene names]:[Gene names]])*1, 0))</f>
        <v>0</v>
      </c>
      <c r="P319" cm="1">
        <f t="array" ref="P319">INDEX(Table1[riBAQ 24], MATCH(1, (Table3[[#This Row],[Gene names]:[Gene names]] = Table1[[Gene names]:[Gene names]])*1, 0))</f>
        <v>7.4999999999999993E-5</v>
      </c>
      <c r="Q319" cm="1">
        <f t="array" ref="Q319">INDEX(Table1[riBAQ 25], MATCH(1, (Table3[[#This Row],[Gene names]:[Gene names]] = Table1[[Gene names]:[Gene names]])*1, 0))</f>
        <v>1.8910699999999999E-4</v>
      </c>
      <c r="R319" cm="1">
        <f t="array" ref="R319">INDEX(Table1[riBAQ 26], MATCH(1, (Table3[[#This Row],[Gene names]:[Gene names]] = Table1[[Gene names]:[Gene names]])*1, 0))</f>
        <v>1.4431900000000001E-4</v>
      </c>
      <c r="S319" cm="1">
        <f t="array" ref="S319">INDEX(Table1[riBAQ 42], MATCH(1, (Table3[[#This Row],[Gene names]:[Gene names]] = Table1[[Gene names]:[Gene names]])*1, 0))</f>
        <v>0</v>
      </c>
      <c r="T319" cm="1">
        <f t="array" ref="T319">INDEX(Table1[riBAQ 43], MATCH(1, (Table3[[#This Row],[Gene names]:[Gene names]] = Table1[[Gene names]:[Gene names]])*1, 0))</f>
        <v>2.2009300000000001E-4</v>
      </c>
    </row>
    <row r="320" spans="1:20" x14ac:dyDescent="0.25">
      <c r="A320" t="s">
        <v>1569</v>
      </c>
      <c r="B320" cm="1">
        <f t="array" ref="B320">INDEX(Table1[riBAQ 17], MATCH(1, (Table3[[#This Row],[Gene names]:[Gene names]] = Table1[[Gene names]:[Gene names]])*1, 0))</f>
        <v>0</v>
      </c>
      <c r="C320" cm="1">
        <f t="array" ref="C320">INDEX(Table1[riBAQ 18], MATCH(1, (Table3[[#This Row],[Gene names]:[Gene names]] = Table1[[Gene names]:[Gene names]])*1, 0))</f>
        <v>0</v>
      </c>
      <c r="D320" cm="1">
        <f t="array" ref="D320">INDEX(Table1[riBAQ 35], MATCH(1, (Table3[[#This Row],[Gene names]:[Gene names]] = Table1[[Gene names]:[Gene names]])*1, 0))</f>
        <v>0</v>
      </c>
      <c r="E320" cm="1">
        <f t="array" ref="E320">INDEX(Table1[riBAQ 36], MATCH(1, (Table3[[#This Row],[Gene names]:[Gene names]] = Table1[[Gene names]:[Gene names]])*1, 0))</f>
        <v>0</v>
      </c>
      <c r="F320" cm="1">
        <f t="array" ref="F320">INDEX(Table1[riBAQ 19], MATCH(1, (Table3[[#This Row],[Gene names]:[Gene names]] = Table1[[Gene names]:[Gene names]])*1, 0))</f>
        <v>0</v>
      </c>
      <c r="G320" cm="1">
        <f t="array" ref="G320">INDEX(Table1[riBAQ 20], MATCH(1, (Table3[[#This Row],[Gene names]:[Gene names]] = Table1[[Gene names]:[Gene names]])*1, 0))</f>
        <v>0</v>
      </c>
      <c r="H320" cm="1">
        <f t="array" ref="H320">INDEX(Table1[riBAQ 21], MATCH(1, (Table3[[#This Row],[Gene names]:[Gene names]] = Table1[[Gene names]:[Gene names]])*1, 0))</f>
        <v>0</v>
      </c>
      <c r="I320" cm="1">
        <f t="array" ref="I320">INDEX(Table1[riBAQ 22], MATCH(1, (Table3[[#This Row],[Gene names]:[Gene names]] = Table1[[Gene names]:[Gene names]])*1, 0))</f>
        <v>0</v>
      </c>
      <c r="J320" cm="1">
        <f t="array" ref="J320">INDEX(Table1[riBAQ 23], MATCH(1, (Table3[[#This Row],[Gene names]:[Gene names]] = Table1[[Gene names]:[Gene names]])*1, 0))</f>
        <v>0</v>
      </c>
      <c r="K320" cm="1">
        <f t="array" ref="K320">INDEX(Table1[riBAQ 37], MATCH(1, (Table3[[#This Row],[Gene names]:[Gene names]] = Table1[[Gene names]:[Gene names]])*1, 0))</f>
        <v>0</v>
      </c>
      <c r="L320" cm="1">
        <f t="array" ref="L320">INDEX(Table1[riBAQ 38], MATCH(1, (Table3[[#This Row],[Gene names]:[Gene names]] = Table1[[Gene names]:[Gene names]])*1, 0))</f>
        <v>0</v>
      </c>
      <c r="M320" cm="1">
        <f t="array" ref="M320">INDEX(Table1[riBAQ 39], MATCH(1, (Table3[[#This Row],[Gene names]:[Gene names]] = Table1[[Gene names]:[Gene names]])*1, 0))</f>
        <v>0</v>
      </c>
      <c r="N320" cm="1">
        <f t="array" ref="N320">INDEX(Table1[riBAQ 40], MATCH(1, (Table3[[#This Row],[Gene names]:[Gene names]] = Table1[[Gene names]:[Gene names]])*1, 0))</f>
        <v>0</v>
      </c>
      <c r="O320" cm="1">
        <f t="array" ref="O320">INDEX(Table1[riBAQ 41], MATCH(1, (Table3[[#This Row],[Gene names]:[Gene names]] = Table1[[Gene names]:[Gene names]])*1, 0))</f>
        <v>0</v>
      </c>
      <c r="P320" cm="1">
        <f t="array" ref="P320">INDEX(Table1[riBAQ 24], MATCH(1, (Table3[[#This Row],[Gene names]:[Gene names]] = Table1[[Gene names]:[Gene names]])*1, 0))</f>
        <v>0</v>
      </c>
      <c r="Q320" cm="1">
        <f t="array" ref="Q320">INDEX(Table1[riBAQ 25], MATCH(1, (Table3[[#This Row],[Gene names]:[Gene names]] = Table1[[Gene names]:[Gene names]])*1, 0))</f>
        <v>5.94E-5</v>
      </c>
      <c r="R320" cm="1">
        <f t="array" ref="R320">INDEX(Table1[riBAQ 26], MATCH(1, (Table3[[#This Row],[Gene names]:[Gene names]] = Table1[[Gene names]:[Gene names]])*1, 0))</f>
        <v>6.3499999999999999E-5</v>
      </c>
      <c r="S320" cm="1">
        <f t="array" ref="S320">INDEX(Table1[riBAQ 42], MATCH(1, (Table3[[#This Row],[Gene names]:[Gene names]] = Table1[[Gene names]:[Gene names]])*1, 0))</f>
        <v>1.9700000000000001E-5</v>
      </c>
      <c r="T320" cm="1">
        <f t="array" ref="T320">INDEX(Table1[riBAQ 43], MATCH(1, (Table3[[#This Row],[Gene names]:[Gene names]] = Table1[[Gene names]:[Gene names]])*1, 0))</f>
        <v>6.6299999999999999E-5</v>
      </c>
    </row>
    <row r="321" spans="1:20" x14ac:dyDescent="0.25">
      <c r="A321" t="s">
        <v>124</v>
      </c>
      <c r="B321" cm="1">
        <f t="array" ref="B321">INDEX(Table1[riBAQ 17], MATCH(1, (Table3[[#This Row],[Gene names]:[Gene names]] = Table1[[Gene names]:[Gene names]])*1, 0))</f>
        <v>6.8564899999999998E-4</v>
      </c>
      <c r="C321" cm="1">
        <f t="array" ref="C321">INDEX(Table1[riBAQ 18], MATCH(1, (Table3[[#This Row],[Gene names]:[Gene names]] = Table1[[Gene names]:[Gene names]])*1, 0))</f>
        <v>3.33157E-4</v>
      </c>
      <c r="D321" cm="1">
        <f t="array" ref="D321">INDEX(Table1[riBAQ 35], MATCH(1, (Table3[[#This Row],[Gene names]:[Gene names]] = Table1[[Gene names]:[Gene names]])*1, 0))</f>
        <v>4.22003E-4</v>
      </c>
      <c r="E321" cm="1">
        <f t="array" ref="E321">INDEX(Table1[riBAQ 36], MATCH(1, (Table3[[#This Row],[Gene names]:[Gene names]] = Table1[[Gene names]:[Gene names]])*1, 0))</f>
        <v>3.1443699999999998E-4</v>
      </c>
      <c r="F321" cm="1">
        <f t="array" ref="F321">INDEX(Table1[riBAQ 19], MATCH(1, (Table3[[#This Row],[Gene names]:[Gene names]] = Table1[[Gene names]:[Gene names]])*1, 0))</f>
        <v>1.2446720000000001E-3</v>
      </c>
      <c r="G321" cm="1">
        <f t="array" ref="G321">INDEX(Table1[riBAQ 20], MATCH(1, (Table3[[#This Row],[Gene names]:[Gene names]] = Table1[[Gene names]:[Gene names]])*1, 0))</f>
        <v>1.1853619999999999E-3</v>
      </c>
      <c r="H321" cm="1">
        <f t="array" ref="H321">INDEX(Table1[riBAQ 21], MATCH(1, (Table3[[#This Row],[Gene names]:[Gene names]] = Table1[[Gene names]:[Gene names]])*1, 0))</f>
        <v>6.2051800000000002E-4</v>
      </c>
      <c r="I321" cm="1">
        <f t="array" ref="I321">INDEX(Table1[riBAQ 22], MATCH(1, (Table3[[#This Row],[Gene names]:[Gene names]] = Table1[[Gene names]:[Gene names]])*1, 0))</f>
        <v>6.64965E-4</v>
      </c>
      <c r="J321" cm="1">
        <f t="array" ref="J321">INDEX(Table1[riBAQ 23], MATCH(1, (Table3[[#This Row],[Gene names]:[Gene names]] = Table1[[Gene names]:[Gene names]])*1, 0))</f>
        <v>1.659385E-3</v>
      </c>
      <c r="K321" cm="1">
        <f t="array" ref="K321">INDEX(Table1[riBAQ 37], MATCH(1, (Table3[[#This Row],[Gene names]:[Gene names]] = Table1[[Gene names]:[Gene names]])*1, 0))</f>
        <v>1.007221E-3</v>
      </c>
      <c r="L321" cm="1">
        <f t="array" ref="L321">INDEX(Table1[riBAQ 38], MATCH(1, (Table3[[#This Row],[Gene names]:[Gene names]] = Table1[[Gene names]:[Gene names]])*1, 0))</f>
        <v>6.8079600000000001E-4</v>
      </c>
      <c r="M321" cm="1">
        <f t="array" ref="M321">INDEX(Table1[riBAQ 39], MATCH(1, (Table3[[#This Row],[Gene names]:[Gene names]] = Table1[[Gene names]:[Gene names]])*1, 0))</f>
        <v>9.4077799999999997E-4</v>
      </c>
      <c r="N321" cm="1">
        <f t="array" ref="N321">INDEX(Table1[riBAQ 40], MATCH(1, (Table3[[#This Row],[Gene names]:[Gene names]] = Table1[[Gene names]:[Gene names]])*1, 0))</f>
        <v>1.307833E-3</v>
      </c>
      <c r="O321" cm="1">
        <f t="array" ref="O321">INDEX(Table1[riBAQ 41], MATCH(1, (Table3[[#This Row],[Gene names]:[Gene names]] = Table1[[Gene names]:[Gene names]])*1, 0))</f>
        <v>5.47533E-4</v>
      </c>
      <c r="P321" cm="1">
        <f t="array" ref="P321">INDEX(Table1[riBAQ 24], MATCH(1, (Table3[[#This Row],[Gene names]:[Gene names]] = Table1[[Gene names]:[Gene names]])*1, 0))</f>
        <v>3.9573919999999997E-3</v>
      </c>
      <c r="Q321" cm="1">
        <f t="array" ref="Q321">INDEX(Table1[riBAQ 25], MATCH(1, (Table3[[#This Row],[Gene names]:[Gene names]] = Table1[[Gene names]:[Gene names]])*1, 0))</f>
        <v>5.7323060000000004E-3</v>
      </c>
      <c r="R321" cm="1">
        <f t="array" ref="R321">INDEX(Table1[riBAQ 26], MATCH(1, (Table3[[#This Row],[Gene names]:[Gene names]] = Table1[[Gene names]:[Gene names]])*1, 0))</f>
        <v>9.7170940000000008E-3</v>
      </c>
      <c r="S321" cm="1">
        <f t="array" ref="S321">INDEX(Table1[riBAQ 42], MATCH(1, (Table3[[#This Row],[Gene names]:[Gene names]] = Table1[[Gene names]:[Gene names]])*1, 0))</f>
        <v>1.264352E-2</v>
      </c>
      <c r="T321" cm="1">
        <f t="array" ref="T321">INDEX(Table1[riBAQ 43], MATCH(1, (Table3[[#This Row],[Gene names]:[Gene names]] = Table1[[Gene names]:[Gene names]])*1, 0))</f>
        <v>7.3984259999999996E-3</v>
      </c>
    </row>
    <row r="322" spans="1:20" x14ac:dyDescent="0.25">
      <c r="A322" t="s">
        <v>809</v>
      </c>
      <c r="B322" cm="1">
        <f t="array" ref="B322">INDEX(Table1[riBAQ 17], MATCH(1, (Table3[[#This Row],[Gene names]:[Gene names]] = Table1[[Gene names]:[Gene names]])*1, 0))</f>
        <v>0</v>
      </c>
      <c r="C322" cm="1">
        <f t="array" ref="C322">INDEX(Table1[riBAQ 18], MATCH(1, (Table3[[#This Row],[Gene names]:[Gene names]] = Table1[[Gene names]:[Gene names]])*1, 0))</f>
        <v>0</v>
      </c>
      <c r="D322" cm="1">
        <f t="array" ref="D322">INDEX(Table1[riBAQ 35], MATCH(1, (Table3[[#This Row],[Gene names]:[Gene names]] = Table1[[Gene names]:[Gene names]])*1, 0))</f>
        <v>0</v>
      </c>
      <c r="E322" cm="1">
        <f t="array" ref="E322">INDEX(Table1[riBAQ 36], MATCH(1, (Table3[[#This Row],[Gene names]:[Gene names]] = Table1[[Gene names]:[Gene names]])*1, 0))</f>
        <v>0</v>
      </c>
      <c r="F322" cm="1">
        <f t="array" ref="F322">INDEX(Table1[riBAQ 19], MATCH(1, (Table3[[#This Row],[Gene names]:[Gene names]] = Table1[[Gene names]:[Gene names]])*1, 0))</f>
        <v>0</v>
      </c>
      <c r="G322" cm="1">
        <f t="array" ref="G322">INDEX(Table1[riBAQ 20], MATCH(1, (Table3[[#This Row],[Gene names]:[Gene names]] = Table1[[Gene names]:[Gene names]])*1, 0))</f>
        <v>0</v>
      </c>
      <c r="H322" cm="1">
        <f t="array" ref="H322">INDEX(Table1[riBAQ 21], MATCH(1, (Table3[[#This Row],[Gene names]:[Gene names]] = Table1[[Gene names]:[Gene names]])*1, 0))</f>
        <v>0</v>
      </c>
      <c r="I322" cm="1">
        <f t="array" ref="I322">INDEX(Table1[riBAQ 22], MATCH(1, (Table3[[#This Row],[Gene names]:[Gene names]] = Table1[[Gene names]:[Gene names]])*1, 0))</f>
        <v>0</v>
      </c>
      <c r="J322" cm="1">
        <f t="array" ref="J322">INDEX(Table1[riBAQ 23], MATCH(1, (Table3[[#This Row],[Gene names]:[Gene names]] = Table1[[Gene names]:[Gene names]])*1, 0))</f>
        <v>0</v>
      </c>
      <c r="K322" cm="1">
        <f t="array" ref="K322">INDEX(Table1[riBAQ 37], MATCH(1, (Table3[[#This Row],[Gene names]:[Gene names]] = Table1[[Gene names]:[Gene names]])*1, 0))</f>
        <v>0</v>
      </c>
      <c r="L322" cm="1">
        <f t="array" ref="L322">INDEX(Table1[riBAQ 38], MATCH(1, (Table3[[#This Row],[Gene names]:[Gene names]] = Table1[[Gene names]:[Gene names]])*1, 0))</f>
        <v>0</v>
      </c>
      <c r="M322" cm="1">
        <f t="array" ref="M322">INDEX(Table1[riBAQ 39], MATCH(1, (Table3[[#This Row],[Gene names]:[Gene names]] = Table1[[Gene names]:[Gene names]])*1, 0))</f>
        <v>0</v>
      </c>
      <c r="N322" cm="1">
        <f t="array" ref="N322">INDEX(Table1[riBAQ 40], MATCH(1, (Table3[[#This Row],[Gene names]:[Gene names]] = Table1[[Gene names]:[Gene names]])*1, 0))</f>
        <v>0</v>
      </c>
      <c r="O322" cm="1">
        <f t="array" ref="O322">INDEX(Table1[riBAQ 41], MATCH(1, (Table3[[#This Row],[Gene names]:[Gene names]] = Table1[[Gene names]:[Gene names]])*1, 0))</f>
        <v>0</v>
      </c>
      <c r="P322" cm="1">
        <f t="array" ref="P322">INDEX(Table1[riBAQ 24], MATCH(1, (Table3[[#This Row],[Gene names]:[Gene names]] = Table1[[Gene names]:[Gene names]])*1, 0))</f>
        <v>0</v>
      </c>
      <c r="Q322" cm="1">
        <f t="array" ref="Q322">INDEX(Table1[riBAQ 25], MATCH(1, (Table3[[#This Row],[Gene names]:[Gene names]] = Table1[[Gene names]:[Gene names]])*1, 0))</f>
        <v>2.5199999999999999E-5</v>
      </c>
      <c r="R322" cm="1">
        <f t="array" ref="R322">INDEX(Table1[riBAQ 26], MATCH(1, (Table3[[#This Row],[Gene names]:[Gene names]] = Table1[[Gene names]:[Gene names]])*1, 0))</f>
        <v>2.9600000000000001E-5</v>
      </c>
      <c r="S322" cm="1">
        <f t="array" ref="S322">INDEX(Table1[riBAQ 42], MATCH(1, (Table3[[#This Row],[Gene names]:[Gene names]] = Table1[[Gene names]:[Gene names]])*1, 0))</f>
        <v>2.7100000000000001E-5</v>
      </c>
      <c r="T322" cm="1">
        <f t="array" ref="T322">INDEX(Table1[riBAQ 43], MATCH(1, (Table3[[#This Row],[Gene names]:[Gene names]] = Table1[[Gene names]:[Gene names]])*1, 0))</f>
        <v>7.2299999999999996E-5</v>
      </c>
    </row>
    <row r="323" spans="1:20" x14ac:dyDescent="0.25">
      <c r="A323" t="s">
        <v>126</v>
      </c>
      <c r="B323" cm="1">
        <f t="array" ref="B323">INDEX(Table1[riBAQ 17], MATCH(1, (Table3[[#This Row],[Gene names]:[Gene names]] = Table1[[Gene names]:[Gene names]])*1, 0))</f>
        <v>1.7507250000000001E-3</v>
      </c>
      <c r="C323" cm="1">
        <f t="array" ref="C323">INDEX(Table1[riBAQ 18], MATCH(1, (Table3[[#This Row],[Gene names]:[Gene names]] = Table1[[Gene names]:[Gene names]])*1, 0))</f>
        <v>7.5557900000000004E-4</v>
      </c>
      <c r="D323" cm="1">
        <f t="array" ref="D323">INDEX(Table1[riBAQ 35], MATCH(1, (Table3[[#This Row],[Gene names]:[Gene names]] = Table1[[Gene names]:[Gene names]])*1, 0))</f>
        <v>8.6032700000000003E-4</v>
      </c>
      <c r="E323" cm="1">
        <f t="array" ref="E323">INDEX(Table1[riBAQ 36], MATCH(1, (Table3[[#This Row],[Gene names]:[Gene names]] = Table1[[Gene names]:[Gene names]])*1, 0))</f>
        <v>6.0411099999999995E-4</v>
      </c>
      <c r="F323" cm="1">
        <f t="array" ref="F323">INDEX(Table1[riBAQ 19], MATCH(1, (Table3[[#This Row],[Gene names]:[Gene names]] = Table1[[Gene names]:[Gene names]])*1, 0))</f>
        <v>2.8430439999999999E-3</v>
      </c>
      <c r="G323" cm="1">
        <f t="array" ref="G323">INDEX(Table1[riBAQ 20], MATCH(1, (Table3[[#This Row],[Gene names]:[Gene names]] = Table1[[Gene names]:[Gene names]])*1, 0))</f>
        <v>2.8356789999999998E-3</v>
      </c>
      <c r="H323" cm="1">
        <f t="array" ref="H323">INDEX(Table1[riBAQ 21], MATCH(1, (Table3[[#This Row],[Gene names]:[Gene names]] = Table1[[Gene names]:[Gene names]])*1, 0))</f>
        <v>1.5358800000000001E-3</v>
      </c>
      <c r="I323" cm="1">
        <f t="array" ref="I323">INDEX(Table1[riBAQ 22], MATCH(1, (Table3[[#This Row],[Gene names]:[Gene names]] = Table1[[Gene names]:[Gene names]])*1, 0))</f>
        <v>1.3650660000000001E-3</v>
      </c>
      <c r="J323" cm="1">
        <f t="array" ref="J323">INDEX(Table1[riBAQ 23], MATCH(1, (Table3[[#This Row],[Gene names]:[Gene names]] = Table1[[Gene names]:[Gene names]])*1, 0))</f>
        <v>3.0554409999999999E-3</v>
      </c>
      <c r="K323" cm="1">
        <f t="array" ref="K323">INDEX(Table1[riBAQ 37], MATCH(1, (Table3[[#This Row],[Gene names]:[Gene names]] = Table1[[Gene names]:[Gene names]])*1, 0))</f>
        <v>2.6639139999999999E-3</v>
      </c>
      <c r="L323" cm="1">
        <f t="array" ref="L323">INDEX(Table1[riBAQ 38], MATCH(1, (Table3[[#This Row],[Gene names]:[Gene names]] = Table1[[Gene names]:[Gene names]])*1, 0))</f>
        <v>1.2811789999999999E-3</v>
      </c>
      <c r="M323" cm="1">
        <f t="array" ref="M323">INDEX(Table1[riBAQ 39], MATCH(1, (Table3[[#This Row],[Gene names]:[Gene names]] = Table1[[Gene names]:[Gene names]])*1, 0))</f>
        <v>2.9562939999999999E-3</v>
      </c>
      <c r="N323" cm="1">
        <f t="array" ref="N323">INDEX(Table1[riBAQ 40], MATCH(1, (Table3[[#This Row],[Gene names]:[Gene names]] = Table1[[Gene names]:[Gene names]])*1, 0))</f>
        <v>2.434379E-3</v>
      </c>
      <c r="O323" cm="1">
        <f t="array" ref="O323">INDEX(Table1[riBAQ 41], MATCH(1, (Table3[[#This Row],[Gene names]:[Gene names]] = Table1[[Gene names]:[Gene names]])*1, 0))</f>
        <v>1.3132899999999999E-3</v>
      </c>
      <c r="P323" cm="1">
        <f t="array" ref="P323">INDEX(Table1[riBAQ 24], MATCH(1, (Table3[[#This Row],[Gene names]:[Gene names]] = Table1[[Gene names]:[Gene names]])*1, 0))</f>
        <v>7.7592929999999996E-3</v>
      </c>
      <c r="Q323" cm="1">
        <f t="array" ref="Q323">INDEX(Table1[riBAQ 25], MATCH(1, (Table3[[#This Row],[Gene names]:[Gene names]] = Table1[[Gene names]:[Gene names]])*1, 0))</f>
        <v>1.0569876000000001E-2</v>
      </c>
      <c r="R323" cm="1">
        <f t="array" ref="R323">INDEX(Table1[riBAQ 26], MATCH(1, (Table3[[#This Row],[Gene names]:[Gene names]] = Table1[[Gene names]:[Gene names]])*1, 0))</f>
        <v>1.4284252000000001E-2</v>
      </c>
      <c r="S323" cm="1">
        <f t="array" ref="S323">INDEX(Table1[riBAQ 42], MATCH(1, (Table3[[#This Row],[Gene names]:[Gene names]] = Table1[[Gene names]:[Gene names]])*1, 0))</f>
        <v>1.4472087999999999E-2</v>
      </c>
      <c r="T323" cm="1">
        <f t="array" ref="T323">INDEX(Table1[riBAQ 43], MATCH(1, (Table3[[#This Row],[Gene names]:[Gene names]] = Table1[[Gene names]:[Gene names]])*1, 0))</f>
        <v>1.213441E-2</v>
      </c>
    </row>
    <row r="324" spans="1:20" x14ac:dyDescent="0.25">
      <c r="A324" t="s">
        <v>763</v>
      </c>
      <c r="B324" cm="1">
        <f t="array" ref="B324">INDEX(Table1[riBAQ 17], MATCH(1, (Table3[[#This Row],[Gene names]:[Gene names]] = Table1[[Gene names]:[Gene names]])*1, 0))</f>
        <v>3.4057299999999999E-4</v>
      </c>
      <c r="C324" cm="1">
        <f t="array" ref="C324">INDEX(Table1[riBAQ 18], MATCH(1, (Table3[[#This Row],[Gene names]:[Gene names]] = Table1[[Gene names]:[Gene names]])*1, 0))</f>
        <v>3.7281499999999997E-4</v>
      </c>
      <c r="D324" cm="1">
        <f t="array" ref="D324">INDEX(Table1[riBAQ 35], MATCH(1, (Table3[[#This Row],[Gene names]:[Gene names]] = Table1[[Gene names]:[Gene names]])*1, 0))</f>
        <v>4.0031300000000001E-4</v>
      </c>
      <c r="E324" cm="1">
        <f t="array" ref="E324">INDEX(Table1[riBAQ 36], MATCH(1, (Table3[[#This Row],[Gene names]:[Gene names]] = Table1[[Gene names]:[Gene names]])*1, 0))</f>
        <v>4.8375399999999998E-4</v>
      </c>
      <c r="F324" cm="1">
        <f t="array" ref="F324">INDEX(Table1[riBAQ 19], MATCH(1, (Table3[[#This Row],[Gene names]:[Gene names]] = Table1[[Gene names]:[Gene names]])*1, 0))</f>
        <v>3.3573300000000001E-4</v>
      </c>
      <c r="G324" cm="1">
        <f t="array" ref="G324">INDEX(Table1[riBAQ 20], MATCH(1, (Table3[[#This Row],[Gene names]:[Gene names]] = Table1[[Gene names]:[Gene names]])*1, 0))</f>
        <v>2.6533500000000001E-4</v>
      </c>
      <c r="H324" cm="1">
        <f t="array" ref="H324">INDEX(Table1[riBAQ 21], MATCH(1, (Table3[[#This Row],[Gene names]:[Gene names]] = Table1[[Gene names]:[Gene names]])*1, 0))</f>
        <v>2.8188099999999999E-4</v>
      </c>
      <c r="I324" cm="1">
        <f t="array" ref="I324">INDEX(Table1[riBAQ 22], MATCH(1, (Table3[[#This Row],[Gene names]:[Gene names]] = Table1[[Gene names]:[Gene names]])*1, 0))</f>
        <v>3.2764399999999998E-4</v>
      </c>
      <c r="J324" cm="1">
        <f t="array" ref="J324">INDEX(Table1[riBAQ 23], MATCH(1, (Table3[[#This Row],[Gene names]:[Gene names]] = Table1[[Gene names]:[Gene names]])*1, 0))</f>
        <v>3.72345E-4</v>
      </c>
      <c r="K324" cm="1">
        <f t="array" ref="K324">INDEX(Table1[riBAQ 37], MATCH(1, (Table3[[#This Row],[Gene names]:[Gene names]] = Table1[[Gene names]:[Gene names]])*1, 0))</f>
        <v>3.8978299999999999E-4</v>
      </c>
      <c r="L324" cm="1">
        <f t="array" ref="L324">INDEX(Table1[riBAQ 38], MATCH(1, (Table3[[#This Row],[Gene names]:[Gene names]] = Table1[[Gene names]:[Gene names]])*1, 0))</f>
        <v>3.7532800000000002E-4</v>
      </c>
      <c r="M324" cm="1">
        <f t="array" ref="M324">INDEX(Table1[riBAQ 39], MATCH(1, (Table3[[#This Row],[Gene names]:[Gene names]] = Table1[[Gene names]:[Gene names]])*1, 0))</f>
        <v>3.4940999999999998E-4</v>
      </c>
      <c r="N324" cm="1">
        <f t="array" ref="N324">INDEX(Table1[riBAQ 40], MATCH(1, (Table3[[#This Row],[Gene names]:[Gene names]] = Table1[[Gene names]:[Gene names]])*1, 0))</f>
        <v>4.1358900000000001E-4</v>
      </c>
      <c r="O324" cm="1">
        <f t="array" ref="O324">INDEX(Table1[riBAQ 41], MATCH(1, (Table3[[#This Row],[Gene names]:[Gene names]] = Table1[[Gene names]:[Gene names]])*1, 0))</f>
        <v>3.35774E-4</v>
      </c>
      <c r="P324" cm="1">
        <f t="array" ref="P324">INDEX(Table1[riBAQ 24], MATCH(1, (Table3[[#This Row],[Gene names]:[Gene names]] = Table1[[Gene names]:[Gene names]])*1, 0))</f>
        <v>2.1401499999999999E-4</v>
      </c>
      <c r="Q324" cm="1">
        <f t="array" ref="Q324">INDEX(Table1[riBAQ 25], MATCH(1, (Table3[[#This Row],[Gene names]:[Gene names]] = Table1[[Gene names]:[Gene names]])*1, 0))</f>
        <v>1.4456199999999999E-4</v>
      </c>
      <c r="R324" cm="1">
        <f t="array" ref="R324">INDEX(Table1[riBAQ 26], MATCH(1, (Table3[[#This Row],[Gene names]:[Gene names]] = Table1[[Gene names]:[Gene names]])*1, 0))</f>
        <v>1.9714900000000001E-4</v>
      </c>
      <c r="S324" cm="1">
        <f t="array" ref="S324">INDEX(Table1[riBAQ 42], MATCH(1, (Table3[[#This Row],[Gene names]:[Gene names]] = Table1[[Gene names]:[Gene names]])*1, 0))</f>
        <v>1.4270400000000001E-4</v>
      </c>
      <c r="T324" cm="1">
        <f t="array" ref="T324">INDEX(Table1[riBAQ 43], MATCH(1, (Table3[[#This Row],[Gene names]:[Gene names]] = Table1[[Gene names]:[Gene names]])*1, 0))</f>
        <v>1.88634E-4</v>
      </c>
    </row>
    <row r="325" spans="1:20" x14ac:dyDescent="0.25">
      <c r="A325" t="s">
        <v>179</v>
      </c>
      <c r="B325" cm="1">
        <f t="array" ref="B325">INDEX(Table1[riBAQ 17], MATCH(1, (Table3[[#This Row],[Gene names]:[Gene names]] = Table1[[Gene names]:[Gene names]])*1, 0))</f>
        <v>4.6800000000000001E-6</v>
      </c>
      <c r="C325" cm="1">
        <f t="array" ref="C325">INDEX(Table1[riBAQ 18], MATCH(1, (Table3[[#This Row],[Gene names]:[Gene names]] = Table1[[Gene names]:[Gene names]])*1, 0))</f>
        <v>0</v>
      </c>
      <c r="D325" cm="1">
        <f t="array" ref="D325">INDEX(Table1[riBAQ 35], MATCH(1, (Table3[[#This Row],[Gene names]:[Gene names]] = Table1[[Gene names]:[Gene names]])*1, 0))</f>
        <v>0</v>
      </c>
      <c r="E325" cm="1">
        <f t="array" ref="E325">INDEX(Table1[riBAQ 36], MATCH(1, (Table3[[#This Row],[Gene names]:[Gene names]] = Table1[[Gene names]:[Gene names]])*1, 0))</f>
        <v>0</v>
      </c>
      <c r="F325" cm="1">
        <f t="array" ref="F325">INDEX(Table1[riBAQ 19], MATCH(1, (Table3[[#This Row],[Gene names]:[Gene names]] = Table1[[Gene names]:[Gene names]])*1, 0))</f>
        <v>0</v>
      </c>
      <c r="G325" cm="1">
        <f t="array" ref="G325">INDEX(Table1[riBAQ 20], MATCH(1, (Table3[[#This Row],[Gene names]:[Gene names]] = Table1[[Gene names]:[Gene names]])*1, 0))</f>
        <v>0</v>
      </c>
      <c r="H325" cm="1">
        <f t="array" ref="H325">INDEX(Table1[riBAQ 21], MATCH(1, (Table3[[#This Row],[Gene names]:[Gene names]] = Table1[[Gene names]:[Gene names]])*1, 0))</f>
        <v>3.9700000000000001E-6</v>
      </c>
      <c r="I325" cm="1">
        <f t="array" ref="I325">INDEX(Table1[riBAQ 22], MATCH(1, (Table3[[#This Row],[Gene names]:[Gene names]] = Table1[[Gene names]:[Gene names]])*1, 0))</f>
        <v>0</v>
      </c>
      <c r="J325" cm="1">
        <f t="array" ref="J325">INDEX(Table1[riBAQ 23], MATCH(1, (Table3[[#This Row],[Gene names]:[Gene names]] = Table1[[Gene names]:[Gene names]])*1, 0))</f>
        <v>0</v>
      </c>
      <c r="K325" cm="1">
        <f t="array" ref="K325">INDEX(Table1[riBAQ 37], MATCH(1, (Table3[[#This Row],[Gene names]:[Gene names]] = Table1[[Gene names]:[Gene names]])*1, 0))</f>
        <v>0</v>
      </c>
      <c r="L325" cm="1">
        <f t="array" ref="L325">INDEX(Table1[riBAQ 38], MATCH(1, (Table3[[#This Row],[Gene names]:[Gene names]] = Table1[[Gene names]:[Gene names]])*1, 0))</f>
        <v>0</v>
      </c>
      <c r="M325" cm="1">
        <f t="array" ref="M325">INDEX(Table1[riBAQ 39], MATCH(1, (Table3[[#This Row],[Gene names]:[Gene names]] = Table1[[Gene names]:[Gene names]])*1, 0))</f>
        <v>0</v>
      </c>
      <c r="N325" cm="1">
        <f t="array" ref="N325">INDEX(Table1[riBAQ 40], MATCH(1, (Table3[[#This Row],[Gene names]:[Gene names]] = Table1[[Gene names]:[Gene names]])*1, 0))</f>
        <v>0</v>
      </c>
      <c r="O325" cm="1">
        <f t="array" ref="O325">INDEX(Table1[riBAQ 41], MATCH(1, (Table3[[#This Row],[Gene names]:[Gene names]] = Table1[[Gene names]:[Gene names]])*1, 0))</f>
        <v>0</v>
      </c>
      <c r="P325" cm="1">
        <f t="array" ref="P325">INDEX(Table1[riBAQ 24], MATCH(1, (Table3[[#This Row],[Gene names]:[Gene names]] = Table1[[Gene names]:[Gene names]])*1, 0))</f>
        <v>4.5299999999999998E-6</v>
      </c>
      <c r="Q325" cm="1">
        <f t="array" ref="Q325">INDEX(Table1[riBAQ 25], MATCH(1, (Table3[[#This Row],[Gene names]:[Gene names]] = Table1[[Gene names]:[Gene names]])*1, 0))</f>
        <v>1.03E-5</v>
      </c>
      <c r="R325" cm="1">
        <f t="array" ref="R325">INDEX(Table1[riBAQ 26], MATCH(1, (Table3[[#This Row],[Gene names]:[Gene names]] = Table1[[Gene names]:[Gene names]])*1, 0))</f>
        <v>1.2099999999999999E-5</v>
      </c>
      <c r="S325" cm="1">
        <f t="array" ref="S325">INDEX(Table1[riBAQ 42], MATCH(1, (Table3[[#This Row],[Gene names]:[Gene names]] = Table1[[Gene names]:[Gene names]])*1, 0))</f>
        <v>9.38E-6</v>
      </c>
      <c r="T325" cm="1">
        <f t="array" ref="T325">INDEX(Table1[riBAQ 43], MATCH(1, (Table3[[#This Row],[Gene names]:[Gene names]] = Table1[[Gene names]:[Gene names]])*1, 0))</f>
        <v>9.6199999999999994E-6</v>
      </c>
    </row>
    <row r="326" spans="1:20" x14ac:dyDescent="0.25">
      <c r="A326" t="s">
        <v>1520</v>
      </c>
      <c r="B326" cm="1">
        <f t="array" ref="B326">INDEX(Table1[riBAQ 17], MATCH(1, (Table3[[#This Row],[Gene names]:[Gene names]] = Table1[[Gene names]:[Gene names]])*1, 0))</f>
        <v>7.6934799999999999E-4</v>
      </c>
      <c r="C326" cm="1">
        <f t="array" ref="C326">INDEX(Table1[riBAQ 18], MATCH(1, (Table3[[#This Row],[Gene names]:[Gene names]] = Table1[[Gene names]:[Gene names]])*1, 0))</f>
        <v>1.249352E-3</v>
      </c>
      <c r="D326" cm="1">
        <f t="array" ref="D326">INDEX(Table1[riBAQ 35], MATCH(1, (Table3[[#This Row],[Gene names]:[Gene names]] = Table1[[Gene names]:[Gene names]])*1, 0))</f>
        <v>1.2644900000000001E-3</v>
      </c>
      <c r="E326" cm="1">
        <f t="array" ref="E326">INDEX(Table1[riBAQ 36], MATCH(1, (Table3[[#This Row],[Gene names]:[Gene names]] = Table1[[Gene names]:[Gene names]])*1, 0))</f>
        <v>1.251905E-3</v>
      </c>
      <c r="F326" cm="1">
        <f t="array" ref="F326">INDEX(Table1[riBAQ 19], MATCH(1, (Table3[[#This Row],[Gene names]:[Gene names]] = Table1[[Gene names]:[Gene names]])*1, 0))</f>
        <v>1.4206550000000001E-3</v>
      </c>
      <c r="G326" cm="1">
        <f t="array" ref="G326">INDEX(Table1[riBAQ 20], MATCH(1, (Table3[[#This Row],[Gene names]:[Gene names]] = Table1[[Gene names]:[Gene names]])*1, 0))</f>
        <v>1.21901E-3</v>
      </c>
      <c r="H326" cm="1">
        <f t="array" ref="H326">INDEX(Table1[riBAQ 21], MATCH(1, (Table3[[#This Row],[Gene names]:[Gene names]] = Table1[[Gene names]:[Gene names]])*1, 0))</f>
        <v>1.060879E-3</v>
      </c>
      <c r="I326" cm="1">
        <f t="array" ref="I326">INDEX(Table1[riBAQ 22], MATCH(1, (Table3[[#This Row],[Gene names]:[Gene names]] = Table1[[Gene names]:[Gene names]])*1, 0))</f>
        <v>1.343454E-3</v>
      </c>
      <c r="J326" cm="1">
        <f t="array" ref="J326">INDEX(Table1[riBAQ 23], MATCH(1, (Table3[[#This Row],[Gene names]:[Gene names]] = Table1[[Gene names]:[Gene names]])*1, 0))</f>
        <v>1.3617220000000001E-3</v>
      </c>
      <c r="K326" cm="1">
        <f t="array" ref="K326">INDEX(Table1[riBAQ 37], MATCH(1, (Table3[[#This Row],[Gene names]:[Gene names]] = Table1[[Gene names]:[Gene names]])*1, 0))</f>
        <v>1.320096E-3</v>
      </c>
      <c r="L326" cm="1">
        <f t="array" ref="L326">INDEX(Table1[riBAQ 38], MATCH(1, (Table3[[#This Row],[Gene names]:[Gene names]] = Table1[[Gene names]:[Gene names]])*1, 0))</f>
        <v>1.3634599999999999E-3</v>
      </c>
      <c r="M326" cm="1">
        <f t="array" ref="M326">INDEX(Table1[riBAQ 39], MATCH(1, (Table3[[#This Row],[Gene names]:[Gene names]] = Table1[[Gene names]:[Gene names]])*1, 0))</f>
        <v>8.8791800000000002E-4</v>
      </c>
      <c r="N326" cm="1">
        <f t="array" ref="N326">INDEX(Table1[riBAQ 40], MATCH(1, (Table3[[#This Row],[Gene names]:[Gene names]] = Table1[[Gene names]:[Gene names]])*1, 0))</f>
        <v>1.0949550000000001E-3</v>
      </c>
      <c r="O326" cm="1">
        <f t="array" ref="O326">INDEX(Table1[riBAQ 41], MATCH(1, (Table3[[#This Row],[Gene names]:[Gene names]] = Table1[[Gene names]:[Gene names]])*1, 0))</f>
        <v>1.2131830000000001E-3</v>
      </c>
      <c r="P326" cm="1">
        <f t="array" ref="P326">INDEX(Table1[riBAQ 24], MATCH(1, (Table3[[#This Row],[Gene names]:[Gene names]] = Table1[[Gene names]:[Gene names]])*1, 0))</f>
        <v>1.1255010000000001E-3</v>
      </c>
      <c r="Q326" cm="1">
        <f t="array" ref="Q326">INDEX(Table1[riBAQ 25], MATCH(1, (Table3[[#This Row],[Gene names]:[Gene names]] = Table1[[Gene names]:[Gene names]])*1, 0))</f>
        <v>6.4160499999999995E-4</v>
      </c>
      <c r="R326" cm="1">
        <f t="array" ref="R326">INDEX(Table1[riBAQ 26], MATCH(1, (Table3[[#This Row],[Gene names]:[Gene names]] = Table1[[Gene names]:[Gene names]])*1, 0))</f>
        <v>8.01423E-4</v>
      </c>
      <c r="S326" cm="1">
        <f t="array" ref="S326">INDEX(Table1[riBAQ 42], MATCH(1, (Table3[[#This Row],[Gene names]:[Gene names]] = Table1[[Gene names]:[Gene names]])*1, 0))</f>
        <v>1.2013690000000001E-3</v>
      </c>
      <c r="T326" cm="1">
        <f t="array" ref="T326">INDEX(Table1[riBAQ 43], MATCH(1, (Table3[[#This Row],[Gene names]:[Gene names]] = Table1[[Gene names]:[Gene names]])*1, 0))</f>
        <v>6.8933000000000004E-4</v>
      </c>
    </row>
    <row r="327" spans="1:20" x14ac:dyDescent="0.25">
      <c r="A327" t="s">
        <v>936</v>
      </c>
      <c r="B327" cm="1">
        <f t="array" ref="B327">INDEX(Table1[riBAQ 17], MATCH(1, (Table3[[#This Row],[Gene names]:[Gene names]] = Table1[[Gene names]:[Gene names]])*1, 0))</f>
        <v>5.1701999999999998E-4</v>
      </c>
      <c r="C327" cm="1">
        <f t="array" ref="C327">INDEX(Table1[riBAQ 18], MATCH(1, (Table3[[#This Row],[Gene names]:[Gene names]] = Table1[[Gene names]:[Gene names]])*1, 0))</f>
        <v>5.0633099999999995E-4</v>
      </c>
      <c r="D327" cm="1">
        <f t="array" ref="D327">INDEX(Table1[riBAQ 35], MATCH(1, (Table3[[#This Row],[Gene names]:[Gene names]] = Table1[[Gene names]:[Gene names]])*1, 0))</f>
        <v>5.0212399999999995E-4</v>
      </c>
      <c r="E327" cm="1">
        <f t="array" ref="E327">INDEX(Table1[riBAQ 36], MATCH(1, (Table3[[#This Row],[Gene names]:[Gene names]] = Table1[[Gene names]:[Gene names]])*1, 0))</f>
        <v>5.7174500000000002E-4</v>
      </c>
      <c r="F327" cm="1">
        <f t="array" ref="F327">INDEX(Table1[riBAQ 19], MATCH(1, (Table3[[#This Row],[Gene names]:[Gene names]] = Table1[[Gene names]:[Gene names]])*1, 0))</f>
        <v>4.77114E-4</v>
      </c>
      <c r="G327" cm="1">
        <f t="array" ref="G327">INDEX(Table1[riBAQ 20], MATCH(1, (Table3[[#This Row],[Gene names]:[Gene names]] = Table1[[Gene names]:[Gene names]])*1, 0))</f>
        <v>4.53344E-4</v>
      </c>
      <c r="H327" cm="1">
        <f t="array" ref="H327">INDEX(Table1[riBAQ 21], MATCH(1, (Table3[[#This Row],[Gene names]:[Gene names]] = Table1[[Gene names]:[Gene names]])*1, 0))</f>
        <v>3.61534E-4</v>
      </c>
      <c r="I327" cm="1">
        <f t="array" ref="I327">INDEX(Table1[riBAQ 22], MATCH(1, (Table3[[#This Row],[Gene names]:[Gene names]] = Table1[[Gene names]:[Gene names]])*1, 0))</f>
        <v>4.7160799999999999E-4</v>
      </c>
      <c r="J327" cm="1">
        <f t="array" ref="J327">INDEX(Table1[riBAQ 23], MATCH(1, (Table3[[#This Row],[Gene names]:[Gene names]] = Table1[[Gene names]:[Gene names]])*1, 0))</f>
        <v>4.6888499999999999E-4</v>
      </c>
      <c r="K327" cm="1">
        <f t="array" ref="K327">INDEX(Table1[riBAQ 37], MATCH(1, (Table3[[#This Row],[Gene names]:[Gene names]] = Table1[[Gene names]:[Gene names]])*1, 0))</f>
        <v>4.8450400000000002E-4</v>
      </c>
      <c r="L327" cm="1">
        <f t="array" ref="L327">INDEX(Table1[riBAQ 38], MATCH(1, (Table3[[#This Row],[Gene names]:[Gene names]] = Table1[[Gene names]:[Gene names]])*1, 0))</f>
        <v>5.6459800000000003E-4</v>
      </c>
      <c r="M327" cm="1">
        <f t="array" ref="M327">INDEX(Table1[riBAQ 39], MATCH(1, (Table3[[#This Row],[Gene names]:[Gene names]] = Table1[[Gene names]:[Gene names]])*1, 0))</f>
        <v>4.0780900000000003E-4</v>
      </c>
      <c r="N327" cm="1">
        <f t="array" ref="N327">INDEX(Table1[riBAQ 40], MATCH(1, (Table3[[#This Row],[Gene names]:[Gene names]] = Table1[[Gene names]:[Gene names]])*1, 0))</f>
        <v>3.6226699999999999E-4</v>
      </c>
      <c r="O327" cm="1">
        <f t="array" ref="O327">INDEX(Table1[riBAQ 41], MATCH(1, (Table3[[#This Row],[Gene names]:[Gene names]] = Table1[[Gene names]:[Gene names]])*1, 0))</f>
        <v>4.85336E-4</v>
      </c>
      <c r="P327" cm="1">
        <f t="array" ref="P327">INDEX(Table1[riBAQ 24], MATCH(1, (Table3[[#This Row],[Gene names]:[Gene names]] = Table1[[Gene names]:[Gene names]])*1, 0))</f>
        <v>2.4337299999999999E-4</v>
      </c>
      <c r="Q327" cm="1">
        <f t="array" ref="Q327">INDEX(Table1[riBAQ 25], MATCH(1, (Table3[[#This Row],[Gene names]:[Gene names]] = Table1[[Gene names]:[Gene names]])*1, 0))</f>
        <v>1.2077499999999999E-4</v>
      </c>
      <c r="R327" cm="1">
        <f t="array" ref="R327">INDEX(Table1[riBAQ 26], MATCH(1, (Table3[[#This Row],[Gene names]:[Gene names]] = Table1[[Gene names]:[Gene names]])*1, 0))</f>
        <v>1.41805E-4</v>
      </c>
      <c r="S327" cm="1">
        <f t="array" ref="S327">INDEX(Table1[riBAQ 42], MATCH(1, (Table3[[#This Row],[Gene names]:[Gene names]] = Table1[[Gene names]:[Gene names]])*1, 0))</f>
        <v>7.0199999999999999E-5</v>
      </c>
      <c r="T327" cm="1">
        <f t="array" ref="T327">INDEX(Table1[riBAQ 43], MATCH(1, (Table3[[#This Row],[Gene names]:[Gene names]] = Table1[[Gene names]:[Gene names]])*1, 0))</f>
        <v>1.53929E-4</v>
      </c>
    </row>
    <row r="328" spans="1:20" x14ac:dyDescent="0.25">
      <c r="A328" t="s">
        <v>1535</v>
      </c>
      <c r="B328" cm="1">
        <f t="array" ref="B328">INDEX(Table1[riBAQ 17], MATCH(1, (Table3[[#This Row],[Gene names]:[Gene names]] = Table1[[Gene names]:[Gene names]])*1, 0))</f>
        <v>9.8599999999999998E-5</v>
      </c>
      <c r="C328" cm="1">
        <f t="array" ref="C328">INDEX(Table1[riBAQ 18], MATCH(1, (Table3[[#This Row],[Gene names]:[Gene names]] = Table1[[Gene names]:[Gene names]])*1, 0))</f>
        <v>9.7399999999999996E-5</v>
      </c>
      <c r="D328" cm="1">
        <f t="array" ref="D328">INDEX(Table1[riBAQ 35], MATCH(1, (Table3[[#This Row],[Gene names]:[Gene names]] = Table1[[Gene names]:[Gene names]])*1, 0))</f>
        <v>0</v>
      </c>
      <c r="E328" cm="1">
        <f t="array" ref="E328">INDEX(Table1[riBAQ 36], MATCH(1, (Table3[[#This Row],[Gene names]:[Gene names]] = Table1[[Gene names]:[Gene names]])*1, 0))</f>
        <v>0</v>
      </c>
      <c r="F328" cm="1">
        <f t="array" ref="F328">INDEX(Table1[riBAQ 19], MATCH(1, (Table3[[#This Row],[Gene names]:[Gene names]] = Table1[[Gene names]:[Gene names]])*1, 0))</f>
        <v>1.4403800000000001E-4</v>
      </c>
      <c r="G328" cm="1">
        <f t="array" ref="G328">INDEX(Table1[riBAQ 20], MATCH(1, (Table3[[#This Row],[Gene names]:[Gene names]] = Table1[[Gene names]:[Gene names]])*1, 0))</f>
        <v>1.23089E-4</v>
      </c>
      <c r="H328" cm="1">
        <f t="array" ref="H328">INDEX(Table1[riBAQ 21], MATCH(1, (Table3[[#This Row],[Gene names]:[Gene names]] = Table1[[Gene names]:[Gene names]])*1, 0))</f>
        <v>2.5030499999999998E-4</v>
      </c>
      <c r="I328" cm="1">
        <f t="array" ref="I328">INDEX(Table1[riBAQ 22], MATCH(1, (Table3[[#This Row],[Gene names]:[Gene names]] = Table1[[Gene names]:[Gene names]])*1, 0))</f>
        <v>2.3378E-4</v>
      </c>
      <c r="J328" cm="1">
        <f t="array" ref="J328">INDEX(Table1[riBAQ 23], MATCH(1, (Table3[[#This Row],[Gene names]:[Gene names]] = Table1[[Gene names]:[Gene names]])*1, 0))</f>
        <v>1.55243E-4</v>
      </c>
      <c r="K328" cm="1">
        <f t="array" ref="K328">INDEX(Table1[riBAQ 37], MATCH(1, (Table3[[#This Row],[Gene names]:[Gene names]] = Table1[[Gene names]:[Gene names]])*1, 0))</f>
        <v>0</v>
      </c>
      <c r="L328" cm="1">
        <f t="array" ref="L328">INDEX(Table1[riBAQ 38], MATCH(1, (Table3[[#This Row],[Gene names]:[Gene names]] = Table1[[Gene names]:[Gene names]])*1, 0))</f>
        <v>0</v>
      </c>
      <c r="M328" cm="1">
        <f t="array" ref="M328">INDEX(Table1[riBAQ 39], MATCH(1, (Table3[[#This Row],[Gene names]:[Gene names]] = Table1[[Gene names]:[Gene names]])*1, 0))</f>
        <v>0</v>
      </c>
      <c r="N328" cm="1">
        <f t="array" ref="N328">INDEX(Table1[riBAQ 40], MATCH(1, (Table3[[#This Row],[Gene names]:[Gene names]] = Table1[[Gene names]:[Gene names]])*1, 0))</f>
        <v>2.3432100000000001E-4</v>
      </c>
      <c r="O328" cm="1">
        <f t="array" ref="O328">INDEX(Table1[riBAQ 41], MATCH(1, (Table3[[#This Row],[Gene names]:[Gene names]] = Table1[[Gene names]:[Gene names]])*1, 0))</f>
        <v>0</v>
      </c>
      <c r="P328" cm="1">
        <f t="array" ref="P328">INDEX(Table1[riBAQ 24], MATCH(1, (Table3[[#This Row],[Gene names]:[Gene names]] = Table1[[Gene names]:[Gene names]])*1, 0))</f>
        <v>1.5789800000000001E-4</v>
      </c>
      <c r="Q328" cm="1">
        <f t="array" ref="Q328">INDEX(Table1[riBAQ 25], MATCH(1, (Table3[[#This Row],[Gene names]:[Gene names]] = Table1[[Gene names]:[Gene names]])*1, 0))</f>
        <v>1.5608500000000001E-4</v>
      </c>
      <c r="R328" cm="1">
        <f t="array" ref="R328">INDEX(Table1[riBAQ 26], MATCH(1, (Table3[[#This Row],[Gene names]:[Gene names]] = Table1[[Gene names]:[Gene names]])*1, 0))</f>
        <v>7.4825499999999997E-4</v>
      </c>
      <c r="S328" cm="1">
        <f t="array" ref="S328">INDEX(Table1[riBAQ 42], MATCH(1, (Table3[[#This Row],[Gene names]:[Gene names]] = Table1[[Gene names]:[Gene names]])*1, 0))</f>
        <v>1.55255E-4</v>
      </c>
      <c r="T328" cm="1">
        <f t="array" ref="T328">INDEX(Table1[riBAQ 43], MATCH(1, (Table3[[#This Row],[Gene names]:[Gene names]] = Table1[[Gene names]:[Gene names]])*1, 0))</f>
        <v>2.03396E-4</v>
      </c>
    </row>
    <row r="329" spans="1:20" x14ac:dyDescent="0.25">
      <c r="A329" t="s">
        <v>128</v>
      </c>
      <c r="B329" cm="1">
        <f t="array" ref="B329">INDEX(Table1[riBAQ 17], MATCH(1, (Table3[[#This Row],[Gene names]:[Gene names]] = Table1[[Gene names]:[Gene names]])*1, 0))</f>
        <v>4.0101399999999999E-4</v>
      </c>
      <c r="C329" cm="1">
        <f t="array" ref="C329">INDEX(Table1[riBAQ 18], MATCH(1, (Table3[[#This Row],[Gene names]:[Gene names]] = Table1[[Gene names]:[Gene names]])*1, 0))</f>
        <v>3.6618600000000001E-4</v>
      </c>
      <c r="D329" cm="1">
        <f t="array" ref="D329">INDEX(Table1[riBAQ 35], MATCH(1, (Table3[[#This Row],[Gene names]:[Gene names]] = Table1[[Gene names]:[Gene names]])*1, 0))</f>
        <v>1.96596E-4</v>
      </c>
      <c r="E329" cm="1">
        <f t="array" ref="E329">INDEX(Table1[riBAQ 36], MATCH(1, (Table3[[#This Row],[Gene names]:[Gene names]] = Table1[[Gene names]:[Gene names]])*1, 0))</f>
        <v>1.9609099999999999E-4</v>
      </c>
      <c r="F329" cm="1">
        <f t="array" ref="F329">INDEX(Table1[riBAQ 19], MATCH(1, (Table3[[#This Row],[Gene names]:[Gene names]] = Table1[[Gene names]:[Gene names]])*1, 0))</f>
        <v>5.1503400000000004E-4</v>
      </c>
      <c r="G329" cm="1">
        <f t="array" ref="G329">INDEX(Table1[riBAQ 20], MATCH(1, (Table3[[#This Row],[Gene names]:[Gene names]] = Table1[[Gene names]:[Gene names]])*1, 0))</f>
        <v>5.9551999999999999E-4</v>
      </c>
      <c r="H329" cm="1">
        <f t="array" ref="H329">INDEX(Table1[riBAQ 21], MATCH(1, (Table3[[#This Row],[Gene names]:[Gene names]] = Table1[[Gene names]:[Gene names]])*1, 0))</f>
        <v>4.0050300000000002E-4</v>
      </c>
      <c r="I329" cm="1">
        <f t="array" ref="I329">INDEX(Table1[riBAQ 22], MATCH(1, (Table3[[#This Row],[Gene names]:[Gene names]] = Table1[[Gene names]:[Gene names]])*1, 0))</f>
        <v>3.5154700000000001E-4</v>
      </c>
      <c r="J329" cm="1">
        <f t="array" ref="J329">INDEX(Table1[riBAQ 23], MATCH(1, (Table3[[#This Row],[Gene names]:[Gene names]] = Table1[[Gene names]:[Gene names]])*1, 0))</f>
        <v>5.8664800000000005E-4</v>
      </c>
      <c r="K329" cm="1">
        <f t="array" ref="K329">INDEX(Table1[riBAQ 37], MATCH(1, (Table3[[#This Row],[Gene names]:[Gene names]] = Table1[[Gene names]:[Gene names]])*1, 0))</f>
        <v>4.9951800000000001E-4</v>
      </c>
      <c r="L329" cm="1">
        <f t="array" ref="L329">INDEX(Table1[riBAQ 38], MATCH(1, (Table3[[#This Row],[Gene names]:[Gene names]] = Table1[[Gene names]:[Gene names]])*1, 0))</f>
        <v>4.5273200000000002E-4</v>
      </c>
      <c r="M329" cm="1">
        <f t="array" ref="M329">INDEX(Table1[riBAQ 39], MATCH(1, (Table3[[#This Row],[Gene names]:[Gene names]] = Table1[[Gene names]:[Gene names]])*1, 0))</f>
        <v>7.2597899999999997E-4</v>
      </c>
      <c r="N329" cm="1">
        <f t="array" ref="N329">INDEX(Table1[riBAQ 40], MATCH(1, (Table3[[#This Row],[Gene names]:[Gene names]] = Table1[[Gene names]:[Gene names]])*1, 0))</f>
        <v>6.2600700000000004E-4</v>
      </c>
      <c r="O329" cm="1">
        <f t="array" ref="O329">INDEX(Table1[riBAQ 41], MATCH(1, (Table3[[#This Row],[Gene names]:[Gene names]] = Table1[[Gene names]:[Gene names]])*1, 0))</f>
        <v>2.9703999999999999E-4</v>
      </c>
      <c r="P329" cm="1">
        <f t="array" ref="P329">INDEX(Table1[riBAQ 24], MATCH(1, (Table3[[#This Row],[Gene names]:[Gene names]] = Table1[[Gene names]:[Gene names]])*1, 0))</f>
        <v>1.1086640000000001E-3</v>
      </c>
      <c r="Q329" cm="1">
        <f t="array" ref="Q329">INDEX(Table1[riBAQ 25], MATCH(1, (Table3[[#This Row],[Gene names]:[Gene names]] = Table1[[Gene names]:[Gene names]])*1, 0))</f>
        <v>1.2764740000000001E-3</v>
      </c>
      <c r="R329" cm="1">
        <f t="array" ref="R329">INDEX(Table1[riBAQ 26], MATCH(1, (Table3[[#This Row],[Gene names]:[Gene names]] = Table1[[Gene names]:[Gene names]])*1, 0))</f>
        <v>1.4430420000000001E-3</v>
      </c>
      <c r="S329" cm="1">
        <f t="array" ref="S329">INDEX(Table1[riBAQ 42], MATCH(1, (Table3[[#This Row],[Gene names]:[Gene names]] = Table1[[Gene names]:[Gene names]])*1, 0))</f>
        <v>2.0637110000000002E-3</v>
      </c>
      <c r="T329" cm="1">
        <f t="array" ref="T329">INDEX(Table1[riBAQ 43], MATCH(1, (Table3[[#This Row],[Gene names]:[Gene names]] = Table1[[Gene names]:[Gene names]])*1, 0))</f>
        <v>1.9056909999999999E-3</v>
      </c>
    </row>
    <row r="330" spans="1:20" x14ac:dyDescent="0.25">
      <c r="A330" t="s">
        <v>728</v>
      </c>
      <c r="B330" cm="1">
        <f t="array" ref="B330">INDEX(Table1[riBAQ 17], MATCH(1, (Table3[[#This Row],[Gene names]:[Gene names]] = Table1[[Gene names]:[Gene names]])*1, 0))</f>
        <v>2.62E-5</v>
      </c>
      <c r="C330" cm="1">
        <f t="array" ref="C330">INDEX(Table1[riBAQ 18], MATCH(1, (Table3[[#This Row],[Gene names]:[Gene names]] = Table1[[Gene names]:[Gene names]])*1, 0))</f>
        <v>3.6100000000000003E-5</v>
      </c>
      <c r="D330" cm="1">
        <f t="array" ref="D330">INDEX(Table1[riBAQ 35], MATCH(1, (Table3[[#This Row],[Gene names]:[Gene names]] = Table1[[Gene names]:[Gene names]])*1, 0))</f>
        <v>3.3500000000000001E-5</v>
      </c>
      <c r="E330" cm="1">
        <f t="array" ref="E330">INDEX(Table1[riBAQ 36], MATCH(1, (Table3[[#This Row],[Gene names]:[Gene names]] = Table1[[Gene names]:[Gene names]])*1, 0))</f>
        <v>2.6100000000000001E-5</v>
      </c>
      <c r="F330" cm="1">
        <f t="array" ref="F330">INDEX(Table1[riBAQ 19], MATCH(1, (Table3[[#This Row],[Gene names]:[Gene names]] = Table1[[Gene names]:[Gene names]])*1, 0))</f>
        <v>4.3099999999999997E-5</v>
      </c>
      <c r="G330" cm="1">
        <f t="array" ref="G330">INDEX(Table1[riBAQ 20], MATCH(1, (Table3[[#This Row],[Gene names]:[Gene names]] = Table1[[Gene names]:[Gene names]])*1, 0))</f>
        <v>3.6300000000000001E-5</v>
      </c>
      <c r="H330" cm="1">
        <f t="array" ref="H330">INDEX(Table1[riBAQ 21], MATCH(1, (Table3[[#This Row],[Gene names]:[Gene names]] = Table1[[Gene names]:[Gene names]])*1, 0))</f>
        <v>3.1399999999999998E-5</v>
      </c>
      <c r="I330" cm="1">
        <f t="array" ref="I330">INDEX(Table1[riBAQ 22], MATCH(1, (Table3[[#This Row],[Gene names]:[Gene names]] = Table1[[Gene names]:[Gene names]])*1, 0))</f>
        <v>4.1499999999999999E-5</v>
      </c>
      <c r="J330" cm="1">
        <f t="array" ref="J330">INDEX(Table1[riBAQ 23], MATCH(1, (Table3[[#This Row],[Gene names]:[Gene names]] = Table1[[Gene names]:[Gene names]])*1, 0))</f>
        <v>3.1600000000000002E-5</v>
      </c>
      <c r="K330" cm="1">
        <f t="array" ref="K330">INDEX(Table1[riBAQ 37], MATCH(1, (Table3[[#This Row],[Gene names]:[Gene names]] = Table1[[Gene names]:[Gene names]])*1, 0))</f>
        <v>2.6100000000000001E-5</v>
      </c>
      <c r="L330" cm="1">
        <f t="array" ref="L330">INDEX(Table1[riBAQ 38], MATCH(1, (Table3[[#This Row],[Gene names]:[Gene names]] = Table1[[Gene names]:[Gene names]])*1, 0))</f>
        <v>2.0000000000000002E-5</v>
      </c>
      <c r="M330" cm="1">
        <f t="array" ref="M330">INDEX(Table1[riBAQ 39], MATCH(1, (Table3[[#This Row],[Gene names]:[Gene names]] = Table1[[Gene names]:[Gene names]])*1, 0))</f>
        <v>2.2099999999999998E-5</v>
      </c>
      <c r="N330" cm="1">
        <f t="array" ref="N330">INDEX(Table1[riBAQ 40], MATCH(1, (Table3[[#This Row],[Gene names]:[Gene names]] = Table1[[Gene names]:[Gene names]])*1, 0))</f>
        <v>3.68E-5</v>
      </c>
      <c r="O330" cm="1">
        <f t="array" ref="O330">INDEX(Table1[riBAQ 41], MATCH(1, (Table3[[#This Row],[Gene names]:[Gene names]] = Table1[[Gene names]:[Gene names]])*1, 0))</f>
        <v>3.29E-5</v>
      </c>
      <c r="P330" cm="1">
        <f t="array" ref="P330">INDEX(Table1[riBAQ 24], MATCH(1, (Table3[[#This Row],[Gene names]:[Gene names]] = Table1[[Gene names]:[Gene names]])*1, 0))</f>
        <v>2.4300000000000001E-5</v>
      </c>
      <c r="Q330" cm="1">
        <f t="array" ref="Q330">INDEX(Table1[riBAQ 25], MATCH(1, (Table3[[#This Row],[Gene names]:[Gene names]] = Table1[[Gene names]:[Gene names]])*1, 0))</f>
        <v>1.5099999999999999E-5</v>
      </c>
      <c r="R330" cm="1">
        <f t="array" ref="R330">INDEX(Table1[riBAQ 26], MATCH(1, (Table3[[#This Row],[Gene names]:[Gene names]] = Table1[[Gene names]:[Gene names]])*1, 0))</f>
        <v>1.5400000000000002E-5</v>
      </c>
      <c r="S330" cm="1">
        <f t="array" ref="S330">INDEX(Table1[riBAQ 42], MATCH(1, (Table3[[#This Row],[Gene names]:[Gene names]] = Table1[[Gene names]:[Gene names]])*1, 0))</f>
        <v>6.3999999999999997E-6</v>
      </c>
      <c r="T330" cm="1">
        <f t="array" ref="T330">INDEX(Table1[riBAQ 43], MATCH(1, (Table3[[#This Row],[Gene names]:[Gene names]] = Table1[[Gene names]:[Gene names]])*1, 0))</f>
        <v>1.84E-5</v>
      </c>
    </row>
    <row r="331" spans="1:20" x14ac:dyDescent="0.25">
      <c r="A331" t="s">
        <v>129</v>
      </c>
      <c r="B331" cm="1">
        <f t="array" ref="B331">INDEX(Table1[riBAQ 17], MATCH(1, (Table3[[#This Row],[Gene names]:[Gene names]] = Table1[[Gene names]:[Gene names]])*1, 0))</f>
        <v>3.6637240000000001E-3</v>
      </c>
      <c r="C331" cm="1">
        <f t="array" ref="C331">INDEX(Table1[riBAQ 18], MATCH(1, (Table3[[#This Row],[Gene names]:[Gene names]] = Table1[[Gene names]:[Gene names]])*1, 0))</f>
        <v>2.0132050000000001E-3</v>
      </c>
      <c r="D331" cm="1">
        <f t="array" ref="D331">INDEX(Table1[riBAQ 35], MATCH(1, (Table3[[#This Row],[Gene names]:[Gene names]] = Table1[[Gene names]:[Gene names]])*1, 0))</f>
        <v>1.8204440000000001E-3</v>
      </c>
      <c r="E331" cm="1">
        <f t="array" ref="E331">INDEX(Table1[riBAQ 36], MATCH(1, (Table3[[#This Row],[Gene names]:[Gene names]] = Table1[[Gene names]:[Gene names]])*1, 0))</f>
        <v>1.9878890000000001E-3</v>
      </c>
      <c r="F331" cm="1">
        <f t="array" ref="F331">INDEX(Table1[riBAQ 19], MATCH(1, (Table3[[#This Row],[Gene names]:[Gene names]] = Table1[[Gene names]:[Gene names]])*1, 0))</f>
        <v>6.4009949999999996E-3</v>
      </c>
      <c r="G331" cm="1">
        <f t="array" ref="G331">INDEX(Table1[riBAQ 20], MATCH(1, (Table3[[#This Row],[Gene names]:[Gene names]] = Table1[[Gene names]:[Gene names]])*1, 0))</f>
        <v>5.4082920000000003E-3</v>
      </c>
      <c r="H331" cm="1">
        <f t="array" ref="H331">INDEX(Table1[riBAQ 21], MATCH(1, (Table3[[#This Row],[Gene names]:[Gene names]] = Table1[[Gene names]:[Gene names]])*1, 0))</f>
        <v>2.573999E-3</v>
      </c>
      <c r="I331" cm="1">
        <f t="array" ref="I331">INDEX(Table1[riBAQ 22], MATCH(1, (Table3[[#This Row],[Gene names]:[Gene names]] = Table1[[Gene names]:[Gene names]])*1, 0))</f>
        <v>1.895653E-3</v>
      </c>
      <c r="J331" cm="1">
        <f t="array" ref="J331">INDEX(Table1[riBAQ 23], MATCH(1, (Table3[[#This Row],[Gene names]:[Gene names]] = Table1[[Gene names]:[Gene names]])*1, 0))</f>
        <v>4.2016179999999998E-3</v>
      </c>
      <c r="K331" cm="1">
        <f t="array" ref="K331">INDEX(Table1[riBAQ 37], MATCH(1, (Table3[[#This Row],[Gene names]:[Gene names]] = Table1[[Gene names]:[Gene names]])*1, 0))</f>
        <v>3.5440900000000002E-3</v>
      </c>
      <c r="L331" cm="1">
        <f t="array" ref="L331">INDEX(Table1[riBAQ 38], MATCH(1, (Table3[[#This Row],[Gene names]:[Gene names]] = Table1[[Gene names]:[Gene names]])*1, 0))</f>
        <v>3.146079E-3</v>
      </c>
      <c r="M331" cm="1">
        <f t="array" ref="M331">INDEX(Table1[riBAQ 39], MATCH(1, (Table3[[#This Row],[Gene names]:[Gene names]] = Table1[[Gene names]:[Gene names]])*1, 0))</f>
        <v>5.0441380000000001E-3</v>
      </c>
      <c r="N331" cm="1">
        <f t="array" ref="N331">INDEX(Table1[riBAQ 40], MATCH(1, (Table3[[#This Row],[Gene names]:[Gene names]] = Table1[[Gene names]:[Gene names]])*1, 0))</f>
        <v>3.1475399999999999E-3</v>
      </c>
      <c r="O331" cm="1">
        <f t="array" ref="O331">INDEX(Table1[riBAQ 41], MATCH(1, (Table3[[#This Row],[Gene names]:[Gene names]] = Table1[[Gene names]:[Gene names]])*1, 0))</f>
        <v>3.0224689999999999E-3</v>
      </c>
      <c r="P331" cm="1">
        <f t="array" ref="P331">INDEX(Table1[riBAQ 24], MATCH(1, (Table3[[#This Row],[Gene names]:[Gene names]] = Table1[[Gene names]:[Gene names]])*1, 0))</f>
        <v>8.9119149999999994E-3</v>
      </c>
      <c r="Q331" cm="1">
        <f t="array" ref="Q331">INDEX(Table1[riBAQ 25], MATCH(1, (Table3[[#This Row],[Gene names]:[Gene names]] = Table1[[Gene names]:[Gene names]])*1, 0))</f>
        <v>8.9933170000000007E-3</v>
      </c>
      <c r="R331" cm="1">
        <f t="array" ref="R331">INDEX(Table1[riBAQ 26], MATCH(1, (Table3[[#This Row],[Gene names]:[Gene names]] = Table1[[Gene names]:[Gene names]])*1, 0))</f>
        <v>9.7103299999999997E-3</v>
      </c>
      <c r="S331" cm="1">
        <f t="array" ref="S331">INDEX(Table1[riBAQ 42], MATCH(1, (Table3[[#This Row],[Gene names]:[Gene names]] = Table1[[Gene names]:[Gene names]])*1, 0))</f>
        <v>1.2357778999999999E-2</v>
      </c>
      <c r="T331" cm="1">
        <f t="array" ref="T331">INDEX(Table1[riBAQ 43], MATCH(1, (Table3[[#This Row],[Gene names]:[Gene names]] = Table1[[Gene names]:[Gene names]])*1, 0))</f>
        <v>9.9375160000000004E-3</v>
      </c>
    </row>
    <row r="332" spans="1:20" x14ac:dyDescent="0.25">
      <c r="A332" t="s">
        <v>1225</v>
      </c>
      <c r="B332" cm="1">
        <f t="array" ref="B332">INDEX(Table1[riBAQ 17], MATCH(1, (Table3[[#This Row],[Gene names]:[Gene names]] = Table1[[Gene names]:[Gene names]])*1, 0))</f>
        <v>3.2499999999999997E-5</v>
      </c>
      <c r="C332" cm="1">
        <f t="array" ref="C332">INDEX(Table1[riBAQ 18], MATCH(1, (Table3[[#This Row],[Gene names]:[Gene names]] = Table1[[Gene names]:[Gene names]])*1, 0))</f>
        <v>0</v>
      </c>
      <c r="D332" cm="1">
        <f t="array" ref="D332">INDEX(Table1[riBAQ 35], MATCH(1, (Table3[[#This Row],[Gene names]:[Gene names]] = Table1[[Gene names]:[Gene names]])*1, 0))</f>
        <v>0</v>
      </c>
      <c r="E332" cm="1">
        <f t="array" ref="E332">INDEX(Table1[riBAQ 36], MATCH(1, (Table3[[#This Row],[Gene names]:[Gene names]] = Table1[[Gene names]:[Gene names]])*1, 0))</f>
        <v>0</v>
      </c>
      <c r="F332" cm="1">
        <f t="array" ref="F332">INDEX(Table1[riBAQ 19], MATCH(1, (Table3[[#This Row],[Gene names]:[Gene names]] = Table1[[Gene names]:[Gene names]])*1, 0))</f>
        <v>5.7200000000000001E-5</v>
      </c>
      <c r="G332" cm="1">
        <f t="array" ref="G332">INDEX(Table1[riBAQ 20], MATCH(1, (Table3[[#This Row],[Gene names]:[Gene names]] = Table1[[Gene names]:[Gene names]])*1, 0))</f>
        <v>8.1199999999999995E-5</v>
      </c>
      <c r="H332" cm="1">
        <f t="array" ref="H332">INDEX(Table1[riBAQ 21], MATCH(1, (Table3[[#This Row],[Gene names]:[Gene names]] = Table1[[Gene names]:[Gene names]])*1, 0))</f>
        <v>3.8500000000000001E-5</v>
      </c>
      <c r="I332" cm="1">
        <f t="array" ref="I332">INDEX(Table1[riBAQ 22], MATCH(1, (Table3[[#This Row],[Gene names]:[Gene names]] = Table1[[Gene names]:[Gene names]])*1, 0))</f>
        <v>5.38E-5</v>
      </c>
      <c r="J332" cm="1">
        <f t="array" ref="J332">INDEX(Table1[riBAQ 23], MATCH(1, (Table3[[#This Row],[Gene names]:[Gene names]] = Table1[[Gene names]:[Gene names]])*1, 0))</f>
        <v>3.79E-5</v>
      </c>
      <c r="K332" cm="1">
        <f t="array" ref="K332">INDEX(Table1[riBAQ 37], MATCH(1, (Table3[[#This Row],[Gene names]:[Gene names]] = Table1[[Gene names]:[Gene names]])*1, 0))</f>
        <v>5.7299999999999997E-5</v>
      </c>
      <c r="L332" cm="1">
        <f t="array" ref="L332">INDEX(Table1[riBAQ 38], MATCH(1, (Table3[[#This Row],[Gene names]:[Gene names]] = Table1[[Gene names]:[Gene names]])*1, 0))</f>
        <v>1.6900000000000001E-5</v>
      </c>
      <c r="M332" cm="1">
        <f t="array" ref="M332">INDEX(Table1[riBAQ 39], MATCH(1, (Table3[[#This Row],[Gene names]:[Gene names]] = Table1[[Gene names]:[Gene names]])*1, 0))</f>
        <v>2.72E-5</v>
      </c>
      <c r="N332" cm="1">
        <f t="array" ref="N332">INDEX(Table1[riBAQ 40], MATCH(1, (Table3[[#This Row],[Gene names]:[Gene names]] = Table1[[Gene names]:[Gene names]])*1, 0))</f>
        <v>0</v>
      </c>
      <c r="O332" cm="1">
        <f t="array" ref="O332">INDEX(Table1[riBAQ 41], MATCH(1, (Table3[[#This Row],[Gene names]:[Gene names]] = Table1[[Gene names]:[Gene names]])*1, 0))</f>
        <v>0</v>
      </c>
      <c r="P332" cm="1">
        <f t="array" ref="P332">INDEX(Table1[riBAQ 24], MATCH(1, (Table3[[#This Row],[Gene names]:[Gene names]] = Table1[[Gene names]:[Gene names]])*1, 0))</f>
        <v>1.09968E-4</v>
      </c>
      <c r="Q332" cm="1">
        <f t="array" ref="Q332">INDEX(Table1[riBAQ 25], MATCH(1, (Table3[[#This Row],[Gene names]:[Gene names]] = Table1[[Gene names]:[Gene names]])*1, 0))</f>
        <v>3.6204400000000001E-4</v>
      </c>
      <c r="R332" cm="1">
        <f t="array" ref="R332">INDEX(Table1[riBAQ 26], MATCH(1, (Table3[[#This Row],[Gene names]:[Gene names]] = Table1[[Gene names]:[Gene names]])*1, 0))</f>
        <v>1.93921E-4</v>
      </c>
      <c r="S332" cm="1">
        <f t="array" ref="S332">INDEX(Table1[riBAQ 42], MATCH(1, (Table3[[#This Row],[Gene names]:[Gene names]] = Table1[[Gene names]:[Gene names]])*1, 0))</f>
        <v>1.20005E-4</v>
      </c>
      <c r="T332" cm="1">
        <f t="array" ref="T332">INDEX(Table1[riBAQ 43], MATCH(1, (Table3[[#This Row],[Gene names]:[Gene names]] = Table1[[Gene names]:[Gene names]])*1, 0))</f>
        <v>4.58381E-4</v>
      </c>
    </row>
    <row r="333" spans="1:20" x14ac:dyDescent="0.25">
      <c r="A333" t="s">
        <v>180</v>
      </c>
      <c r="B333" cm="1">
        <f t="array" ref="B333">INDEX(Table1[riBAQ 17], MATCH(1, (Table3[[#This Row],[Gene names]:[Gene names]] = Table1[[Gene names]:[Gene names]])*1, 0))</f>
        <v>1.5213999999999999E-4</v>
      </c>
      <c r="C333" cm="1">
        <f t="array" ref="C333">INDEX(Table1[riBAQ 18], MATCH(1, (Table3[[#This Row],[Gene names]:[Gene names]] = Table1[[Gene names]:[Gene names]])*1, 0))</f>
        <v>6.9999999999999994E-5</v>
      </c>
      <c r="D333" cm="1">
        <f t="array" ref="D333">INDEX(Table1[riBAQ 35], MATCH(1, (Table3[[#This Row],[Gene names]:[Gene names]] = Table1[[Gene names]:[Gene names]])*1, 0))</f>
        <v>4.0099999999999999E-5</v>
      </c>
      <c r="E333" cm="1">
        <f t="array" ref="E333">INDEX(Table1[riBAQ 36], MATCH(1, (Table3[[#This Row],[Gene names]:[Gene names]] = Table1[[Gene names]:[Gene names]])*1, 0))</f>
        <v>2.73E-5</v>
      </c>
      <c r="F333" cm="1">
        <f t="array" ref="F333">INDEX(Table1[riBAQ 19], MATCH(1, (Table3[[#This Row],[Gene names]:[Gene names]] = Table1[[Gene names]:[Gene names]])*1, 0))</f>
        <v>1.96734E-4</v>
      </c>
      <c r="G333" cm="1">
        <f t="array" ref="G333">INDEX(Table1[riBAQ 20], MATCH(1, (Table3[[#This Row],[Gene names]:[Gene names]] = Table1[[Gene names]:[Gene names]])*1, 0))</f>
        <v>1.9047000000000001E-4</v>
      </c>
      <c r="H333" cm="1">
        <f t="array" ref="H333">INDEX(Table1[riBAQ 21], MATCH(1, (Table3[[#This Row],[Gene names]:[Gene names]] = Table1[[Gene names]:[Gene names]])*1, 0))</f>
        <v>2.00526E-4</v>
      </c>
      <c r="I333" cm="1">
        <f t="array" ref="I333">INDEX(Table1[riBAQ 22], MATCH(1, (Table3[[#This Row],[Gene names]:[Gene names]] = Table1[[Gene names]:[Gene names]])*1, 0))</f>
        <v>1.59741E-4</v>
      </c>
      <c r="J333" cm="1">
        <f t="array" ref="J333">INDEX(Table1[riBAQ 23], MATCH(1, (Table3[[#This Row],[Gene names]:[Gene names]] = Table1[[Gene names]:[Gene names]])*1, 0))</f>
        <v>1.7195900000000001E-4</v>
      </c>
      <c r="K333" cm="1">
        <f t="array" ref="K333">INDEX(Table1[riBAQ 37], MATCH(1, (Table3[[#This Row],[Gene names]:[Gene names]] = Table1[[Gene names]:[Gene names]])*1, 0))</f>
        <v>9.2800000000000006E-5</v>
      </c>
      <c r="L333" cm="1">
        <f t="array" ref="L333">INDEX(Table1[riBAQ 38], MATCH(1, (Table3[[#This Row],[Gene names]:[Gene names]] = Table1[[Gene names]:[Gene names]])*1, 0))</f>
        <v>6.0000000000000002E-5</v>
      </c>
      <c r="M333" cm="1">
        <f t="array" ref="M333">INDEX(Table1[riBAQ 39], MATCH(1, (Table3[[#This Row],[Gene names]:[Gene names]] = Table1[[Gene names]:[Gene names]])*1, 0))</f>
        <v>2.18173E-4</v>
      </c>
      <c r="N333" cm="1">
        <f t="array" ref="N333">INDEX(Table1[riBAQ 40], MATCH(1, (Table3[[#This Row],[Gene names]:[Gene names]] = Table1[[Gene names]:[Gene names]])*1, 0))</f>
        <v>1.9299000000000001E-4</v>
      </c>
      <c r="O333" cm="1">
        <f t="array" ref="O333">INDEX(Table1[riBAQ 41], MATCH(1, (Table3[[#This Row],[Gene names]:[Gene names]] = Table1[[Gene names]:[Gene names]])*1, 0))</f>
        <v>1.04722E-4</v>
      </c>
      <c r="P333" cm="1">
        <f t="array" ref="P333">INDEX(Table1[riBAQ 24], MATCH(1, (Table3[[#This Row],[Gene names]:[Gene names]] = Table1[[Gene names]:[Gene names]])*1, 0))</f>
        <v>3.3222599999999997E-4</v>
      </c>
      <c r="Q333" cm="1">
        <f t="array" ref="Q333">INDEX(Table1[riBAQ 25], MATCH(1, (Table3[[#This Row],[Gene names]:[Gene names]] = Table1[[Gene names]:[Gene names]])*1, 0))</f>
        <v>8.8611699999999996E-4</v>
      </c>
      <c r="R333" cm="1">
        <f t="array" ref="R333">INDEX(Table1[riBAQ 26], MATCH(1, (Table3[[#This Row],[Gene names]:[Gene names]] = Table1[[Gene names]:[Gene names]])*1, 0))</f>
        <v>5.5099000000000001E-4</v>
      </c>
      <c r="S333" cm="1">
        <f t="array" ref="S333">INDEX(Table1[riBAQ 42], MATCH(1, (Table3[[#This Row],[Gene names]:[Gene names]] = Table1[[Gene names]:[Gene names]])*1, 0))</f>
        <v>2.71356E-4</v>
      </c>
      <c r="T333" cm="1">
        <f t="array" ref="T333">INDEX(Table1[riBAQ 43], MATCH(1, (Table3[[#This Row],[Gene names]:[Gene names]] = Table1[[Gene names]:[Gene names]])*1, 0))</f>
        <v>6.9893699999999995E-4</v>
      </c>
    </row>
    <row r="334" spans="1:20" x14ac:dyDescent="0.25">
      <c r="A334" t="s">
        <v>1017</v>
      </c>
      <c r="B334" cm="1">
        <f t="array" ref="B334">INDEX(Table1[riBAQ 17], MATCH(1, (Table3[[#This Row],[Gene names]:[Gene names]] = Table1[[Gene names]:[Gene names]])*1, 0))</f>
        <v>3.96E-5</v>
      </c>
      <c r="C334" cm="1">
        <f t="array" ref="C334">INDEX(Table1[riBAQ 18], MATCH(1, (Table3[[#This Row],[Gene names]:[Gene names]] = Table1[[Gene names]:[Gene names]])*1, 0))</f>
        <v>0</v>
      </c>
      <c r="D334" cm="1">
        <f t="array" ref="D334">INDEX(Table1[riBAQ 35], MATCH(1, (Table3[[#This Row],[Gene names]:[Gene names]] = Table1[[Gene names]:[Gene names]])*1, 0))</f>
        <v>0</v>
      </c>
      <c r="E334" cm="1">
        <f t="array" ref="E334">INDEX(Table1[riBAQ 36], MATCH(1, (Table3[[#This Row],[Gene names]:[Gene names]] = Table1[[Gene names]:[Gene names]])*1, 0))</f>
        <v>0</v>
      </c>
      <c r="F334" cm="1">
        <f t="array" ref="F334">INDEX(Table1[riBAQ 19], MATCH(1, (Table3[[#This Row],[Gene names]:[Gene names]] = Table1[[Gene names]:[Gene names]])*1, 0))</f>
        <v>3.65E-5</v>
      </c>
      <c r="G334" cm="1">
        <f t="array" ref="G334">INDEX(Table1[riBAQ 20], MATCH(1, (Table3[[#This Row],[Gene names]:[Gene names]] = Table1[[Gene names]:[Gene names]])*1, 0))</f>
        <v>0</v>
      </c>
      <c r="H334" cm="1">
        <f t="array" ref="H334">INDEX(Table1[riBAQ 21], MATCH(1, (Table3[[#This Row],[Gene names]:[Gene names]] = Table1[[Gene names]:[Gene names]])*1, 0))</f>
        <v>0</v>
      </c>
      <c r="I334" cm="1">
        <f t="array" ref="I334">INDEX(Table1[riBAQ 22], MATCH(1, (Table3[[#This Row],[Gene names]:[Gene names]] = Table1[[Gene names]:[Gene names]])*1, 0))</f>
        <v>0</v>
      </c>
      <c r="J334" cm="1">
        <f t="array" ref="J334">INDEX(Table1[riBAQ 23], MATCH(1, (Table3[[#This Row],[Gene names]:[Gene names]] = Table1[[Gene names]:[Gene names]])*1, 0))</f>
        <v>0</v>
      </c>
      <c r="K334" cm="1">
        <f t="array" ref="K334">INDEX(Table1[riBAQ 37], MATCH(1, (Table3[[#This Row],[Gene names]:[Gene names]] = Table1[[Gene names]:[Gene names]])*1, 0))</f>
        <v>0</v>
      </c>
      <c r="L334" cm="1">
        <f t="array" ref="L334">INDEX(Table1[riBAQ 38], MATCH(1, (Table3[[#This Row],[Gene names]:[Gene names]] = Table1[[Gene names]:[Gene names]])*1, 0))</f>
        <v>2.4600000000000002E-5</v>
      </c>
      <c r="M334" cm="1">
        <f t="array" ref="M334">INDEX(Table1[riBAQ 39], MATCH(1, (Table3[[#This Row],[Gene names]:[Gene names]] = Table1[[Gene names]:[Gene names]])*1, 0))</f>
        <v>3.3200000000000001E-5</v>
      </c>
      <c r="N334" cm="1">
        <f t="array" ref="N334">INDEX(Table1[riBAQ 40], MATCH(1, (Table3[[#This Row],[Gene names]:[Gene names]] = Table1[[Gene names]:[Gene names]])*1, 0))</f>
        <v>4.1300000000000001E-5</v>
      </c>
      <c r="O334" cm="1">
        <f t="array" ref="O334">INDEX(Table1[riBAQ 41], MATCH(1, (Table3[[#This Row],[Gene names]:[Gene names]] = Table1[[Gene names]:[Gene names]])*1, 0))</f>
        <v>3.9700000000000003E-5</v>
      </c>
      <c r="P334" cm="1">
        <f t="array" ref="P334">INDEX(Table1[riBAQ 24], MATCH(1, (Table3[[#This Row],[Gene names]:[Gene names]] = Table1[[Gene names]:[Gene names]])*1, 0))</f>
        <v>7.1500000000000003E-5</v>
      </c>
      <c r="Q334" cm="1">
        <f t="array" ref="Q334">INDEX(Table1[riBAQ 25], MATCH(1, (Table3[[#This Row],[Gene names]:[Gene names]] = Table1[[Gene names]:[Gene names]])*1, 0))</f>
        <v>1.2387800000000001E-4</v>
      </c>
      <c r="R334" cm="1">
        <f t="array" ref="R334">INDEX(Table1[riBAQ 26], MATCH(1, (Table3[[#This Row],[Gene names]:[Gene names]] = Table1[[Gene names]:[Gene names]])*1, 0))</f>
        <v>1.01146E-4</v>
      </c>
      <c r="S334" cm="1">
        <f t="array" ref="S334">INDEX(Table1[riBAQ 42], MATCH(1, (Table3[[#This Row],[Gene names]:[Gene names]] = Table1[[Gene names]:[Gene names]])*1, 0))</f>
        <v>7.4400000000000006E-5</v>
      </c>
      <c r="T334" cm="1">
        <f t="array" ref="T334">INDEX(Table1[riBAQ 43], MATCH(1, (Table3[[#This Row],[Gene names]:[Gene names]] = Table1[[Gene names]:[Gene names]])*1, 0))</f>
        <v>1.2968300000000001E-4</v>
      </c>
    </row>
    <row r="335" spans="1:20" x14ac:dyDescent="0.25">
      <c r="A335" t="s">
        <v>1022</v>
      </c>
      <c r="B335" cm="1">
        <f t="array" ref="B335">INDEX(Table1[riBAQ 17], MATCH(1, (Table3[[#This Row],[Gene names]:[Gene names]] = Table1[[Gene names]:[Gene names]])*1, 0))</f>
        <v>5.5928800000000002E-4</v>
      </c>
      <c r="C335" cm="1">
        <f t="array" ref="C335">INDEX(Table1[riBAQ 18], MATCH(1, (Table3[[#This Row],[Gene names]:[Gene names]] = Table1[[Gene names]:[Gene names]])*1, 0))</f>
        <v>4.8983100000000003E-4</v>
      </c>
      <c r="D335" cm="1">
        <f t="array" ref="D335">INDEX(Table1[riBAQ 35], MATCH(1, (Table3[[#This Row],[Gene names]:[Gene names]] = Table1[[Gene names]:[Gene names]])*1, 0))</f>
        <v>3.6925100000000002E-4</v>
      </c>
      <c r="E335" cm="1">
        <f t="array" ref="E335">INDEX(Table1[riBAQ 36], MATCH(1, (Table3[[#This Row],[Gene names]:[Gene names]] = Table1[[Gene names]:[Gene names]])*1, 0))</f>
        <v>3.3043500000000002E-4</v>
      </c>
      <c r="F335" cm="1">
        <f t="array" ref="F335">INDEX(Table1[riBAQ 19], MATCH(1, (Table3[[#This Row],[Gene names]:[Gene names]] = Table1[[Gene names]:[Gene names]])*1, 0))</f>
        <v>7.6867199999999998E-4</v>
      </c>
      <c r="G335" cm="1">
        <f t="array" ref="G335">INDEX(Table1[riBAQ 20], MATCH(1, (Table3[[#This Row],[Gene names]:[Gene names]] = Table1[[Gene names]:[Gene names]])*1, 0))</f>
        <v>6.8340299999999996E-4</v>
      </c>
      <c r="H335" cm="1">
        <f t="array" ref="H335">INDEX(Table1[riBAQ 21], MATCH(1, (Table3[[#This Row],[Gene names]:[Gene names]] = Table1[[Gene names]:[Gene names]])*1, 0))</f>
        <v>6.0756500000000001E-4</v>
      </c>
      <c r="I335" cm="1">
        <f t="array" ref="I335">INDEX(Table1[riBAQ 22], MATCH(1, (Table3[[#This Row],[Gene names]:[Gene names]] = Table1[[Gene names]:[Gene names]])*1, 0))</f>
        <v>7.2150100000000004E-4</v>
      </c>
      <c r="J335" cm="1">
        <f t="array" ref="J335">INDEX(Table1[riBAQ 23], MATCH(1, (Table3[[#This Row],[Gene names]:[Gene names]] = Table1[[Gene names]:[Gene names]])*1, 0))</f>
        <v>7.5489700000000003E-4</v>
      </c>
      <c r="K335" cm="1">
        <f t="array" ref="K335">INDEX(Table1[riBAQ 37], MATCH(1, (Table3[[#This Row],[Gene names]:[Gene names]] = Table1[[Gene names]:[Gene names]])*1, 0))</f>
        <v>4.7193300000000001E-4</v>
      </c>
      <c r="L335" cm="1">
        <f t="array" ref="L335">INDEX(Table1[riBAQ 38], MATCH(1, (Table3[[#This Row],[Gene names]:[Gene names]] = Table1[[Gene names]:[Gene names]])*1, 0))</f>
        <v>5.4203400000000005E-4</v>
      </c>
      <c r="M335" cm="1">
        <f t="array" ref="M335">INDEX(Table1[riBAQ 39], MATCH(1, (Table3[[#This Row],[Gene names]:[Gene names]] = Table1[[Gene names]:[Gene names]])*1, 0))</f>
        <v>6.8398799999999996E-4</v>
      </c>
      <c r="N335" cm="1">
        <f t="array" ref="N335">INDEX(Table1[riBAQ 40], MATCH(1, (Table3[[#This Row],[Gene names]:[Gene names]] = Table1[[Gene names]:[Gene names]])*1, 0))</f>
        <v>7.70898E-4</v>
      </c>
      <c r="O335" cm="1">
        <f t="array" ref="O335">INDEX(Table1[riBAQ 41], MATCH(1, (Table3[[#This Row],[Gene names]:[Gene names]] = Table1[[Gene names]:[Gene names]])*1, 0))</f>
        <v>5.6957899999999996E-4</v>
      </c>
      <c r="P335" cm="1">
        <f t="array" ref="P335">INDEX(Table1[riBAQ 24], MATCH(1, (Table3[[#This Row],[Gene names]:[Gene names]] = Table1[[Gene names]:[Gene names]])*1, 0))</f>
        <v>1.041145E-3</v>
      </c>
      <c r="Q335" cm="1">
        <f t="array" ref="Q335">INDEX(Table1[riBAQ 25], MATCH(1, (Table3[[#This Row],[Gene names]:[Gene names]] = Table1[[Gene names]:[Gene names]])*1, 0))</f>
        <v>1.456857E-3</v>
      </c>
      <c r="R335" cm="1">
        <f t="array" ref="R335">INDEX(Table1[riBAQ 26], MATCH(1, (Table3[[#This Row],[Gene names]:[Gene names]] = Table1[[Gene names]:[Gene names]])*1, 0))</f>
        <v>1.32968E-3</v>
      </c>
      <c r="S335" cm="1">
        <f t="array" ref="S335">INDEX(Table1[riBAQ 42], MATCH(1, (Table3[[#This Row],[Gene names]:[Gene names]] = Table1[[Gene names]:[Gene names]])*1, 0))</f>
        <v>1.933139E-3</v>
      </c>
      <c r="T335" cm="1">
        <f t="array" ref="T335">INDEX(Table1[riBAQ 43], MATCH(1, (Table3[[#This Row],[Gene names]:[Gene names]] = Table1[[Gene names]:[Gene names]])*1, 0))</f>
        <v>1.947308E-3</v>
      </c>
    </row>
    <row r="336" spans="1:20" x14ac:dyDescent="0.25">
      <c r="A336" t="s">
        <v>1205</v>
      </c>
      <c r="B336" cm="1">
        <f t="array" ref="B336">INDEX(Table1[riBAQ 17], MATCH(1, (Table3[[#This Row],[Gene names]:[Gene names]] = Table1[[Gene names]:[Gene names]])*1, 0))</f>
        <v>9.2600000000000001E-5</v>
      </c>
      <c r="C336" cm="1">
        <f t="array" ref="C336">INDEX(Table1[riBAQ 18], MATCH(1, (Table3[[#This Row],[Gene names]:[Gene names]] = Table1[[Gene names]:[Gene names]])*1, 0))</f>
        <v>1.4233E-4</v>
      </c>
      <c r="D336" cm="1">
        <f t="array" ref="D336">INDEX(Table1[riBAQ 35], MATCH(1, (Table3[[#This Row],[Gene names]:[Gene names]] = Table1[[Gene names]:[Gene names]])*1, 0))</f>
        <v>1.11655E-4</v>
      </c>
      <c r="E336" cm="1">
        <f t="array" ref="E336">INDEX(Table1[riBAQ 36], MATCH(1, (Table3[[#This Row],[Gene names]:[Gene names]] = Table1[[Gene names]:[Gene names]])*1, 0))</f>
        <v>1.1779500000000001E-4</v>
      </c>
      <c r="F336" cm="1">
        <f t="array" ref="F336">INDEX(Table1[riBAQ 19], MATCH(1, (Table3[[#This Row],[Gene names]:[Gene names]] = Table1[[Gene names]:[Gene names]])*1, 0))</f>
        <v>8.8200000000000003E-5</v>
      </c>
      <c r="G336" cm="1">
        <f t="array" ref="G336">INDEX(Table1[riBAQ 20], MATCH(1, (Table3[[#This Row],[Gene names]:[Gene names]] = Table1[[Gene names]:[Gene names]])*1, 0))</f>
        <v>1.3745200000000001E-4</v>
      </c>
      <c r="H336" cm="1">
        <f t="array" ref="H336">INDEX(Table1[riBAQ 21], MATCH(1, (Table3[[#This Row],[Gene names]:[Gene names]] = Table1[[Gene names]:[Gene names]])*1, 0))</f>
        <v>8.6399999999999999E-5</v>
      </c>
      <c r="I336" cm="1">
        <f t="array" ref="I336">INDEX(Table1[riBAQ 22], MATCH(1, (Table3[[#This Row],[Gene names]:[Gene names]] = Table1[[Gene names]:[Gene names]])*1, 0))</f>
        <v>1.3240100000000001E-4</v>
      </c>
      <c r="J336" cm="1">
        <f t="array" ref="J336">INDEX(Table1[riBAQ 23], MATCH(1, (Table3[[#This Row],[Gene names]:[Gene names]] = Table1[[Gene names]:[Gene names]])*1, 0))</f>
        <v>1.23122E-4</v>
      </c>
      <c r="K336" cm="1">
        <f t="array" ref="K336">INDEX(Table1[riBAQ 37], MATCH(1, (Table3[[#This Row],[Gene names]:[Gene names]] = Table1[[Gene names]:[Gene names]])*1, 0))</f>
        <v>1.3460699999999999E-4</v>
      </c>
      <c r="L336" cm="1">
        <f t="array" ref="L336">INDEX(Table1[riBAQ 38], MATCH(1, (Table3[[#This Row],[Gene names]:[Gene names]] = Table1[[Gene names]:[Gene names]])*1, 0))</f>
        <v>1.18415E-4</v>
      </c>
      <c r="M336" cm="1">
        <f t="array" ref="M336">INDEX(Table1[riBAQ 39], MATCH(1, (Table3[[#This Row],[Gene names]:[Gene names]] = Table1[[Gene names]:[Gene names]])*1, 0))</f>
        <v>6.6099999999999994E-5</v>
      </c>
      <c r="N336" cm="1">
        <f t="array" ref="N336">INDEX(Table1[riBAQ 40], MATCH(1, (Table3[[#This Row],[Gene names]:[Gene names]] = Table1[[Gene names]:[Gene names]])*1, 0))</f>
        <v>1.1386400000000001E-4</v>
      </c>
      <c r="O336" cm="1">
        <f t="array" ref="O336">INDEX(Table1[riBAQ 41], MATCH(1, (Table3[[#This Row],[Gene names]:[Gene names]] = Table1[[Gene names]:[Gene names]])*1, 0))</f>
        <v>1.1472300000000001E-4</v>
      </c>
      <c r="P336" cm="1">
        <f t="array" ref="P336">INDEX(Table1[riBAQ 24], MATCH(1, (Table3[[#This Row],[Gene names]:[Gene names]] = Table1[[Gene names]:[Gene names]])*1, 0))</f>
        <v>6.1699999999999995E-5</v>
      </c>
      <c r="Q336" cm="1">
        <f t="array" ref="Q336">INDEX(Table1[riBAQ 25], MATCH(1, (Table3[[#This Row],[Gene names]:[Gene names]] = Table1[[Gene names]:[Gene names]])*1, 0))</f>
        <v>5.1499999999999998E-5</v>
      </c>
      <c r="R336" cm="1">
        <f t="array" ref="R336">INDEX(Table1[riBAQ 26], MATCH(1, (Table3[[#This Row],[Gene names]:[Gene names]] = Table1[[Gene names]:[Gene names]])*1, 0))</f>
        <v>4.0299999999999997E-5</v>
      </c>
      <c r="S336" cm="1">
        <f t="array" ref="S336">INDEX(Table1[riBAQ 42], MATCH(1, (Table3[[#This Row],[Gene names]:[Gene names]] = Table1[[Gene names]:[Gene names]])*1, 0))</f>
        <v>6.0999999999999999E-5</v>
      </c>
      <c r="T336" cm="1">
        <f t="array" ref="T336">INDEX(Table1[riBAQ 43], MATCH(1, (Table3[[#This Row],[Gene names]:[Gene names]] = Table1[[Gene names]:[Gene names]])*1, 0))</f>
        <v>0</v>
      </c>
    </row>
    <row r="337" spans="1:20" x14ac:dyDescent="0.25">
      <c r="A337" t="s">
        <v>1641</v>
      </c>
      <c r="B337" cm="1">
        <f t="array" ref="B337">INDEX(Table1[riBAQ 17], MATCH(1, (Table3[[#This Row],[Gene names]:[Gene names]] = Table1[[Gene names]:[Gene names]])*1, 0))</f>
        <v>0</v>
      </c>
      <c r="C337" cm="1">
        <f t="array" ref="C337">INDEX(Table1[riBAQ 18], MATCH(1, (Table3[[#This Row],[Gene names]:[Gene names]] = Table1[[Gene names]:[Gene names]])*1, 0))</f>
        <v>0</v>
      </c>
      <c r="D337" cm="1">
        <f t="array" ref="D337">INDEX(Table1[riBAQ 35], MATCH(1, (Table3[[#This Row],[Gene names]:[Gene names]] = Table1[[Gene names]:[Gene names]])*1, 0))</f>
        <v>0</v>
      </c>
      <c r="E337" cm="1">
        <f t="array" ref="E337">INDEX(Table1[riBAQ 36], MATCH(1, (Table3[[#This Row],[Gene names]:[Gene names]] = Table1[[Gene names]:[Gene names]])*1, 0))</f>
        <v>0</v>
      </c>
      <c r="F337" cm="1">
        <f t="array" ref="F337">INDEX(Table1[riBAQ 19], MATCH(1, (Table3[[#This Row],[Gene names]:[Gene names]] = Table1[[Gene names]:[Gene names]])*1, 0))</f>
        <v>0</v>
      </c>
      <c r="G337" cm="1">
        <f t="array" ref="G337">INDEX(Table1[riBAQ 20], MATCH(1, (Table3[[#This Row],[Gene names]:[Gene names]] = Table1[[Gene names]:[Gene names]])*1, 0))</f>
        <v>0</v>
      </c>
      <c r="H337" cm="1">
        <f t="array" ref="H337">INDEX(Table1[riBAQ 21], MATCH(1, (Table3[[#This Row],[Gene names]:[Gene names]] = Table1[[Gene names]:[Gene names]])*1, 0))</f>
        <v>0</v>
      </c>
      <c r="I337" cm="1">
        <f t="array" ref="I337">INDEX(Table1[riBAQ 22], MATCH(1, (Table3[[#This Row],[Gene names]:[Gene names]] = Table1[[Gene names]:[Gene names]])*1, 0))</f>
        <v>7.4900000000000003E-6</v>
      </c>
      <c r="J337" cm="1">
        <f t="array" ref="J337">INDEX(Table1[riBAQ 23], MATCH(1, (Table3[[#This Row],[Gene names]:[Gene names]] = Table1[[Gene names]:[Gene names]])*1, 0))</f>
        <v>0</v>
      </c>
      <c r="K337" cm="1">
        <f t="array" ref="K337">INDEX(Table1[riBAQ 37], MATCH(1, (Table3[[#This Row],[Gene names]:[Gene names]] = Table1[[Gene names]:[Gene names]])*1, 0))</f>
        <v>0</v>
      </c>
      <c r="L337" cm="1">
        <f t="array" ref="L337">INDEX(Table1[riBAQ 38], MATCH(1, (Table3[[#This Row],[Gene names]:[Gene names]] = Table1[[Gene names]:[Gene names]])*1, 0))</f>
        <v>0</v>
      </c>
      <c r="M337" cm="1">
        <f t="array" ref="M337">INDEX(Table1[riBAQ 39], MATCH(1, (Table3[[#This Row],[Gene names]:[Gene names]] = Table1[[Gene names]:[Gene names]])*1, 0))</f>
        <v>4.4499999999999997E-6</v>
      </c>
      <c r="N337" cm="1">
        <f t="array" ref="N337">INDEX(Table1[riBAQ 40], MATCH(1, (Table3[[#This Row],[Gene names]:[Gene names]] = Table1[[Gene names]:[Gene names]])*1, 0))</f>
        <v>0</v>
      </c>
      <c r="O337" cm="1">
        <f t="array" ref="O337">INDEX(Table1[riBAQ 41], MATCH(1, (Table3[[#This Row],[Gene names]:[Gene names]] = Table1[[Gene names]:[Gene names]])*1, 0))</f>
        <v>0</v>
      </c>
      <c r="P337" cm="1">
        <f t="array" ref="P337">INDEX(Table1[riBAQ 24], MATCH(1, (Table3[[#This Row],[Gene names]:[Gene names]] = Table1[[Gene names]:[Gene names]])*1, 0))</f>
        <v>6.6599999999999998E-6</v>
      </c>
      <c r="Q337" cm="1">
        <f t="array" ref="Q337">INDEX(Table1[riBAQ 25], MATCH(1, (Table3[[#This Row],[Gene names]:[Gene names]] = Table1[[Gene names]:[Gene names]])*1, 0))</f>
        <v>1.5999999999999999E-5</v>
      </c>
      <c r="R337" cm="1">
        <f t="array" ref="R337">INDEX(Table1[riBAQ 26], MATCH(1, (Table3[[#This Row],[Gene names]:[Gene names]] = Table1[[Gene names]:[Gene names]])*1, 0))</f>
        <v>1.19E-5</v>
      </c>
      <c r="S337" cm="1">
        <f t="array" ref="S337">INDEX(Table1[riBAQ 42], MATCH(1, (Table3[[#This Row],[Gene names]:[Gene names]] = Table1[[Gene names]:[Gene names]])*1, 0))</f>
        <v>1.4100000000000001E-5</v>
      </c>
      <c r="T337" cm="1">
        <f t="array" ref="T337">INDEX(Table1[riBAQ 43], MATCH(1, (Table3[[#This Row],[Gene names]:[Gene names]] = Table1[[Gene names]:[Gene names]])*1, 0))</f>
        <v>1.8499999999999999E-5</v>
      </c>
    </row>
    <row r="338" spans="1:20" x14ac:dyDescent="0.25">
      <c r="A338" t="s">
        <v>1618</v>
      </c>
      <c r="B338" cm="1">
        <f t="array" ref="B338">INDEX(Table1[riBAQ 17], MATCH(1, (Table3[[#This Row],[Gene names]:[Gene names]] = Table1[[Gene names]:[Gene names]])*1, 0))</f>
        <v>4.5800000000000002E-5</v>
      </c>
      <c r="C338" cm="1">
        <f t="array" ref="C338">INDEX(Table1[riBAQ 18], MATCH(1, (Table3[[#This Row],[Gene names]:[Gene names]] = Table1[[Gene names]:[Gene names]])*1, 0))</f>
        <v>0</v>
      </c>
      <c r="D338" cm="1">
        <f t="array" ref="D338">INDEX(Table1[riBAQ 35], MATCH(1, (Table3[[#This Row],[Gene names]:[Gene names]] = Table1[[Gene names]:[Gene names]])*1, 0))</f>
        <v>3.2100000000000001E-5</v>
      </c>
      <c r="E338" cm="1">
        <f t="array" ref="E338">INDEX(Table1[riBAQ 36], MATCH(1, (Table3[[#This Row],[Gene names]:[Gene names]] = Table1[[Gene names]:[Gene names]])*1, 0))</f>
        <v>0</v>
      </c>
      <c r="F338" cm="1">
        <f t="array" ref="F338">INDEX(Table1[riBAQ 19], MATCH(1, (Table3[[#This Row],[Gene names]:[Gene names]] = Table1[[Gene names]:[Gene names]])*1, 0))</f>
        <v>4.49E-5</v>
      </c>
      <c r="G338" cm="1">
        <f t="array" ref="G338">INDEX(Table1[riBAQ 20], MATCH(1, (Table3[[#This Row],[Gene names]:[Gene names]] = Table1[[Gene names]:[Gene names]])*1, 0))</f>
        <v>0</v>
      </c>
      <c r="H338" cm="1">
        <f t="array" ref="H338">INDEX(Table1[riBAQ 21], MATCH(1, (Table3[[#This Row],[Gene names]:[Gene names]] = Table1[[Gene names]:[Gene names]])*1, 0))</f>
        <v>6.5199999999999999E-5</v>
      </c>
      <c r="I338" cm="1">
        <f t="array" ref="I338">INDEX(Table1[riBAQ 22], MATCH(1, (Table3[[#This Row],[Gene names]:[Gene names]] = Table1[[Gene names]:[Gene names]])*1, 0))</f>
        <v>3.6699999999999998E-5</v>
      </c>
      <c r="J338" cm="1">
        <f t="array" ref="J338">INDEX(Table1[riBAQ 23], MATCH(1, (Table3[[#This Row],[Gene names]:[Gene names]] = Table1[[Gene names]:[Gene names]])*1, 0))</f>
        <v>6.1199999999999997E-5</v>
      </c>
      <c r="K338" cm="1">
        <f t="array" ref="K338">INDEX(Table1[riBAQ 37], MATCH(1, (Table3[[#This Row],[Gene names]:[Gene names]] = Table1[[Gene names]:[Gene names]])*1, 0))</f>
        <v>4.0800000000000002E-5</v>
      </c>
      <c r="L338" cm="1">
        <f t="array" ref="L338">INDEX(Table1[riBAQ 38], MATCH(1, (Table3[[#This Row],[Gene names]:[Gene names]] = Table1[[Gene names]:[Gene names]])*1, 0))</f>
        <v>3.7200000000000003E-5</v>
      </c>
      <c r="M338" cm="1">
        <f t="array" ref="M338">INDEX(Table1[riBAQ 39], MATCH(1, (Table3[[#This Row],[Gene names]:[Gene names]] = Table1[[Gene names]:[Gene names]])*1, 0))</f>
        <v>3.7499999999999997E-5</v>
      </c>
      <c r="N338" cm="1">
        <f t="array" ref="N338">INDEX(Table1[riBAQ 40], MATCH(1, (Table3[[#This Row],[Gene names]:[Gene names]] = Table1[[Gene names]:[Gene names]])*1, 0))</f>
        <v>2.8500000000000002E-5</v>
      </c>
      <c r="O338" cm="1">
        <f t="array" ref="O338">INDEX(Table1[riBAQ 41], MATCH(1, (Table3[[#This Row],[Gene names]:[Gene names]] = Table1[[Gene names]:[Gene names]])*1, 0))</f>
        <v>5.1700000000000003E-5</v>
      </c>
      <c r="P338" cm="1">
        <f t="array" ref="P338">INDEX(Table1[riBAQ 24], MATCH(1, (Table3[[#This Row],[Gene names]:[Gene names]] = Table1[[Gene names]:[Gene names]])*1, 0))</f>
        <v>7.8800000000000004E-5</v>
      </c>
      <c r="Q338" cm="1">
        <f t="array" ref="Q338">INDEX(Table1[riBAQ 25], MATCH(1, (Table3[[#This Row],[Gene names]:[Gene names]] = Table1[[Gene names]:[Gene names]])*1, 0))</f>
        <v>1.21863E-4</v>
      </c>
      <c r="R338" cm="1">
        <f t="array" ref="R338">INDEX(Table1[riBAQ 26], MATCH(1, (Table3[[#This Row],[Gene names]:[Gene names]] = Table1[[Gene names]:[Gene names]])*1, 0))</f>
        <v>1.61855E-4</v>
      </c>
      <c r="S338" cm="1">
        <f t="array" ref="S338">INDEX(Table1[riBAQ 42], MATCH(1, (Table3[[#This Row],[Gene names]:[Gene names]] = Table1[[Gene names]:[Gene names]])*1, 0))</f>
        <v>1.18E-4</v>
      </c>
      <c r="T338" cm="1">
        <f t="array" ref="T338">INDEX(Table1[riBAQ 43], MATCH(1, (Table3[[#This Row],[Gene names]:[Gene names]] = Table1[[Gene names]:[Gene names]])*1, 0))</f>
        <v>1.52841E-4</v>
      </c>
    </row>
    <row r="339" spans="1:20" x14ac:dyDescent="0.25">
      <c r="A339" t="s">
        <v>512</v>
      </c>
      <c r="B339" cm="1">
        <f t="array" ref="B339">INDEX(Table1[riBAQ 17], MATCH(1, (Table3[[#This Row],[Gene names]:[Gene names]] = Table1[[Gene names]:[Gene names]])*1, 0))</f>
        <v>1.88E-5</v>
      </c>
      <c r="C339" cm="1">
        <f t="array" ref="C339">INDEX(Table1[riBAQ 18], MATCH(1, (Table3[[#This Row],[Gene names]:[Gene names]] = Table1[[Gene names]:[Gene names]])*1, 0))</f>
        <v>1.43E-5</v>
      </c>
      <c r="D339" cm="1">
        <f t="array" ref="D339">INDEX(Table1[riBAQ 35], MATCH(1, (Table3[[#This Row],[Gene names]:[Gene names]] = Table1[[Gene names]:[Gene names]])*1, 0))</f>
        <v>1.0000000000000001E-5</v>
      </c>
      <c r="E339" cm="1">
        <f t="array" ref="E339">INDEX(Table1[riBAQ 36], MATCH(1, (Table3[[#This Row],[Gene names]:[Gene names]] = Table1[[Gene names]:[Gene names]])*1, 0))</f>
        <v>1.5E-5</v>
      </c>
      <c r="F339" cm="1">
        <f t="array" ref="F339">INDEX(Table1[riBAQ 19], MATCH(1, (Table3[[#This Row],[Gene names]:[Gene names]] = Table1[[Gene names]:[Gene names]])*1, 0))</f>
        <v>1.5800000000000001E-5</v>
      </c>
      <c r="G339" cm="1">
        <f t="array" ref="G339">INDEX(Table1[riBAQ 20], MATCH(1, (Table3[[#This Row],[Gene names]:[Gene names]] = Table1[[Gene names]:[Gene names]])*1, 0))</f>
        <v>2.37E-5</v>
      </c>
      <c r="H339" cm="1">
        <f t="array" ref="H339">INDEX(Table1[riBAQ 21], MATCH(1, (Table3[[#This Row],[Gene names]:[Gene names]] = Table1[[Gene names]:[Gene names]])*1, 0))</f>
        <v>3.1399999999999998E-5</v>
      </c>
      <c r="I339" cm="1">
        <f t="array" ref="I339">INDEX(Table1[riBAQ 22], MATCH(1, (Table3[[#This Row],[Gene names]:[Gene names]] = Table1[[Gene names]:[Gene names]])*1, 0))</f>
        <v>2.9799999999999999E-5</v>
      </c>
      <c r="J339" cm="1">
        <f t="array" ref="J339">INDEX(Table1[riBAQ 23], MATCH(1, (Table3[[#This Row],[Gene names]:[Gene names]] = Table1[[Gene names]:[Gene names]])*1, 0))</f>
        <v>1.7200000000000001E-5</v>
      </c>
      <c r="K339" cm="1">
        <f t="array" ref="K339">INDEX(Table1[riBAQ 37], MATCH(1, (Table3[[#This Row],[Gene names]:[Gene names]] = Table1[[Gene names]:[Gene names]])*1, 0))</f>
        <v>2.5400000000000001E-5</v>
      </c>
      <c r="L339" cm="1">
        <f t="array" ref="L339">INDEX(Table1[riBAQ 38], MATCH(1, (Table3[[#This Row],[Gene names]:[Gene names]] = Table1[[Gene names]:[Gene names]])*1, 0))</f>
        <v>1.8700000000000001E-5</v>
      </c>
      <c r="M339" cm="1">
        <f t="array" ref="M339">INDEX(Table1[riBAQ 39], MATCH(1, (Table3[[#This Row],[Gene names]:[Gene names]] = Table1[[Gene names]:[Gene names]])*1, 0))</f>
        <v>1.06E-5</v>
      </c>
      <c r="N339" cm="1">
        <f t="array" ref="N339">INDEX(Table1[riBAQ 40], MATCH(1, (Table3[[#This Row],[Gene names]:[Gene names]] = Table1[[Gene names]:[Gene names]])*1, 0))</f>
        <v>2.6299999999999999E-5</v>
      </c>
      <c r="O339" cm="1">
        <f t="array" ref="O339">INDEX(Table1[riBAQ 41], MATCH(1, (Table3[[#This Row],[Gene names]:[Gene names]] = Table1[[Gene names]:[Gene names]])*1, 0))</f>
        <v>1.17E-5</v>
      </c>
      <c r="P339" cm="1">
        <f t="array" ref="P339">INDEX(Table1[riBAQ 24], MATCH(1, (Table3[[#This Row],[Gene names]:[Gene names]] = Table1[[Gene names]:[Gene names]])*1, 0))</f>
        <v>3.4499999999999998E-5</v>
      </c>
      <c r="Q339" cm="1">
        <f t="array" ref="Q339">INDEX(Table1[riBAQ 25], MATCH(1, (Table3[[#This Row],[Gene names]:[Gene names]] = Table1[[Gene names]:[Gene names]])*1, 0))</f>
        <v>3.9499999999999998E-5</v>
      </c>
      <c r="R339" cm="1">
        <f t="array" ref="R339">INDEX(Table1[riBAQ 26], MATCH(1, (Table3[[#This Row],[Gene names]:[Gene names]] = Table1[[Gene names]:[Gene names]])*1, 0))</f>
        <v>4.8699999999999998E-5</v>
      </c>
      <c r="S339" cm="1">
        <f t="array" ref="S339">INDEX(Table1[riBAQ 42], MATCH(1, (Table3[[#This Row],[Gene names]:[Gene names]] = Table1[[Gene names]:[Gene names]])*1, 0))</f>
        <v>3.7299999999999999E-5</v>
      </c>
      <c r="T339" cm="1">
        <f t="array" ref="T339">INDEX(Table1[riBAQ 43], MATCH(1, (Table3[[#This Row],[Gene names]:[Gene names]] = Table1[[Gene names]:[Gene names]])*1, 0))</f>
        <v>4.1699999999999997E-5</v>
      </c>
    </row>
    <row r="340" spans="1:20" x14ac:dyDescent="0.25">
      <c r="A340" t="s">
        <v>607</v>
      </c>
      <c r="B340" cm="1">
        <f t="array" ref="B340">INDEX(Table1[riBAQ 17], MATCH(1, (Table3[[#This Row],[Gene names]:[Gene names]] = Table1[[Gene names]:[Gene names]])*1, 0))</f>
        <v>6.55056E-4</v>
      </c>
      <c r="C340" cm="1">
        <f t="array" ref="C340">INDEX(Table1[riBAQ 18], MATCH(1, (Table3[[#This Row],[Gene names]:[Gene names]] = Table1[[Gene names]:[Gene names]])*1, 0))</f>
        <v>9.8160999999999995E-4</v>
      </c>
      <c r="D340" cm="1">
        <f t="array" ref="D340">INDEX(Table1[riBAQ 35], MATCH(1, (Table3[[#This Row],[Gene names]:[Gene names]] = Table1[[Gene names]:[Gene names]])*1, 0))</f>
        <v>1.155866E-3</v>
      </c>
      <c r="E340" cm="1">
        <f t="array" ref="E340">INDEX(Table1[riBAQ 36], MATCH(1, (Table3[[#This Row],[Gene names]:[Gene names]] = Table1[[Gene names]:[Gene names]])*1, 0))</f>
        <v>1.101735E-3</v>
      </c>
      <c r="F340" cm="1">
        <f t="array" ref="F340">INDEX(Table1[riBAQ 19], MATCH(1, (Table3[[#This Row],[Gene names]:[Gene names]] = Table1[[Gene names]:[Gene names]])*1, 0))</f>
        <v>1.2263930000000001E-3</v>
      </c>
      <c r="G340" cm="1">
        <f t="array" ref="G340">INDEX(Table1[riBAQ 20], MATCH(1, (Table3[[#This Row],[Gene names]:[Gene names]] = Table1[[Gene names]:[Gene names]])*1, 0))</f>
        <v>8.6296799999999998E-4</v>
      </c>
      <c r="H340" cm="1">
        <f t="array" ref="H340">INDEX(Table1[riBAQ 21], MATCH(1, (Table3[[#This Row],[Gene names]:[Gene names]] = Table1[[Gene names]:[Gene names]])*1, 0))</f>
        <v>8.2006600000000005E-4</v>
      </c>
      <c r="I340" cm="1">
        <f t="array" ref="I340">INDEX(Table1[riBAQ 22], MATCH(1, (Table3[[#This Row],[Gene names]:[Gene names]] = Table1[[Gene names]:[Gene names]])*1, 0))</f>
        <v>1.0927980000000001E-3</v>
      </c>
      <c r="J340" cm="1">
        <f t="array" ref="J340">INDEX(Table1[riBAQ 23], MATCH(1, (Table3[[#This Row],[Gene names]:[Gene names]] = Table1[[Gene names]:[Gene names]])*1, 0))</f>
        <v>1.6372019999999999E-3</v>
      </c>
      <c r="K340" cm="1">
        <f t="array" ref="K340">INDEX(Table1[riBAQ 37], MATCH(1, (Table3[[#This Row],[Gene names]:[Gene names]] = Table1[[Gene names]:[Gene names]])*1, 0))</f>
        <v>9.0561000000000005E-4</v>
      </c>
      <c r="L340" cm="1">
        <f t="array" ref="L340">INDEX(Table1[riBAQ 38], MATCH(1, (Table3[[#This Row],[Gene names]:[Gene names]] = Table1[[Gene names]:[Gene names]])*1, 0))</f>
        <v>1.099771E-3</v>
      </c>
      <c r="M340" cm="1">
        <f t="array" ref="M340">INDEX(Table1[riBAQ 39], MATCH(1, (Table3[[#This Row],[Gene names]:[Gene names]] = Table1[[Gene names]:[Gene names]])*1, 0))</f>
        <v>2.7822200000000002E-3</v>
      </c>
      <c r="N340" cm="1">
        <f t="array" ref="N340">INDEX(Table1[riBAQ 40], MATCH(1, (Table3[[#This Row],[Gene names]:[Gene names]] = Table1[[Gene names]:[Gene names]])*1, 0))</f>
        <v>2.735791E-3</v>
      </c>
      <c r="O340" cm="1">
        <f t="array" ref="O340">INDEX(Table1[riBAQ 41], MATCH(1, (Table3[[#This Row],[Gene names]:[Gene names]] = Table1[[Gene names]:[Gene names]])*1, 0))</f>
        <v>2.1622500000000001E-3</v>
      </c>
      <c r="P340" cm="1">
        <f t="array" ref="P340">INDEX(Table1[riBAQ 24], MATCH(1, (Table3[[#This Row],[Gene names]:[Gene names]] = Table1[[Gene names]:[Gene names]])*1, 0))</f>
        <v>2.0016639999999998E-3</v>
      </c>
      <c r="Q340" cm="1">
        <f t="array" ref="Q340">INDEX(Table1[riBAQ 25], MATCH(1, (Table3[[#This Row],[Gene names]:[Gene names]] = Table1[[Gene names]:[Gene names]])*1, 0))</f>
        <v>4.010507E-3</v>
      </c>
      <c r="R340" cm="1">
        <f t="array" ref="R340">INDEX(Table1[riBAQ 26], MATCH(1, (Table3[[#This Row],[Gene names]:[Gene names]] = Table1[[Gene names]:[Gene names]])*1, 0))</f>
        <v>3.5425819999999998E-3</v>
      </c>
      <c r="S340" cm="1">
        <f t="array" ref="S340">INDEX(Table1[riBAQ 42], MATCH(1, (Table3[[#This Row],[Gene names]:[Gene names]] = Table1[[Gene names]:[Gene names]])*1, 0))</f>
        <v>6.08779E-3</v>
      </c>
      <c r="T340" cm="1">
        <f t="array" ref="T340">INDEX(Table1[riBAQ 43], MATCH(1, (Table3[[#This Row],[Gene names]:[Gene names]] = Table1[[Gene names]:[Gene names]])*1, 0))</f>
        <v>3.8479270000000001E-3</v>
      </c>
    </row>
    <row r="341" spans="1:20" x14ac:dyDescent="0.25">
      <c r="A341" t="s">
        <v>1024</v>
      </c>
      <c r="B341" cm="1">
        <f t="array" ref="B341">INDEX(Table1[riBAQ 17], MATCH(1, (Table3[[#This Row],[Gene names]:[Gene names]] = Table1[[Gene names]:[Gene names]])*1, 0))</f>
        <v>0</v>
      </c>
      <c r="C341" cm="1">
        <f t="array" ref="C341">INDEX(Table1[riBAQ 18], MATCH(1, (Table3[[#This Row],[Gene names]:[Gene names]] = Table1[[Gene names]:[Gene names]])*1, 0))</f>
        <v>0</v>
      </c>
      <c r="D341" cm="1">
        <f t="array" ref="D341">INDEX(Table1[riBAQ 35], MATCH(1, (Table3[[#This Row],[Gene names]:[Gene names]] = Table1[[Gene names]:[Gene names]])*1, 0))</f>
        <v>0</v>
      </c>
      <c r="E341" cm="1">
        <f t="array" ref="E341">INDEX(Table1[riBAQ 36], MATCH(1, (Table3[[#This Row],[Gene names]:[Gene names]] = Table1[[Gene names]:[Gene names]])*1, 0))</f>
        <v>0</v>
      </c>
      <c r="F341" cm="1">
        <f t="array" ref="F341">INDEX(Table1[riBAQ 19], MATCH(1, (Table3[[#This Row],[Gene names]:[Gene names]] = Table1[[Gene names]:[Gene names]])*1, 0))</f>
        <v>7.2299999999999996E-5</v>
      </c>
      <c r="G341" cm="1">
        <f t="array" ref="G341">INDEX(Table1[riBAQ 20], MATCH(1, (Table3[[#This Row],[Gene names]:[Gene names]] = Table1[[Gene names]:[Gene names]])*1, 0))</f>
        <v>8.9699999999999998E-5</v>
      </c>
      <c r="H341" cm="1">
        <f t="array" ref="H341">INDEX(Table1[riBAQ 21], MATCH(1, (Table3[[#This Row],[Gene names]:[Gene names]] = Table1[[Gene names]:[Gene names]])*1, 0))</f>
        <v>7.2399999999999998E-5</v>
      </c>
      <c r="I341" cm="1">
        <f t="array" ref="I341">INDEX(Table1[riBAQ 22], MATCH(1, (Table3[[#This Row],[Gene names]:[Gene names]] = Table1[[Gene names]:[Gene names]])*1, 0))</f>
        <v>0</v>
      </c>
      <c r="J341" cm="1">
        <f t="array" ref="J341">INDEX(Table1[riBAQ 23], MATCH(1, (Table3[[#This Row],[Gene names]:[Gene names]] = Table1[[Gene names]:[Gene names]])*1, 0))</f>
        <v>0</v>
      </c>
      <c r="K341" cm="1">
        <f t="array" ref="K341">INDEX(Table1[riBAQ 37], MATCH(1, (Table3[[#This Row],[Gene names]:[Gene names]] = Table1[[Gene names]:[Gene names]])*1, 0))</f>
        <v>0</v>
      </c>
      <c r="L341" cm="1">
        <f t="array" ref="L341">INDEX(Table1[riBAQ 38], MATCH(1, (Table3[[#This Row],[Gene names]:[Gene names]] = Table1[[Gene names]:[Gene names]])*1, 0))</f>
        <v>0</v>
      </c>
      <c r="M341" cm="1">
        <f t="array" ref="M341">INDEX(Table1[riBAQ 39], MATCH(1, (Table3[[#This Row],[Gene names]:[Gene names]] = Table1[[Gene names]:[Gene names]])*1, 0))</f>
        <v>3.4700000000000003E-5</v>
      </c>
      <c r="N341" cm="1">
        <f t="array" ref="N341">INDEX(Table1[riBAQ 40], MATCH(1, (Table3[[#This Row],[Gene names]:[Gene names]] = Table1[[Gene names]:[Gene names]])*1, 0))</f>
        <v>0</v>
      </c>
      <c r="O341" cm="1">
        <f t="array" ref="O341">INDEX(Table1[riBAQ 41], MATCH(1, (Table3[[#This Row],[Gene names]:[Gene names]] = Table1[[Gene names]:[Gene names]])*1, 0))</f>
        <v>0</v>
      </c>
      <c r="P341" cm="1">
        <f t="array" ref="P341">INDEX(Table1[riBAQ 24], MATCH(1, (Table3[[#This Row],[Gene names]:[Gene names]] = Table1[[Gene names]:[Gene names]])*1, 0))</f>
        <v>1.59751E-4</v>
      </c>
      <c r="Q341" cm="1">
        <f t="array" ref="Q341">INDEX(Table1[riBAQ 25], MATCH(1, (Table3[[#This Row],[Gene names]:[Gene names]] = Table1[[Gene names]:[Gene names]])*1, 0))</f>
        <v>3.3781600000000001E-4</v>
      </c>
      <c r="R341" cm="1">
        <f t="array" ref="R341">INDEX(Table1[riBAQ 26], MATCH(1, (Table3[[#This Row],[Gene names]:[Gene names]] = Table1[[Gene names]:[Gene names]])*1, 0))</f>
        <v>3.0385999999999998E-4</v>
      </c>
      <c r="S341" cm="1">
        <f t="array" ref="S341">INDEX(Table1[riBAQ 42], MATCH(1, (Table3[[#This Row],[Gene names]:[Gene names]] = Table1[[Gene names]:[Gene names]])*1, 0))</f>
        <v>1.9750099999999999E-4</v>
      </c>
      <c r="T341" cm="1">
        <f t="array" ref="T341">INDEX(Table1[riBAQ 43], MATCH(1, (Table3[[#This Row],[Gene names]:[Gene names]] = Table1[[Gene names]:[Gene names]])*1, 0))</f>
        <v>3.8932700000000002E-4</v>
      </c>
    </row>
    <row r="342" spans="1:20" x14ac:dyDescent="0.25">
      <c r="A342" t="s">
        <v>606</v>
      </c>
      <c r="B342" cm="1">
        <f t="array" ref="B342">INDEX(Table1[riBAQ 17], MATCH(1, (Table3[[#This Row],[Gene names]:[Gene names]] = Table1[[Gene names]:[Gene names]])*1, 0))</f>
        <v>1.4665240000000001E-3</v>
      </c>
      <c r="C342" cm="1">
        <f t="array" ref="C342">INDEX(Table1[riBAQ 18], MATCH(1, (Table3[[#This Row],[Gene names]:[Gene names]] = Table1[[Gene names]:[Gene names]])*1, 0))</f>
        <v>1.660871E-3</v>
      </c>
      <c r="D342" cm="1">
        <f t="array" ref="D342">INDEX(Table1[riBAQ 35], MATCH(1, (Table3[[#This Row],[Gene names]:[Gene names]] = Table1[[Gene names]:[Gene names]])*1, 0))</f>
        <v>1.904202E-3</v>
      </c>
      <c r="E342" cm="1">
        <f t="array" ref="E342">INDEX(Table1[riBAQ 36], MATCH(1, (Table3[[#This Row],[Gene names]:[Gene names]] = Table1[[Gene names]:[Gene names]])*1, 0))</f>
        <v>2.0463510000000001E-3</v>
      </c>
      <c r="F342" cm="1">
        <f t="array" ref="F342">INDEX(Table1[riBAQ 19], MATCH(1, (Table3[[#This Row],[Gene names]:[Gene names]] = Table1[[Gene names]:[Gene names]])*1, 0))</f>
        <v>1.349107E-3</v>
      </c>
      <c r="G342" cm="1">
        <f t="array" ref="G342">INDEX(Table1[riBAQ 20], MATCH(1, (Table3[[#This Row],[Gene names]:[Gene names]] = Table1[[Gene names]:[Gene names]])*1, 0))</f>
        <v>1.0913190000000001E-3</v>
      </c>
      <c r="H342" cm="1">
        <f t="array" ref="H342">INDEX(Table1[riBAQ 21], MATCH(1, (Table3[[#This Row],[Gene names]:[Gene names]] = Table1[[Gene names]:[Gene names]])*1, 0))</f>
        <v>9.5510899999999999E-4</v>
      </c>
      <c r="I342" cm="1">
        <f t="array" ref="I342">INDEX(Table1[riBAQ 22], MATCH(1, (Table3[[#This Row],[Gene names]:[Gene names]] = Table1[[Gene names]:[Gene names]])*1, 0))</f>
        <v>1.115022E-3</v>
      </c>
      <c r="J342" cm="1">
        <f t="array" ref="J342">INDEX(Table1[riBAQ 23], MATCH(1, (Table3[[#This Row],[Gene names]:[Gene names]] = Table1[[Gene names]:[Gene names]])*1, 0))</f>
        <v>1.2954419999999999E-3</v>
      </c>
      <c r="K342" cm="1">
        <f t="array" ref="K342">INDEX(Table1[riBAQ 37], MATCH(1, (Table3[[#This Row],[Gene names]:[Gene names]] = Table1[[Gene names]:[Gene names]])*1, 0))</f>
        <v>9.7287100000000004E-4</v>
      </c>
      <c r="L342" cm="1">
        <f t="array" ref="L342">INDEX(Table1[riBAQ 38], MATCH(1, (Table3[[#This Row],[Gene names]:[Gene names]] = Table1[[Gene names]:[Gene names]])*1, 0))</f>
        <v>1.1991020000000001E-3</v>
      </c>
      <c r="M342" cm="1">
        <f t="array" ref="M342">INDEX(Table1[riBAQ 39], MATCH(1, (Table3[[#This Row],[Gene names]:[Gene names]] = Table1[[Gene names]:[Gene names]])*1, 0))</f>
        <v>1.204334E-3</v>
      </c>
      <c r="N342" cm="1">
        <f t="array" ref="N342">INDEX(Table1[riBAQ 40], MATCH(1, (Table3[[#This Row],[Gene names]:[Gene names]] = Table1[[Gene names]:[Gene names]])*1, 0))</f>
        <v>1.960753E-3</v>
      </c>
      <c r="O342" cm="1">
        <f t="array" ref="O342">INDEX(Table1[riBAQ 41], MATCH(1, (Table3[[#This Row],[Gene names]:[Gene names]] = Table1[[Gene names]:[Gene names]])*1, 0))</f>
        <v>1.430209E-3</v>
      </c>
      <c r="P342" cm="1">
        <f t="array" ref="P342">INDEX(Table1[riBAQ 24], MATCH(1, (Table3[[#This Row],[Gene names]:[Gene names]] = Table1[[Gene names]:[Gene names]])*1, 0))</f>
        <v>7.4705699999999997E-4</v>
      </c>
      <c r="Q342" cm="1">
        <f t="array" ref="Q342">INDEX(Table1[riBAQ 25], MATCH(1, (Table3[[#This Row],[Gene names]:[Gene names]] = Table1[[Gene names]:[Gene names]])*1, 0))</f>
        <v>3.6759800000000001E-4</v>
      </c>
      <c r="R342" cm="1">
        <f t="array" ref="R342">INDEX(Table1[riBAQ 26], MATCH(1, (Table3[[#This Row],[Gene names]:[Gene names]] = Table1[[Gene names]:[Gene names]])*1, 0))</f>
        <v>3.8942000000000002E-4</v>
      </c>
      <c r="S342" cm="1">
        <f t="array" ref="S342">INDEX(Table1[riBAQ 42], MATCH(1, (Table3[[#This Row],[Gene names]:[Gene names]] = Table1[[Gene names]:[Gene names]])*1, 0))</f>
        <v>3.0095700000000003E-4</v>
      </c>
      <c r="T342" cm="1">
        <f t="array" ref="T342">INDEX(Table1[riBAQ 43], MATCH(1, (Table3[[#This Row],[Gene names]:[Gene names]] = Table1[[Gene names]:[Gene names]])*1, 0))</f>
        <v>2.2950800000000001E-4</v>
      </c>
    </row>
    <row r="343" spans="1:20" x14ac:dyDescent="0.25">
      <c r="A343" t="s">
        <v>833</v>
      </c>
      <c r="B343" cm="1">
        <f t="array" ref="B343">INDEX(Table1[riBAQ 17], MATCH(1, (Table3[[#This Row],[Gene names]:[Gene names]] = Table1[[Gene names]:[Gene names]])*1, 0))</f>
        <v>1.8099999999999999E-5</v>
      </c>
      <c r="C343" cm="1">
        <f t="array" ref="C343">INDEX(Table1[riBAQ 18], MATCH(1, (Table3[[#This Row],[Gene names]:[Gene names]] = Table1[[Gene names]:[Gene names]])*1, 0))</f>
        <v>1.4E-5</v>
      </c>
      <c r="D343" cm="1">
        <f t="array" ref="D343">INDEX(Table1[riBAQ 35], MATCH(1, (Table3[[#This Row],[Gene names]:[Gene names]] = Table1[[Gene names]:[Gene names]])*1, 0))</f>
        <v>0</v>
      </c>
      <c r="E343" cm="1">
        <f t="array" ref="E343">INDEX(Table1[riBAQ 36], MATCH(1, (Table3[[#This Row],[Gene names]:[Gene names]] = Table1[[Gene names]:[Gene names]])*1, 0))</f>
        <v>0</v>
      </c>
      <c r="F343" cm="1">
        <f t="array" ref="F343">INDEX(Table1[riBAQ 19], MATCH(1, (Table3[[#This Row],[Gene names]:[Gene names]] = Table1[[Gene names]:[Gene names]])*1, 0))</f>
        <v>3.2100000000000001E-5</v>
      </c>
      <c r="G343" cm="1">
        <f t="array" ref="G343">INDEX(Table1[riBAQ 20], MATCH(1, (Table3[[#This Row],[Gene names]:[Gene names]] = Table1[[Gene names]:[Gene names]])*1, 0))</f>
        <v>4.4299999999999999E-5</v>
      </c>
      <c r="H343" cm="1">
        <f t="array" ref="H343">INDEX(Table1[riBAQ 21], MATCH(1, (Table3[[#This Row],[Gene names]:[Gene names]] = Table1[[Gene names]:[Gene names]])*1, 0))</f>
        <v>3.6600000000000002E-5</v>
      </c>
      <c r="I343" cm="1">
        <f t="array" ref="I343">INDEX(Table1[riBAQ 22], MATCH(1, (Table3[[#This Row],[Gene names]:[Gene names]] = Table1[[Gene names]:[Gene names]])*1, 0))</f>
        <v>7.3800000000000005E-5</v>
      </c>
      <c r="J343" cm="1">
        <f t="array" ref="J343">INDEX(Table1[riBAQ 23], MATCH(1, (Table3[[#This Row],[Gene names]:[Gene names]] = Table1[[Gene names]:[Gene names]])*1, 0))</f>
        <v>5.4299999999999998E-5</v>
      </c>
      <c r="K343" cm="1">
        <f t="array" ref="K343">INDEX(Table1[riBAQ 37], MATCH(1, (Table3[[#This Row],[Gene names]:[Gene names]] = Table1[[Gene names]:[Gene names]])*1, 0))</f>
        <v>2.8600000000000001E-5</v>
      </c>
      <c r="L343" cm="1">
        <f t="array" ref="L343">INDEX(Table1[riBAQ 38], MATCH(1, (Table3[[#This Row],[Gene names]:[Gene names]] = Table1[[Gene names]:[Gene names]])*1, 0))</f>
        <v>2.6699999999999998E-5</v>
      </c>
      <c r="M343" cm="1">
        <f t="array" ref="M343">INDEX(Table1[riBAQ 39], MATCH(1, (Table3[[#This Row],[Gene names]:[Gene names]] = Table1[[Gene names]:[Gene names]])*1, 0))</f>
        <v>3.8600000000000003E-5</v>
      </c>
      <c r="N343" cm="1">
        <f t="array" ref="N343">INDEX(Table1[riBAQ 40], MATCH(1, (Table3[[#This Row],[Gene names]:[Gene names]] = Table1[[Gene names]:[Gene names]])*1, 0))</f>
        <v>5.0500000000000001E-5</v>
      </c>
      <c r="O343" cm="1">
        <f t="array" ref="O343">INDEX(Table1[riBAQ 41], MATCH(1, (Table3[[#This Row],[Gene names]:[Gene names]] = Table1[[Gene names]:[Gene names]])*1, 0))</f>
        <v>2.02E-5</v>
      </c>
      <c r="P343" cm="1">
        <f t="array" ref="P343">INDEX(Table1[riBAQ 24], MATCH(1, (Table3[[#This Row],[Gene names]:[Gene names]] = Table1[[Gene names]:[Gene names]])*1, 0))</f>
        <v>1.1963E-4</v>
      </c>
      <c r="Q343" cm="1">
        <f t="array" ref="Q343">INDEX(Table1[riBAQ 25], MATCH(1, (Table3[[#This Row],[Gene names]:[Gene names]] = Table1[[Gene names]:[Gene names]])*1, 0))</f>
        <v>2.3733900000000001E-4</v>
      </c>
      <c r="R343" cm="1">
        <f t="array" ref="R343">INDEX(Table1[riBAQ 26], MATCH(1, (Table3[[#This Row],[Gene names]:[Gene names]] = Table1[[Gene names]:[Gene names]])*1, 0))</f>
        <v>2.94455E-4</v>
      </c>
      <c r="S343" cm="1">
        <f t="array" ref="S343">INDEX(Table1[riBAQ 42], MATCH(1, (Table3[[#This Row],[Gene names]:[Gene names]] = Table1[[Gene names]:[Gene names]])*1, 0))</f>
        <v>3.2223799999999997E-4</v>
      </c>
      <c r="T343" cm="1">
        <f t="array" ref="T343">INDEX(Table1[riBAQ 43], MATCH(1, (Table3[[#This Row],[Gene names]:[Gene names]] = Table1[[Gene names]:[Gene names]])*1, 0))</f>
        <v>1.8576399999999999E-4</v>
      </c>
    </row>
    <row r="344" spans="1:20" x14ac:dyDescent="0.25">
      <c r="A344" t="s">
        <v>1172</v>
      </c>
      <c r="B344" cm="1">
        <f t="array" ref="B344">INDEX(Table1[riBAQ 17], MATCH(1, (Table3[[#This Row],[Gene names]:[Gene names]] = Table1[[Gene names]:[Gene names]])*1, 0))</f>
        <v>0</v>
      </c>
      <c r="C344" cm="1">
        <f t="array" ref="C344">INDEX(Table1[riBAQ 18], MATCH(1, (Table3[[#This Row],[Gene names]:[Gene names]] = Table1[[Gene names]:[Gene names]])*1, 0))</f>
        <v>0</v>
      </c>
      <c r="D344" cm="1">
        <f t="array" ref="D344">INDEX(Table1[riBAQ 35], MATCH(1, (Table3[[#This Row],[Gene names]:[Gene names]] = Table1[[Gene names]:[Gene names]])*1, 0))</f>
        <v>0</v>
      </c>
      <c r="E344" cm="1">
        <f t="array" ref="E344">INDEX(Table1[riBAQ 36], MATCH(1, (Table3[[#This Row],[Gene names]:[Gene names]] = Table1[[Gene names]:[Gene names]])*1, 0))</f>
        <v>0</v>
      </c>
      <c r="F344" cm="1">
        <f t="array" ref="F344">INDEX(Table1[riBAQ 19], MATCH(1, (Table3[[#This Row],[Gene names]:[Gene names]] = Table1[[Gene names]:[Gene names]])*1, 0))</f>
        <v>0</v>
      </c>
      <c r="G344" cm="1">
        <f t="array" ref="G344">INDEX(Table1[riBAQ 20], MATCH(1, (Table3[[#This Row],[Gene names]:[Gene names]] = Table1[[Gene names]:[Gene names]])*1, 0))</f>
        <v>0</v>
      </c>
      <c r="H344" cm="1">
        <f t="array" ref="H344">INDEX(Table1[riBAQ 21], MATCH(1, (Table3[[#This Row],[Gene names]:[Gene names]] = Table1[[Gene names]:[Gene names]])*1, 0))</f>
        <v>3.1699999999999998E-5</v>
      </c>
      <c r="I344" cm="1">
        <f t="array" ref="I344">INDEX(Table1[riBAQ 22], MATCH(1, (Table3[[#This Row],[Gene names]:[Gene names]] = Table1[[Gene names]:[Gene names]])*1, 0))</f>
        <v>2.23E-5</v>
      </c>
      <c r="J344" cm="1">
        <f t="array" ref="J344">INDEX(Table1[riBAQ 23], MATCH(1, (Table3[[#This Row],[Gene names]:[Gene names]] = Table1[[Gene names]:[Gene names]])*1, 0))</f>
        <v>0</v>
      </c>
      <c r="K344" cm="1">
        <f t="array" ref="K344">INDEX(Table1[riBAQ 37], MATCH(1, (Table3[[#This Row],[Gene names]:[Gene names]] = Table1[[Gene names]:[Gene names]])*1, 0))</f>
        <v>0</v>
      </c>
      <c r="L344" cm="1">
        <f t="array" ref="L344">INDEX(Table1[riBAQ 38], MATCH(1, (Table3[[#This Row],[Gene names]:[Gene names]] = Table1[[Gene names]:[Gene names]])*1, 0))</f>
        <v>0</v>
      </c>
      <c r="M344" cm="1">
        <f t="array" ref="M344">INDEX(Table1[riBAQ 39], MATCH(1, (Table3[[#This Row],[Gene names]:[Gene names]] = Table1[[Gene names]:[Gene names]])*1, 0))</f>
        <v>0</v>
      </c>
      <c r="N344" cm="1">
        <f t="array" ref="N344">INDEX(Table1[riBAQ 40], MATCH(1, (Table3[[#This Row],[Gene names]:[Gene names]] = Table1[[Gene names]:[Gene names]])*1, 0))</f>
        <v>0</v>
      </c>
      <c r="O344" cm="1">
        <f t="array" ref="O344">INDEX(Table1[riBAQ 41], MATCH(1, (Table3[[#This Row],[Gene names]:[Gene names]] = Table1[[Gene names]:[Gene names]])*1, 0))</f>
        <v>0</v>
      </c>
      <c r="P344" cm="1">
        <f t="array" ref="P344">INDEX(Table1[riBAQ 24], MATCH(1, (Table3[[#This Row],[Gene names]:[Gene names]] = Table1[[Gene names]:[Gene names]])*1, 0))</f>
        <v>3.2299999999999999E-5</v>
      </c>
      <c r="Q344" cm="1">
        <f t="array" ref="Q344">INDEX(Table1[riBAQ 25], MATCH(1, (Table3[[#This Row],[Gene names]:[Gene names]] = Table1[[Gene names]:[Gene names]])*1, 0))</f>
        <v>6.1299999999999999E-5</v>
      </c>
      <c r="R344" cm="1">
        <f t="array" ref="R344">INDEX(Table1[riBAQ 26], MATCH(1, (Table3[[#This Row],[Gene names]:[Gene names]] = Table1[[Gene names]:[Gene names]])*1, 0))</f>
        <v>4.3000000000000002E-5</v>
      </c>
      <c r="S344" cm="1">
        <f t="array" ref="S344">INDEX(Table1[riBAQ 42], MATCH(1, (Table3[[#This Row],[Gene names]:[Gene names]] = Table1[[Gene names]:[Gene names]])*1, 0))</f>
        <v>3.65E-5</v>
      </c>
      <c r="T344" cm="1">
        <f t="array" ref="T344">INDEX(Table1[riBAQ 43], MATCH(1, (Table3[[#This Row],[Gene names]:[Gene names]] = Table1[[Gene names]:[Gene names]])*1, 0))</f>
        <v>3.5200000000000002E-5</v>
      </c>
    </row>
    <row r="345" spans="1:20" x14ac:dyDescent="0.25">
      <c r="A345" t="s">
        <v>535</v>
      </c>
      <c r="B345" cm="1">
        <f t="array" ref="B345">INDEX(Table1[riBAQ 17], MATCH(1, (Table3[[#This Row],[Gene names]:[Gene names]] = Table1[[Gene names]:[Gene names]])*1, 0))</f>
        <v>0</v>
      </c>
      <c r="C345" cm="1">
        <f t="array" ref="C345">INDEX(Table1[riBAQ 18], MATCH(1, (Table3[[#This Row],[Gene names]:[Gene names]] = Table1[[Gene names]:[Gene names]])*1, 0))</f>
        <v>0</v>
      </c>
      <c r="D345" cm="1">
        <f t="array" ref="D345">INDEX(Table1[riBAQ 35], MATCH(1, (Table3[[#This Row],[Gene names]:[Gene names]] = Table1[[Gene names]:[Gene names]])*1, 0))</f>
        <v>0</v>
      </c>
      <c r="E345" cm="1">
        <f t="array" ref="E345">INDEX(Table1[riBAQ 36], MATCH(1, (Table3[[#This Row],[Gene names]:[Gene names]] = Table1[[Gene names]:[Gene names]])*1, 0))</f>
        <v>0</v>
      </c>
      <c r="F345" cm="1">
        <f t="array" ref="F345">INDEX(Table1[riBAQ 19], MATCH(1, (Table3[[#This Row],[Gene names]:[Gene names]] = Table1[[Gene names]:[Gene names]])*1, 0))</f>
        <v>0</v>
      </c>
      <c r="G345" cm="1">
        <f t="array" ref="G345">INDEX(Table1[riBAQ 20], MATCH(1, (Table3[[#This Row],[Gene names]:[Gene names]] = Table1[[Gene names]:[Gene names]])*1, 0))</f>
        <v>0</v>
      </c>
      <c r="H345" cm="1">
        <f t="array" ref="H345">INDEX(Table1[riBAQ 21], MATCH(1, (Table3[[#This Row],[Gene names]:[Gene names]] = Table1[[Gene names]:[Gene names]])*1, 0))</f>
        <v>1.4100000000000001E-5</v>
      </c>
      <c r="I345" cm="1">
        <f t="array" ref="I345">INDEX(Table1[riBAQ 22], MATCH(1, (Table3[[#This Row],[Gene names]:[Gene names]] = Table1[[Gene names]:[Gene names]])*1, 0))</f>
        <v>0</v>
      </c>
      <c r="J345" cm="1">
        <f t="array" ref="J345">INDEX(Table1[riBAQ 23], MATCH(1, (Table3[[#This Row],[Gene names]:[Gene names]] = Table1[[Gene names]:[Gene names]])*1, 0))</f>
        <v>0</v>
      </c>
      <c r="K345" cm="1">
        <f t="array" ref="K345">INDEX(Table1[riBAQ 37], MATCH(1, (Table3[[#This Row],[Gene names]:[Gene names]] = Table1[[Gene names]:[Gene names]])*1, 0))</f>
        <v>0</v>
      </c>
      <c r="L345" cm="1">
        <f t="array" ref="L345">INDEX(Table1[riBAQ 38], MATCH(1, (Table3[[#This Row],[Gene names]:[Gene names]] = Table1[[Gene names]:[Gene names]])*1, 0))</f>
        <v>0</v>
      </c>
      <c r="M345" cm="1">
        <f t="array" ref="M345">INDEX(Table1[riBAQ 39], MATCH(1, (Table3[[#This Row],[Gene names]:[Gene names]] = Table1[[Gene names]:[Gene names]])*1, 0))</f>
        <v>0</v>
      </c>
      <c r="N345" cm="1">
        <f t="array" ref="N345">INDEX(Table1[riBAQ 40], MATCH(1, (Table3[[#This Row],[Gene names]:[Gene names]] = Table1[[Gene names]:[Gene names]])*1, 0))</f>
        <v>0</v>
      </c>
      <c r="O345" cm="1">
        <f t="array" ref="O345">INDEX(Table1[riBAQ 41], MATCH(1, (Table3[[#This Row],[Gene names]:[Gene names]] = Table1[[Gene names]:[Gene names]])*1, 0))</f>
        <v>0</v>
      </c>
      <c r="P345" cm="1">
        <f t="array" ref="P345">INDEX(Table1[riBAQ 24], MATCH(1, (Table3[[#This Row],[Gene names]:[Gene names]] = Table1[[Gene names]:[Gene names]])*1, 0))</f>
        <v>1.8E-5</v>
      </c>
      <c r="Q345" cm="1">
        <f t="array" ref="Q345">INDEX(Table1[riBAQ 25], MATCH(1, (Table3[[#This Row],[Gene names]:[Gene names]] = Table1[[Gene names]:[Gene names]])*1, 0))</f>
        <v>3.3800000000000002E-5</v>
      </c>
      <c r="R345" cm="1">
        <f t="array" ref="R345">INDEX(Table1[riBAQ 26], MATCH(1, (Table3[[#This Row],[Gene names]:[Gene names]] = Table1[[Gene names]:[Gene names]])*1, 0))</f>
        <v>3.01E-5</v>
      </c>
      <c r="S345" cm="1">
        <f t="array" ref="S345">INDEX(Table1[riBAQ 42], MATCH(1, (Table3[[#This Row],[Gene names]:[Gene names]] = Table1[[Gene names]:[Gene names]])*1, 0))</f>
        <v>4.5000000000000003E-5</v>
      </c>
      <c r="T345" cm="1">
        <f t="array" ref="T345">INDEX(Table1[riBAQ 43], MATCH(1, (Table3[[#This Row],[Gene names]:[Gene names]] = Table1[[Gene names]:[Gene names]])*1, 0))</f>
        <v>3.15E-5</v>
      </c>
    </row>
    <row r="346" spans="1:20" x14ac:dyDescent="0.25">
      <c r="A346" t="s">
        <v>215</v>
      </c>
      <c r="B346" cm="1">
        <f t="array" ref="B346">INDEX(Table1[riBAQ 17], MATCH(1, (Table3[[#This Row],[Gene names]:[Gene names]] = Table1[[Gene names]:[Gene names]])*1, 0))</f>
        <v>4.9293000000000004E-4</v>
      </c>
      <c r="C346" cm="1">
        <f t="array" ref="C346">INDEX(Table1[riBAQ 18], MATCH(1, (Table3[[#This Row],[Gene names]:[Gene names]] = Table1[[Gene names]:[Gene names]])*1, 0))</f>
        <v>4.4430899999999999E-4</v>
      </c>
      <c r="D346" cm="1">
        <f t="array" ref="D346">INDEX(Table1[riBAQ 35], MATCH(1, (Table3[[#This Row],[Gene names]:[Gene names]] = Table1[[Gene names]:[Gene names]])*1, 0))</f>
        <v>2.4626999999999999E-4</v>
      </c>
      <c r="E346" cm="1">
        <f t="array" ref="E346">INDEX(Table1[riBAQ 36], MATCH(1, (Table3[[#This Row],[Gene names]:[Gene names]] = Table1[[Gene names]:[Gene names]])*1, 0))</f>
        <v>1.98607E-4</v>
      </c>
      <c r="F346" cm="1">
        <f t="array" ref="F346">INDEX(Table1[riBAQ 19], MATCH(1, (Table3[[#This Row],[Gene names]:[Gene names]] = Table1[[Gene names]:[Gene names]])*1, 0))</f>
        <v>5.0228399999999998E-4</v>
      </c>
      <c r="G346" cm="1">
        <f t="array" ref="G346">INDEX(Table1[riBAQ 20], MATCH(1, (Table3[[#This Row],[Gene names]:[Gene names]] = Table1[[Gene names]:[Gene names]])*1, 0))</f>
        <v>2.5479300000000001E-4</v>
      </c>
      <c r="H346" cm="1">
        <f t="array" ref="H346">INDEX(Table1[riBAQ 21], MATCH(1, (Table3[[#This Row],[Gene names]:[Gene names]] = Table1[[Gene names]:[Gene names]])*1, 0))</f>
        <v>3.615E-4</v>
      </c>
      <c r="I346" cm="1">
        <f t="array" ref="I346">INDEX(Table1[riBAQ 22], MATCH(1, (Table3[[#This Row],[Gene names]:[Gene names]] = Table1[[Gene names]:[Gene names]])*1, 0))</f>
        <v>2.29745E-4</v>
      </c>
      <c r="J346" cm="1">
        <f t="array" ref="J346">INDEX(Table1[riBAQ 23], MATCH(1, (Table3[[#This Row],[Gene names]:[Gene names]] = Table1[[Gene names]:[Gene names]])*1, 0))</f>
        <v>6.4620200000000002E-4</v>
      </c>
      <c r="K346" cm="1">
        <f t="array" ref="K346">INDEX(Table1[riBAQ 37], MATCH(1, (Table3[[#This Row],[Gene names]:[Gene names]] = Table1[[Gene names]:[Gene names]])*1, 0))</f>
        <v>2.6593199999999997E-4</v>
      </c>
      <c r="L346" cm="1">
        <f t="array" ref="L346">INDEX(Table1[riBAQ 38], MATCH(1, (Table3[[#This Row],[Gene names]:[Gene names]] = Table1[[Gene names]:[Gene names]])*1, 0))</f>
        <v>2.5596199999999999E-4</v>
      </c>
      <c r="M346" cm="1">
        <f t="array" ref="M346">INDEX(Table1[riBAQ 39], MATCH(1, (Table3[[#This Row],[Gene names]:[Gene names]] = Table1[[Gene names]:[Gene names]])*1, 0))</f>
        <v>9.4500000000000007E-5</v>
      </c>
      <c r="N346" cm="1">
        <f t="array" ref="N346">INDEX(Table1[riBAQ 40], MATCH(1, (Table3[[#This Row],[Gene names]:[Gene names]] = Table1[[Gene names]:[Gene names]])*1, 0))</f>
        <v>1.12954E-4</v>
      </c>
      <c r="O346" cm="1">
        <f t="array" ref="O346">INDEX(Table1[riBAQ 41], MATCH(1, (Table3[[#This Row],[Gene names]:[Gene names]] = Table1[[Gene names]:[Gene names]])*1, 0))</f>
        <v>1.37773E-4</v>
      </c>
      <c r="P346" cm="1">
        <f t="array" ref="P346">INDEX(Table1[riBAQ 24], MATCH(1, (Table3[[#This Row],[Gene names]:[Gene names]] = Table1[[Gene names]:[Gene names]])*1, 0))</f>
        <v>5.8162199999999996E-4</v>
      </c>
      <c r="Q346" cm="1">
        <f t="array" ref="Q346">INDEX(Table1[riBAQ 25], MATCH(1, (Table3[[#This Row],[Gene names]:[Gene names]] = Table1[[Gene names]:[Gene names]])*1, 0))</f>
        <v>1.0251310000000001E-3</v>
      </c>
      <c r="R346" cm="1">
        <f t="array" ref="R346">INDEX(Table1[riBAQ 26], MATCH(1, (Table3[[#This Row],[Gene names]:[Gene names]] = Table1[[Gene names]:[Gene names]])*1, 0))</f>
        <v>1.03739E-4</v>
      </c>
      <c r="S346" cm="1">
        <f t="array" ref="S346">INDEX(Table1[riBAQ 42], MATCH(1, (Table3[[#This Row],[Gene names]:[Gene names]] = Table1[[Gene names]:[Gene names]])*1, 0))</f>
        <v>6.8200000000000004E-5</v>
      </c>
      <c r="T346" cm="1">
        <f t="array" ref="T346">INDEX(Table1[riBAQ 43], MATCH(1, (Table3[[#This Row],[Gene names]:[Gene names]] = Table1[[Gene names]:[Gene names]])*1, 0))</f>
        <v>9.6389399999999997E-4</v>
      </c>
    </row>
    <row r="347" spans="1:20" x14ac:dyDescent="0.25">
      <c r="A347" t="s">
        <v>565</v>
      </c>
      <c r="B347" cm="1">
        <f t="array" ref="B347">INDEX(Table1[riBAQ 17], MATCH(1, (Table3[[#This Row],[Gene names]:[Gene names]] = Table1[[Gene names]:[Gene names]])*1, 0))</f>
        <v>2.1800000000000001E-5</v>
      </c>
      <c r="C347" cm="1">
        <f t="array" ref="C347">INDEX(Table1[riBAQ 18], MATCH(1, (Table3[[#This Row],[Gene names]:[Gene names]] = Table1[[Gene names]:[Gene names]])*1, 0))</f>
        <v>1.84E-5</v>
      </c>
      <c r="D347" cm="1">
        <f t="array" ref="D347">INDEX(Table1[riBAQ 35], MATCH(1, (Table3[[#This Row],[Gene names]:[Gene names]] = Table1[[Gene names]:[Gene names]])*1, 0))</f>
        <v>0</v>
      </c>
      <c r="E347" cm="1">
        <f t="array" ref="E347">INDEX(Table1[riBAQ 36], MATCH(1, (Table3[[#This Row],[Gene names]:[Gene names]] = Table1[[Gene names]:[Gene names]])*1, 0))</f>
        <v>0</v>
      </c>
      <c r="F347" cm="1">
        <f t="array" ref="F347">INDEX(Table1[riBAQ 19], MATCH(1, (Table3[[#This Row],[Gene names]:[Gene names]] = Table1[[Gene names]:[Gene names]])*1, 0))</f>
        <v>2.1299999999999999E-5</v>
      </c>
      <c r="G347" cm="1">
        <f t="array" ref="G347">INDEX(Table1[riBAQ 20], MATCH(1, (Table3[[#This Row],[Gene names]:[Gene names]] = Table1[[Gene names]:[Gene names]])*1, 0))</f>
        <v>1.77E-5</v>
      </c>
      <c r="H347" cm="1">
        <f t="array" ref="H347">INDEX(Table1[riBAQ 21], MATCH(1, (Table3[[#This Row],[Gene names]:[Gene names]] = Table1[[Gene names]:[Gene names]])*1, 0))</f>
        <v>1.49E-5</v>
      </c>
      <c r="I347" cm="1">
        <f t="array" ref="I347">INDEX(Table1[riBAQ 22], MATCH(1, (Table3[[#This Row],[Gene names]:[Gene names]] = Table1[[Gene names]:[Gene names]])*1, 0))</f>
        <v>1.8499999999999999E-5</v>
      </c>
      <c r="J347" cm="1">
        <f t="array" ref="J347">INDEX(Table1[riBAQ 23], MATCH(1, (Table3[[#This Row],[Gene names]:[Gene names]] = Table1[[Gene names]:[Gene names]])*1, 0))</f>
        <v>2.9099999999999999E-5</v>
      </c>
      <c r="K347" cm="1">
        <f t="array" ref="K347">INDEX(Table1[riBAQ 37], MATCH(1, (Table3[[#This Row],[Gene names]:[Gene names]] = Table1[[Gene names]:[Gene names]])*1, 0))</f>
        <v>1.08E-5</v>
      </c>
      <c r="L347" cm="1">
        <f t="array" ref="L347">INDEX(Table1[riBAQ 38], MATCH(1, (Table3[[#This Row],[Gene names]:[Gene names]] = Table1[[Gene names]:[Gene names]])*1, 0))</f>
        <v>0</v>
      </c>
      <c r="M347" cm="1">
        <f t="array" ref="M347">INDEX(Table1[riBAQ 39], MATCH(1, (Table3[[#This Row],[Gene names]:[Gene names]] = Table1[[Gene names]:[Gene names]])*1, 0))</f>
        <v>1.8700000000000001E-5</v>
      </c>
      <c r="N347" cm="1">
        <f t="array" ref="N347">INDEX(Table1[riBAQ 40], MATCH(1, (Table3[[#This Row],[Gene names]:[Gene names]] = Table1[[Gene names]:[Gene names]])*1, 0))</f>
        <v>3.3300000000000003E-5</v>
      </c>
      <c r="O347" cm="1">
        <f t="array" ref="O347">INDEX(Table1[riBAQ 41], MATCH(1, (Table3[[#This Row],[Gene names]:[Gene names]] = Table1[[Gene names]:[Gene names]])*1, 0))</f>
        <v>1.59E-5</v>
      </c>
      <c r="P347" cm="1">
        <f t="array" ref="P347">INDEX(Table1[riBAQ 24], MATCH(1, (Table3[[#This Row],[Gene names]:[Gene names]] = Table1[[Gene names]:[Gene names]])*1, 0))</f>
        <v>3.0199999999999999E-5</v>
      </c>
      <c r="Q347" cm="1">
        <f t="array" ref="Q347">INDEX(Table1[riBAQ 25], MATCH(1, (Table3[[#This Row],[Gene names]:[Gene names]] = Table1[[Gene names]:[Gene names]])*1, 0))</f>
        <v>3.9199999999999997E-5</v>
      </c>
      <c r="R347" cm="1">
        <f t="array" ref="R347">INDEX(Table1[riBAQ 26], MATCH(1, (Table3[[#This Row],[Gene names]:[Gene names]] = Table1[[Gene names]:[Gene names]])*1, 0))</f>
        <v>3.6199999999999999E-5</v>
      </c>
      <c r="S347" cm="1">
        <f t="array" ref="S347">INDEX(Table1[riBAQ 42], MATCH(1, (Table3[[#This Row],[Gene names]:[Gene names]] = Table1[[Gene names]:[Gene names]])*1, 0))</f>
        <v>5.38E-5</v>
      </c>
      <c r="T347" cm="1">
        <f t="array" ref="T347">INDEX(Table1[riBAQ 43], MATCH(1, (Table3[[#This Row],[Gene names]:[Gene names]] = Table1[[Gene names]:[Gene names]])*1, 0))</f>
        <v>6.0800000000000001E-5</v>
      </c>
    </row>
    <row r="348" spans="1:20" x14ac:dyDescent="0.25">
      <c r="A348" t="s">
        <v>1614</v>
      </c>
      <c r="B348" cm="1">
        <f t="array" ref="B348">INDEX(Table1[riBAQ 17], MATCH(1, (Table3[[#This Row],[Gene names]:[Gene names]] = Table1[[Gene names]:[Gene names]])*1, 0))</f>
        <v>4.9775799999999995E-4</v>
      </c>
      <c r="C348" cm="1">
        <f t="array" ref="C348">INDEX(Table1[riBAQ 18], MATCH(1, (Table3[[#This Row],[Gene names]:[Gene names]] = Table1[[Gene names]:[Gene names]])*1, 0))</f>
        <v>1.5865000000000001E-4</v>
      </c>
      <c r="D348" cm="1">
        <f t="array" ref="D348">INDEX(Table1[riBAQ 35], MATCH(1, (Table3[[#This Row],[Gene names]:[Gene names]] = Table1[[Gene names]:[Gene names]])*1, 0))</f>
        <v>2.3114199999999999E-4</v>
      </c>
      <c r="E348" cm="1">
        <f t="array" ref="E348">INDEX(Table1[riBAQ 36], MATCH(1, (Table3[[#This Row],[Gene names]:[Gene names]] = Table1[[Gene names]:[Gene names]])*1, 0))</f>
        <v>1.18034E-4</v>
      </c>
      <c r="F348" cm="1">
        <f t="array" ref="F348">INDEX(Table1[riBAQ 19], MATCH(1, (Table3[[#This Row],[Gene names]:[Gene names]] = Table1[[Gene names]:[Gene names]])*1, 0))</f>
        <v>4.0247900000000002E-4</v>
      </c>
      <c r="G348" cm="1">
        <f t="array" ref="G348">INDEX(Table1[riBAQ 20], MATCH(1, (Table3[[#This Row],[Gene names]:[Gene names]] = Table1[[Gene names]:[Gene names]])*1, 0))</f>
        <v>3.3478000000000002E-4</v>
      </c>
      <c r="H348" cm="1">
        <f t="array" ref="H348">INDEX(Table1[riBAQ 21], MATCH(1, (Table3[[#This Row],[Gene names]:[Gene names]] = Table1[[Gene names]:[Gene names]])*1, 0))</f>
        <v>4.3259E-4</v>
      </c>
      <c r="I348" cm="1">
        <f t="array" ref="I348">INDEX(Table1[riBAQ 22], MATCH(1, (Table3[[#This Row],[Gene names]:[Gene names]] = Table1[[Gene names]:[Gene names]])*1, 0))</f>
        <v>3.5383600000000001E-4</v>
      </c>
      <c r="J348" cm="1">
        <f t="array" ref="J348">INDEX(Table1[riBAQ 23], MATCH(1, (Table3[[#This Row],[Gene names]:[Gene names]] = Table1[[Gene names]:[Gene names]])*1, 0))</f>
        <v>5.9831000000000001E-4</v>
      </c>
      <c r="K348" cm="1">
        <f t="array" ref="K348">INDEX(Table1[riBAQ 37], MATCH(1, (Table3[[#This Row],[Gene names]:[Gene names]] = Table1[[Gene names]:[Gene names]])*1, 0))</f>
        <v>3.0936700000000001E-4</v>
      </c>
      <c r="L348" cm="1">
        <f t="array" ref="L348">INDEX(Table1[riBAQ 38], MATCH(1, (Table3[[#This Row],[Gene names]:[Gene names]] = Table1[[Gene names]:[Gene names]])*1, 0))</f>
        <v>1.9911500000000001E-4</v>
      </c>
      <c r="M348" cm="1">
        <f t="array" ref="M348">INDEX(Table1[riBAQ 39], MATCH(1, (Table3[[#This Row],[Gene names]:[Gene names]] = Table1[[Gene names]:[Gene names]])*1, 0))</f>
        <v>5.1641700000000003E-4</v>
      </c>
      <c r="N348" cm="1">
        <f t="array" ref="N348">INDEX(Table1[riBAQ 40], MATCH(1, (Table3[[#This Row],[Gene names]:[Gene names]] = Table1[[Gene names]:[Gene names]])*1, 0))</f>
        <v>9.912129999999999E-4</v>
      </c>
      <c r="O348" cm="1">
        <f t="array" ref="O348">INDEX(Table1[riBAQ 41], MATCH(1, (Table3[[#This Row],[Gene names]:[Gene names]] = Table1[[Gene names]:[Gene names]])*1, 0))</f>
        <v>2.3477400000000001E-4</v>
      </c>
      <c r="P348" cm="1">
        <f t="array" ref="P348">INDEX(Table1[riBAQ 24], MATCH(1, (Table3[[#This Row],[Gene names]:[Gene names]] = Table1[[Gene names]:[Gene names]])*1, 0))</f>
        <v>1.2813880000000001E-3</v>
      </c>
      <c r="Q348" cm="1">
        <f t="array" ref="Q348">INDEX(Table1[riBAQ 25], MATCH(1, (Table3[[#This Row],[Gene names]:[Gene names]] = Table1[[Gene names]:[Gene names]])*1, 0))</f>
        <v>1.6298669999999999E-3</v>
      </c>
      <c r="R348" cm="1">
        <f t="array" ref="R348">INDEX(Table1[riBAQ 26], MATCH(1, (Table3[[#This Row],[Gene names]:[Gene names]] = Table1[[Gene names]:[Gene names]])*1, 0))</f>
        <v>2.3657919999999998E-3</v>
      </c>
      <c r="S348" cm="1">
        <f t="array" ref="S348">INDEX(Table1[riBAQ 42], MATCH(1, (Table3[[#This Row],[Gene names]:[Gene names]] = Table1[[Gene names]:[Gene names]])*1, 0))</f>
        <v>1.7690169999999999E-3</v>
      </c>
      <c r="T348" cm="1">
        <f t="array" ref="T348">INDEX(Table1[riBAQ 43], MATCH(1, (Table3[[#This Row],[Gene names]:[Gene names]] = Table1[[Gene names]:[Gene names]])*1, 0))</f>
        <v>1.5379600000000001E-3</v>
      </c>
    </row>
    <row r="349" spans="1:20" x14ac:dyDescent="0.25">
      <c r="A349" t="s">
        <v>1552</v>
      </c>
      <c r="B349" cm="1">
        <f t="array" ref="B349">INDEX(Table1[riBAQ 17], MATCH(1, (Table3[[#This Row],[Gene names]:[Gene names]] = Table1[[Gene names]:[Gene names]])*1, 0))</f>
        <v>0</v>
      </c>
      <c r="C349" cm="1">
        <f t="array" ref="C349">INDEX(Table1[riBAQ 18], MATCH(1, (Table3[[#This Row],[Gene names]:[Gene names]] = Table1[[Gene names]:[Gene names]])*1, 0))</f>
        <v>0</v>
      </c>
      <c r="D349" cm="1">
        <f t="array" ref="D349">INDEX(Table1[riBAQ 35], MATCH(1, (Table3[[#This Row],[Gene names]:[Gene names]] = Table1[[Gene names]:[Gene names]])*1, 0))</f>
        <v>0</v>
      </c>
      <c r="E349" cm="1">
        <f t="array" ref="E349">INDEX(Table1[riBAQ 36], MATCH(1, (Table3[[#This Row],[Gene names]:[Gene names]] = Table1[[Gene names]:[Gene names]])*1, 0))</f>
        <v>0</v>
      </c>
      <c r="F349" cm="1">
        <f t="array" ref="F349">INDEX(Table1[riBAQ 19], MATCH(1, (Table3[[#This Row],[Gene names]:[Gene names]] = Table1[[Gene names]:[Gene names]])*1, 0))</f>
        <v>0</v>
      </c>
      <c r="G349" cm="1">
        <f t="array" ref="G349">INDEX(Table1[riBAQ 20], MATCH(1, (Table3[[#This Row],[Gene names]:[Gene names]] = Table1[[Gene names]:[Gene names]])*1, 0))</f>
        <v>0</v>
      </c>
      <c r="H349" cm="1">
        <f t="array" ref="H349">INDEX(Table1[riBAQ 21], MATCH(1, (Table3[[#This Row],[Gene names]:[Gene names]] = Table1[[Gene names]:[Gene names]])*1, 0))</f>
        <v>9.4199999999999996E-6</v>
      </c>
      <c r="I349" cm="1">
        <f t="array" ref="I349">INDEX(Table1[riBAQ 22], MATCH(1, (Table3[[#This Row],[Gene names]:[Gene names]] = Table1[[Gene names]:[Gene names]])*1, 0))</f>
        <v>0</v>
      </c>
      <c r="J349" cm="1">
        <f t="array" ref="J349">INDEX(Table1[riBAQ 23], MATCH(1, (Table3[[#This Row],[Gene names]:[Gene names]] = Table1[[Gene names]:[Gene names]])*1, 0))</f>
        <v>0</v>
      </c>
      <c r="K349" cm="1">
        <f t="array" ref="K349">INDEX(Table1[riBAQ 37], MATCH(1, (Table3[[#This Row],[Gene names]:[Gene names]] = Table1[[Gene names]:[Gene names]])*1, 0))</f>
        <v>0</v>
      </c>
      <c r="L349" cm="1">
        <f t="array" ref="L349">INDEX(Table1[riBAQ 38], MATCH(1, (Table3[[#This Row],[Gene names]:[Gene names]] = Table1[[Gene names]:[Gene names]])*1, 0))</f>
        <v>0</v>
      </c>
      <c r="M349" cm="1">
        <f t="array" ref="M349">INDEX(Table1[riBAQ 39], MATCH(1, (Table3[[#This Row],[Gene names]:[Gene names]] = Table1[[Gene names]:[Gene names]])*1, 0))</f>
        <v>0</v>
      </c>
      <c r="N349" cm="1">
        <f t="array" ref="N349">INDEX(Table1[riBAQ 40], MATCH(1, (Table3[[#This Row],[Gene names]:[Gene names]] = Table1[[Gene names]:[Gene names]])*1, 0))</f>
        <v>0</v>
      </c>
      <c r="O349" cm="1">
        <f t="array" ref="O349">INDEX(Table1[riBAQ 41], MATCH(1, (Table3[[#This Row],[Gene names]:[Gene names]] = Table1[[Gene names]:[Gene names]])*1, 0))</f>
        <v>0</v>
      </c>
      <c r="P349" cm="1">
        <f t="array" ref="P349">INDEX(Table1[riBAQ 24], MATCH(1, (Table3[[#This Row],[Gene names]:[Gene names]] = Table1[[Gene names]:[Gene names]])*1, 0))</f>
        <v>1.1800000000000001E-5</v>
      </c>
      <c r="Q349" cm="1">
        <f t="array" ref="Q349">INDEX(Table1[riBAQ 25], MATCH(1, (Table3[[#This Row],[Gene names]:[Gene names]] = Table1[[Gene names]:[Gene names]])*1, 0))</f>
        <v>1.08E-5</v>
      </c>
      <c r="R349" cm="1">
        <f t="array" ref="R349">INDEX(Table1[riBAQ 26], MATCH(1, (Table3[[#This Row],[Gene names]:[Gene names]] = Table1[[Gene names]:[Gene names]])*1, 0))</f>
        <v>1.43E-5</v>
      </c>
      <c r="S349" cm="1">
        <f t="array" ref="S349">INDEX(Table1[riBAQ 42], MATCH(1, (Table3[[#This Row],[Gene names]:[Gene names]] = Table1[[Gene names]:[Gene names]])*1, 0))</f>
        <v>7.1400000000000002E-6</v>
      </c>
      <c r="T349" cm="1">
        <f t="array" ref="T349">INDEX(Table1[riBAQ 43], MATCH(1, (Table3[[#This Row],[Gene names]:[Gene names]] = Table1[[Gene names]:[Gene names]])*1, 0))</f>
        <v>8.0700000000000007E-6</v>
      </c>
    </row>
    <row r="350" spans="1:20" x14ac:dyDescent="0.25">
      <c r="A350" t="s">
        <v>1114</v>
      </c>
      <c r="B350" cm="1">
        <f t="array" ref="B350">INDEX(Table1[riBAQ 17], MATCH(1, (Table3[[#This Row],[Gene names]:[Gene names]] = Table1[[Gene names]:[Gene names]])*1, 0))</f>
        <v>0</v>
      </c>
      <c r="C350" cm="1">
        <f t="array" ref="C350">INDEX(Table1[riBAQ 18], MATCH(1, (Table3[[#This Row],[Gene names]:[Gene names]] = Table1[[Gene names]:[Gene names]])*1, 0))</f>
        <v>0</v>
      </c>
      <c r="D350" cm="1">
        <f t="array" ref="D350">INDEX(Table1[riBAQ 35], MATCH(1, (Table3[[#This Row],[Gene names]:[Gene names]] = Table1[[Gene names]:[Gene names]])*1, 0))</f>
        <v>0</v>
      </c>
      <c r="E350" cm="1">
        <f t="array" ref="E350">INDEX(Table1[riBAQ 36], MATCH(1, (Table3[[#This Row],[Gene names]:[Gene names]] = Table1[[Gene names]:[Gene names]])*1, 0))</f>
        <v>0</v>
      </c>
      <c r="F350" cm="1">
        <f t="array" ref="F350">INDEX(Table1[riBAQ 19], MATCH(1, (Table3[[#This Row],[Gene names]:[Gene names]] = Table1[[Gene names]:[Gene names]])*1, 0))</f>
        <v>0</v>
      </c>
      <c r="G350" cm="1">
        <f t="array" ref="G350">INDEX(Table1[riBAQ 20], MATCH(1, (Table3[[#This Row],[Gene names]:[Gene names]] = Table1[[Gene names]:[Gene names]])*1, 0))</f>
        <v>0</v>
      </c>
      <c r="H350" cm="1">
        <f t="array" ref="H350">INDEX(Table1[riBAQ 21], MATCH(1, (Table3[[#This Row],[Gene names]:[Gene names]] = Table1[[Gene names]:[Gene names]])*1, 0))</f>
        <v>0</v>
      </c>
      <c r="I350" cm="1">
        <f t="array" ref="I350">INDEX(Table1[riBAQ 22], MATCH(1, (Table3[[#This Row],[Gene names]:[Gene names]] = Table1[[Gene names]:[Gene names]])*1, 0))</f>
        <v>0</v>
      </c>
      <c r="J350" cm="1">
        <f t="array" ref="J350">INDEX(Table1[riBAQ 23], MATCH(1, (Table3[[#This Row],[Gene names]:[Gene names]] = Table1[[Gene names]:[Gene names]])*1, 0))</f>
        <v>0</v>
      </c>
      <c r="K350" cm="1">
        <f t="array" ref="K350">INDEX(Table1[riBAQ 37], MATCH(1, (Table3[[#This Row],[Gene names]:[Gene names]] = Table1[[Gene names]:[Gene names]])*1, 0))</f>
        <v>0</v>
      </c>
      <c r="L350" cm="1">
        <f t="array" ref="L350">INDEX(Table1[riBAQ 38], MATCH(1, (Table3[[#This Row],[Gene names]:[Gene names]] = Table1[[Gene names]:[Gene names]])*1, 0))</f>
        <v>0</v>
      </c>
      <c r="M350" cm="1">
        <f t="array" ref="M350">INDEX(Table1[riBAQ 39], MATCH(1, (Table3[[#This Row],[Gene names]:[Gene names]] = Table1[[Gene names]:[Gene names]])*1, 0))</f>
        <v>0</v>
      </c>
      <c r="N350" cm="1">
        <f t="array" ref="N350">INDEX(Table1[riBAQ 40], MATCH(1, (Table3[[#This Row],[Gene names]:[Gene names]] = Table1[[Gene names]:[Gene names]])*1, 0))</f>
        <v>0</v>
      </c>
      <c r="O350" cm="1">
        <f t="array" ref="O350">INDEX(Table1[riBAQ 41], MATCH(1, (Table3[[#This Row],[Gene names]:[Gene names]] = Table1[[Gene names]:[Gene names]])*1, 0))</f>
        <v>0</v>
      </c>
      <c r="P350" cm="1">
        <f t="array" ref="P350">INDEX(Table1[riBAQ 24], MATCH(1, (Table3[[#This Row],[Gene names]:[Gene names]] = Table1[[Gene names]:[Gene names]])*1, 0))</f>
        <v>1.1199999999999999E-5</v>
      </c>
      <c r="Q350" cm="1">
        <f t="array" ref="Q350">INDEX(Table1[riBAQ 25], MATCH(1, (Table3[[#This Row],[Gene names]:[Gene names]] = Table1[[Gene names]:[Gene names]])*1, 0))</f>
        <v>1.5099999999999999E-5</v>
      </c>
      <c r="R350" cm="1">
        <f t="array" ref="R350">INDEX(Table1[riBAQ 26], MATCH(1, (Table3[[#This Row],[Gene names]:[Gene names]] = Table1[[Gene names]:[Gene names]])*1, 0))</f>
        <v>1.42E-5</v>
      </c>
      <c r="S350" cm="1">
        <f t="array" ref="S350">INDEX(Table1[riBAQ 42], MATCH(1, (Table3[[#This Row],[Gene names]:[Gene names]] = Table1[[Gene names]:[Gene names]])*1, 0))</f>
        <v>0</v>
      </c>
      <c r="T350" cm="1">
        <f t="array" ref="T350">INDEX(Table1[riBAQ 43], MATCH(1, (Table3[[#This Row],[Gene names]:[Gene names]] = Table1[[Gene names]:[Gene names]])*1, 0))</f>
        <v>1.19E-5</v>
      </c>
    </row>
    <row r="351" spans="1:20" x14ac:dyDescent="0.25">
      <c r="A351" t="s">
        <v>25</v>
      </c>
      <c r="B351" cm="1">
        <f t="array" ref="B351">INDEX(Table1[riBAQ 17], MATCH(1, (Table3[[#This Row],[Gene names]:[Gene names]] = Table1[[Gene names]:[Gene names]])*1, 0))</f>
        <v>0</v>
      </c>
      <c r="C351" cm="1">
        <f t="array" ref="C351">INDEX(Table1[riBAQ 18], MATCH(1, (Table3[[#This Row],[Gene names]:[Gene names]] = Table1[[Gene names]:[Gene names]])*1, 0))</f>
        <v>0</v>
      </c>
      <c r="D351" cm="1">
        <f t="array" ref="D351">INDEX(Table1[riBAQ 35], MATCH(1, (Table3[[#This Row],[Gene names]:[Gene names]] = Table1[[Gene names]:[Gene names]])*1, 0))</f>
        <v>0</v>
      </c>
      <c r="E351" cm="1">
        <f t="array" ref="E351">INDEX(Table1[riBAQ 36], MATCH(1, (Table3[[#This Row],[Gene names]:[Gene names]] = Table1[[Gene names]:[Gene names]])*1, 0))</f>
        <v>0</v>
      </c>
      <c r="F351" cm="1">
        <f t="array" ref="F351">INDEX(Table1[riBAQ 19], MATCH(1, (Table3[[#This Row],[Gene names]:[Gene names]] = Table1[[Gene names]:[Gene names]])*1, 0))</f>
        <v>0</v>
      </c>
      <c r="G351" cm="1">
        <f t="array" ref="G351">INDEX(Table1[riBAQ 20], MATCH(1, (Table3[[#This Row],[Gene names]:[Gene names]] = Table1[[Gene names]:[Gene names]])*1, 0))</f>
        <v>0</v>
      </c>
      <c r="H351" cm="1">
        <f t="array" ref="H351">INDEX(Table1[riBAQ 21], MATCH(1, (Table3[[#This Row],[Gene names]:[Gene names]] = Table1[[Gene names]:[Gene names]])*1, 0))</f>
        <v>7.08E-6</v>
      </c>
      <c r="I351" cm="1">
        <f t="array" ref="I351">INDEX(Table1[riBAQ 22], MATCH(1, (Table3[[#This Row],[Gene names]:[Gene names]] = Table1[[Gene names]:[Gene names]])*1, 0))</f>
        <v>0</v>
      </c>
      <c r="J351" cm="1">
        <f t="array" ref="J351">INDEX(Table1[riBAQ 23], MATCH(1, (Table3[[#This Row],[Gene names]:[Gene names]] = Table1[[Gene names]:[Gene names]])*1, 0))</f>
        <v>6.7000000000000002E-6</v>
      </c>
      <c r="K351" cm="1">
        <f t="array" ref="K351">INDEX(Table1[riBAQ 37], MATCH(1, (Table3[[#This Row],[Gene names]:[Gene names]] = Table1[[Gene names]:[Gene names]])*1, 0))</f>
        <v>0</v>
      </c>
      <c r="L351" cm="1">
        <f t="array" ref="L351">INDEX(Table1[riBAQ 38], MATCH(1, (Table3[[#This Row],[Gene names]:[Gene names]] = Table1[[Gene names]:[Gene names]])*1, 0))</f>
        <v>9.1300000000000007E-6</v>
      </c>
      <c r="M351" cm="1">
        <f t="array" ref="M351">INDEX(Table1[riBAQ 39], MATCH(1, (Table3[[#This Row],[Gene names]:[Gene names]] = Table1[[Gene names]:[Gene names]])*1, 0))</f>
        <v>0</v>
      </c>
      <c r="N351" cm="1">
        <f t="array" ref="N351">INDEX(Table1[riBAQ 40], MATCH(1, (Table3[[#This Row],[Gene names]:[Gene names]] = Table1[[Gene names]:[Gene names]])*1, 0))</f>
        <v>0</v>
      </c>
      <c r="O351" cm="1">
        <f t="array" ref="O351">INDEX(Table1[riBAQ 41], MATCH(1, (Table3[[#This Row],[Gene names]:[Gene names]] = Table1[[Gene names]:[Gene names]])*1, 0))</f>
        <v>0</v>
      </c>
      <c r="P351" cm="1">
        <f t="array" ref="P351">INDEX(Table1[riBAQ 24], MATCH(1, (Table3[[#This Row],[Gene names]:[Gene names]] = Table1[[Gene names]:[Gene names]])*1, 0))</f>
        <v>0</v>
      </c>
      <c r="Q351" cm="1">
        <f t="array" ref="Q351">INDEX(Table1[riBAQ 25], MATCH(1, (Table3[[#This Row],[Gene names]:[Gene names]] = Table1[[Gene names]:[Gene names]])*1, 0))</f>
        <v>6.4500000000000001E-6</v>
      </c>
      <c r="R351" cm="1">
        <f t="array" ref="R351">INDEX(Table1[riBAQ 26], MATCH(1, (Table3[[#This Row],[Gene names]:[Gene names]] = Table1[[Gene names]:[Gene names]])*1, 0))</f>
        <v>6.3300000000000004E-6</v>
      </c>
      <c r="S351" cm="1">
        <f t="array" ref="S351">INDEX(Table1[riBAQ 42], MATCH(1, (Table3[[#This Row],[Gene names]:[Gene names]] = Table1[[Gene names]:[Gene names]])*1, 0))</f>
        <v>8.8100000000000004E-6</v>
      </c>
      <c r="T351" cm="1">
        <f t="array" ref="T351">INDEX(Table1[riBAQ 43], MATCH(1, (Table3[[#This Row],[Gene names]:[Gene names]] = Table1[[Gene names]:[Gene names]])*1, 0))</f>
        <v>9.0499999999999997E-6</v>
      </c>
    </row>
    <row r="352" spans="1:20" x14ac:dyDescent="0.25">
      <c r="A352" t="s">
        <v>1584</v>
      </c>
      <c r="B352" cm="1">
        <f t="array" ref="B352">INDEX(Table1[riBAQ 17], MATCH(1, (Table3[[#This Row],[Gene names]:[Gene names]] = Table1[[Gene names]:[Gene names]])*1, 0))</f>
        <v>6.9300000000000004E-5</v>
      </c>
      <c r="C352" cm="1">
        <f t="array" ref="C352">INDEX(Table1[riBAQ 18], MATCH(1, (Table3[[#This Row],[Gene names]:[Gene names]] = Table1[[Gene names]:[Gene names]])*1, 0))</f>
        <v>2.9200000000000002E-5</v>
      </c>
      <c r="D352" cm="1">
        <f t="array" ref="D352">INDEX(Table1[riBAQ 35], MATCH(1, (Table3[[#This Row],[Gene names]:[Gene names]] = Table1[[Gene names]:[Gene names]])*1, 0))</f>
        <v>3.0899999999999999E-5</v>
      </c>
      <c r="E352" cm="1">
        <f t="array" ref="E352">INDEX(Table1[riBAQ 36], MATCH(1, (Table3[[#This Row],[Gene names]:[Gene names]] = Table1[[Gene names]:[Gene names]])*1, 0))</f>
        <v>2.58E-5</v>
      </c>
      <c r="F352" cm="1">
        <f t="array" ref="F352">INDEX(Table1[riBAQ 19], MATCH(1, (Table3[[#This Row],[Gene names]:[Gene names]] = Table1[[Gene names]:[Gene names]])*1, 0))</f>
        <v>1.98E-5</v>
      </c>
      <c r="G352" cm="1">
        <f t="array" ref="G352">INDEX(Table1[riBAQ 20], MATCH(1, (Table3[[#This Row],[Gene names]:[Gene names]] = Table1[[Gene names]:[Gene names]])*1, 0))</f>
        <v>3.5299999999999997E-5</v>
      </c>
      <c r="H352" cm="1">
        <f t="array" ref="H352">INDEX(Table1[riBAQ 21], MATCH(1, (Table3[[#This Row],[Gene names]:[Gene names]] = Table1[[Gene names]:[Gene names]])*1, 0))</f>
        <v>9.0000000000000006E-5</v>
      </c>
      <c r="I352" cm="1">
        <f t="array" ref="I352">INDEX(Table1[riBAQ 22], MATCH(1, (Table3[[#This Row],[Gene names]:[Gene names]] = Table1[[Gene names]:[Gene names]])*1, 0))</f>
        <v>9.4500000000000007E-5</v>
      </c>
      <c r="J352" cm="1">
        <f t="array" ref="J352">INDEX(Table1[riBAQ 23], MATCH(1, (Table3[[#This Row],[Gene names]:[Gene names]] = Table1[[Gene names]:[Gene names]])*1, 0))</f>
        <v>3.5800000000000003E-5</v>
      </c>
      <c r="K352" cm="1">
        <f t="array" ref="K352">INDEX(Table1[riBAQ 37], MATCH(1, (Table3[[#This Row],[Gene names]:[Gene names]] = Table1[[Gene names]:[Gene names]])*1, 0))</f>
        <v>1.10464E-4</v>
      </c>
      <c r="L352" cm="1">
        <f t="array" ref="L352">INDEX(Table1[riBAQ 38], MATCH(1, (Table3[[#This Row],[Gene names]:[Gene names]] = Table1[[Gene names]:[Gene names]])*1, 0))</f>
        <v>7.7600000000000002E-5</v>
      </c>
      <c r="M352" cm="1">
        <f t="array" ref="M352">INDEX(Table1[riBAQ 39], MATCH(1, (Table3[[#This Row],[Gene names]:[Gene names]] = Table1[[Gene names]:[Gene names]])*1, 0))</f>
        <v>8.3599999999999999E-5</v>
      </c>
      <c r="N352" cm="1">
        <f t="array" ref="N352">INDEX(Table1[riBAQ 40], MATCH(1, (Table3[[#This Row],[Gene names]:[Gene names]] = Table1[[Gene names]:[Gene names]])*1, 0))</f>
        <v>5.8900000000000002E-5</v>
      </c>
      <c r="O352" cm="1">
        <f t="array" ref="O352">INDEX(Table1[riBAQ 41], MATCH(1, (Table3[[#This Row],[Gene names]:[Gene names]] = Table1[[Gene names]:[Gene names]])*1, 0))</f>
        <v>3.4600000000000001E-5</v>
      </c>
      <c r="P352" cm="1">
        <f t="array" ref="P352">INDEX(Table1[riBAQ 24], MATCH(1, (Table3[[#This Row],[Gene names]:[Gene names]] = Table1[[Gene names]:[Gene names]])*1, 0))</f>
        <v>2.0130199999999999E-4</v>
      </c>
      <c r="Q352" cm="1">
        <f t="array" ref="Q352">INDEX(Table1[riBAQ 25], MATCH(1, (Table3[[#This Row],[Gene names]:[Gene names]] = Table1[[Gene names]:[Gene names]])*1, 0))</f>
        <v>2.2694300000000001E-4</v>
      </c>
      <c r="R352" cm="1">
        <f t="array" ref="R352">INDEX(Table1[riBAQ 26], MATCH(1, (Table3[[#This Row],[Gene names]:[Gene names]] = Table1[[Gene names]:[Gene names]])*1, 0))</f>
        <v>4.0200000000000001E-5</v>
      </c>
      <c r="S352" cm="1">
        <f t="array" ref="S352">INDEX(Table1[riBAQ 42], MATCH(1, (Table3[[#This Row],[Gene names]:[Gene names]] = Table1[[Gene names]:[Gene names]])*1, 0))</f>
        <v>2.6991500000000002E-4</v>
      </c>
      <c r="T352" cm="1">
        <f t="array" ref="T352">INDEX(Table1[riBAQ 43], MATCH(1, (Table3[[#This Row],[Gene names]:[Gene names]] = Table1[[Gene names]:[Gene names]])*1, 0))</f>
        <v>3.12069E-4</v>
      </c>
    </row>
    <row r="353" spans="1:20" x14ac:dyDescent="0.25">
      <c r="A353" t="s">
        <v>1581</v>
      </c>
      <c r="B353" cm="1">
        <f t="array" ref="B353">INDEX(Table1[riBAQ 17], MATCH(1, (Table3[[#This Row],[Gene names]:[Gene names]] = Table1[[Gene names]:[Gene names]])*1, 0))</f>
        <v>1.3672580000000001E-3</v>
      </c>
      <c r="C353" cm="1">
        <f t="array" ref="C353">INDEX(Table1[riBAQ 18], MATCH(1, (Table3[[#This Row],[Gene names]:[Gene names]] = Table1[[Gene names]:[Gene names]])*1, 0))</f>
        <v>9.5328299999999997E-4</v>
      </c>
      <c r="D353" cm="1">
        <f t="array" ref="D353">INDEX(Table1[riBAQ 35], MATCH(1, (Table3[[#This Row],[Gene names]:[Gene names]] = Table1[[Gene names]:[Gene names]])*1, 0))</f>
        <v>9.4691399999999998E-4</v>
      </c>
      <c r="E353" cm="1">
        <f t="array" ref="E353">INDEX(Table1[riBAQ 36], MATCH(1, (Table3[[#This Row],[Gene names]:[Gene names]] = Table1[[Gene names]:[Gene names]])*1, 0))</f>
        <v>1.095012E-3</v>
      </c>
      <c r="F353" cm="1">
        <f t="array" ref="F353">INDEX(Table1[riBAQ 19], MATCH(1, (Table3[[#This Row],[Gene names]:[Gene names]] = Table1[[Gene names]:[Gene names]])*1, 0))</f>
        <v>8.3881799999999996E-4</v>
      </c>
      <c r="G353" cm="1">
        <f t="array" ref="G353">INDEX(Table1[riBAQ 20], MATCH(1, (Table3[[#This Row],[Gene names]:[Gene names]] = Table1[[Gene names]:[Gene names]])*1, 0))</f>
        <v>9.9542599999999999E-4</v>
      </c>
      <c r="H353" cm="1">
        <f t="array" ref="H353">INDEX(Table1[riBAQ 21], MATCH(1, (Table3[[#This Row],[Gene names]:[Gene names]] = Table1[[Gene names]:[Gene names]])*1, 0))</f>
        <v>1.0907079999999999E-3</v>
      </c>
      <c r="I353" cm="1">
        <f t="array" ref="I353">INDEX(Table1[riBAQ 22], MATCH(1, (Table3[[#This Row],[Gene names]:[Gene names]] = Table1[[Gene names]:[Gene names]])*1, 0))</f>
        <v>9.962110000000001E-4</v>
      </c>
      <c r="J353" cm="1">
        <f t="array" ref="J353">INDEX(Table1[riBAQ 23], MATCH(1, (Table3[[#This Row],[Gene names]:[Gene names]] = Table1[[Gene names]:[Gene names]])*1, 0))</f>
        <v>1.046323E-3</v>
      </c>
      <c r="K353" cm="1">
        <f t="array" ref="K353">INDEX(Table1[riBAQ 37], MATCH(1, (Table3[[#This Row],[Gene names]:[Gene names]] = Table1[[Gene names]:[Gene names]])*1, 0))</f>
        <v>1.2295520000000001E-3</v>
      </c>
      <c r="L353" cm="1">
        <f t="array" ref="L353">INDEX(Table1[riBAQ 38], MATCH(1, (Table3[[#This Row],[Gene names]:[Gene names]] = Table1[[Gene names]:[Gene names]])*1, 0))</f>
        <v>1.1277150000000001E-3</v>
      </c>
      <c r="M353" cm="1">
        <f t="array" ref="M353">INDEX(Table1[riBAQ 39], MATCH(1, (Table3[[#This Row],[Gene names]:[Gene names]] = Table1[[Gene names]:[Gene names]])*1, 0))</f>
        <v>1.0921539999999999E-3</v>
      </c>
      <c r="N353" cm="1">
        <f t="array" ref="N353">INDEX(Table1[riBAQ 40], MATCH(1, (Table3[[#This Row],[Gene names]:[Gene names]] = Table1[[Gene names]:[Gene names]])*1, 0))</f>
        <v>8.1570199999999996E-4</v>
      </c>
      <c r="O353" cm="1">
        <f t="array" ref="O353">INDEX(Table1[riBAQ 41], MATCH(1, (Table3[[#This Row],[Gene names]:[Gene names]] = Table1[[Gene names]:[Gene names]])*1, 0))</f>
        <v>8.5485800000000001E-4</v>
      </c>
      <c r="P353" cm="1">
        <f t="array" ref="P353">INDEX(Table1[riBAQ 24], MATCH(1, (Table3[[#This Row],[Gene names]:[Gene names]] = Table1[[Gene names]:[Gene names]])*1, 0))</f>
        <v>1.4632079999999999E-3</v>
      </c>
      <c r="Q353" cm="1">
        <f t="array" ref="Q353">INDEX(Table1[riBAQ 25], MATCH(1, (Table3[[#This Row],[Gene names]:[Gene names]] = Table1[[Gene names]:[Gene names]])*1, 0))</f>
        <v>1.696326E-3</v>
      </c>
      <c r="R353" cm="1">
        <f t="array" ref="R353">INDEX(Table1[riBAQ 26], MATCH(1, (Table3[[#This Row],[Gene names]:[Gene names]] = Table1[[Gene names]:[Gene names]])*1, 0))</f>
        <v>1.7067009999999999E-3</v>
      </c>
      <c r="S353" cm="1">
        <f t="array" ref="S353">INDEX(Table1[riBAQ 42], MATCH(1, (Table3[[#This Row],[Gene names]:[Gene names]] = Table1[[Gene names]:[Gene names]])*1, 0))</f>
        <v>1.539166E-3</v>
      </c>
      <c r="T353" cm="1">
        <f t="array" ref="T353">INDEX(Table1[riBAQ 43], MATCH(1, (Table3[[#This Row],[Gene names]:[Gene names]] = Table1[[Gene names]:[Gene names]])*1, 0))</f>
        <v>1.9699800000000001E-3</v>
      </c>
    </row>
    <row r="354" spans="1:20" x14ac:dyDescent="0.25">
      <c r="A354" t="s">
        <v>1606</v>
      </c>
      <c r="B354" cm="1">
        <f t="array" ref="B354">INDEX(Table1[riBAQ 17], MATCH(1, (Table3[[#This Row],[Gene names]:[Gene names]] = Table1[[Gene names]:[Gene names]])*1, 0))</f>
        <v>0</v>
      </c>
      <c r="C354" cm="1">
        <f t="array" ref="C354">INDEX(Table1[riBAQ 18], MATCH(1, (Table3[[#This Row],[Gene names]:[Gene names]] = Table1[[Gene names]:[Gene names]])*1, 0))</f>
        <v>1.8199999999999999E-5</v>
      </c>
      <c r="D354" cm="1">
        <f t="array" ref="D354">INDEX(Table1[riBAQ 35], MATCH(1, (Table3[[#This Row],[Gene names]:[Gene names]] = Table1[[Gene names]:[Gene names]])*1, 0))</f>
        <v>9.0899999999999994E-6</v>
      </c>
      <c r="E354" cm="1">
        <f t="array" ref="E354">INDEX(Table1[riBAQ 36], MATCH(1, (Table3[[#This Row],[Gene names]:[Gene names]] = Table1[[Gene names]:[Gene names]])*1, 0))</f>
        <v>1.2099999999999999E-5</v>
      </c>
      <c r="F354" cm="1">
        <f t="array" ref="F354">INDEX(Table1[riBAQ 19], MATCH(1, (Table3[[#This Row],[Gene names]:[Gene names]] = Table1[[Gene names]:[Gene names]])*1, 0))</f>
        <v>0</v>
      </c>
      <c r="G354" cm="1">
        <f t="array" ref="G354">INDEX(Table1[riBAQ 20], MATCH(1, (Table3[[#This Row],[Gene names]:[Gene names]] = Table1[[Gene names]:[Gene names]])*1, 0))</f>
        <v>2.1999999999999999E-5</v>
      </c>
      <c r="H354" cm="1">
        <f t="array" ref="H354">INDEX(Table1[riBAQ 21], MATCH(1, (Table3[[#This Row],[Gene names]:[Gene names]] = Table1[[Gene names]:[Gene names]])*1, 0))</f>
        <v>4.2700000000000001E-5</v>
      </c>
      <c r="I354" cm="1">
        <f t="array" ref="I354">INDEX(Table1[riBAQ 22], MATCH(1, (Table3[[#This Row],[Gene names]:[Gene names]] = Table1[[Gene names]:[Gene names]])*1, 0))</f>
        <v>2.6100000000000001E-5</v>
      </c>
      <c r="J354" cm="1">
        <f t="array" ref="J354">INDEX(Table1[riBAQ 23], MATCH(1, (Table3[[#This Row],[Gene names]:[Gene names]] = Table1[[Gene names]:[Gene names]])*1, 0))</f>
        <v>0</v>
      </c>
      <c r="K354" cm="1">
        <f t="array" ref="K354">INDEX(Table1[riBAQ 37], MATCH(1, (Table3[[#This Row],[Gene names]:[Gene names]] = Table1[[Gene names]:[Gene names]])*1, 0))</f>
        <v>2.19E-5</v>
      </c>
      <c r="L354" cm="1">
        <f t="array" ref="L354">INDEX(Table1[riBAQ 38], MATCH(1, (Table3[[#This Row],[Gene names]:[Gene names]] = Table1[[Gene names]:[Gene names]])*1, 0))</f>
        <v>1.29E-5</v>
      </c>
      <c r="M354" cm="1">
        <f t="array" ref="M354">INDEX(Table1[riBAQ 39], MATCH(1, (Table3[[#This Row],[Gene names]:[Gene names]] = Table1[[Gene names]:[Gene names]])*1, 0))</f>
        <v>1.8300000000000001E-5</v>
      </c>
      <c r="N354" cm="1">
        <f t="array" ref="N354">INDEX(Table1[riBAQ 40], MATCH(1, (Table3[[#This Row],[Gene names]:[Gene names]] = Table1[[Gene names]:[Gene names]])*1, 0))</f>
        <v>1.66E-5</v>
      </c>
      <c r="O354" cm="1">
        <f t="array" ref="O354">INDEX(Table1[riBAQ 41], MATCH(1, (Table3[[#This Row],[Gene names]:[Gene names]] = Table1[[Gene names]:[Gene names]])*1, 0))</f>
        <v>0</v>
      </c>
      <c r="P354" cm="1">
        <f t="array" ref="P354">INDEX(Table1[riBAQ 24], MATCH(1, (Table3[[#This Row],[Gene names]:[Gene names]] = Table1[[Gene names]:[Gene names]])*1, 0))</f>
        <v>3.0499999999999999E-5</v>
      </c>
      <c r="Q354" cm="1">
        <f t="array" ref="Q354">INDEX(Table1[riBAQ 25], MATCH(1, (Table3[[#This Row],[Gene names]:[Gene names]] = Table1[[Gene names]:[Gene names]])*1, 0))</f>
        <v>5.3000000000000001E-5</v>
      </c>
      <c r="R354" cm="1">
        <f t="array" ref="R354">INDEX(Table1[riBAQ 26], MATCH(1, (Table3[[#This Row],[Gene names]:[Gene names]] = Table1[[Gene names]:[Gene names]])*1, 0))</f>
        <v>4.0599999999999998E-5</v>
      </c>
      <c r="S354" cm="1">
        <f t="array" ref="S354">INDEX(Table1[riBAQ 42], MATCH(1, (Table3[[#This Row],[Gene names]:[Gene names]] = Table1[[Gene names]:[Gene names]])*1, 0))</f>
        <v>5.3600000000000002E-5</v>
      </c>
      <c r="T354" cm="1">
        <f t="array" ref="T354">INDEX(Table1[riBAQ 43], MATCH(1, (Table3[[#This Row],[Gene names]:[Gene names]] = Table1[[Gene names]:[Gene names]])*1, 0))</f>
        <v>2.72E-5</v>
      </c>
    </row>
    <row r="355" spans="1:20" x14ac:dyDescent="0.25">
      <c r="A355" t="s">
        <v>354</v>
      </c>
      <c r="B355" cm="1">
        <f t="array" ref="B355">INDEX(Table1[riBAQ 17], MATCH(1, (Table3[[#This Row],[Gene names]:[Gene names]] = Table1[[Gene names]:[Gene names]])*1, 0))</f>
        <v>3.7799999999999997E-5</v>
      </c>
      <c r="C355" cm="1">
        <f t="array" ref="C355">INDEX(Table1[riBAQ 18], MATCH(1, (Table3[[#This Row],[Gene names]:[Gene names]] = Table1[[Gene names]:[Gene names]])*1, 0))</f>
        <v>2.9799999999999999E-5</v>
      </c>
      <c r="D355" cm="1">
        <f t="array" ref="D355">INDEX(Table1[riBAQ 35], MATCH(1, (Table3[[#This Row],[Gene names]:[Gene names]] = Table1[[Gene names]:[Gene names]])*1, 0))</f>
        <v>2.6100000000000001E-5</v>
      </c>
      <c r="E355" cm="1">
        <f t="array" ref="E355">INDEX(Table1[riBAQ 36], MATCH(1, (Table3[[#This Row],[Gene names]:[Gene names]] = Table1[[Gene names]:[Gene names]])*1, 0))</f>
        <v>0</v>
      </c>
      <c r="F355" cm="1">
        <f t="array" ref="F355">INDEX(Table1[riBAQ 19], MATCH(1, (Table3[[#This Row],[Gene names]:[Gene names]] = Table1[[Gene names]:[Gene names]])*1, 0))</f>
        <v>5.8400000000000003E-5</v>
      </c>
      <c r="G355" cm="1">
        <f t="array" ref="G355">INDEX(Table1[riBAQ 20], MATCH(1, (Table3[[#This Row],[Gene names]:[Gene names]] = Table1[[Gene names]:[Gene names]])*1, 0))</f>
        <v>3.9700000000000003E-5</v>
      </c>
      <c r="H355" cm="1">
        <f t="array" ref="H355">INDEX(Table1[riBAQ 21], MATCH(1, (Table3[[#This Row],[Gene names]:[Gene names]] = Table1[[Gene names]:[Gene names]])*1, 0))</f>
        <v>2.7100000000000001E-5</v>
      </c>
      <c r="I355" cm="1">
        <f t="array" ref="I355">INDEX(Table1[riBAQ 22], MATCH(1, (Table3[[#This Row],[Gene names]:[Gene names]] = Table1[[Gene names]:[Gene names]])*1, 0))</f>
        <v>7.0599999999999995E-5</v>
      </c>
      <c r="J355" cm="1">
        <f t="array" ref="J355">INDEX(Table1[riBAQ 23], MATCH(1, (Table3[[#This Row],[Gene names]:[Gene names]] = Table1[[Gene names]:[Gene names]])*1, 0))</f>
        <v>4.2599999999999999E-5</v>
      </c>
      <c r="K355" cm="1">
        <f t="array" ref="K355">INDEX(Table1[riBAQ 37], MATCH(1, (Table3[[#This Row],[Gene names]:[Gene names]] = Table1[[Gene names]:[Gene names]])*1, 0))</f>
        <v>5.0000000000000002E-5</v>
      </c>
      <c r="L355" cm="1">
        <f t="array" ref="L355">INDEX(Table1[riBAQ 38], MATCH(1, (Table3[[#This Row],[Gene names]:[Gene names]] = Table1[[Gene names]:[Gene names]])*1, 0))</f>
        <v>5.4599999999999999E-5</v>
      </c>
      <c r="M355" cm="1">
        <f t="array" ref="M355">INDEX(Table1[riBAQ 39], MATCH(1, (Table3[[#This Row],[Gene names]:[Gene names]] = Table1[[Gene names]:[Gene names]])*1, 0))</f>
        <v>4.7299999999999998E-5</v>
      </c>
      <c r="N355" cm="1">
        <f t="array" ref="N355">INDEX(Table1[riBAQ 40], MATCH(1, (Table3[[#This Row],[Gene names]:[Gene names]] = Table1[[Gene names]:[Gene names]])*1, 0))</f>
        <v>6.0099999999999997E-5</v>
      </c>
      <c r="O355" cm="1">
        <f t="array" ref="O355">INDEX(Table1[riBAQ 41], MATCH(1, (Table3[[#This Row],[Gene names]:[Gene names]] = Table1[[Gene names]:[Gene names]])*1, 0))</f>
        <v>4.5399999999999999E-5</v>
      </c>
      <c r="P355" cm="1">
        <f t="array" ref="P355">INDEX(Table1[riBAQ 24], MATCH(1, (Table3[[#This Row],[Gene names]:[Gene names]] = Table1[[Gene names]:[Gene names]])*1, 0))</f>
        <v>1.02651E-4</v>
      </c>
      <c r="Q355" cm="1">
        <f t="array" ref="Q355">INDEX(Table1[riBAQ 25], MATCH(1, (Table3[[#This Row],[Gene names]:[Gene names]] = Table1[[Gene names]:[Gene names]])*1, 0))</f>
        <v>1.18384E-4</v>
      </c>
      <c r="R355" cm="1">
        <f t="array" ref="R355">INDEX(Table1[riBAQ 26], MATCH(1, (Table3[[#This Row],[Gene names]:[Gene names]] = Table1[[Gene names]:[Gene names]])*1, 0))</f>
        <v>1.6536799999999999E-4</v>
      </c>
      <c r="S355" cm="1">
        <f t="array" ref="S355">INDEX(Table1[riBAQ 42], MATCH(1, (Table3[[#This Row],[Gene names]:[Gene names]] = Table1[[Gene names]:[Gene names]])*1, 0))</f>
        <v>2.5434299999999997E-4</v>
      </c>
      <c r="T355" cm="1">
        <f t="array" ref="T355">INDEX(Table1[riBAQ 43], MATCH(1, (Table3[[#This Row],[Gene names]:[Gene names]] = Table1[[Gene names]:[Gene names]])*1, 0))</f>
        <v>1.3216700000000001E-4</v>
      </c>
    </row>
    <row r="356" spans="1:20" x14ac:dyDescent="0.25">
      <c r="A356" t="s">
        <v>360</v>
      </c>
      <c r="B356" cm="1">
        <f t="array" ref="B356">INDEX(Table1[riBAQ 17], MATCH(1, (Table3[[#This Row],[Gene names]:[Gene names]] = Table1[[Gene names]:[Gene names]])*1, 0))</f>
        <v>2.2835100000000001E-4</v>
      </c>
      <c r="C356" cm="1">
        <f t="array" ref="C356">INDEX(Table1[riBAQ 18], MATCH(1, (Table3[[#This Row],[Gene names]:[Gene names]] = Table1[[Gene names]:[Gene names]])*1, 0))</f>
        <v>3.5601399999999998E-4</v>
      </c>
      <c r="D356" cm="1">
        <f t="array" ref="D356">INDEX(Table1[riBAQ 35], MATCH(1, (Table3[[#This Row],[Gene names]:[Gene names]] = Table1[[Gene names]:[Gene names]])*1, 0))</f>
        <v>2.63937E-4</v>
      </c>
      <c r="E356" cm="1">
        <f t="array" ref="E356">INDEX(Table1[riBAQ 36], MATCH(1, (Table3[[#This Row],[Gene names]:[Gene names]] = Table1[[Gene names]:[Gene names]])*1, 0))</f>
        <v>3.5482999999999999E-4</v>
      </c>
      <c r="F356" cm="1">
        <f t="array" ref="F356">INDEX(Table1[riBAQ 19], MATCH(1, (Table3[[#This Row],[Gene names]:[Gene names]] = Table1[[Gene names]:[Gene names]])*1, 0))</f>
        <v>2.1214500000000001E-4</v>
      </c>
      <c r="G356" cm="1">
        <f t="array" ref="G356">INDEX(Table1[riBAQ 20], MATCH(1, (Table3[[#This Row],[Gene names]:[Gene names]] = Table1[[Gene names]:[Gene names]])*1, 0))</f>
        <v>5.1968700000000001E-4</v>
      </c>
      <c r="H356" cm="1">
        <f t="array" ref="H356">INDEX(Table1[riBAQ 21], MATCH(1, (Table3[[#This Row],[Gene names]:[Gene names]] = Table1[[Gene names]:[Gene names]])*1, 0))</f>
        <v>4.1367800000000001E-4</v>
      </c>
      <c r="I356" cm="1">
        <f t="array" ref="I356">INDEX(Table1[riBAQ 22], MATCH(1, (Table3[[#This Row],[Gene names]:[Gene names]] = Table1[[Gene names]:[Gene names]])*1, 0))</f>
        <v>5.0161599999999998E-4</v>
      </c>
      <c r="J356" cm="1">
        <f t="array" ref="J356">INDEX(Table1[riBAQ 23], MATCH(1, (Table3[[#This Row],[Gene names]:[Gene names]] = Table1[[Gene names]:[Gene names]])*1, 0))</f>
        <v>3.7762199999999998E-4</v>
      </c>
      <c r="K356" cm="1">
        <f t="array" ref="K356">INDEX(Table1[riBAQ 37], MATCH(1, (Table3[[#This Row],[Gene names]:[Gene names]] = Table1[[Gene names]:[Gene names]])*1, 0))</f>
        <v>3.8685999999999999E-4</v>
      </c>
      <c r="L356" cm="1">
        <f t="array" ref="L356">INDEX(Table1[riBAQ 38], MATCH(1, (Table3[[#This Row],[Gene names]:[Gene names]] = Table1[[Gene names]:[Gene names]])*1, 0))</f>
        <v>3.0248200000000002E-4</v>
      </c>
      <c r="M356" cm="1">
        <f t="array" ref="M356">INDEX(Table1[riBAQ 39], MATCH(1, (Table3[[#This Row],[Gene names]:[Gene names]] = Table1[[Gene names]:[Gene names]])*1, 0))</f>
        <v>2.9816100000000002E-4</v>
      </c>
      <c r="N356" cm="1">
        <f t="array" ref="N356">INDEX(Table1[riBAQ 40], MATCH(1, (Table3[[#This Row],[Gene names]:[Gene names]] = Table1[[Gene names]:[Gene names]])*1, 0))</f>
        <v>1.89323E-4</v>
      </c>
      <c r="O356" cm="1">
        <f t="array" ref="O356">INDEX(Table1[riBAQ 41], MATCH(1, (Table3[[#This Row],[Gene names]:[Gene names]] = Table1[[Gene names]:[Gene names]])*1, 0))</f>
        <v>3.3120099999999999E-4</v>
      </c>
      <c r="P356" cm="1">
        <f t="array" ref="P356">INDEX(Table1[riBAQ 24], MATCH(1, (Table3[[#This Row],[Gene names]:[Gene names]] = Table1[[Gene names]:[Gene names]])*1, 0))</f>
        <v>3.1971700000000002E-4</v>
      </c>
      <c r="Q356" cm="1">
        <f t="array" ref="Q356">INDEX(Table1[riBAQ 25], MATCH(1, (Table3[[#This Row],[Gene names]:[Gene names]] = Table1[[Gene names]:[Gene names]])*1, 0))</f>
        <v>4.7762800000000002E-4</v>
      </c>
      <c r="R356" cm="1">
        <f t="array" ref="R356">INDEX(Table1[riBAQ 26], MATCH(1, (Table3[[#This Row],[Gene names]:[Gene names]] = Table1[[Gene names]:[Gene names]])*1, 0))</f>
        <v>4.05201E-4</v>
      </c>
      <c r="S356" cm="1">
        <f t="array" ref="S356">INDEX(Table1[riBAQ 42], MATCH(1, (Table3[[#This Row],[Gene names]:[Gene names]] = Table1[[Gene names]:[Gene names]])*1, 0))</f>
        <v>4.8421400000000001E-4</v>
      </c>
      <c r="T356" cm="1">
        <f t="array" ref="T356">INDEX(Table1[riBAQ 43], MATCH(1, (Table3[[#This Row],[Gene names]:[Gene names]] = Table1[[Gene names]:[Gene names]])*1, 0))</f>
        <v>7.6860600000000002E-4</v>
      </c>
    </row>
    <row r="357" spans="1:20" x14ac:dyDescent="0.25">
      <c r="A357" t="s">
        <v>636</v>
      </c>
      <c r="B357" cm="1">
        <f t="array" ref="B357">INDEX(Table1[riBAQ 17], MATCH(1, (Table3[[#This Row],[Gene names]:[Gene names]] = Table1[[Gene names]:[Gene names]])*1, 0))</f>
        <v>7.7841200000000003E-4</v>
      </c>
      <c r="C357" cm="1">
        <f t="array" ref="C357">INDEX(Table1[riBAQ 18], MATCH(1, (Table3[[#This Row],[Gene names]:[Gene names]] = Table1[[Gene names]:[Gene names]])*1, 0))</f>
        <v>1.160381E-3</v>
      </c>
      <c r="D357" cm="1">
        <f t="array" ref="D357">INDEX(Table1[riBAQ 35], MATCH(1, (Table3[[#This Row],[Gene names]:[Gene names]] = Table1[[Gene names]:[Gene names]])*1, 0))</f>
        <v>1.800236E-3</v>
      </c>
      <c r="E357" cm="1">
        <f t="array" ref="E357">INDEX(Table1[riBAQ 36], MATCH(1, (Table3[[#This Row],[Gene names]:[Gene names]] = Table1[[Gene names]:[Gene names]])*1, 0))</f>
        <v>1.722014E-3</v>
      </c>
      <c r="F357" cm="1">
        <f t="array" ref="F357">INDEX(Table1[riBAQ 19], MATCH(1, (Table3[[#This Row],[Gene names]:[Gene names]] = Table1[[Gene names]:[Gene names]])*1, 0))</f>
        <v>1.350221E-3</v>
      </c>
      <c r="G357" cm="1">
        <f t="array" ref="G357">INDEX(Table1[riBAQ 20], MATCH(1, (Table3[[#This Row],[Gene names]:[Gene names]] = Table1[[Gene names]:[Gene names]])*1, 0))</f>
        <v>7.0699900000000004E-4</v>
      </c>
      <c r="H357" cm="1">
        <f t="array" ref="H357">INDEX(Table1[riBAQ 21], MATCH(1, (Table3[[#This Row],[Gene names]:[Gene names]] = Table1[[Gene names]:[Gene names]])*1, 0))</f>
        <v>1.2076540000000001E-3</v>
      </c>
      <c r="I357" cm="1">
        <f t="array" ref="I357">INDEX(Table1[riBAQ 22], MATCH(1, (Table3[[#This Row],[Gene names]:[Gene names]] = Table1[[Gene names]:[Gene names]])*1, 0))</f>
        <v>1.458906E-3</v>
      </c>
      <c r="J357" cm="1">
        <f t="array" ref="J357">INDEX(Table1[riBAQ 23], MATCH(1, (Table3[[#This Row],[Gene names]:[Gene names]] = Table1[[Gene names]:[Gene names]])*1, 0))</f>
        <v>8.5643299999999998E-4</v>
      </c>
      <c r="K357" cm="1">
        <f t="array" ref="K357">INDEX(Table1[riBAQ 37], MATCH(1, (Table3[[#This Row],[Gene names]:[Gene names]] = Table1[[Gene names]:[Gene names]])*1, 0))</f>
        <v>9.790720000000001E-4</v>
      </c>
      <c r="L357" cm="1">
        <f t="array" ref="L357">INDEX(Table1[riBAQ 38], MATCH(1, (Table3[[#This Row],[Gene names]:[Gene names]] = Table1[[Gene names]:[Gene names]])*1, 0))</f>
        <v>1.081446E-3</v>
      </c>
      <c r="M357" cm="1">
        <f t="array" ref="M357">INDEX(Table1[riBAQ 39], MATCH(1, (Table3[[#This Row],[Gene names]:[Gene names]] = Table1[[Gene names]:[Gene names]])*1, 0))</f>
        <v>9.1065999999999999E-4</v>
      </c>
      <c r="N357" cm="1">
        <f t="array" ref="N357">INDEX(Table1[riBAQ 40], MATCH(1, (Table3[[#This Row],[Gene names]:[Gene names]] = Table1[[Gene names]:[Gene names]])*1, 0))</f>
        <v>1.757511E-3</v>
      </c>
      <c r="O357" cm="1">
        <f t="array" ref="O357">INDEX(Table1[riBAQ 41], MATCH(1, (Table3[[#This Row],[Gene names]:[Gene names]] = Table1[[Gene names]:[Gene names]])*1, 0))</f>
        <v>1.821493E-3</v>
      </c>
      <c r="P357" cm="1">
        <f t="array" ref="P357">INDEX(Table1[riBAQ 24], MATCH(1, (Table3[[#This Row],[Gene names]:[Gene names]] = Table1[[Gene names]:[Gene names]])*1, 0))</f>
        <v>6.1857399999999999E-4</v>
      </c>
      <c r="Q357" cm="1">
        <f t="array" ref="Q357">INDEX(Table1[riBAQ 25], MATCH(1, (Table3[[#This Row],[Gene names]:[Gene names]] = Table1[[Gene names]:[Gene names]])*1, 0))</f>
        <v>0</v>
      </c>
      <c r="R357" cm="1">
        <f t="array" ref="R357">INDEX(Table1[riBAQ 26], MATCH(1, (Table3[[#This Row],[Gene names]:[Gene names]] = Table1[[Gene names]:[Gene names]])*1, 0))</f>
        <v>0</v>
      </c>
      <c r="S357" cm="1">
        <f t="array" ref="S357">INDEX(Table1[riBAQ 42], MATCH(1, (Table3[[#This Row],[Gene names]:[Gene names]] = Table1[[Gene names]:[Gene names]])*1, 0))</f>
        <v>0</v>
      </c>
      <c r="T357" cm="1">
        <f t="array" ref="T357">INDEX(Table1[riBAQ 43], MATCH(1, (Table3[[#This Row],[Gene names]:[Gene names]] = Table1[[Gene names]:[Gene names]])*1, 0))</f>
        <v>0</v>
      </c>
    </row>
    <row r="358" spans="1:20" x14ac:dyDescent="0.25">
      <c r="A358" t="s">
        <v>1710</v>
      </c>
      <c r="B358" cm="1">
        <f t="array" ref="B358">INDEX(Table1[riBAQ 17], MATCH(1, (Table3[[#This Row],[Gene names]:[Gene names]] = Table1[[Gene names]:[Gene names]])*1, 0))</f>
        <v>0</v>
      </c>
      <c r="C358" cm="1">
        <f t="array" ref="C358">INDEX(Table1[riBAQ 18], MATCH(1, (Table3[[#This Row],[Gene names]:[Gene names]] = Table1[[Gene names]:[Gene names]])*1, 0))</f>
        <v>0</v>
      </c>
      <c r="D358" cm="1">
        <f t="array" ref="D358">INDEX(Table1[riBAQ 35], MATCH(1, (Table3[[#This Row],[Gene names]:[Gene names]] = Table1[[Gene names]:[Gene names]])*1, 0))</f>
        <v>0</v>
      </c>
      <c r="E358" cm="1">
        <f t="array" ref="E358">INDEX(Table1[riBAQ 36], MATCH(1, (Table3[[#This Row],[Gene names]:[Gene names]] = Table1[[Gene names]:[Gene names]])*1, 0))</f>
        <v>0</v>
      </c>
      <c r="F358" cm="1">
        <f t="array" ref="F358">INDEX(Table1[riBAQ 19], MATCH(1, (Table3[[#This Row],[Gene names]:[Gene names]] = Table1[[Gene names]:[Gene names]])*1, 0))</f>
        <v>1.6099999999999998E-5</v>
      </c>
      <c r="G358" cm="1">
        <f t="array" ref="G358">INDEX(Table1[riBAQ 20], MATCH(1, (Table3[[#This Row],[Gene names]:[Gene names]] = Table1[[Gene names]:[Gene names]])*1, 0))</f>
        <v>2.7500000000000001E-5</v>
      </c>
      <c r="H358" cm="1">
        <f t="array" ref="H358">INDEX(Table1[riBAQ 21], MATCH(1, (Table3[[#This Row],[Gene names]:[Gene names]] = Table1[[Gene names]:[Gene names]])*1, 0))</f>
        <v>3.0800000000000003E-5</v>
      </c>
      <c r="I358" cm="1">
        <f t="array" ref="I358">INDEX(Table1[riBAQ 22], MATCH(1, (Table3[[#This Row],[Gene names]:[Gene names]] = Table1[[Gene names]:[Gene names]])*1, 0))</f>
        <v>0</v>
      </c>
      <c r="J358" cm="1">
        <f t="array" ref="J358">INDEX(Table1[riBAQ 23], MATCH(1, (Table3[[#This Row],[Gene names]:[Gene names]] = Table1[[Gene names]:[Gene names]])*1, 0))</f>
        <v>1.5099999999999999E-5</v>
      </c>
      <c r="K358" cm="1">
        <f t="array" ref="K358">INDEX(Table1[riBAQ 37], MATCH(1, (Table3[[#This Row],[Gene names]:[Gene names]] = Table1[[Gene names]:[Gene names]])*1, 0))</f>
        <v>1.5999999999999999E-5</v>
      </c>
      <c r="L358" cm="1">
        <f t="array" ref="L358">INDEX(Table1[riBAQ 38], MATCH(1, (Table3[[#This Row],[Gene names]:[Gene names]] = Table1[[Gene names]:[Gene names]])*1, 0))</f>
        <v>3.3200000000000001E-5</v>
      </c>
      <c r="M358" cm="1">
        <f t="array" ref="M358">INDEX(Table1[riBAQ 39], MATCH(1, (Table3[[#This Row],[Gene names]:[Gene names]] = Table1[[Gene names]:[Gene names]])*1, 0))</f>
        <v>2.8900000000000001E-5</v>
      </c>
      <c r="N358" cm="1">
        <f t="array" ref="N358">INDEX(Table1[riBAQ 40], MATCH(1, (Table3[[#This Row],[Gene names]:[Gene names]] = Table1[[Gene names]:[Gene names]])*1, 0))</f>
        <v>2.3099999999999999E-5</v>
      </c>
      <c r="O358" cm="1">
        <f t="array" ref="O358">INDEX(Table1[riBAQ 41], MATCH(1, (Table3[[#This Row],[Gene names]:[Gene names]] = Table1[[Gene names]:[Gene names]])*1, 0))</f>
        <v>1.2999999999999999E-5</v>
      </c>
      <c r="P358" cm="1">
        <f t="array" ref="P358">INDEX(Table1[riBAQ 24], MATCH(1, (Table3[[#This Row],[Gene names]:[Gene names]] = Table1[[Gene names]:[Gene names]])*1, 0))</f>
        <v>4.6799999999999999E-5</v>
      </c>
      <c r="Q358" cm="1">
        <f t="array" ref="Q358">INDEX(Table1[riBAQ 25], MATCH(1, (Table3[[#This Row],[Gene names]:[Gene names]] = Table1[[Gene names]:[Gene names]])*1, 0))</f>
        <v>1.67954E-4</v>
      </c>
      <c r="R358" cm="1">
        <f t="array" ref="R358">INDEX(Table1[riBAQ 26], MATCH(1, (Table3[[#This Row],[Gene names]:[Gene names]] = Table1[[Gene names]:[Gene names]])*1, 0))</f>
        <v>9.8999999999999994E-5</v>
      </c>
      <c r="S358" cm="1">
        <f t="array" ref="S358">INDEX(Table1[riBAQ 42], MATCH(1, (Table3[[#This Row],[Gene names]:[Gene names]] = Table1[[Gene names]:[Gene names]])*1, 0))</f>
        <v>1.9200099999999999E-4</v>
      </c>
      <c r="T358" cm="1">
        <f t="array" ref="T358">INDEX(Table1[riBAQ 43], MATCH(1, (Table3[[#This Row],[Gene names]:[Gene names]] = Table1[[Gene names]:[Gene names]])*1, 0))</f>
        <v>1.10788E-4</v>
      </c>
    </row>
    <row r="359" spans="1:20" x14ac:dyDescent="0.25">
      <c r="A359" t="s">
        <v>638</v>
      </c>
      <c r="B359" cm="1">
        <f t="array" ref="B359">INDEX(Table1[riBAQ 17], MATCH(1, (Table3[[#This Row],[Gene names]:[Gene names]] = Table1[[Gene names]:[Gene names]])*1, 0))</f>
        <v>1.0655200000000001E-4</v>
      </c>
      <c r="C359" cm="1">
        <f t="array" ref="C359">INDEX(Table1[riBAQ 18], MATCH(1, (Table3[[#This Row],[Gene names]:[Gene names]] = Table1[[Gene names]:[Gene names]])*1, 0))</f>
        <v>1.53418E-4</v>
      </c>
      <c r="D359" cm="1">
        <f t="array" ref="D359">INDEX(Table1[riBAQ 35], MATCH(1, (Table3[[#This Row],[Gene names]:[Gene names]] = Table1[[Gene names]:[Gene names]])*1, 0))</f>
        <v>1.83532E-4</v>
      </c>
      <c r="E359" cm="1">
        <f t="array" ref="E359">INDEX(Table1[riBAQ 36], MATCH(1, (Table3[[#This Row],[Gene names]:[Gene names]] = Table1[[Gene names]:[Gene names]])*1, 0))</f>
        <v>1.5639899999999999E-4</v>
      </c>
      <c r="F359" cm="1">
        <f t="array" ref="F359">INDEX(Table1[riBAQ 19], MATCH(1, (Table3[[#This Row],[Gene names]:[Gene names]] = Table1[[Gene names]:[Gene names]])*1, 0))</f>
        <v>1.9165799999999999E-4</v>
      </c>
      <c r="G359" cm="1">
        <f t="array" ref="G359">INDEX(Table1[riBAQ 20], MATCH(1, (Table3[[#This Row],[Gene names]:[Gene names]] = Table1[[Gene names]:[Gene names]])*1, 0))</f>
        <v>0</v>
      </c>
      <c r="H359" cm="1">
        <f t="array" ref="H359">INDEX(Table1[riBAQ 21], MATCH(1, (Table3[[#This Row],[Gene names]:[Gene names]] = Table1[[Gene names]:[Gene names]])*1, 0))</f>
        <v>1.8345699999999999E-4</v>
      </c>
      <c r="I359" cm="1">
        <f t="array" ref="I359">INDEX(Table1[riBAQ 22], MATCH(1, (Table3[[#This Row],[Gene names]:[Gene names]] = Table1[[Gene names]:[Gene names]])*1, 0))</f>
        <v>2.3280600000000001E-4</v>
      </c>
      <c r="J359" cm="1">
        <f t="array" ref="J359">INDEX(Table1[riBAQ 23], MATCH(1, (Table3[[#This Row],[Gene names]:[Gene names]] = Table1[[Gene names]:[Gene names]])*1, 0))</f>
        <v>9.31E-5</v>
      </c>
      <c r="K359" cm="1">
        <f t="array" ref="K359">INDEX(Table1[riBAQ 37], MATCH(1, (Table3[[#This Row],[Gene names]:[Gene names]] = Table1[[Gene names]:[Gene names]])*1, 0))</f>
        <v>1.69915E-4</v>
      </c>
      <c r="L359" cm="1">
        <f t="array" ref="L359">INDEX(Table1[riBAQ 38], MATCH(1, (Table3[[#This Row],[Gene names]:[Gene names]] = Table1[[Gene names]:[Gene names]])*1, 0))</f>
        <v>1.6473900000000001E-4</v>
      </c>
      <c r="M359" cm="1">
        <f t="array" ref="M359">INDEX(Table1[riBAQ 39], MATCH(1, (Table3[[#This Row],[Gene names]:[Gene names]] = Table1[[Gene names]:[Gene names]])*1, 0))</f>
        <v>1.3628300000000001E-4</v>
      </c>
      <c r="N359" cm="1">
        <f t="array" ref="N359">INDEX(Table1[riBAQ 40], MATCH(1, (Table3[[#This Row],[Gene names]:[Gene names]] = Table1[[Gene names]:[Gene names]])*1, 0))</f>
        <v>2.94128E-4</v>
      </c>
      <c r="O359" cm="1">
        <f t="array" ref="O359">INDEX(Table1[riBAQ 41], MATCH(1, (Table3[[#This Row],[Gene names]:[Gene names]] = Table1[[Gene names]:[Gene names]])*1, 0))</f>
        <v>1.6061100000000001E-4</v>
      </c>
      <c r="P359" cm="1">
        <f t="array" ref="P359">INDEX(Table1[riBAQ 24], MATCH(1, (Table3[[#This Row],[Gene names]:[Gene names]] = Table1[[Gene names]:[Gene names]])*1, 0))</f>
        <v>1.0000099999999999E-4</v>
      </c>
      <c r="Q359" cm="1">
        <f t="array" ref="Q359">INDEX(Table1[riBAQ 25], MATCH(1, (Table3[[#This Row],[Gene names]:[Gene names]] = Table1[[Gene names]:[Gene names]])*1, 0))</f>
        <v>0</v>
      </c>
      <c r="R359" cm="1">
        <f t="array" ref="R359">INDEX(Table1[riBAQ 26], MATCH(1, (Table3[[#This Row],[Gene names]:[Gene names]] = Table1[[Gene names]:[Gene names]])*1, 0))</f>
        <v>0</v>
      </c>
      <c r="S359" cm="1">
        <f t="array" ref="S359">INDEX(Table1[riBAQ 42], MATCH(1, (Table3[[#This Row],[Gene names]:[Gene names]] = Table1[[Gene names]:[Gene names]])*1, 0))</f>
        <v>1.45227E-4</v>
      </c>
      <c r="T359" cm="1">
        <f t="array" ref="T359">INDEX(Table1[riBAQ 43], MATCH(1, (Table3[[#This Row],[Gene names]:[Gene names]] = Table1[[Gene names]:[Gene names]])*1, 0))</f>
        <v>0</v>
      </c>
    </row>
    <row r="360" spans="1:20" x14ac:dyDescent="0.25">
      <c r="A360" t="s">
        <v>1817</v>
      </c>
      <c r="B360" cm="1">
        <f t="array" ref="B360">INDEX(Table1[riBAQ 17], MATCH(1, (Table3[[#This Row],[Gene names]:[Gene names]] = Table1[[Gene names]:[Gene names]])*1, 0))</f>
        <v>0</v>
      </c>
      <c r="C360" cm="1">
        <f t="array" ref="C360">INDEX(Table1[riBAQ 18], MATCH(1, (Table3[[#This Row],[Gene names]:[Gene names]] = Table1[[Gene names]:[Gene names]])*1, 0))</f>
        <v>7.4100000000000002E-6</v>
      </c>
      <c r="D360" cm="1">
        <f t="array" ref="D360">INDEX(Table1[riBAQ 35], MATCH(1, (Table3[[#This Row],[Gene names]:[Gene names]] = Table1[[Gene names]:[Gene names]])*1, 0))</f>
        <v>5.2399999999999998E-6</v>
      </c>
      <c r="E360" cm="1">
        <f t="array" ref="E360">INDEX(Table1[riBAQ 36], MATCH(1, (Table3[[#This Row],[Gene names]:[Gene names]] = Table1[[Gene names]:[Gene names]])*1, 0))</f>
        <v>7.8800000000000008E-6</v>
      </c>
      <c r="F360" cm="1">
        <f t="array" ref="F360">INDEX(Table1[riBAQ 19], MATCH(1, (Table3[[#This Row],[Gene names]:[Gene names]] = Table1[[Gene names]:[Gene names]])*1, 0))</f>
        <v>0</v>
      </c>
      <c r="G360" cm="1">
        <f t="array" ref="G360">INDEX(Table1[riBAQ 20], MATCH(1, (Table3[[#This Row],[Gene names]:[Gene names]] = Table1[[Gene names]:[Gene names]])*1, 0))</f>
        <v>6.4699999999999999E-6</v>
      </c>
      <c r="H360" cm="1">
        <f t="array" ref="H360">INDEX(Table1[riBAQ 21], MATCH(1, (Table3[[#This Row],[Gene names]:[Gene names]] = Table1[[Gene names]:[Gene names]])*1, 0))</f>
        <v>4.8600000000000001E-6</v>
      </c>
      <c r="I360" cm="1">
        <f t="array" ref="I360">INDEX(Table1[riBAQ 22], MATCH(1, (Table3[[#This Row],[Gene names]:[Gene names]] = Table1[[Gene names]:[Gene names]])*1, 0))</f>
        <v>5.3800000000000002E-6</v>
      </c>
      <c r="J360" cm="1">
        <f t="array" ref="J360">INDEX(Table1[riBAQ 23], MATCH(1, (Table3[[#This Row],[Gene names]:[Gene names]] = Table1[[Gene names]:[Gene names]])*1, 0))</f>
        <v>5.9599999999999997E-6</v>
      </c>
      <c r="K360" cm="1">
        <f t="array" ref="K360">INDEX(Table1[riBAQ 37], MATCH(1, (Table3[[#This Row],[Gene names]:[Gene names]] = Table1[[Gene names]:[Gene names]])*1, 0))</f>
        <v>4.2699999999999998E-6</v>
      </c>
      <c r="L360" cm="1">
        <f t="array" ref="L360">INDEX(Table1[riBAQ 38], MATCH(1, (Table3[[#This Row],[Gene names]:[Gene names]] = Table1[[Gene names]:[Gene names]])*1, 0))</f>
        <v>5.5500000000000002E-6</v>
      </c>
      <c r="M360" cm="1">
        <f t="array" ref="M360">INDEX(Table1[riBAQ 39], MATCH(1, (Table3[[#This Row],[Gene names]:[Gene names]] = Table1[[Gene names]:[Gene names]])*1, 0))</f>
        <v>0</v>
      </c>
      <c r="N360" cm="1">
        <f t="array" ref="N360">INDEX(Table1[riBAQ 40], MATCH(1, (Table3[[#This Row],[Gene names]:[Gene names]] = Table1[[Gene names]:[Gene names]])*1, 0))</f>
        <v>6.1999999999999999E-6</v>
      </c>
      <c r="O360" cm="1">
        <f t="array" ref="O360">INDEX(Table1[riBAQ 41], MATCH(1, (Table3[[#This Row],[Gene names]:[Gene names]] = Table1[[Gene names]:[Gene names]])*1, 0))</f>
        <v>6.5300000000000002E-6</v>
      </c>
      <c r="P360" cm="1">
        <f t="array" ref="P360">INDEX(Table1[riBAQ 24], MATCH(1, (Table3[[#This Row],[Gene names]:[Gene names]] = Table1[[Gene names]:[Gene names]])*1, 0))</f>
        <v>0</v>
      </c>
      <c r="Q360" cm="1">
        <f t="array" ref="Q360">INDEX(Table1[riBAQ 25], MATCH(1, (Table3[[#This Row],[Gene names]:[Gene names]] = Table1[[Gene names]:[Gene names]])*1, 0))</f>
        <v>0</v>
      </c>
      <c r="R360" cm="1">
        <f t="array" ref="R360">INDEX(Table1[riBAQ 26], MATCH(1, (Table3[[#This Row],[Gene names]:[Gene names]] = Table1[[Gene names]:[Gene names]])*1, 0))</f>
        <v>0</v>
      </c>
      <c r="S360" cm="1">
        <f t="array" ref="S360">INDEX(Table1[riBAQ 42], MATCH(1, (Table3[[#This Row],[Gene names]:[Gene names]] = Table1[[Gene names]:[Gene names]])*1, 0))</f>
        <v>0</v>
      </c>
      <c r="T360" cm="1">
        <f t="array" ref="T360">INDEX(Table1[riBAQ 43], MATCH(1, (Table3[[#This Row],[Gene names]:[Gene names]] = Table1[[Gene names]:[Gene names]])*1, 0))</f>
        <v>0</v>
      </c>
    </row>
    <row r="361" spans="1:20" x14ac:dyDescent="0.25">
      <c r="A361" t="s">
        <v>610</v>
      </c>
      <c r="B361" cm="1">
        <f t="array" ref="B361">INDEX(Table1[riBAQ 17], MATCH(1, (Table3[[#This Row],[Gene names]:[Gene names]] = Table1[[Gene names]:[Gene names]])*1, 0))</f>
        <v>0</v>
      </c>
      <c r="C361" cm="1">
        <f t="array" ref="C361">INDEX(Table1[riBAQ 18], MATCH(1, (Table3[[#This Row],[Gene names]:[Gene names]] = Table1[[Gene names]:[Gene names]])*1, 0))</f>
        <v>0</v>
      </c>
      <c r="D361" cm="1">
        <f t="array" ref="D361">INDEX(Table1[riBAQ 35], MATCH(1, (Table3[[#This Row],[Gene names]:[Gene names]] = Table1[[Gene names]:[Gene names]])*1, 0))</f>
        <v>0</v>
      </c>
      <c r="E361" cm="1">
        <f t="array" ref="E361">INDEX(Table1[riBAQ 36], MATCH(1, (Table3[[#This Row],[Gene names]:[Gene names]] = Table1[[Gene names]:[Gene names]])*1, 0))</f>
        <v>0</v>
      </c>
      <c r="F361" cm="1">
        <f t="array" ref="F361">INDEX(Table1[riBAQ 19], MATCH(1, (Table3[[#This Row],[Gene names]:[Gene names]] = Table1[[Gene names]:[Gene names]])*1, 0))</f>
        <v>0</v>
      </c>
      <c r="G361" cm="1">
        <f t="array" ref="G361">INDEX(Table1[riBAQ 20], MATCH(1, (Table3[[#This Row],[Gene names]:[Gene names]] = Table1[[Gene names]:[Gene names]])*1, 0))</f>
        <v>0</v>
      </c>
      <c r="H361" cm="1">
        <f t="array" ref="H361">INDEX(Table1[riBAQ 21], MATCH(1, (Table3[[#This Row],[Gene names]:[Gene names]] = Table1[[Gene names]:[Gene names]])*1, 0))</f>
        <v>0</v>
      </c>
      <c r="I361" cm="1">
        <f t="array" ref="I361">INDEX(Table1[riBAQ 22], MATCH(1, (Table3[[#This Row],[Gene names]:[Gene names]] = Table1[[Gene names]:[Gene names]])*1, 0))</f>
        <v>0</v>
      </c>
      <c r="J361" cm="1">
        <f t="array" ref="J361">INDEX(Table1[riBAQ 23], MATCH(1, (Table3[[#This Row],[Gene names]:[Gene names]] = Table1[[Gene names]:[Gene names]])*1, 0))</f>
        <v>0</v>
      </c>
      <c r="K361" cm="1">
        <f t="array" ref="K361">INDEX(Table1[riBAQ 37], MATCH(1, (Table3[[#This Row],[Gene names]:[Gene names]] = Table1[[Gene names]:[Gene names]])*1, 0))</f>
        <v>0</v>
      </c>
      <c r="L361" cm="1">
        <f t="array" ref="L361">INDEX(Table1[riBAQ 38], MATCH(1, (Table3[[#This Row],[Gene names]:[Gene names]] = Table1[[Gene names]:[Gene names]])*1, 0))</f>
        <v>0</v>
      </c>
      <c r="M361" cm="1">
        <f t="array" ref="M361">INDEX(Table1[riBAQ 39], MATCH(1, (Table3[[#This Row],[Gene names]:[Gene names]] = Table1[[Gene names]:[Gene names]])*1, 0))</f>
        <v>0</v>
      </c>
      <c r="N361" cm="1">
        <f t="array" ref="N361">INDEX(Table1[riBAQ 40], MATCH(1, (Table3[[#This Row],[Gene names]:[Gene names]] = Table1[[Gene names]:[Gene names]])*1, 0))</f>
        <v>3.93E-5</v>
      </c>
      <c r="O361" cm="1">
        <f t="array" ref="O361">INDEX(Table1[riBAQ 41], MATCH(1, (Table3[[#This Row],[Gene names]:[Gene names]] = Table1[[Gene names]:[Gene names]])*1, 0))</f>
        <v>0</v>
      </c>
      <c r="P361" cm="1">
        <f t="array" ref="P361">INDEX(Table1[riBAQ 24], MATCH(1, (Table3[[#This Row],[Gene names]:[Gene names]] = Table1[[Gene names]:[Gene names]])*1, 0))</f>
        <v>4.7599999999999998E-5</v>
      </c>
      <c r="Q361" cm="1">
        <f t="array" ref="Q361">INDEX(Table1[riBAQ 25], MATCH(1, (Table3[[#This Row],[Gene names]:[Gene names]] = Table1[[Gene names]:[Gene names]])*1, 0))</f>
        <v>4.7599999999999998E-5</v>
      </c>
      <c r="R361" cm="1">
        <f t="array" ref="R361">INDEX(Table1[riBAQ 26], MATCH(1, (Table3[[#This Row],[Gene names]:[Gene names]] = Table1[[Gene names]:[Gene names]])*1, 0))</f>
        <v>6.8100000000000002E-5</v>
      </c>
      <c r="S361" cm="1">
        <f t="array" ref="S361">INDEX(Table1[riBAQ 42], MATCH(1, (Table3[[#This Row],[Gene names]:[Gene names]] = Table1[[Gene names]:[Gene names]])*1, 0))</f>
        <v>4.5599999999999997E-5</v>
      </c>
      <c r="T361" cm="1">
        <f t="array" ref="T361">INDEX(Table1[riBAQ 43], MATCH(1, (Table3[[#This Row],[Gene names]:[Gene names]] = Table1[[Gene names]:[Gene names]])*1, 0))</f>
        <v>8.6199999999999995E-5</v>
      </c>
    </row>
    <row r="362" spans="1:20" x14ac:dyDescent="0.25">
      <c r="A362" t="s">
        <v>715</v>
      </c>
      <c r="B362" cm="1">
        <f t="array" ref="B362">INDEX(Table1[riBAQ 17], MATCH(1, (Table3[[#This Row],[Gene names]:[Gene names]] = Table1[[Gene names]:[Gene names]])*1, 0))</f>
        <v>2.1568529999999998E-3</v>
      </c>
      <c r="C362" cm="1">
        <f t="array" ref="C362">INDEX(Table1[riBAQ 18], MATCH(1, (Table3[[#This Row],[Gene names]:[Gene names]] = Table1[[Gene names]:[Gene names]])*1, 0))</f>
        <v>2.106606E-3</v>
      </c>
      <c r="D362" cm="1">
        <f t="array" ref="D362">INDEX(Table1[riBAQ 35], MATCH(1, (Table3[[#This Row],[Gene names]:[Gene names]] = Table1[[Gene names]:[Gene names]])*1, 0))</f>
        <v>1.861592E-3</v>
      </c>
      <c r="E362" cm="1">
        <f t="array" ref="E362">INDEX(Table1[riBAQ 36], MATCH(1, (Table3[[#This Row],[Gene names]:[Gene names]] = Table1[[Gene names]:[Gene names]])*1, 0))</f>
        <v>1.943553E-3</v>
      </c>
      <c r="F362" cm="1">
        <f t="array" ref="F362">INDEX(Table1[riBAQ 19], MATCH(1, (Table3[[#This Row],[Gene names]:[Gene names]] = Table1[[Gene names]:[Gene names]])*1, 0))</f>
        <v>3.8713789999999999E-3</v>
      </c>
      <c r="G362" cm="1">
        <f t="array" ref="G362">INDEX(Table1[riBAQ 20], MATCH(1, (Table3[[#This Row],[Gene names]:[Gene names]] = Table1[[Gene names]:[Gene names]])*1, 0))</f>
        <v>3.5822660000000002E-3</v>
      </c>
      <c r="H362" cm="1">
        <f t="array" ref="H362">INDEX(Table1[riBAQ 21], MATCH(1, (Table3[[#This Row],[Gene names]:[Gene names]] = Table1[[Gene names]:[Gene names]])*1, 0))</f>
        <v>2.850006E-3</v>
      </c>
      <c r="I362" cm="1">
        <f t="array" ref="I362">INDEX(Table1[riBAQ 22], MATCH(1, (Table3[[#This Row],[Gene names]:[Gene names]] = Table1[[Gene names]:[Gene names]])*1, 0))</f>
        <v>3.205313E-3</v>
      </c>
      <c r="J362" cm="1">
        <f t="array" ref="J362">INDEX(Table1[riBAQ 23], MATCH(1, (Table3[[#This Row],[Gene names]:[Gene names]] = Table1[[Gene names]:[Gene names]])*1, 0))</f>
        <v>4.6257119999999997E-3</v>
      </c>
      <c r="K362" cm="1">
        <f t="array" ref="K362">INDEX(Table1[riBAQ 37], MATCH(1, (Table3[[#This Row],[Gene names]:[Gene names]] = Table1[[Gene names]:[Gene names]])*1, 0))</f>
        <v>3.1105799999999999E-3</v>
      </c>
      <c r="L362" cm="1">
        <f t="array" ref="L362">INDEX(Table1[riBAQ 38], MATCH(1, (Table3[[#This Row],[Gene names]:[Gene names]] = Table1[[Gene names]:[Gene names]])*1, 0))</f>
        <v>2.906755E-3</v>
      </c>
      <c r="M362" cm="1">
        <f t="array" ref="M362">INDEX(Table1[riBAQ 39], MATCH(1, (Table3[[#This Row],[Gene names]:[Gene names]] = Table1[[Gene names]:[Gene names]])*1, 0))</f>
        <v>3.4736279999999999E-3</v>
      </c>
      <c r="N362" cm="1">
        <f t="array" ref="N362">INDEX(Table1[riBAQ 40], MATCH(1, (Table3[[#This Row],[Gene names]:[Gene names]] = Table1[[Gene names]:[Gene names]])*1, 0))</f>
        <v>2.4787490000000001E-3</v>
      </c>
      <c r="O362" cm="1">
        <f t="array" ref="O362">INDEX(Table1[riBAQ 41], MATCH(1, (Table3[[#This Row],[Gene names]:[Gene names]] = Table1[[Gene names]:[Gene names]])*1, 0))</f>
        <v>3.614473E-3</v>
      </c>
      <c r="P362" cm="1">
        <f t="array" ref="P362">INDEX(Table1[riBAQ 24], MATCH(1, (Table3[[#This Row],[Gene names]:[Gene names]] = Table1[[Gene names]:[Gene names]])*1, 0))</f>
        <v>8.1395449999999998E-3</v>
      </c>
      <c r="Q362" cm="1">
        <f t="array" ref="Q362">INDEX(Table1[riBAQ 25], MATCH(1, (Table3[[#This Row],[Gene names]:[Gene names]] = Table1[[Gene names]:[Gene names]])*1, 0))</f>
        <v>7.8349170000000003E-3</v>
      </c>
      <c r="R362" cm="1">
        <f t="array" ref="R362">INDEX(Table1[riBAQ 26], MATCH(1, (Table3[[#This Row],[Gene names]:[Gene names]] = Table1[[Gene names]:[Gene names]])*1, 0))</f>
        <v>1.2755729E-2</v>
      </c>
      <c r="S362" cm="1">
        <f t="array" ref="S362">INDEX(Table1[riBAQ 42], MATCH(1, (Table3[[#This Row],[Gene names]:[Gene names]] = Table1[[Gene names]:[Gene names]])*1, 0))</f>
        <v>1.0415087E-2</v>
      </c>
      <c r="T362" cm="1">
        <f t="array" ref="T362">INDEX(Table1[riBAQ 43], MATCH(1, (Table3[[#This Row],[Gene names]:[Gene names]] = Table1[[Gene names]:[Gene names]])*1, 0))</f>
        <v>6.8681280000000003E-3</v>
      </c>
    </row>
    <row r="363" spans="1:20" x14ac:dyDescent="0.25">
      <c r="A363" t="s">
        <v>230</v>
      </c>
      <c r="B363" cm="1">
        <f t="array" ref="B363">INDEX(Table1[riBAQ 17], MATCH(1, (Table3[[#This Row],[Gene names]:[Gene names]] = Table1[[Gene names]:[Gene names]])*1, 0))</f>
        <v>0</v>
      </c>
      <c r="C363" cm="1">
        <f t="array" ref="C363">INDEX(Table1[riBAQ 18], MATCH(1, (Table3[[#This Row],[Gene names]:[Gene names]] = Table1[[Gene names]:[Gene names]])*1, 0))</f>
        <v>0</v>
      </c>
      <c r="D363" cm="1">
        <f t="array" ref="D363">INDEX(Table1[riBAQ 35], MATCH(1, (Table3[[#This Row],[Gene names]:[Gene names]] = Table1[[Gene names]:[Gene names]])*1, 0))</f>
        <v>0</v>
      </c>
      <c r="E363" cm="1">
        <f t="array" ref="E363">INDEX(Table1[riBAQ 36], MATCH(1, (Table3[[#This Row],[Gene names]:[Gene names]] = Table1[[Gene names]:[Gene names]])*1, 0))</f>
        <v>0</v>
      </c>
      <c r="F363" cm="1">
        <f t="array" ref="F363">INDEX(Table1[riBAQ 19], MATCH(1, (Table3[[#This Row],[Gene names]:[Gene names]] = Table1[[Gene names]:[Gene names]])*1, 0))</f>
        <v>0</v>
      </c>
      <c r="G363" cm="1">
        <f t="array" ref="G363">INDEX(Table1[riBAQ 20], MATCH(1, (Table3[[#This Row],[Gene names]:[Gene names]] = Table1[[Gene names]:[Gene names]])*1, 0))</f>
        <v>0</v>
      </c>
      <c r="H363" cm="1">
        <f t="array" ref="H363">INDEX(Table1[riBAQ 21], MATCH(1, (Table3[[#This Row],[Gene names]:[Gene names]] = Table1[[Gene names]:[Gene names]])*1, 0))</f>
        <v>0</v>
      </c>
      <c r="I363" cm="1">
        <f t="array" ref="I363">INDEX(Table1[riBAQ 22], MATCH(1, (Table3[[#This Row],[Gene names]:[Gene names]] = Table1[[Gene names]:[Gene names]])*1, 0))</f>
        <v>0</v>
      </c>
      <c r="J363" cm="1">
        <f t="array" ref="J363">INDEX(Table1[riBAQ 23], MATCH(1, (Table3[[#This Row],[Gene names]:[Gene names]] = Table1[[Gene names]:[Gene names]])*1, 0))</f>
        <v>0</v>
      </c>
      <c r="K363" cm="1">
        <f t="array" ref="K363">INDEX(Table1[riBAQ 37], MATCH(1, (Table3[[#This Row],[Gene names]:[Gene names]] = Table1[[Gene names]:[Gene names]])*1, 0))</f>
        <v>0</v>
      </c>
      <c r="L363" cm="1">
        <f t="array" ref="L363">INDEX(Table1[riBAQ 38], MATCH(1, (Table3[[#This Row],[Gene names]:[Gene names]] = Table1[[Gene names]:[Gene names]])*1, 0))</f>
        <v>0</v>
      </c>
      <c r="M363" cm="1">
        <f t="array" ref="M363">INDEX(Table1[riBAQ 39], MATCH(1, (Table3[[#This Row],[Gene names]:[Gene names]] = Table1[[Gene names]:[Gene names]])*1, 0))</f>
        <v>0</v>
      </c>
      <c r="N363" cm="1">
        <f t="array" ref="N363">INDEX(Table1[riBAQ 40], MATCH(1, (Table3[[#This Row],[Gene names]:[Gene names]] = Table1[[Gene names]:[Gene names]])*1, 0))</f>
        <v>0</v>
      </c>
      <c r="O363" cm="1">
        <f t="array" ref="O363">INDEX(Table1[riBAQ 41], MATCH(1, (Table3[[#This Row],[Gene names]:[Gene names]] = Table1[[Gene names]:[Gene names]])*1, 0))</f>
        <v>0</v>
      </c>
      <c r="P363" cm="1">
        <f t="array" ref="P363">INDEX(Table1[riBAQ 24], MATCH(1, (Table3[[#This Row],[Gene names]:[Gene names]] = Table1[[Gene names]:[Gene names]])*1, 0))</f>
        <v>1.8435200000000001E-4</v>
      </c>
      <c r="Q363" cm="1">
        <f t="array" ref="Q363">INDEX(Table1[riBAQ 25], MATCH(1, (Table3[[#This Row],[Gene names]:[Gene names]] = Table1[[Gene names]:[Gene names]])*1, 0))</f>
        <v>3.6220300000000001E-4</v>
      </c>
      <c r="R363" cm="1">
        <f t="array" ref="R363">INDEX(Table1[riBAQ 26], MATCH(1, (Table3[[#This Row],[Gene names]:[Gene names]] = Table1[[Gene names]:[Gene names]])*1, 0))</f>
        <v>2.0697399999999999E-4</v>
      </c>
      <c r="S363" cm="1">
        <f t="array" ref="S363">INDEX(Table1[riBAQ 42], MATCH(1, (Table3[[#This Row],[Gene names]:[Gene names]] = Table1[[Gene names]:[Gene names]])*1, 0))</f>
        <v>0</v>
      </c>
      <c r="T363" cm="1">
        <f t="array" ref="T363">INDEX(Table1[riBAQ 43], MATCH(1, (Table3[[#This Row],[Gene names]:[Gene names]] = Table1[[Gene names]:[Gene names]])*1, 0))</f>
        <v>2.1926700000000001E-4</v>
      </c>
    </row>
    <row r="364" spans="1:20" x14ac:dyDescent="0.25">
      <c r="A364" t="s">
        <v>1578</v>
      </c>
      <c r="B364" cm="1">
        <f t="array" ref="B364">INDEX(Table1[riBAQ 17], MATCH(1, (Table3[[#This Row],[Gene names]:[Gene names]] = Table1[[Gene names]:[Gene names]])*1, 0))</f>
        <v>5.5699999999999999E-5</v>
      </c>
      <c r="C364" cm="1">
        <f t="array" ref="C364">INDEX(Table1[riBAQ 18], MATCH(1, (Table3[[#This Row],[Gene names]:[Gene names]] = Table1[[Gene names]:[Gene names]])*1, 0))</f>
        <v>0</v>
      </c>
      <c r="D364" cm="1">
        <f t="array" ref="D364">INDEX(Table1[riBAQ 35], MATCH(1, (Table3[[#This Row],[Gene names]:[Gene names]] = Table1[[Gene names]:[Gene names]])*1, 0))</f>
        <v>0</v>
      </c>
      <c r="E364" cm="1">
        <f t="array" ref="E364">INDEX(Table1[riBAQ 36], MATCH(1, (Table3[[#This Row],[Gene names]:[Gene names]] = Table1[[Gene names]:[Gene names]])*1, 0))</f>
        <v>0</v>
      </c>
      <c r="F364" cm="1">
        <f t="array" ref="F364">INDEX(Table1[riBAQ 19], MATCH(1, (Table3[[#This Row],[Gene names]:[Gene names]] = Table1[[Gene names]:[Gene names]])*1, 0))</f>
        <v>8.1199999999999995E-5</v>
      </c>
      <c r="G364" cm="1">
        <f t="array" ref="G364">INDEX(Table1[riBAQ 20], MATCH(1, (Table3[[#This Row],[Gene names]:[Gene names]] = Table1[[Gene names]:[Gene names]])*1, 0))</f>
        <v>0</v>
      </c>
      <c r="H364" cm="1">
        <f t="array" ref="H364">INDEX(Table1[riBAQ 21], MATCH(1, (Table3[[#This Row],[Gene names]:[Gene names]] = Table1[[Gene names]:[Gene names]])*1, 0))</f>
        <v>8.6399999999999999E-5</v>
      </c>
      <c r="I364" cm="1">
        <f t="array" ref="I364">INDEX(Table1[riBAQ 22], MATCH(1, (Table3[[#This Row],[Gene names]:[Gene names]] = Table1[[Gene names]:[Gene names]])*1, 0))</f>
        <v>9.0199999999999997E-5</v>
      </c>
      <c r="J364" cm="1">
        <f t="array" ref="J364">INDEX(Table1[riBAQ 23], MATCH(1, (Table3[[#This Row],[Gene names]:[Gene names]] = Table1[[Gene names]:[Gene names]])*1, 0))</f>
        <v>0</v>
      </c>
      <c r="K364" cm="1">
        <f t="array" ref="K364">INDEX(Table1[riBAQ 37], MATCH(1, (Table3[[#This Row],[Gene names]:[Gene names]] = Table1[[Gene names]:[Gene names]])*1, 0))</f>
        <v>5.41E-5</v>
      </c>
      <c r="L364" cm="1">
        <f t="array" ref="L364">INDEX(Table1[riBAQ 38], MATCH(1, (Table3[[#This Row],[Gene names]:[Gene names]] = Table1[[Gene names]:[Gene names]])*1, 0))</f>
        <v>6.1199999999999997E-5</v>
      </c>
      <c r="M364" cm="1">
        <f t="array" ref="M364">INDEX(Table1[riBAQ 39], MATCH(1, (Table3[[#This Row],[Gene names]:[Gene names]] = Table1[[Gene names]:[Gene names]])*1, 0))</f>
        <v>0</v>
      </c>
      <c r="N364" cm="1">
        <f t="array" ref="N364">INDEX(Table1[riBAQ 40], MATCH(1, (Table3[[#This Row],[Gene names]:[Gene names]] = Table1[[Gene names]:[Gene names]])*1, 0))</f>
        <v>0</v>
      </c>
      <c r="O364" cm="1">
        <f t="array" ref="O364">INDEX(Table1[riBAQ 41], MATCH(1, (Table3[[#This Row],[Gene names]:[Gene names]] = Table1[[Gene names]:[Gene names]])*1, 0))</f>
        <v>0</v>
      </c>
      <c r="P364" cm="1">
        <f t="array" ref="P364">INDEX(Table1[riBAQ 24], MATCH(1, (Table3[[#This Row],[Gene names]:[Gene names]] = Table1[[Gene names]:[Gene names]])*1, 0))</f>
        <v>8.25E-5</v>
      </c>
      <c r="Q364" cm="1">
        <f t="array" ref="Q364">INDEX(Table1[riBAQ 25], MATCH(1, (Table3[[#This Row],[Gene names]:[Gene names]] = Table1[[Gene names]:[Gene names]])*1, 0))</f>
        <v>1.3014E-4</v>
      </c>
      <c r="R364" cm="1">
        <f t="array" ref="R364">INDEX(Table1[riBAQ 26], MATCH(1, (Table3[[#This Row],[Gene names]:[Gene names]] = Table1[[Gene names]:[Gene names]])*1, 0))</f>
        <v>1.13072E-4</v>
      </c>
      <c r="S364" cm="1">
        <f t="array" ref="S364">INDEX(Table1[riBAQ 42], MATCH(1, (Table3[[#This Row],[Gene names]:[Gene names]] = Table1[[Gene names]:[Gene names]])*1, 0))</f>
        <v>1.6567799999999999E-4</v>
      </c>
      <c r="T364" cm="1">
        <f t="array" ref="T364">INDEX(Table1[riBAQ 43], MATCH(1, (Table3[[#This Row],[Gene names]:[Gene names]] = Table1[[Gene names]:[Gene names]])*1, 0))</f>
        <v>9.6899999999999997E-5</v>
      </c>
    </row>
    <row r="365" spans="1:20" x14ac:dyDescent="0.25">
      <c r="A365" t="s">
        <v>1240</v>
      </c>
      <c r="B365" cm="1">
        <f t="array" ref="B365">INDEX(Table1[riBAQ 17], MATCH(1, (Table3[[#This Row],[Gene names]:[Gene names]] = Table1[[Gene names]:[Gene names]])*1, 0))</f>
        <v>2.79506E-4</v>
      </c>
      <c r="C365" cm="1">
        <f t="array" ref="C365">INDEX(Table1[riBAQ 18], MATCH(1, (Table3[[#This Row],[Gene names]:[Gene names]] = Table1[[Gene names]:[Gene names]])*1, 0))</f>
        <v>2.7478099999999998E-4</v>
      </c>
      <c r="D365" cm="1">
        <f t="array" ref="D365">INDEX(Table1[riBAQ 35], MATCH(1, (Table3[[#This Row],[Gene names]:[Gene names]] = Table1[[Gene names]:[Gene names]])*1, 0))</f>
        <v>3.0427699999999999E-4</v>
      </c>
      <c r="E365" cm="1">
        <f t="array" ref="E365">INDEX(Table1[riBAQ 36], MATCH(1, (Table3[[#This Row],[Gene names]:[Gene names]] = Table1[[Gene names]:[Gene names]])*1, 0))</f>
        <v>2.9100699999999997E-4</v>
      </c>
      <c r="F365" cm="1">
        <f t="array" ref="F365">INDEX(Table1[riBAQ 19], MATCH(1, (Table3[[#This Row],[Gene names]:[Gene names]] = Table1[[Gene names]:[Gene names]])*1, 0))</f>
        <v>2.9601900000000001E-4</v>
      </c>
      <c r="G365" cm="1">
        <f t="array" ref="G365">INDEX(Table1[riBAQ 20], MATCH(1, (Table3[[#This Row],[Gene names]:[Gene names]] = Table1[[Gene names]:[Gene names]])*1, 0))</f>
        <v>2.1529000000000001E-4</v>
      </c>
      <c r="H365" cm="1">
        <f t="array" ref="H365">INDEX(Table1[riBAQ 21], MATCH(1, (Table3[[#This Row],[Gene names]:[Gene names]] = Table1[[Gene names]:[Gene names]])*1, 0))</f>
        <v>2.3678300000000001E-4</v>
      </c>
      <c r="I365" cm="1">
        <f t="array" ref="I365">INDEX(Table1[riBAQ 22], MATCH(1, (Table3[[#This Row],[Gene names]:[Gene names]] = Table1[[Gene names]:[Gene names]])*1, 0))</f>
        <v>2.05317E-4</v>
      </c>
      <c r="J365" cm="1">
        <f t="array" ref="J365">INDEX(Table1[riBAQ 23], MATCH(1, (Table3[[#This Row],[Gene names]:[Gene names]] = Table1[[Gene names]:[Gene names]])*1, 0))</f>
        <v>2.6149700000000002E-4</v>
      </c>
      <c r="K365" cm="1">
        <f t="array" ref="K365">INDEX(Table1[riBAQ 37], MATCH(1, (Table3[[#This Row],[Gene names]:[Gene names]] = Table1[[Gene names]:[Gene names]])*1, 0))</f>
        <v>2.7449400000000002E-4</v>
      </c>
      <c r="L365" cm="1">
        <f t="array" ref="L365">INDEX(Table1[riBAQ 38], MATCH(1, (Table3[[#This Row],[Gene names]:[Gene names]] = Table1[[Gene names]:[Gene names]])*1, 0))</f>
        <v>2.1034499999999999E-4</v>
      </c>
      <c r="M365" cm="1">
        <f t="array" ref="M365">INDEX(Table1[riBAQ 39], MATCH(1, (Table3[[#This Row],[Gene names]:[Gene names]] = Table1[[Gene names]:[Gene names]])*1, 0))</f>
        <v>1.7383000000000001E-4</v>
      </c>
      <c r="N365" cm="1">
        <f t="array" ref="N365">INDEX(Table1[riBAQ 40], MATCH(1, (Table3[[#This Row],[Gene names]:[Gene names]] = Table1[[Gene names]:[Gene names]])*1, 0))</f>
        <v>1.90414E-4</v>
      </c>
      <c r="O365" cm="1">
        <f t="array" ref="O365">INDEX(Table1[riBAQ 41], MATCH(1, (Table3[[#This Row],[Gene names]:[Gene names]] = Table1[[Gene names]:[Gene names]])*1, 0))</f>
        <v>2.0084000000000001E-4</v>
      </c>
      <c r="P365" cm="1">
        <f t="array" ref="P365">INDEX(Table1[riBAQ 24], MATCH(1, (Table3[[#This Row],[Gene names]:[Gene names]] = Table1[[Gene names]:[Gene names]])*1, 0))</f>
        <v>2.71222E-4</v>
      </c>
      <c r="Q365" cm="1">
        <f t="array" ref="Q365">INDEX(Table1[riBAQ 25], MATCH(1, (Table3[[#This Row],[Gene names]:[Gene names]] = Table1[[Gene names]:[Gene names]])*1, 0))</f>
        <v>4.3961100000000002E-4</v>
      </c>
      <c r="R365" cm="1">
        <f t="array" ref="R365">INDEX(Table1[riBAQ 26], MATCH(1, (Table3[[#This Row],[Gene names]:[Gene names]] = Table1[[Gene names]:[Gene names]])*1, 0))</f>
        <v>3.2864800000000002E-4</v>
      </c>
      <c r="S365" cm="1">
        <f t="array" ref="S365">INDEX(Table1[riBAQ 42], MATCH(1, (Table3[[#This Row],[Gene names]:[Gene names]] = Table1[[Gene names]:[Gene names]])*1, 0))</f>
        <v>1.4362500000000001E-4</v>
      </c>
      <c r="T365" cm="1">
        <f t="array" ref="T365">INDEX(Table1[riBAQ 43], MATCH(1, (Table3[[#This Row],[Gene names]:[Gene names]] = Table1[[Gene names]:[Gene names]])*1, 0))</f>
        <v>5.6138599999999998E-4</v>
      </c>
    </row>
    <row r="366" spans="1:20" x14ac:dyDescent="0.25">
      <c r="A366" t="s">
        <v>1365</v>
      </c>
      <c r="B366" cm="1">
        <f t="array" ref="B366">INDEX(Table1[riBAQ 17], MATCH(1, (Table3[[#This Row],[Gene names]:[Gene names]] = Table1[[Gene names]:[Gene names]])*1, 0))</f>
        <v>2.1800000000000001E-5</v>
      </c>
      <c r="C366" cm="1">
        <f t="array" ref="C366">INDEX(Table1[riBAQ 18], MATCH(1, (Table3[[#This Row],[Gene names]:[Gene names]] = Table1[[Gene names]:[Gene names]])*1, 0))</f>
        <v>3.5599999999999998E-5</v>
      </c>
      <c r="D366" cm="1">
        <f t="array" ref="D366">INDEX(Table1[riBAQ 35], MATCH(1, (Table3[[#This Row],[Gene names]:[Gene names]] = Table1[[Gene names]:[Gene names]])*1, 0))</f>
        <v>1.3200000000000001E-5</v>
      </c>
      <c r="E366" cm="1">
        <f t="array" ref="E366">INDEX(Table1[riBAQ 36], MATCH(1, (Table3[[#This Row],[Gene names]:[Gene names]] = Table1[[Gene names]:[Gene names]])*1, 0))</f>
        <v>1.6200000000000001E-5</v>
      </c>
      <c r="F366" cm="1">
        <f t="array" ref="F366">INDEX(Table1[riBAQ 19], MATCH(1, (Table3[[#This Row],[Gene names]:[Gene names]] = Table1[[Gene names]:[Gene names]])*1, 0))</f>
        <v>5.1600000000000001E-5</v>
      </c>
      <c r="G366" cm="1">
        <f t="array" ref="G366">INDEX(Table1[riBAQ 20], MATCH(1, (Table3[[#This Row],[Gene names]:[Gene names]] = Table1[[Gene names]:[Gene names]])*1, 0))</f>
        <v>5.27E-5</v>
      </c>
      <c r="H366" cm="1">
        <f t="array" ref="H366">INDEX(Table1[riBAQ 21], MATCH(1, (Table3[[#This Row],[Gene names]:[Gene names]] = Table1[[Gene names]:[Gene names]])*1, 0))</f>
        <v>4.6799999999999999E-5</v>
      </c>
      <c r="I366" cm="1">
        <f t="array" ref="I366">INDEX(Table1[riBAQ 22], MATCH(1, (Table3[[#This Row],[Gene names]:[Gene names]] = Table1[[Gene names]:[Gene names]])*1, 0))</f>
        <v>6.3600000000000001E-5</v>
      </c>
      <c r="J366" cm="1">
        <f t="array" ref="J366">INDEX(Table1[riBAQ 23], MATCH(1, (Table3[[#This Row],[Gene names]:[Gene names]] = Table1[[Gene names]:[Gene names]])*1, 0))</f>
        <v>3.4400000000000003E-5</v>
      </c>
      <c r="K366" cm="1">
        <f t="array" ref="K366">INDEX(Table1[riBAQ 37], MATCH(1, (Table3[[#This Row],[Gene names]:[Gene names]] = Table1[[Gene names]:[Gene names]])*1, 0))</f>
        <v>5.1900000000000001E-5</v>
      </c>
      <c r="L366" cm="1">
        <f t="array" ref="L366">INDEX(Table1[riBAQ 38], MATCH(1, (Table3[[#This Row],[Gene names]:[Gene names]] = Table1[[Gene names]:[Gene names]])*1, 0))</f>
        <v>5.94E-5</v>
      </c>
      <c r="M366" cm="1">
        <f t="array" ref="M366">INDEX(Table1[riBAQ 39], MATCH(1, (Table3[[#This Row],[Gene names]:[Gene names]] = Table1[[Gene names]:[Gene names]])*1, 0))</f>
        <v>3.5099999999999999E-5</v>
      </c>
      <c r="N366" cm="1">
        <f t="array" ref="N366">INDEX(Table1[riBAQ 40], MATCH(1, (Table3[[#This Row],[Gene names]:[Gene names]] = Table1[[Gene names]:[Gene names]])*1, 0))</f>
        <v>2.8099999999999999E-5</v>
      </c>
      <c r="O366" cm="1">
        <f t="array" ref="O366">INDEX(Table1[riBAQ 41], MATCH(1, (Table3[[#This Row],[Gene names]:[Gene names]] = Table1[[Gene names]:[Gene names]])*1, 0))</f>
        <v>4.8300000000000002E-5</v>
      </c>
      <c r="P366" cm="1">
        <f t="array" ref="P366">INDEX(Table1[riBAQ 24], MATCH(1, (Table3[[#This Row],[Gene names]:[Gene names]] = Table1[[Gene names]:[Gene names]])*1, 0))</f>
        <v>7.4900000000000005E-5</v>
      </c>
      <c r="Q366" cm="1">
        <f t="array" ref="Q366">INDEX(Table1[riBAQ 25], MATCH(1, (Table3[[#This Row],[Gene names]:[Gene names]] = Table1[[Gene names]:[Gene names]])*1, 0))</f>
        <v>8.8700000000000001E-5</v>
      </c>
      <c r="R366" cm="1">
        <f t="array" ref="R366">INDEX(Table1[riBAQ 26], MATCH(1, (Table3[[#This Row],[Gene names]:[Gene names]] = Table1[[Gene names]:[Gene names]])*1, 0))</f>
        <v>9.1199999999999994E-5</v>
      </c>
      <c r="S366" cm="1">
        <f t="array" ref="S366">INDEX(Table1[riBAQ 42], MATCH(1, (Table3[[#This Row],[Gene names]:[Gene names]] = Table1[[Gene names]:[Gene names]])*1, 0))</f>
        <v>1.22457E-4</v>
      </c>
      <c r="T366" cm="1">
        <f t="array" ref="T366">INDEX(Table1[riBAQ 43], MATCH(1, (Table3[[#This Row],[Gene names]:[Gene names]] = Table1[[Gene names]:[Gene names]])*1, 0))</f>
        <v>7.2200000000000007E-5</v>
      </c>
    </row>
    <row r="367" spans="1:20" x14ac:dyDescent="0.25">
      <c r="A367" t="s">
        <v>779</v>
      </c>
      <c r="B367" cm="1">
        <f t="array" ref="B367">INDEX(Table1[riBAQ 17], MATCH(1, (Table3[[#This Row],[Gene names]:[Gene names]] = Table1[[Gene names]:[Gene names]])*1, 0))</f>
        <v>2.3799999999999999E-5</v>
      </c>
      <c r="C367" cm="1">
        <f t="array" ref="C367">INDEX(Table1[riBAQ 18], MATCH(1, (Table3[[#This Row],[Gene names]:[Gene names]] = Table1[[Gene names]:[Gene names]])*1, 0))</f>
        <v>0</v>
      </c>
      <c r="D367" cm="1">
        <f t="array" ref="D367">INDEX(Table1[riBAQ 35], MATCH(1, (Table3[[#This Row],[Gene names]:[Gene names]] = Table1[[Gene names]:[Gene names]])*1, 0))</f>
        <v>0</v>
      </c>
      <c r="E367" cm="1">
        <f t="array" ref="E367">INDEX(Table1[riBAQ 36], MATCH(1, (Table3[[#This Row],[Gene names]:[Gene names]] = Table1[[Gene names]:[Gene names]])*1, 0))</f>
        <v>0</v>
      </c>
      <c r="F367" cm="1">
        <f t="array" ref="F367">INDEX(Table1[riBAQ 19], MATCH(1, (Table3[[#This Row],[Gene names]:[Gene names]] = Table1[[Gene names]:[Gene names]])*1, 0))</f>
        <v>3.18E-5</v>
      </c>
      <c r="G367" cm="1">
        <f t="array" ref="G367">INDEX(Table1[riBAQ 20], MATCH(1, (Table3[[#This Row],[Gene names]:[Gene names]] = Table1[[Gene names]:[Gene names]])*1, 0))</f>
        <v>0</v>
      </c>
      <c r="H367" cm="1">
        <f t="array" ref="H367">INDEX(Table1[riBAQ 21], MATCH(1, (Table3[[#This Row],[Gene names]:[Gene names]] = Table1[[Gene names]:[Gene names]])*1, 0))</f>
        <v>0</v>
      </c>
      <c r="I367" cm="1">
        <f t="array" ref="I367">INDEX(Table1[riBAQ 22], MATCH(1, (Table3[[#This Row],[Gene names]:[Gene names]] = Table1[[Gene names]:[Gene names]])*1, 0))</f>
        <v>0</v>
      </c>
      <c r="J367" cm="1">
        <f t="array" ref="J367">INDEX(Table1[riBAQ 23], MATCH(1, (Table3[[#This Row],[Gene names]:[Gene names]] = Table1[[Gene names]:[Gene names]])*1, 0))</f>
        <v>0</v>
      </c>
      <c r="K367" cm="1">
        <f t="array" ref="K367">INDEX(Table1[riBAQ 37], MATCH(1, (Table3[[#This Row],[Gene names]:[Gene names]] = Table1[[Gene names]:[Gene names]])*1, 0))</f>
        <v>0</v>
      </c>
      <c r="L367" cm="1">
        <f t="array" ref="L367">INDEX(Table1[riBAQ 38], MATCH(1, (Table3[[#This Row],[Gene names]:[Gene names]] = Table1[[Gene names]:[Gene names]])*1, 0))</f>
        <v>0</v>
      </c>
      <c r="M367" cm="1">
        <f t="array" ref="M367">INDEX(Table1[riBAQ 39], MATCH(1, (Table3[[#This Row],[Gene names]:[Gene names]] = Table1[[Gene names]:[Gene names]])*1, 0))</f>
        <v>0</v>
      </c>
      <c r="N367" cm="1">
        <f t="array" ref="N367">INDEX(Table1[riBAQ 40], MATCH(1, (Table3[[#This Row],[Gene names]:[Gene names]] = Table1[[Gene names]:[Gene names]])*1, 0))</f>
        <v>5.6499999999999998E-5</v>
      </c>
      <c r="O367" cm="1">
        <f t="array" ref="O367">INDEX(Table1[riBAQ 41], MATCH(1, (Table3[[#This Row],[Gene names]:[Gene names]] = Table1[[Gene names]:[Gene names]])*1, 0))</f>
        <v>0</v>
      </c>
      <c r="P367" cm="1">
        <f t="array" ref="P367">INDEX(Table1[riBAQ 24], MATCH(1, (Table3[[#This Row],[Gene names]:[Gene names]] = Table1[[Gene names]:[Gene names]])*1, 0))</f>
        <v>5.9899999999999999E-5</v>
      </c>
      <c r="Q367" cm="1">
        <f t="array" ref="Q367">INDEX(Table1[riBAQ 25], MATCH(1, (Table3[[#This Row],[Gene names]:[Gene names]] = Table1[[Gene names]:[Gene names]])*1, 0))</f>
        <v>7.4400000000000006E-5</v>
      </c>
      <c r="R367" cm="1">
        <f t="array" ref="R367">INDEX(Table1[riBAQ 26], MATCH(1, (Table3[[#This Row],[Gene names]:[Gene names]] = Table1[[Gene names]:[Gene names]])*1, 0))</f>
        <v>7.4300000000000004E-5</v>
      </c>
      <c r="S367" cm="1">
        <f t="array" ref="S367">INDEX(Table1[riBAQ 42], MATCH(1, (Table3[[#This Row],[Gene names]:[Gene names]] = Table1[[Gene names]:[Gene names]])*1, 0))</f>
        <v>5.4400000000000001E-5</v>
      </c>
      <c r="T367" cm="1">
        <f t="array" ref="T367">INDEX(Table1[riBAQ 43], MATCH(1, (Table3[[#This Row],[Gene names]:[Gene names]] = Table1[[Gene names]:[Gene names]])*1, 0))</f>
        <v>1.2032999999999999E-4</v>
      </c>
    </row>
    <row r="368" spans="1:20" x14ac:dyDescent="0.25">
      <c r="A368" t="s">
        <v>1290</v>
      </c>
      <c r="B368" cm="1">
        <f t="array" ref="B368">INDEX(Table1[riBAQ 17], MATCH(1, (Table3[[#This Row],[Gene names]:[Gene names]] = Table1[[Gene names]:[Gene names]])*1, 0))</f>
        <v>2.3799999999999999E-5</v>
      </c>
      <c r="C368" cm="1">
        <f t="array" ref="C368">INDEX(Table1[riBAQ 18], MATCH(1, (Table3[[#This Row],[Gene names]:[Gene names]] = Table1[[Gene names]:[Gene names]])*1, 0))</f>
        <v>0</v>
      </c>
      <c r="D368" cm="1">
        <f t="array" ref="D368">INDEX(Table1[riBAQ 35], MATCH(1, (Table3[[#This Row],[Gene names]:[Gene names]] = Table1[[Gene names]:[Gene names]])*1, 0))</f>
        <v>0</v>
      </c>
      <c r="E368" cm="1">
        <f t="array" ref="E368">INDEX(Table1[riBAQ 36], MATCH(1, (Table3[[#This Row],[Gene names]:[Gene names]] = Table1[[Gene names]:[Gene names]])*1, 0))</f>
        <v>0</v>
      </c>
      <c r="F368" cm="1">
        <f t="array" ref="F368">INDEX(Table1[riBAQ 19], MATCH(1, (Table3[[#This Row],[Gene names]:[Gene names]] = Table1[[Gene names]:[Gene names]])*1, 0))</f>
        <v>2.5400000000000001E-5</v>
      </c>
      <c r="G368" cm="1">
        <f t="array" ref="G368">INDEX(Table1[riBAQ 20], MATCH(1, (Table3[[#This Row],[Gene names]:[Gene names]] = Table1[[Gene names]:[Gene names]])*1, 0))</f>
        <v>2.8900000000000001E-5</v>
      </c>
      <c r="H368" cm="1">
        <f t="array" ref="H368">INDEX(Table1[riBAQ 21], MATCH(1, (Table3[[#This Row],[Gene names]:[Gene names]] = Table1[[Gene names]:[Gene names]])*1, 0))</f>
        <v>2.26E-5</v>
      </c>
      <c r="I368" cm="1">
        <f t="array" ref="I368">INDEX(Table1[riBAQ 22], MATCH(1, (Table3[[#This Row],[Gene names]:[Gene names]] = Table1[[Gene names]:[Gene names]])*1, 0))</f>
        <v>2.65E-5</v>
      </c>
      <c r="J368" cm="1">
        <f t="array" ref="J368">INDEX(Table1[riBAQ 23], MATCH(1, (Table3[[#This Row],[Gene names]:[Gene names]] = Table1[[Gene names]:[Gene names]])*1, 0))</f>
        <v>0</v>
      </c>
      <c r="K368" cm="1">
        <f t="array" ref="K368">INDEX(Table1[riBAQ 37], MATCH(1, (Table3[[#This Row],[Gene names]:[Gene names]] = Table1[[Gene names]:[Gene names]])*1, 0))</f>
        <v>0</v>
      </c>
      <c r="L368" cm="1">
        <f t="array" ref="L368">INDEX(Table1[riBAQ 38], MATCH(1, (Table3[[#This Row],[Gene names]:[Gene names]] = Table1[[Gene names]:[Gene names]])*1, 0))</f>
        <v>0</v>
      </c>
      <c r="M368" cm="1">
        <f t="array" ref="M368">INDEX(Table1[riBAQ 39], MATCH(1, (Table3[[#This Row],[Gene names]:[Gene names]] = Table1[[Gene names]:[Gene names]])*1, 0))</f>
        <v>3.1099999999999997E-5</v>
      </c>
      <c r="N368" cm="1">
        <f t="array" ref="N368">INDEX(Table1[riBAQ 40], MATCH(1, (Table3[[#This Row],[Gene names]:[Gene names]] = Table1[[Gene names]:[Gene names]])*1, 0))</f>
        <v>4.71E-5</v>
      </c>
      <c r="O368" cm="1">
        <f t="array" ref="O368">INDEX(Table1[riBAQ 41], MATCH(1, (Table3[[#This Row],[Gene names]:[Gene names]] = Table1[[Gene names]:[Gene names]])*1, 0))</f>
        <v>0</v>
      </c>
      <c r="P368" cm="1">
        <f t="array" ref="P368">INDEX(Table1[riBAQ 24], MATCH(1, (Table3[[#This Row],[Gene names]:[Gene names]] = Table1[[Gene names]:[Gene names]])*1, 0))</f>
        <v>5.2299999999999997E-5</v>
      </c>
      <c r="Q368" cm="1">
        <f t="array" ref="Q368">INDEX(Table1[riBAQ 25], MATCH(1, (Table3[[#This Row],[Gene names]:[Gene names]] = Table1[[Gene names]:[Gene names]])*1, 0))</f>
        <v>1.2759300000000001E-4</v>
      </c>
      <c r="R368" cm="1">
        <f t="array" ref="R368">INDEX(Table1[riBAQ 26], MATCH(1, (Table3[[#This Row],[Gene names]:[Gene names]] = Table1[[Gene names]:[Gene names]])*1, 0))</f>
        <v>6.5300000000000002E-5</v>
      </c>
      <c r="S368" cm="1">
        <f t="array" ref="S368">INDEX(Table1[riBAQ 42], MATCH(1, (Table3[[#This Row],[Gene names]:[Gene names]] = Table1[[Gene names]:[Gene names]])*1, 0))</f>
        <v>4.3699999999999998E-5</v>
      </c>
      <c r="T368" cm="1">
        <f t="array" ref="T368">INDEX(Table1[riBAQ 43], MATCH(1, (Table3[[#This Row],[Gene names]:[Gene names]] = Table1[[Gene names]:[Gene names]])*1, 0))</f>
        <v>1.7061999999999999E-4</v>
      </c>
    </row>
    <row r="369" spans="1:20" x14ac:dyDescent="0.25">
      <c r="A369" t="s">
        <v>1674</v>
      </c>
      <c r="B369" cm="1">
        <f t="array" ref="B369">INDEX(Table1[riBAQ 17], MATCH(1, (Table3[[#This Row],[Gene names]:[Gene names]] = Table1[[Gene names]:[Gene names]])*1, 0))</f>
        <v>8.1600000000000005E-5</v>
      </c>
      <c r="C369" cm="1">
        <f t="array" ref="C369">INDEX(Table1[riBAQ 18], MATCH(1, (Table3[[#This Row],[Gene names]:[Gene names]] = Table1[[Gene names]:[Gene names]])*1, 0))</f>
        <v>0</v>
      </c>
      <c r="D369" cm="1">
        <f t="array" ref="D369">INDEX(Table1[riBAQ 35], MATCH(1, (Table3[[#This Row],[Gene names]:[Gene names]] = Table1[[Gene names]:[Gene names]])*1, 0))</f>
        <v>4.2899999999999999E-5</v>
      </c>
      <c r="E369" cm="1">
        <f t="array" ref="E369">INDEX(Table1[riBAQ 36], MATCH(1, (Table3[[#This Row],[Gene names]:[Gene names]] = Table1[[Gene names]:[Gene names]])*1, 0))</f>
        <v>6.6099999999999994E-5</v>
      </c>
      <c r="F369" cm="1">
        <f t="array" ref="F369">INDEX(Table1[riBAQ 19], MATCH(1, (Table3[[#This Row],[Gene names]:[Gene names]] = Table1[[Gene names]:[Gene names]])*1, 0))</f>
        <v>0</v>
      </c>
      <c r="G369" cm="1">
        <f t="array" ref="G369">INDEX(Table1[riBAQ 20], MATCH(1, (Table3[[#This Row],[Gene names]:[Gene names]] = Table1[[Gene names]:[Gene names]])*1, 0))</f>
        <v>1.1281E-4</v>
      </c>
      <c r="H369" cm="1">
        <f t="array" ref="H369">INDEX(Table1[riBAQ 21], MATCH(1, (Table3[[#This Row],[Gene names]:[Gene names]] = Table1[[Gene names]:[Gene names]])*1, 0))</f>
        <v>1.06765E-4</v>
      </c>
      <c r="I369" cm="1">
        <f t="array" ref="I369">INDEX(Table1[riBAQ 22], MATCH(1, (Table3[[#This Row],[Gene names]:[Gene names]] = Table1[[Gene names]:[Gene names]])*1, 0))</f>
        <v>2.3200000000000001E-5</v>
      </c>
      <c r="J369" cm="1">
        <f t="array" ref="J369">INDEX(Table1[riBAQ 23], MATCH(1, (Table3[[#This Row],[Gene names]:[Gene names]] = Table1[[Gene names]:[Gene names]])*1, 0))</f>
        <v>3.8300000000000003E-5</v>
      </c>
      <c r="K369" cm="1">
        <f t="array" ref="K369">INDEX(Table1[riBAQ 37], MATCH(1, (Table3[[#This Row],[Gene names]:[Gene names]] = Table1[[Gene names]:[Gene names]])*1, 0))</f>
        <v>1.38379E-4</v>
      </c>
      <c r="L369" cm="1">
        <f t="array" ref="L369">INDEX(Table1[riBAQ 38], MATCH(1, (Table3[[#This Row],[Gene names]:[Gene names]] = Table1[[Gene names]:[Gene names]])*1, 0))</f>
        <v>7.4300000000000004E-5</v>
      </c>
      <c r="M369" cm="1">
        <f t="array" ref="M369">INDEX(Table1[riBAQ 39], MATCH(1, (Table3[[#This Row],[Gene names]:[Gene names]] = Table1[[Gene names]:[Gene names]])*1, 0))</f>
        <v>1.0231E-4</v>
      </c>
      <c r="N369" cm="1">
        <f t="array" ref="N369">INDEX(Table1[riBAQ 40], MATCH(1, (Table3[[#This Row],[Gene names]:[Gene names]] = Table1[[Gene names]:[Gene names]])*1, 0))</f>
        <v>7.9099999999999998E-5</v>
      </c>
      <c r="O369" cm="1">
        <f t="array" ref="O369">INDEX(Table1[riBAQ 41], MATCH(1, (Table3[[#This Row],[Gene names]:[Gene names]] = Table1[[Gene names]:[Gene names]])*1, 0))</f>
        <v>7.3700000000000002E-5</v>
      </c>
      <c r="P369" cm="1">
        <f t="array" ref="P369">INDEX(Table1[riBAQ 24], MATCH(1, (Table3[[#This Row],[Gene names]:[Gene names]] = Table1[[Gene names]:[Gene names]])*1, 0))</f>
        <v>1.7343600000000001E-4</v>
      </c>
      <c r="Q369" cm="1">
        <f t="array" ref="Q369">INDEX(Table1[riBAQ 25], MATCH(1, (Table3[[#This Row],[Gene names]:[Gene names]] = Table1[[Gene names]:[Gene names]])*1, 0))</f>
        <v>4.1343599999999999E-4</v>
      </c>
      <c r="R369" cm="1">
        <f t="array" ref="R369">INDEX(Table1[riBAQ 26], MATCH(1, (Table3[[#This Row],[Gene names]:[Gene names]] = Table1[[Gene names]:[Gene names]])*1, 0))</f>
        <v>9.7399999999999996E-5</v>
      </c>
      <c r="S369" cm="1">
        <f t="array" ref="S369">INDEX(Table1[riBAQ 42], MATCH(1, (Table3[[#This Row],[Gene names]:[Gene names]] = Table1[[Gene names]:[Gene names]])*1, 0))</f>
        <v>2.2959900000000001E-4</v>
      </c>
      <c r="T369" cm="1">
        <f t="array" ref="T369">INDEX(Table1[riBAQ 43], MATCH(1, (Table3[[#This Row],[Gene names]:[Gene names]] = Table1[[Gene names]:[Gene names]])*1, 0))</f>
        <v>4.4485500000000002E-4</v>
      </c>
    </row>
    <row r="370" spans="1:20" x14ac:dyDescent="0.25">
      <c r="A370" t="s">
        <v>1078</v>
      </c>
      <c r="B370" cm="1">
        <f t="array" ref="B370">INDEX(Table1[riBAQ 17], MATCH(1, (Table3[[#This Row],[Gene names]:[Gene names]] = Table1[[Gene names]:[Gene names]])*1, 0))</f>
        <v>0</v>
      </c>
      <c r="C370" cm="1">
        <f t="array" ref="C370">INDEX(Table1[riBAQ 18], MATCH(1, (Table3[[#This Row],[Gene names]:[Gene names]] = Table1[[Gene names]:[Gene names]])*1, 0))</f>
        <v>0</v>
      </c>
      <c r="D370" cm="1">
        <f t="array" ref="D370">INDEX(Table1[riBAQ 35], MATCH(1, (Table3[[#This Row],[Gene names]:[Gene names]] = Table1[[Gene names]:[Gene names]])*1, 0))</f>
        <v>0</v>
      </c>
      <c r="E370" cm="1">
        <f t="array" ref="E370">INDEX(Table1[riBAQ 36], MATCH(1, (Table3[[#This Row],[Gene names]:[Gene names]] = Table1[[Gene names]:[Gene names]])*1, 0))</f>
        <v>0</v>
      </c>
      <c r="F370" cm="1">
        <f t="array" ref="F370">INDEX(Table1[riBAQ 19], MATCH(1, (Table3[[#This Row],[Gene names]:[Gene names]] = Table1[[Gene names]:[Gene names]])*1, 0))</f>
        <v>1.1281900000000001E-4</v>
      </c>
      <c r="G370" cm="1">
        <f t="array" ref="G370">INDEX(Table1[riBAQ 20], MATCH(1, (Table3[[#This Row],[Gene names]:[Gene names]] = Table1[[Gene names]:[Gene names]])*1, 0))</f>
        <v>1.9594100000000001E-4</v>
      </c>
      <c r="H370" cm="1">
        <f t="array" ref="H370">INDEX(Table1[riBAQ 21], MATCH(1, (Table3[[#This Row],[Gene names]:[Gene names]] = Table1[[Gene names]:[Gene names]])*1, 0))</f>
        <v>0</v>
      </c>
      <c r="I370" cm="1">
        <f t="array" ref="I370">INDEX(Table1[riBAQ 22], MATCH(1, (Table3[[#This Row],[Gene names]:[Gene names]] = Table1[[Gene names]:[Gene names]])*1, 0))</f>
        <v>9.5299999999999999E-5</v>
      </c>
      <c r="J370" cm="1">
        <f t="array" ref="J370">INDEX(Table1[riBAQ 23], MATCH(1, (Table3[[#This Row],[Gene names]:[Gene names]] = Table1[[Gene names]:[Gene names]])*1, 0))</f>
        <v>9.0299999999999999E-5</v>
      </c>
      <c r="K370" cm="1">
        <f t="array" ref="K370">INDEX(Table1[riBAQ 37], MATCH(1, (Table3[[#This Row],[Gene names]:[Gene names]] = Table1[[Gene names]:[Gene names]])*1, 0))</f>
        <v>1.4918900000000001E-4</v>
      </c>
      <c r="L370" cm="1">
        <f t="array" ref="L370">INDEX(Table1[riBAQ 38], MATCH(1, (Table3[[#This Row],[Gene names]:[Gene names]] = Table1[[Gene names]:[Gene names]])*1, 0))</f>
        <v>0</v>
      </c>
      <c r="M370" cm="1">
        <f t="array" ref="M370">INDEX(Table1[riBAQ 39], MATCH(1, (Table3[[#This Row],[Gene names]:[Gene names]] = Table1[[Gene names]:[Gene names]])*1, 0))</f>
        <v>0</v>
      </c>
      <c r="N370" cm="1">
        <f t="array" ref="N370">INDEX(Table1[riBAQ 40], MATCH(1, (Table3[[#This Row],[Gene names]:[Gene names]] = Table1[[Gene names]:[Gene names]])*1, 0))</f>
        <v>0</v>
      </c>
      <c r="O370" cm="1">
        <f t="array" ref="O370">INDEX(Table1[riBAQ 41], MATCH(1, (Table3[[#This Row],[Gene names]:[Gene names]] = Table1[[Gene names]:[Gene names]])*1, 0))</f>
        <v>0</v>
      </c>
      <c r="P370" cm="1">
        <f t="array" ref="P370">INDEX(Table1[riBAQ 24], MATCH(1, (Table3[[#This Row],[Gene names]:[Gene names]] = Table1[[Gene names]:[Gene names]])*1, 0))</f>
        <v>1.61356E-4</v>
      </c>
      <c r="Q370" cm="1">
        <f t="array" ref="Q370">INDEX(Table1[riBAQ 25], MATCH(1, (Table3[[#This Row],[Gene names]:[Gene names]] = Table1[[Gene names]:[Gene names]])*1, 0))</f>
        <v>6.4607300000000005E-4</v>
      </c>
      <c r="R370" cm="1">
        <f t="array" ref="R370">INDEX(Table1[riBAQ 26], MATCH(1, (Table3[[#This Row],[Gene names]:[Gene names]] = Table1[[Gene names]:[Gene names]])*1, 0))</f>
        <v>3.4437600000000002E-4</v>
      </c>
      <c r="S370" cm="1">
        <f t="array" ref="S370">INDEX(Table1[riBAQ 42], MATCH(1, (Table3[[#This Row],[Gene names]:[Gene names]] = Table1[[Gene names]:[Gene names]])*1, 0))</f>
        <v>2.4325700000000001E-4</v>
      </c>
      <c r="T370" cm="1">
        <f t="array" ref="T370">INDEX(Table1[riBAQ 43], MATCH(1, (Table3[[#This Row],[Gene names]:[Gene names]] = Table1[[Gene names]:[Gene names]])*1, 0))</f>
        <v>9.1303499999999998E-4</v>
      </c>
    </row>
    <row r="371" spans="1:20" x14ac:dyDescent="0.25">
      <c r="A371" t="s">
        <v>1790</v>
      </c>
      <c r="B371" cm="1">
        <f t="array" ref="B371">INDEX(Table1[riBAQ 17], MATCH(1, (Table3[[#This Row],[Gene names]:[Gene names]] = Table1[[Gene names]:[Gene names]])*1, 0))</f>
        <v>1.1469E-4</v>
      </c>
      <c r="C371" cm="1">
        <f t="array" ref="C371">INDEX(Table1[riBAQ 18], MATCH(1, (Table3[[#This Row],[Gene names]:[Gene names]] = Table1[[Gene names]:[Gene names]])*1, 0))</f>
        <v>8.7600000000000002E-5</v>
      </c>
      <c r="D371" cm="1">
        <f t="array" ref="D371">INDEX(Table1[riBAQ 35], MATCH(1, (Table3[[#This Row],[Gene names]:[Gene names]] = Table1[[Gene names]:[Gene names]])*1, 0))</f>
        <v>5.8799999999999999E-5</v>
      </c>
      <c r="E371" cm="1">
        <f t="array" ref="E371">INDEX(Table1[riBAQ 36], MATCH(1, (Table3[[#This Row],[Gene names]:[Gene names]] = Table1[[Gene names]:[Gene names]])*1, 0))</f>
        <v>9.7100000000000002E-5</v>
      </c>
      <c r="F371" cm="1">
        <f t="array" ref="F371">INDEX(Table1[riBAQ 19], MATCH(1, (Table3[[#This Row],[Gene names]:[Gene names]] = Table1[[Gene names]:[Gene names]])*1, 0))</f>
        <v>1.10686E-4</v>
      </c>
      <c r="G371" cm="1">
        <f t="array" ref="G371">INDEX(Table1[riBAQ 20], MATCH(1, (Table3[[#This Row],[Gene names]:[Gene names]] = Table1[[Gene names]:[Gene names]])*1, 0))</f>
        <v>1.9026399999999999E-4</v>
      </c>
      <c r="H371" cm="1">
        <f t="array" ref="H371">INDEX(Table1[riBAQ 21], MATCH(1, (Table3[[#This Row],[Gene names]:[Gene names]] = Table1[[Gene names]:[Gene names]])*1, 0))</f>
        <v>1.54287E-4</v>
      </c>
      <c r="I371" cm="1">
        <f t="array" ref="I371">INDEX(Table1[riBAQ 22], MATCH(1, (Table3[[#This Row],[Gene names]:[Gene names]] = Table1[[Gene names]:[Gene names]])*1, 0))</f>
        <v>1.7895399999999999E-4</v>
      </c>
      <c r="J371" cm="1">
        <f t="array" ref="J371">INDEX(Table1[riBAQ 23], MATCH(1, (Table3[[#This Row],[Gene names]:[Gene names]] = Table1[[Gene names]:[Gene names]])*1, 0))</f>
        <v>2.1855600000000001E-4</v>
      </c>
      <c r="K371" cm="1">
        <f t="array" ref="K371">INDEX(Table1[riBAQ 37], MATCH(1, (Table3[[#This Row],[Gene names]:[Gene names]] = Table1[[Gene names]:[Gene names]])*1, 0))</f>
        <v>1.2695999999999999E-4</v>
      </c>
      <c r="L371" cm="1">
        <f t="array" ref="L371">INDEX(Table1[riBAQ 38], MATCH(1, (Table3[[#This Row],[Gene names]:[Gene names]] = Table1[[Gene names]:[Gene names]])*1, 0))</f>
        <v>1.70784E-4</v>
      </c>
      <c r="M371" cm="1">
        <f t="array" ref="M371">INDEX(Table1[riBAQ 39], MATCH(1, (Table3[[#This Row],[Gene names]:[Gene names]] = Table1[[Gene names]:[Gene names]])*1, 0))</f>
        <v>1.33829E-4</v>
      </c>
      <c r="N371" cm="1">
        <f t="array" ref="N371">INDEX(Table1[riBAQ 40], MATCH(1, (Table3[[#This Row],[Gene names]:[Gene names]] = Table1[[Gene names]:[Gene names]])*1, 0))</f>
        <v>1.30786E-4</v>
      </c>
      <c r="O371" cm="1">
        <f t="array" ref="O371">INDEX(Table1[riBAQ 41], MATCH(1, (Table3[[#This Row],[Gene names]:[Gene names]] = Table1[[Gene names]:[Gene names]])*1, 0))</f>
        <v>1.6576399999999999E-4</v>
      </c>
      <c r="P371" cm="1">
        <f t="array" ref="P371">INDEX(Table1[riBAQ 24], MATCH(1, (Table3[[#This Row],[Gene names]:[Gene names]] = Table1[[Gene names]:[Gene names]])*1, 0))</f>
        <v>2.7513800000000002E-4</v>
      </c>
      <c r="Q371" cm="1">
        <f t="array" ref="Q371">INDEX(Table1[riBAQ 25], MATCH(1, (Table3[[#This Row],[Gene names]:[Gene names]] = Table1[[Gene names]:[Gene names]])*1, 0))</f>
        <v>4.1139300000000002E-4</v>
      </c>
      <c r="R371" cm="1">
        <f t="array" ref="R371">INDEX(Table1[riBAQ 26], MATCH(1, (Table3[[#This Row],[Gene names]:[Gene names]] = Table1[[Gene names]:[Gene names]])*1, 0))</f>
        <v>3.5628299999999999E-4</v>
      </c>
      <c r="S371" cm="1">
        <f t="array" ref="S371">INDEX(Table1[riBAQ 42], MATCH(1, (Table3[[#This Row],[Gene names]:[Gene names]] = Table1[[Gene names]:[Gene names]])*1, 0))</f>
        <v>3.4560599999999998E-4</v>
      </c>
      <c r="T371" cm="1">
        <f t="array" ref="T371">INDEX(Table1[riBAQ 43], MATCH(1, (Table3[[#This Row],[Gene names]:[Gene names]] = Table1[[Gene names]:[Gene names]])*1, 0))</f>
        <v>4.2821599999999998E-4</v>
      </c>
    </row>
    <row r="372" spans="1:20" x14ac:dyDescent="0.25">
      <c r="A372" t="s">
        <v>1077</v>
      </c>
      <c r="B372" cm="1">
        <f t="array" ref="B372">INDEX(Table1[riBAQ 17], MATCH(1, (Table3[[#This Row],[Gene names]:[Gene names]] = Table1[[Gene names]:[Gene names]])*1, 0))</f>
        <v>0</v>
      </c>
      <c r="C372" cm="1">
        <f t="array" ref="C372">INDEX(Table1[riBAQ 18], MATCH(1, (Table3[[#This Row],[Gene names]:[Gene names]] = Table1[[Gene names]:[Gene names]])*1, 0))</f>
        <v>0</v>
      </c>
      <c r="D372" cm="1">
        <f t="array" ref="D372">INDEX(Table1[riBAQ 35], MATCH(1, (Table3[[#This Row],[Gene names]:[Gene names]] = Table1[[Gene names]:[Gene names]])*1, 0))</f>
        <v>0</v>
      </c>
      <c r="E372" cm="1">
        <f t="array" ref="E372">INDEX(Table1[riBAQ 36], MATCH(1, (Table3[[#This Row],[Gene names]:[Gene names]] = Table1[[Gene names]:[Gene names]])*1, 0))</f>
        <v>0</v>
      </c>
      <c r="F372" cm="1">
        <f t="array" ref="F372">INDEX(Table1[riBAQ 19], MATCH(1, (Table3[[#This Row],[Gene names]:[Gene names]] = Table1[[Gene names]:[Gene names]])*1, 0))</f>
        <v>0</v>
      </c>
      <c r="G372" cm="1">
        <f t="array" ref="G372">INDEX(Table1[riBAQ 20], MATCH(1, (Table3[[#This Row],[Gene names]:[Gene names]] = Table1[[Gene names]:[Gene names]])*1, 0))</f>
        <v>0</v>
      </c>
      <c r="H372" cm="1">
        <f t="array" ref="H372">INDEX(Table1[riBAQ 21], MATCH(1, (Table3[[#This Row],[Gene names]:[Gene names]] = Table1[[Gene names]:[Gene names]])*1, 0))</f>
        <v>0</v>
      </c>
      <c r="I372" cm="1">
        <f t="array" ref="I372">INDEX(Table1[riBAQ 22], MATCH(1, (Table3[[#This Row],[Gene names]:[Gene names]] = Table1[[Gene names]:[Gene names]])*1, 0))</f>
        <v>0</v>
      </c>
      <c r="J372" cm="1">
        <f t="array" ref="J372">INDEX(Table1[riBAQ 23], MATCH(1, (Table3[[#This Row],[Gene names]:[Gene names]] = Table1[[Gene names]:[Gene names]])*1, 0))</f>
        <v>0</v>
      </c>
      <c r="K372" cm="1">
        <f t="array" ref="K372">INDEX(Table1[riBAQ 37], MATCH(1, (Table3[[#This Row],[Gene names]:[Gene names]] = Table1[[Gene names]:[Gene names]])*1, 0))</f>
        <v>0</v>
      </c>
      <c r="L372" cm="1">
        <f t="array" ref="L372">INDEX(Table1[riBAQ 38], MATCH(1, (Table3[[#This Row],[Gene names]:[Gene names]] = Table1[[Gene names]:[Gene names]])*1, 0))</f>
        <v>0</v>
      </c>
      <c r="M372" cm="1">
        <f t="array" ref="M372">INDEX(Table1[riBAQ 39], MATCH(1, (Table3[[#This Row],[Gene names]:[Gene names]] = Table1[[Gene names]:[Gene names]])*1, 0))</f>
        <v>0</v>
      </c>
      <c r="N372" cm="1">
        <f t="array" ref="N372">INDEX(Table1[riBAQ 40], MATCH(1, (Table3[[#This Row],[Gene names]:[Gene names]] = Table1[[Gene names]:[Gene names]])*1, 0))</f>
        <v>0</v>
      </c>
      <c r="O372" cm="1">
        <f t="array" ref="O372">INDEX(Table1[riBAQ 41], MATCH(1, (Table3[[#This Row],[Gene names]:[Gene names]] = Table1[[Gene names]:[Gene names]])*1, 0))</f>
        <v>0</v>
      </c>
      <c r="P372" cm="1">
        <f t="array" ref="P372">INDEX(Table1[riBAQ 24], MATCH(1, (Table3[[#This Row],[Gene names]:[Gene names]] = Table1[[Gene names]:[Gene names]])*1, 0))</f>
        <v>0</v>
      </c>
      <c r="Q372" cm="1">
        <f t="array" ref="Q372">INDEX(Table1[riBAQ 25], MATCH(1, (Table3[[#This Row],[Gene names]:[Gene names]] = Table1[[Gene names]:[Gene names]])*1, 0))</f>
        <v>3.1094800000000002E-4</v>
      </c>
      <c r="R372" cm="1">
        <f t="array" ref="R372">INDEX(Table1[riBAQ 26], MATCH(1, (Table3[[#This Row],[Gene names]:[Gene names]] = Table1[[Gene names]:[Gene names]])*1, 0))</f>
        <v>1.85899E-4</v>
      </c>
      <c r="S372" cm="1">
        <f t="array" ref="S372">INDEX(Table1[riBAQ 42], MATCH(1, (Table3[[#This Row],[Gene names]:[Gene names]] = Table1[[Gene names]:[Gene names]])*1, 0))</f>
        <v>1.4448600000000001E-4</v>
      </c>
      <c r="T372" cm="1">
        <f t="array" ref="T372">INDEX(Table1[riBAQ 43], MATCH(1, (Table3[[#This Row],[Gene names]:[Gene names]] = Table1[[Gene names]:[Gene names]])*1, 0))</f>
        <v>4.6764199999999999E-4</v>
      </c>
    </row>
    <row r="373" spans="1:20" x14ac:dyDescent="0.25">
      <c r="A373" t="s">
        <v>1009</v>
      </c>
      <c r="B373" cm="1">
        <f t="array" ref="B373">INDEX(Table1[riBAQ 17], MATCH(1, (Table3[[#This Row],[Gene names]:[Gene names]] = Table1[[Gene names]:[Gene names]])*1, 0))</f>
        <v>1.30302E-4</v>
      </c>
      <c r="C373" cm="1">
        <f t="array" ref="C373">INDEX(Table1[riBAQ 18], MATCH(1, (Table3[[#This Row],[Gene names]:[Gene names]] = Table1[[Gene names]:[Gene names]])*1, 0))</f>
        <v>4.9200000000000003E-5</v>
      </c>
      <c r="D373" cm="1">
        <f t="array" ref="D373">INDEX(Table1[riBAQ 35], MATCH(1, (Table3[[#This Row],[Gene names]:[Gene names]] = Table1[[Gene names]:[Gene names]])*1, 0))</f>
        <v>5.5800000000000001E-5</v>
      </c>
      <c r="E373" cm="1">
        <f t="array" ref="E373">INDEX(Table1[riBAQ 36], MATCH(1, (Table3[[#This Row],[Gene names]:[Gene names]] = Table1[[Gene names]:[Gene names]])*1, 0))</f>
        <v>1.04435E-4</v>
      </c>
      <c r="F373" cm="1">
        <f t="array" ref="F373">INDEX(Table1[riBAQ 19], MATCH(1, (Table3[[#This Row],[Gene names]:[Gene names]] = Table1[[Gene names]:[Gene names]])*1, 0))</f>
        <v>0</v>
      </c>
      <c r="G373" cm="1">
        <f t="array" ref="G373">INDEX(Table1[riBAQ 20], MATCH(1, (Table3[[#This Row],[Gene names]:[Gene names]] = Table1[[Gene names]:[Gene names]])*1, 0))</f>
        <v>0</v>
      </c>
      <c r="H373" cm="1">
        <f t="array" ref="H373">INDEX(Table1[riBAQ 21], MATCH(1, (Table3[[#This Row],[Gene names]:[Gene names]] = Table1[[Gene names]:[Gene names]])*1, 0))</f>
        <v>6.3499999999999999E-5</v>
      </c>
      <c r="I373" cm="1">
        <f t="array" ref="I373">INDEX(Table1[riBAQ 22], MATCH(1, (Table3[[#This Row],[Gene names]:[Gene names]] = Table1[[Gene names]:[Gene names]])*1, 0))</f>
        <v>0</v>
      </c>
      <c r="J373" cm="1">
        <f t="array" ref="J373">INDEX(Table1[riBAQ 23], MATCH(1, (Table3[[#This Row],[Gene names]:[Gene names]] = Table1[[Gene names]:[Gene names]])*1, 0))</f>
        <v>5.5300000000000002E-5</v>
      </c>
      <c r="K373" cm="1">
        <f t="array" ref="K373">INDEX(Table1[riBAQ 37], MATCH(1, (Table3[[#This Row],[Gene names]:[Gene names]] = Table1[[Gene names]:[Gene names]])*1, 0))</f>
        <v>4.7599999999999998E-5</v>
      </c>
      <c r="L373" cm="1">
        <f t="array" ref="L373">INDEX(Table1[riBAQ 38], MATCH(1, (Table3[[#This Row],[Gene names]:[Gene names]] = Table1[[Gene names]:[Gene names]])*1, 0))</f>
        <v>0</v>
      </c>
      <c r="M373" cm="1">
        <f t="array" ref="M373">INDEX(Table1[riBAQ 39], MATCH(1, (Table3[[#This Row],[Gene names]:[Gene names]] = Table1[[Gene names]:[Gene names]])*1, 0))</f>
        <v>1.0802399999999999E-4</v>
      </c>
      <c r="N373" cm="1">
        <f t="array" ref="N373">INDEX(Table1[riBAQ 40], MATCH(1, (Table3[[#This Row],[Gene names]:[Gene names]] = Table1[[Gene names]:[Gene names]])*1, 0))</f>
        <v>0</v>
      </c>
      <c r="O373" cm="1">
        <f t="array" ref="O373">INDEX(Table1[riBAQ 41], MATCH(1, (Table3[[#This Row],[Gene names]:[Gene names]] = Table1[[Gene names]:[Gene names]])*1, 0))</f>
        <v>4.0800000000000002E-5</v>
      </c>
      <c r="P373" cm="1">
        <f t="array" ref="P373">INDEX(Table1[riBAQ 24], MATCH(1, (Table3[[#This Row],[Gene names]:[Gene names]] = Table1[[Gene names]:[Gene names]])*1, 0))</f>
        <v>9.2E-5</v>
      </c>
      <c r="Q373" cm="1">
        <f t="array" ref="Q373">INDEX(Table1[riBAQ 25], MATCH(1, (Table3[[#This Row],[Gene names]:[Gene names]] = Table1[[Gene names]:[Gene names]])*1, 0))</f>
        <v>2.2947399999999999E-4</v>
      </c>
      <c r="R373" cm="1">
        <f t="array" ref="R373">INDEX(Table1[riBAQ 26], MATCH(1, (Table3[[#This Row],[Gene names]:[Gene names]] = Table1[[Gene names]:[Gene names]])*1, 0))</f>
        <v>1.7038399999999999E-4</v>
      </c>
      <c r="S373" cm="1">
        <f t="array" ref="S373">INDEX(Table1[riBAQ 42], MATCH(1, (Table3[[#This Row],[Gene names]:[Gene names]] = Table1[[Gene names]:[Gene names]])*1, 0))</f>
        <v>1.90991E-4</v>
      </c>
      <c r="T373" cm="1">
        <f t="array" ref="T373">INDEX(Table1[riBAQ 43], MATCH(1, (Table3[[#This Row],[Gene names]:[Gene names]] = Table1[[Gene names]:[Gene names]])*1, 0))</f>
        <v>3.1885099999999999E-4</v>
      </c>
    </row>
    <row r="374" spans="1:20" x14ac:dyDescent="0.25">
      <c r="A374" t="s">
        <v>476</v>
      </c>
      <c r="B374" cm="1">
        <f t="array" ref="B374">INDEX(Table1[riBAQ 17], MATCH(1, (Table3[[#This Row],[Gene names]:[Gene names]] = Table1[[Gene names]:[Gene names]])*1, 0))</f>
        <v>3.6600000000000002E-5</v>
      </c>
      <c r="C374" cm="1">
        <f t="array" ref="C374">INDEX(Table1[riBAQ 18], MATCH(1, (Table3[[#This Row],[Gene names]:[Gene names]] = Table1[[Gene names]:[Gene names]])*1, 0))</f>
        <v>2.1500000000000001E-5</v>
      </c>
      <c r="D374" cm="1">
        <f t="array" ref="D374">INDEX(Table1[riBAQ 35], MATCH(1, (Table3[[#This Row],[Gene names]:[Gene names]] = Table1[[Gene names]:[Gene names]])*1, 0))</f>
        <v>5.0000000000000002E-5</v>
      </c>
      <c r="E374" cm="1">
        <f t="array" ref="E374">INDEX(Table1[riBAQ 36], MATCH(1, (Table3[[#This Row],[Gene names]:[Gene names]] = Table1[[Gene names]:[Gene names]])*1, 0))</f>
        <v>7.5799999999999999E-5</v>
      </c>
      <c r="F374" cm="1">
        <f t="array" ref="F374">INDEX(Table1[riBAQ 19], MATCH(1, (Table3[[#This Row],[Gene names]:[Gene names]] = Table1[[Gene names]:[Gene names]])*1, 0))</f>
        <v>3.5500000000000002E-5</v>
      </c>
      <c r="G374" cm="1">
        <f t="array" ref="G374">INDEX(Table1[riBAQ 20], MATCH(1, (Table3[[#This Row],[Gene names]:[Gene names]] = Table1[[Gene names]:[Gene names]])*1, 0))</f>
        <v>4.7800000000000003E-5</v>
      </c>
      <c r="H374" cm="1">
        <f t="array" ref="H374">INDEX(Table1[riBAQ 21], MATCH(1, (Table3[[#This Row],[Gene names]:[Gene names]] = Table1[[Gene names]:[Gene names]])*1, 0))</f>
        <v>5.3199999999999999E-5</v>
      </c>
      <c r="I374" cm="1">
        <f t="array" ref="I374">INDEX(Table1[riBAQ 22], MATCH(1, (Table3[[#This Row],[Gene names]:[Gene names]] = Table1[[Gene names]:[Gene names]])*1, 0))</f>
        <v>5.8199999999999998E-5</v>
      </c>
      <c r="J374" cm="1">
        <f t="array" ref="J374">INDEX(Table1[riBAQ 23], MATCH(1, (Table3[[#This Row],[Gene names]:[Gene names]] = Table1[[Gene names]:[Gene names]])*1, 0))</f>
        <v>6.0999999999999999E-5</v>
      </c>
      <c r="K374" cm="1">
        <f t="array" ref="K374">INDEX(Table1[riBAQ 37], MATCH(1, (Table3[[#This Row],[Gene names]:[Gene names]] = Table1[[Gene names]:[Gene names]])*1, 0))</f>
        <v>5.4700000000000001E-5</v>
      </c>
      <c r="L374" cm="1">
        <f t="array" ref="L374">INDEX(Table1[riBAQ 38], MATCH(1, (Table3[[#This Row],[Gene names]:[Gene names]] = Table1[[Gene names]:[Gene names]])*1, 0))</f>
        <v>5.41E-5</v>
      </c>
      <c r="M374" cm="1">
        <f t="array" ref="M374">INDEX(Table1[riBAQ 39], MATCH(1, (Table3[[#This Row],[Gene names]:[Gene names]] = Table1[[Gene names]:[Gene names]])*1, 0))</f>
        <v>5.4299999999999998E-5</v>
      </c>
      <c r="N374" cm="1">
        <f t="array" ref="N374">INDEX(Table1[riBAQ 40], MATCH(1, (Table3[[#This Row],[Gene names]:[Gene names]] = Table1[[Gene names]:[Gene names]])*1, 0))</f>
        <v>6.8399999999999996E-5</v>
      </c>
      <c r="O374" cm="1">
        <f t="array" ref="O374">INDEX(Table1[riBAQ 41], MATCH(1, (Table3[[#This Row],[Gene names]:[Gene names]] = Table1[[Gene names]:[Gene names]])*1, 0))</f>
        <v>5.8999999999999998E-5</v>
      </c>
      <c r="P374" cm="1">
        <f t="array" ref="P374">INDEX(Table1[riBAQ 24], MATCH(1, (Table3[[#This Row],[Gene names]:[Gene names]] = Table1[[Gene names]:[Gene names]])*1, 0))</f>
        <v>1.11934E-4</v>
      </c>
      <c r="Q374" cm="1">
        <f t="array" ref="Q374">INDEX(Table1[riBAQ 25], MATCH(1, (Table3[[#This Row],[Gene names]:[Gene names]] = Table1[[Gene names]:[Gene names]])*1, 0))</f>
        <v>1.15256E-4</v>
      </c>
      <c r="R374" cm="1">
        <f t="array" ref="R374">INDEX(Table1[riBAQ 26], MATCH(1, (Table3[[#This Row],[Gene names]:[Gene names]] = Table1[[Gene names]:[Gene names]])*1, 0))</f>
        <v>1.2742600000000001E-4</v>
      </c>
      <c r="S374" cm="1">
        <f t="array" ref="S374">INDEX(Table1[riBAQ 42], MATCH(1, (Table3[[#This Row],[Gene names]:[Gene names]] = Table1[[Gene names]:[Gene names]])*1, 0))</f>
        <v>2.1097600000000001E-4</v>
      </c>
      <c r="T374" cm="1">
        <f t="array" ref="T374">INDEX(Table1[riBAQ 43], MATCH(1, (Table3[[#This Row],[Gene names]:[Gene names]] = Table1[[Gene names]:[Gene names]])*1, 0))</f>
        <v>1.1047700000000001E-4</v>
      </c>
    </row>
    <row r="375" spans="1:20" x14ac:dyDescent="0.25">
      <c r="A375" t="s">
        <v>605</v>
      </c>
      <c r="B375" cm="1">
        <f t="array" ref="B375">INDEX(Table1[riBAQ 17], MATCH(1, (Table3[[#This Row],[Gene names]:[Gene names]] = Table1[[Gene names]:[Gene names]])*1, 0))</f>
        <v>4.9401399999999998E-4</v>
      </c>
      <c r="C375" cm="1">
        <f t="array" ref="C375">INDEX(Table1[riBAQ 18], MATCH(1, (Table3[[#This Row],[Gene names]:[Gene names]] = Table1[[Gene names]:[Gene names]])*1, 0))</f>
        <v>5.5879900000000001E-4</v>
      </c>
      <c r="D375" cm="1">
        <f t="array" ref="D375">INDEX(Table1[riBAQ 35], MATCH(1, (Table3[[#This Row],[Gene names]:[Gene names]] = Table1[[Gene names]:[Gene names]])*1, 0))</f>
        <v>4.2535199999999999E-4</v>
      </c>
      <c r="E375" cm="1">
        <f t="array" ref="E375">INDEX(Table1[riBAQ 36], MATCH(1, (Table3[[#This Row],[Gene names]:[Gene names]] = Table1[[Gene names]:[Gene names]])*1, 0))</f>
        <v>5.0570900000000002E-4</v>
      </c>
      <c r="F375" cm="1">
        <f t="array" ref="F375">INDEX(Table1[riBAQ 19], MATCH(1, (Table3[[#This Row],[Gene names]:[Gene names]] = Table1[[Gene names]:[Gene names]])*1, 0))</f>
        <v>4.7777399999999998E-4</v>
      </c>
      <c r="G375" cm="1">
        <f t="array" ref="G375">INDEX(Table1[riBAQ 20], MATCH(1, (Table3[[#This Row],[Gene names]:[Gene names]] = Table1[[Gene names]:[Gene names]])*1, 0))</f>
        <v>4.43008E-4</v>
      </c>
      <c r="H375" cm="1">
        <f t="array" ref="H375">INDEX(Table1[riBAQ 21], MATCH(1, (Table3[[#This Row],[Gene names]:[Gene names]] = Table1[[Gene names]:[Gene names]])*1, 0))</f>
        <v>7.0052899999999997E-4</v>
      </c>
      <c r="I375" cm="1">
        <f t="array" ref="I375">INDEX(Table1[riBAQ 22], MATCH(1, (Table3[[#This Row],[Gene names]:[Gene names]] = Table1[[Gene names]:[Gene names]])*1, 0))</f>
        <v>4.1989600000000001E-4</v>
      </c>
      <c r="J375" cm="1">
        <f t="array" ref="J375">INDEX(Table1[riBAQ 23], MATCH(1, (Table3[[#This Row],[Gene names]:[Gene names]] = Table1[[Gene names]:[Gene names]])*1, 0))</f>
        <v>4.5960400000000001E-4</v>
      </c>
      <c r="K375" cm="1">
        <f t="array" ref="K375">INDEX(Table1[riBAQ 37], MATCH(1, (Table3[[#This Row],[Gene names]:[Gene names]] = Table1[[Gene names]:[Gene names]])*1, 0))</f>
        <v>5.9724500000000005E-4</v>
      </c>
      <c r="L375" cm="1">
        <f t="array" ref="L375">INDEX(Table1[riBAQ 38], MATCH(1, (Table3[[#This Row],[Gene names]:[Gene names]] = Table1[[Gene names]:[Gene names]])*1, 0))</f>
        <v>5.0700099999999998E-4</v>
      </c>
      <c r="M375" cm="1">
        <f t="array" ref="M375">INDEX(Table1[riBAQ 39], MATCH(1, (Table3[[#This Row],[Gene names]:[Gene names]] = Table1[[Gene names]:[Gene names]])*1, 0))</f>
        <v>4.7010500000000001E-4</v>
      </c>
      <c r="N375" cm="1">
        <f t="array" ref="N375">INDEX(Table1[riBAQ 40], MATCH(1, (Table3[[#This Row],[Gene names]:[Gene names]] = Table1[[Gene names]:[Gene names]])*1, 0))</f>
        <v>4.0523099999999998E-4</v>
      </c>
      <c r="O375" cm="1">
        <f t="array" ref="O375">INDEX(Table1[riBAQ 41], MATCH(1, (Table3[[#This Row],[Gene names]:[Gene names]] = Table1[[Gene names]:[Gene names]])*1, 0))</f>
        <v>3.7469400000000001E-4</v>
      </c>
      <c r="P375" cm="1">
        <f t="array" ref="P375">INDEX(Table1[riBAQ 24], MATCH(1, (Table3[[#This Row],[Gene names]:[Gene names]] = Table1[[Gene names]:[Gene names]])*1, 0))</f>
        <v>7.47114E-4</v>
      </c>
      <c r="Q375" cm="1">
        <f t="array" ref="Q375">INDEX(Table1[riBAQ 25], MATCH(1, (Table3[[#This Row],[Gene names]:[Gene names]] = Table1[[Gene names]:[Gene names]])*1, 0))</f>
        <v>8.1659300000000001E-4</v>
      </c>
      <c r="R375" cm="1">
        <f t="array" ref="R375">INDEX(Table1[riBAQ 26], MATCH(1, (Table3[[#This Row],[Gene names]:[Gene names]] = Table1[[Gene names]:[Gene names]])*1, 0))</f>
        <v>8.2723599999999997E-4</v>
      </c>
      <c r="S375" cm="1">
        <f t="array" ref="S375">INDEX(Table1[riBAQ 42], MATCH(1, (Table3[[#This Row],[Gene names]:[Gene names]] = Table1[[Gene names]:[Gene names]])*1, 0))</f>
        <v>9.26526E-4</v>
      </c>
      <c r="T375" cm="1">
        <f t="array" ref="T375">INDEX(Table1[riBAQ 43], MATCH(1, (Table3[[#This Row],[Gene names]:[Gene names]] = Table1[[Gene names]:[Gene names]])*1, 0))</f>
        <v>5.5977200000000005E-4</v>
      </c>
    </row>
    <row r="376" spans="1:20" x14ac:dyDescent="0.25">
      <c r="A376" t="s">
        <v>633</v>
      </c>
      <c r="B376" cm="1">
        <f t="array" ref="B376">INDEX(Table1[riBAQ 17], MATCH(1, (Table3[[#This Row],[Gene names]:[Gene names]] = Table1[[Gene names]:[Gene names]])*1, 0))</f>
        <v>1.5045100000000001E-4</v>
      </c>
      <c r="C376" cm="1">
        <f t="array" ref="C376">INDEX(Table1[riBAQ 18], MATCH(1, (Table3[[#This Row],[Gene names]:[Gene names]] = Table1[[Gene names]:[Gene names]])*1, 0))</f>
        <v>2.56514E-4</v>
      </c>
      <c r="D376" cm="1">
        <f t="array" ref="D376">INDEX(Table1[riBAQ 35], MATCH(1, (Table3[[#This Row],[Gene names]:[Gene names]] = Table1[[Gene names]:[Gene names]])*1, 0))</f>
        <v>3.1168599999999998E-4</v>
      </c>
      <c r="E376" cm="1">
        <f t="array" ref="E376">INDEX(Table1[riBAQ 36], MATCH(1, (Table3[[#This Row],[Gene names]:[Gene names]] = Table1[[Gene names]:[Gene names]])*1, 0))</f>
        <v>3.5446099999999998E-4</v>
      </c>
      <c r="F376" cm="1">
        <f t="array" ref="F376">INDEX(Table1[riBAQ 19], MATCH(1, (Table3[[#This Row],[Gene names]:[Gene names]] = Table1[[Gene names]:[Gene names]])*1, 0))</f>
        <v>3.3769300000000002E-4</v>
      </c>
      <c r="G376" cm="1">
        <f t="array" ref="G376">INDEX(Table1[riBAQ 20], MATCH(1, (Table3[[#This Row],[Gene names]:[Gene names]] = Table1[[Gene names]:[Gene names]])*1, 0))</f>
        <v>2.3733599999999999E-4</v>
      </c>
      <c r="H376" cm="1">
        <f t="array" ref="H376">INDEX(Table1[riBAQ 21], MATCH(1, (Table3[[#This Row],[Gene names]:[Gene names]] = Table1[[Gene names]:[Gene names]])*1, 0))</f>
        <v>1.8865700000000001E-4</v>
      </c>
      <c r="I376" cm="1">
        <f t="array" ref="I376">INDEX(Table1[riBAQ 22], MATCH(1, (Table3[[#This Row],[Gene names]:[Gene names]] = Table1[[Gene names]:[Gene names]])*1, 0))</f>
        <v>3.0298800000000002E-4</v>
      </c>
      <c r="J376" cm="1">
        <f t="array" ref="J376">INDEX(Table1[riBAQ 23], MATCH(1, (Table3[[#This Row],[Gene names]:[Gene names]] = Table1[[Gene names]:[Gene names]])*1, 0))</f>
        <v>2.28655E-4</v>
      </c>
      <c r="K376" cm="1">
        <f t="array" ref="K376">INDEX(Table1[riBAQ 37], MATCH(1, (Table3[[#This Row],[Gene names]:[Gene names]] = Table1[[Gene names]:[Gene names]])*1, 0))</f>
        <v>3.8351800000000001E-4</v>
      </c>
      <c r="L376" cm="1">
        <f t="array" ref="L376">INDEX(Table1[riBAQ 38], MATCH(1, (Table3[[#This Row],[Gene names]:[Gene names]] = Table1[[Gene names]:[Gene names]])*1, 0))</f>
        <v>3.5896300000000001E-4</v>
      </c>
      <c r="M376" cm="1">
        <f t="array" ref="M376">INDEX(Table1[riBAQ 39], MATCH(1, (Table3[[#This Row],[Gene names]:[Gene names]] = Table1[[Gene names]:[Gene names]])*1, 0))</f>
        <v>3.9251800000000001E-4</v>
      </c>
      <c r="N376" cm="1">
        <f t="array" ref="N376">INDEX(Table1[riBAQ 40], MATCH(1, (Table3[[#This Row],[Gene names]:[Gene names]] = Table1[[Gene names]:[Gene names]])*1, 0))</f>
        <v>3.0506700000000001E-4</v>
      </c>
      <c r="O376" cm="1">
        <f t="array" ref="O376">INDEX(Table1[riBAQ 41], MATCH(1, (Table3[[#This Row],[Gene names]:[Gene names]] = Table1[[Gene names]:[Gene names]])*1, 0))</f>
        <v>2.7356499999999997E-4</v>
      </c>
      <c r="P376" cm="1">
        <f t="array" ref="P376">INDEX(Table1[riBAQ 24], MATCH(1, (Table3[[#This Row],[Gene names]:[Gene names]] = Table1[[Gene names]:[Gene names]])*1, 0))</f>
        <v>2.0051100000000001E-4</v>
      </c>
      <c r="Q376" cm="1">
        <f t="array" ref="Q376">INDEX(Table1[riBAQ 25], MATCH(1, (Table3[[#This Row],[Gene names]:[Gene names]] = Table1[[Gene names]:[Gene names]])*1, 0))</f>
        <v>4.0306199999999998E-4</v>
      </c>
      <c r="R376" cm="1">
        <f t="array" ref="R376">INDEX(Table1[riBAQ 26], MATCH(1, (Table3[[#This Row],[Gene names]:[Gene names]] = Table1[[Gene names]:[Gene names]])*1, 0))</f>
        <v>3.7308699999999997E-4</v>
      </c>
      <c r="S376" cm="1">
        <f t="array" ref="S376">INDEX(Table1[riBAQ 42], MATCH(1, (Table3[[#This Row],[Gene names]:[Gene names]] = Table1[[Gene names]:[Gene names]])*1, 0))</f>
        <v>6.6778599999999997E-4</v>
      </c>
      <c r="T376" cm="1">
        <f t="array" ref="T376">INDEX(Table1[riBAQ 43], MATCH(1, (Table3[[#This Row],[Gene names]:[Gene names]] = Table1[[Gene names]:[Gene names]])*1, 0))</f>
        <v>5.7439299999999997E-4</v>
      </c>
    </row>
    <row r="377" spans="1:20" x14ac:dyDescent="0.25">
      <c r="A377" t="s">
        <v>791</v>
      </c>
      <c r="B377" cm="1">
        <f t="array" ref="B377">INDEX(Table1[riBAQ 17], MATCH(1, (Table3[[#This Row],[Gene names]:[Gene names]] = Table1[[Gene names]:[Gene names]])*1, 0))</f>
        <v>4.6999999999999997E-5</v>
      </c>
      <c r="C377" cm="1">
        <f t="array" ref="C377">INDEX(Table1[riBAQ 18], MATCH(1, (Table3[[#This Row],[Gene names]:[Gene names]] = Table1[[Gene names]:[Gene names]])*1, 0))</f>
        <v>0</v>
      </c>
      <c r="D377" cm="1">
        <f t="array" ref="D377">INDEX(Table1[riBAQ 35], MATCH(1, (Table3[[#This Row],[Gene names]:[Gene names]] = Table1[[Gene names]:[Gene names]])*1, 0))</f>
        <v>4.1900000000000002E-5</v>
      </c>
      <c r="E377" cm="1">
        <f t="array" ref="E377">INDEX(Table1[riBAQ 36], MATCH(1, (Table3[[#This Row],[Gene names]:[Gene names]] = Table1[[Gene names]:[Gene names]])*1, 0))</f>
        <v>4.49E-5</v>
      </c>
      <c r="F377" cm="1">
        <f t="array" ref="F377">INDEX(Table1[riBAQ 19], MATCH(1, (Table3[[#This Row],[Gene names]:[Gene names]] = Table1[[Gene names]:[Gene names]])*1, 0))</f>
        <v>1.75909E-4</v>
      </c>
      <c r="G377" cm="1">
        <f t="array" ref="G377">INDEX(Table1[riBAQ 20], MATCH(1, (Table3[[#This Row],[Gene names]:[Gene names]] = Table1[[Gene names]:[Gene names]])*1, 0))</f>
        <v>9.7700000000000003E-5</v>
      </c>
      <c r="H377" cm="1">
        <f t="array" ref="H377">INDEX(Table1[riBAQ 21], MATCH(1, (Table3[[#This Row],[Gene names]:[Gene names]] = Table1[[Gene names]:[Gene names]])*1, 0))</f>
        <v>1.8384200000000001E-4</v>
      </c>
      <c r="I377" cm="1">
        <f t="array" ref="I377">INDEX(Table1[riBAQ 22], MATCH(1, (Table3[[#This Row],[Gene names]:[Gene names]] = Table1[[Gene names]:[Gene names]])*1, 0))</f>
        <v>1.1124E-4</v>
      </c>
      <c r="J377" cm="1">
        <f t="array" ref="J377">INDEX(Table1[riBAQ 23], MATCH(1, (Table3[[#This Row],[Gene names]:[Gene names]] = Table1[[Gene names]:[Gene names]])*1, 0))</f>
        <v>2.0942700000000001E-4</v>
      </c>
      <c r="K377" cm="1">
        <f t="array" ref="K377">INDEX(Table1[riBAQ 37], MATCH(1, (Table3[[#This Row],[Gene names]:[Gene names]] = Table1[[Gene names]:[Gene names]])*1, 0))</f>
        <v>9.8099999999999999E-5</v>
      </c>
      <c r="L377" cm="1">
        <f t="array" ref="L377">INDEX(Table1[riBAQ 38], MATCH(1, (Table3[[#This Row],[Gene names]:[Gene names]] = Table1[[Gene names]:[Gene names]])*1, 0))</f>
        <v>3.2700000000000002E-5</v>
      </c>
      <c r="M377" cm="1">
        <f t="array" ref="M377">INDEX(Table1[riBAQ 39], MATCH(1, (Table3[[#This Row],[Gene names]:[Gene names]] = Table1[[Gene names]:[Gene names]])*1, 0))</f>
        <v>9.1000000000000003E-5</v>
      </c>
      <c r="N377" cm="1">
        <f t="array" ref="N377">INDEX(Table1[riBAQ 40], MATCH(1, (Table3[[#This Row],[Gene names]:[Gene names]] = Table1[[Gene names]:[Gene names]])*1, 0))</f>
        <v>5.3100000000000003E-5</v>
      </c>
      <c r="O377" cm="1">
        <f t="array" ref="O377">INDEX(Table1[riBAQ 41], MATCH(1, (Table3[[#This Row],[Gene names]:[Gene names]] = Table1[[Gene names]:[Gene names]])*1, 0))</f>
        <v>6.7600000000000003E-5</v>
      </c>
      <c r="P377" cm="1">
        <f t="array" ref="P377">INDEX(Table1[riBAQ 24], MATCH(1, (Table3[[#This Row],[Gene names]:[Gene names]] = Table1[[Gene names]:[Gene names]])*1, 0))</f>
        <v>2.34649E-4</v>
      </c>
      <c r="Q377" cm="1">
        <f t="array" ref="Q377">INDEX(Table1[riBAQ 25], MATCH(1, (Table3[[#This Row],[Gene names]:[Gene names]] = Table1[[Gene names]:[Gene names]])*1, 0))</f>
        <v>4.1184000000000001E-4</v>
      </c>
      <c r="R377" cm="1">
        <f t="array" ref="R377">INDEX(Table1[riBAQ 26], MATCH(1, (Table3[[#This Row],[Gene names]:[Gene names]] = Table1[[Gene names]:[Gene names]])*1, 0))</f>
        <v>4.4608199999999999E-4</v>
      </c>
      <c r="S377" cm="1">
        <f t="array" ref="S377">INDEX(Table1[riBAQ 42], MATCH(1, (Table3[[#This Row],[Gene names]:[Gene names]] = Table1[[Gene names]:[Gene names]])*1, 0))</f>
        <v>2.9884099999999999E-4</v>
      </c>
      <c r="T377" cm="1">
        <f t="array" ref="T377">INDEX(Table1[riBAQ 43], MATCH(1, (Table3[[#This Row],[Gene names]:[Gene names]] = Table1[[Gene names]:[Gene names]])*1, 0))</f>
        <v>1.0945100000000001E-4</v>
      </c>
    </row>
    <row r="378" spans="1:20" x14ac:dyDescent="0.25">
      <c r="A378" t="s">
        <v>790</v>
      </c>
      <c r="B378" cm="1">
        <f t="array" ref="B378">INDEX(Table1[riBAQ 17], MATCH(1, (Table3[[#This Row],[Gene names]:[Gene names]] = Table1[[Gene names]:[Gene names]])*1, 0))</f>
        <v>0</v>
      </c>
      <c r="C378" cm="1">
        <f t="array" ref="C378">INDEX(Table1[riBAQ 18], MATCH(1, (Table3[[#This Row],[Gene names]:[Gene names]] = Table1[[Gene names]:[Gene names]])*1, 0))</f>
        <v>0</v>
      </c>
      <c r="D378" cm="1">
        <f t="array" ref="D378">INDEX(Table1[riBAQ 35], MATCH(1, (Table3[[#This Row],[Gene names]:[Gene names]] = Table1[[Gene names]:[Gene names]])*1, 0))</f>
        <v>0</v>
      </c>
      <c r="E378" cm="1">
        <f t="array" ref="E378">INDEX(Table1[riBAQ 36], MATCH(1, (Table3[[#This Row],[Gene names]:[Gene names]] = Table1[[Gene names]:[Gene names]])*1, 0))</f>
        <v>0</v>
      </c>
      <c r="F378" cm="1">
        <f t="array" ref="F378">INDEX(Table1[riBAQ 19], MATCH(1, (Table3[[#This Row],[Gene names]:[Gene names]] = Table1[[Gene names]:[Gene names]])*1, 0))</f>
        <v>4.4955100000000002E-4</v>
      </c>
      <c r="G378" cm="1">
        <f t="array" ref="G378">INDEX(Table1[riBAQ 20], MATCH(1, (Table3[[#This Row],[Gene names]:[Gene names]] = Table1[[Gene names]:[Gene names]])*1, 0))</f>
        <v>2.46071E-4</v>
      </c>
      <c r="H378" cm="1">
        <f t="array" ref="H378">INDEX(Table1[riBAQ 21], MATCH(1, (Table3[[#This Row],[Gene names]:[Gene names]] = Table1[[Gene names]:[Gene names]])*1, 0))</f>
        <v>2.5247799999999999E-4</v>
      </c>
      <c r="I378" cm="1">
        <f t="array" ref="I378">INDEX(Table1[riBAQ 22], MATCH(1, (Table3[[#This Row],[Gene names]:[Gene names]] = Table1[[Gene names]:[Gene names]])*1, 0))</f>
        <v>1.9845799999999999E-4</v>
      </c>
      <c r="J378" cm="1">
        <f t="array" ref="J378">INDEX(Table1[riBAQ 23], MATCH(1, (Table3[[#This Row],[Gene names]:[Gene names]] = Table1[[Gene names]:[Gene names]])*1, 0))</f>
        <v>2.7514299999999999E-4</v>
      </c>
      <c r="K378" cm="1">
        <f t="array" ref="K378">INDEX(Table1[riBAQ 37], MATCH(1, (Table3[[#This Row],[Gene names]:[Gene names]] = Table1[[Gene names]:[Gene names]])*1, 0))</f>
        <v>6.69E-5</v>
      </c>
      <c r="L378" cm="1">
        <f t="array" ref="L378">INDEX(Table1[riBAQ 38], MATCH(1, (Table3[[#This Row],[Gene names]:[Gene names]] = Table1[[Gene names]:[Gene names]])*1, 0))</f>
        <v>1.08571E-4</v>
      </c>
      <c r="M378" cm="1">
        <f t="array" ref="M378">INDEX(Table1[riBAQ 39], MATCH(1, (Table3[[#This Row],[Gene names]:[Gene names]] = Table1[[Gene names]:[Gene names]])*1, 0))</f>
        <v>0</v>
      </c>
      <c r="N378" cm="1">
        <f t="array" ref="N378">INDEX(Table1[riBAQ 40], MATCH(1, (Table3[[#This Row],[Gene names]:[Gene names]] = Table1[[Gene names]:[Gene names]])*1, 0))</f>
        <v>1.22891E-4</v>
      </c>
      <c r="O378" cm="1">
        <f t="array" ref="O378">INDEX(Table1[riBAQ 41], MATCH(1, (Table3[[#This Row],[Gene names]:[Gene names]] = Table1[[Gene names]:[Gene names]])*1, 0))</f>
        <v>7.9900000000000004E-5</v>
      </c>
      <c r="P378" cm="1">
        <f t="array" ref="P378">INDEX(Table1[riBAQ 24], MATCH(1, (Table3[[#This Row],[Gene names]:[Gene names]] = Table1[[Gene names]:[Gene names]])*1, 0))</f>
        <v>7.3457000000000004E-4</v>
      </c>
      <c r="Q378" cm="1">
        <f t="array" ref="Q378">INDEX(Table1[riBAQ 25], MATCH(1, (Table3[[#This Row],[Gene names]:[Gene names]] = Table1[[Gene names]:[Gene names]])*1, 0))</f>
        <v>8.4292799999999995E-4</v>
      </c>
      <c r="R378" cm="1">
        <f t="array" ref="R378">INDEX(Table1[riBAQ 26], MATCH(1, (Table3[[#This Row],[Gene names]:[Gene names]] = Table1[[Gene names]:[Gene names]])*1, 0))</f>
        <v>9.2767200000000005E-4</v>
      </c>
      <c r="S378" cm="1">
        <f t="array" ref="S378">INDEX(Table1[riBAQ 42], MATCH(1, (Table3[[#This Row],[Gene names]:[Gene names]] = Table1[[Gene names]:[Gene names]])*1, 0))</f>
        <v>6.6426799999999998E-4</v>
      </c>
      <c r="T378" cm="1">
        <f t="array" ref="T378">INDEX(Table1[riBAQ 43], MATCH(1, (Table3[[#This Row],[Gene names]:[Gene names]] = Table1[[Gene names]:[Gene names]])*1, 0))</f>
        <v>1.0706599999999999E-4</v>
      </c>
    </row>
    <row r="379" spans="1:20" x14ac:dyDescent="0.25">
      <c r="A379" t="s">
        <v>238</v>
      </c>
      <c r="B379" cm="1">
        <f t="array" ref="B379">INDEX(Table1[riBAQ 17], MATCH(1, (Table3[[#This Row],[Gene names]:[Gene names]] = Table1[[Gene names]:[Gene names]])*1, 0))</f>
        <v>0</v>
      </c>
      <c r="C379" cm="1">
        <f t="array" ref="C379">INDEX(Table1[riBAQ 18], MATCH(1, (Table3[[#This Row],[Gene names]:[Gene names]] = Table1[[Gene names]:[Gene names]])*1, 0))</f>
        <v>0</v>
      </c>
      <c r="D379" cm="1">
        <f t="array" ref="D379">INDEX(Table1[riBAQ 35], MATCH(1, (Table3[[#This Row],[Gene names]:[Gene names]] = Table1[[Gene names]:[Gene names]])*1, 0))</f>
        <v>0</v>
      </c>
      <c r="E379" cm="1">
        <f t="array" ref="E379">INDEX(Table1[riBAQ 36], MATCH(1, (Table3[[#This Row],[Gene names]:[Gene names]] = Table1[[Gene names]:[Gene names]])*1, 0))</f>
        <v>0</v>
      </c>
      <c r="F379" cm="1">
        <f t="array" ref="F379">INDEX(Table1[riBAQ 19], MATCH(1, (Table3[[#This Row],[Gene names]:[Gene names]] = Table1[[Gene names]:[Gene names]])*1, 0))</f>
        <v>0</v>
      </c>
      <c r="G379" cm="1">
        <f t="array" ref="G379">INDEX(Table1[riBAQ 20], MATCH(1, (Table3[[#This Row],[Gene names]:[Gene names]] = Table1[[Gene names]:[Gene names]])*1, 0))</f>
        <v>0</v>
      </c>
      <c r="H379" cm="1">
        <f t="array" ref="H379">INDEX(Table1[riBAQ 21], MATCH(1, (Table3[[#This Row],[Gene names]:[Gene names]] = Table1[[Gene names]:[Gene names]])*1, 0))</f>
        <v>0</v>
      </c>
      <c r="I379" cm="1">
        <f t="array" ref="I379">INDEX(Table1[riBAQ 22], MATCH(1, (Table3[[#This Row],[Gene names]:[Gene names]] = Table1[[Gene names]:[Gene names]])*1, 0))</f>
        <v>0</v>
      </c>
      <c r="J379" cm="1">
        <f t="array" ref="J379">INDEX(Table1[riBAQ 23], MATCH(1, (Table3[[#This Row],[Gene names]:[Gene names]] = Table1[[Gene names]:[Gene names]])*1, 0))</f>
        <v>0</v>
      </c>
      <c r="K379" cm="1">
        <f t="array" ref="K379">INDEX(Table1[riBAQ 37], MATCH(1, (Table3[[#This Row],[Gene names]:[Gene names]] = Table1[[Gene names]:[Gene names]])*1, 0))</f>
        <v>0</v>
      </c>
      <c r="L379" cm="1">
        <f t="array" ref="L379">INDEX(Table1[riBAQ 38], MATCH(1, (Table3[[#This Row],[Gene names]:[Gene names]] = Table1[[Gene names]:[Gene names]])*1, 0))</f>
        <v>0</v>
      </c>
      <c r="M379" cm="1">
        <f t="array" ref="M379">INDEX(Table1[riBAQ 39], MATCH(1, (Table3[[#This Row],[Gene names]:[Gene names]] = Table1[[Gene names]:[Gene names]])*1, 0))</f>
        <v>0</v>
      </c>
      <c r="N379" cm="1">
        <f t="array" ref="N379">INDEX(Table1[riBAQ 40], MATCH(1, (Table3[[#This Row],[Gene names]:[Gene names]] = Table1[[Gene names]:[Gene names]])*1, 0))</f>
        <v>0</v>
      </c>
      <c r="O379" cm="1">
        <f t="array" ref="O379">INDEX(Table1[riBAQ 41], MATCH(1, (Table3[[#This Row],[Gene names]:[Gene names]] = Table1[[Gene names]:[Gene names]])*1, 0))</f>
        <v>0</v>
      </c>
      <c r="P379" cm="1">
        <f t="array" ref="P379">INDEX(Table1[riBAQ 24], MATCH(1, (Table3[[#This Row],[Gene names]:[Gene names]] = Table1[[Gene names]:[Gene names]])*1, 0))</f>
        <v>1.19E-5</v>
      </c>
      <c r="Q379" cm="1">
        <f t="array" ref="Q379">INDEX(Table1[riBAQ 25], MATCH(1, (Table3[[#This Row],[Gene names]:[Gene names]] = Table1[[Gene names]:[Gene names]])*1, 0))</f>
        <v>5.8499999999999999E-5</v>
      </c>
      <c r="R379" cm="1">
        <f t="array" ref="R379">INDEX(Table1[riBAQ 26], MATCH(1, (Table3[[#This Row],[Gene names]:[Gene names]] = Table1[[Gene names]:[Gene names]])*1, 0))</f>
        <v>0</v>
      </c>
      <c r="S379" cm="1">
        <f t="array" ref="S379">INDEX(Table1[riBAQ 42], MATCH(1, (Table3[[#This Row],[Gene names]:[Gene names]] = Table1[[Gene names]:[Gene names]])*1, 0))</f>
        <v>2.6800000000000001E-5</v>
      </c>
      <c r="T379" cm="1">
        <f t="array" ref="T379">INDEX(Table1[riBAQ 43], MATCH(1, (Table3[[#This Row],[Gene names]:[Gene names]] = Table1[[Gene names]:[Gene names]])*1, 0))</f>
        <v>1.51371E-4</v>
      </c>
    </row>
    <row r="380" spans="1:20" x14ac:dyDescent="0.25">
      <c r="A380" t="s">
        <v>569</v>
      </c>
      <c r="B380" cm="1">
        <f t="array" ref="B380">INDEX(Table1[riBAQ 17], MATCH(1, (Table3[[#This Row],[Gene names]:[Gene names]] = Table1[[Gene names]:[Gene names]])*1, 0))</f>
        <v>8.8137270000000004E-3</v>
      </c>
      <c r="C380" cm="1">
        <f t="array" ref="C380">INDEX(Table1[riBAQ 18], MATCH(1, (Table3[[#This Row],[Gene names]:[Gene names]] = Table1[[Gene names]:[Gene names]])*1, 0))</f>
        <v>6.4660280000000004E-3</v>
      </c>
      <c r="D380" cm="1">
        <f t="array" ref="D380">INDEX(Table1[riBAQ 35], MATCH(1, (Table3[[#This Row],[Gene names]:[Gene names]] = Table1[[Gene names]:[Gene names]])*1, 0))</f>
        <v>6.1276810000000003E-3</v>
      </c>
      <c r="E380" cm="1">
        <f t="array" ref="E380">INDEX(Table1[riBAQ 36], MATCH(1, (Table3[[#This Row],[Gene names]:[Gene names]] = Table1[[Gene names]:[Gene names]])*1, 0))</f>
        <v>6.3046259999999998E-3</v>
      </c>
      <c r="F380" cm="1">
        <f t="array" ref="F380">INDEX(Table1[riBAQ 19], MATCH(1, (Table3[[#This Row],[Gene names]:[Gene names]] = Table1[[Gene names]:[Gene names]])*1, 0))</f>
        <v>6.8008249999999999E-3</v>
      </c>
      <c r="G380" cm="1">
        <f t="array" ref="G380">INDEX(Table1[riBAQ 20], MATCH(1, (Table3[[#This Row],[Gene names]:[Gene names]] = Table1[[Gene names]:[Gene names]])*1, 0))</f>
        <v>6.7405529999999998E-3</v>
      </c>
      <c r="H380" cm="1">
        <f t="array" ref="H380">INDEX(Table1[riBAQ 21], MATCH(1, (Table3[[#This Row],[Gene names]:[Gene names]] = Table1[[Gene names]:[Gene names]])*1, 0))</f>
        <v>6.2714199999999998E-3</v>
      </c>
      <c r="I380" cm="1">
        <f t="array" ref="I380">INDEX(Table1[riBAQ 22], MATCH(1, (Table3[[#This Row],[Gene names]:[Gene names]] = Table1[[Gene names]:[Gene names]])*1, 0))</f>
        <v>6.8260960000000002E-3</v>
      </c>
      <c r="J380" cm="1">
        <f t="array" ref="J380">INDEX(Table1[riBAQ 23], MATCH(1, (Table3[[#This Row],[Gene names]:[Gene names]] = Table1[[Gene names]:[Gene names]])*1, 0))</f>
        <v>8.4650679999999992E-3</v>
      </c>
      <c r="K380" cm="1">
        <f t="array" ref="K380">INDEX(Table1[riBAQ 37], MATCH(1, (Table3[[#This Row],[Gene names]:[Gene names]] = Table1[[Gene names]:[Gene names]])*1, 0))</f>
        <v>7.5354710000000002E-3</v>
      </c>
      <c r="L380" cm="1">
        <f t="array" ref="L380">INDEX(Table1[riBAQ 38], MATCH(1, (Table3[[#This Row],[Gene names]:[Gene names]] = Table1[[Gene names]:[Gene names]])*1, 0))</f>
        <v>7.4064939999999996E-3</v>
      </c>
      <c r="M380" cm="1">
        <f t="array" ref="M380">INDEX(Table1[riBAQ 39], MATCH(1, (Table3[[#This Row],[Gene names]:[Gene names]] = Table1[[Gene names]:[Gene names]])*1, 0))</f>
        <v>6.0912900000000001E-3</v>
      </c>
      <c r="N380" cm="1">
        <f t="array" ref="N380">INDEX(Table1[riBAQ 40], MATCH(1, (Table3[[#This Row],[Gene names]:[Gene names]] = Table1[[Gene names]:[Gene names]])*1, 0))</f>
        <v>7.8784349999999996E-3</v>
      </c>
      <c r="O380" cm="1">
        <f t="array" ref="O380">INDEX(Table1[riBAQ 41], MATCH(1, (Table3[[#This Row],[Gene names]:[Gene names]] = Table1[[Gene names]:[Gene names]])*1, 0))</f>
        <v>7.4954590000000003E-3</v>
      </c>
      <c r="P380" cm="1">
        <f t="array" ref="P380">INDEX(Table1[riBAQ 24], MATCH(1, (Table3[[#This Row],[Gene names]:[Gene names]] = Table1[[Gene names]:[Gene names]])*1, 0))</f>
        <v>5.0159389999999996E-3</v>
      </c>
      <c r="Q380" cm="1">
        <f t="array" ref="Q380">INDEX(Table1[riBAQ 25], MATCH(1, (Table3[[#This Row],[Gene names]:[Gene names]] = Table1[[Gene names]:[Gene names]])*1, 0))</f>
        <v>2.334483E-3</v>
      </c>
      <c r="R380" cm="1">
        <f t="array" ref="R380">INDEX(Table1[riBAQ 26], MATCH(1, (Table3[[#This Row],[Gene names]:[Gene names]] = Table1[[Gene names]:[Gene names]])*1, 0))</f>
        <v>3.306051E-3</v>
      </c>
      <c r="S380" cm="1">
        <f t="array" ref="S380">INDEX(Table1[riBAQ 42], MATCH(1, (Table3[[#This Row],[Gene names]:[Gene names]] = Table1[[Gene names]:[Gene names]])*1, 0))</f>
        <v>2.2452800000000001E-3</v>
      </c>
      <c r="T380" cm="1">
        <f t="array" ref="T380">INDEX(Table1[riBAQ 43], MATCH(1, (Table3[[#This Row],[Gene names]:[Gene names]] = Table1[[Gene names]:[Gene names]])*1, 0))</f>
        <v>2.239549E-3</v>
      </c>
    </row>
    <row r="381" spans="1:20" x14ac:dyDescent="0.25">
      <c r="A381" t="s">
        <v>1537</v>
      </c>
      <c r="B381" cm="1">
        <f t="array" ref="B381">INDEX(Table1[riBAQ 17], MATCH(1, (Table3[[#This Row],[Gene names]:[Gene names]] = Table1[[Gene names]:[Gene names]])*1, 0))</f>
        <v>0</v>
      </c>
      <c r="C381" cm="1">
        <f t="array" ref="C381">INDEX(Table1[riBAQ 18], MATCH(1, (Table3[[#This Row],[Gene names]:[Gene names]] = Table1[[Gene names]:[Gene names]])*1, 0))</f>
        <v>0</v>
      </c>
      <c r="D381" cm="1">
        <f t="array" ref="D381">INDEX(Table1[riBAQ 35], MATCH(1, (Table3[[#This Row],[Gene names]:[Gene names]] = Table1[[Gene names]:[Gene names]])*1, 0))</f>
        <v>1.8099999999999999E-5</v>
      </c>
      <c r="E381" cm="1">
        <f t="array" ref="E381">INDEX(Table1[riBAQ 36], MATCH(1, (Table3[[#This Row],[Gene names]:[Gene names]] = Table1[[Gene names]:[Gene names]])*1, 0))</f>
        <v>1.98E-5</v>
      </c>
      <c r="F381" cm="1">
        <f t="array" ref="F381">INDEX(Table1[riBAQ 19], MATCH(1, (Table3[[#This Row],[Gene names]:[Gene names]] = Table1[[Gene names]:[Gene names]])*1, 0))</f>
        <v>8.3499999999999997E-5</v>
      </c>
      <c r="G381" cm="1">
        <f t="array" ref="G381">INDEX(Table1[riBAQ 20], MATCH(1, (Table3[[#This Row],[Gene names]:[Gene names]] = Table1[[Gene names]:[Gene names]])*1, 0))</f>
        <v>8.7600000000000002E-5</v>
      </c>
      <c r="H381" cm="1">
        <f t="array" ref="H381">INDEX(Table1[riBAQ 21], MATCH(1, (Table3[[#This Row],[Gene names]:[Gene names]] = Table1[[Gene names]:[Gene names]])*1, 0))</f>
        <v>5.6900000000000001E-5</v>
      </c>
      <c r="I381" cm="1">
        <f t="array" ref="I381">INDEX(Table1[riBAQ 22], MATCH(1, (Table3[[#This Row],[Gene names]:[Gene names]] = Table1[[Gene names]:[Gene names]])*1, 0))</f>
        <v>6.0999999999999999E-5</v>
      </c>
      <c r="J381" cm="1">
        <f t="array" ref="J381">INDEX(Table1[riBAQ 23], MATCH(1, (Table3[[#This Row],[Gene names]:[Gene names]] = Table1[[Gene names]:[Gene names]])*1, 0))</f>
        <v>0</v>
      </c>
      <c r="K381" cm="1">
        <f t="array" ref="K381">INDEX(Table1[riBAQ 37], MATCH(1, (Table3[[#This Row],[Gene names]:[Gene names]] = Table1[[Gene names]:[Gene names]])*1, 0))</f>
        <v>5.5800000000000001E-5</v>
      </c>
      <c r="L381" cm="1">
        <f t="array" ref="L381">INDEX(Table1[riBAQ 38], MATCH(1, (Table3[[#This Row],[Gene names]:[Gene names]] = Table1[[Gene names]:[Gene names]])*1, 0))</f>
        <v>2.02E-5</v>
      </c>
      <c r="M381" cm="1">
        <f t="array" ref="M381">INDEX(Table1[riBAQ 39], MATCH(1, (Table3[[#This Row],[Gene names]:[Gene names]] = Table1[[Gene names]:[Gene names]])*1, 0))</f>
        <v>4.8900000000000003E-5</v>
      </c>
      <c r="N381" cm="1">
        <f t="array" ref="N381">INDEX(Table1[riBAQ 40], MATCH(1, (Table3[[#This Row],[Gene names]:[Gene names]] = Table1[[Gene names]:[Gene names]])*1, 0))</f>
        <v>4.0099999999999999E-5</v>
      </c>
      <c r="O381" cm="1">
        <f t="array" ref="O381">INDEX(Table1[riBAQ 41], MATCH(1, (Table3[[#This Row],[Gene names]:[Gene names]] = Table1[[Gene names]:[Gene names]])*1, 0))</f>
        <v>0</v>
      </c>
      <c r="P381" cm="1">
        <f t="array" ref="P381">INDEX(Table1[riBAQ 24], MATCH(1, (Table3[[#This Row],[Gene names]:[Gene names]] = Table1[[Gene names]:[Gene names]])*1, 0))</f>
        <v>1.8101799999999999E-4</v>
      </c>
      <c r="Q381" cm="1">
        <f t="array" ref="Q381">INDEX(Table1[riBAQ 25], MATCH(1, (Table3[[#This Row],[Gene names]:[Gene names]] = Table1[[Gene names]:[Gene names]])*1, 0))</f>
        <v>3.8043000000000002E-4</v>
      </c>
      <c r="R381" cm="1">
        <f t="array" ref="R381">INDEX(Table1[riBAQ 26], MATCH(1, (Table3[[#This Row],[Gene names]:[Gene names]] = Table1[[Gene names]:[Gene names]])*1, 0))</f>
        <v>2.8459900000000002E-4</v>
      </c>
      <c r="S381" cm="1">
        <f t="array" ref="S381">INDEX(Table1[riBAQ 42], MATCH(1, (Table3[[#This Row],[Gene names]:[Gene names]] = Table1[[Gene names]:[Gene names]])*1, 0))</f>
        <v>1.6369900000000001E-4</v>
      </c>
      <c r="T381" cm="1">
        <f t="array" ref="T381">INDEX(Table1[riBAQ 43], MATCH(1, (Table3[[#This Row],[Gene names]:[Gene names]] = Table1[[Gene names]:[Gene names]])*1, 0))</f>
        <v>6.2421500000000001E-4</v>
      </c>
    </row>
    <row r="382" spans="1:20" x14ac:dyDescent="0.25">
      <c r="A382" t="s">
        <v>573</v>
      </c>
      <c r="B382" cm="1">
        <f t="array" ref="B382">INDEX(Table1[riBAQ 17], MATCH(1, (Table3[[#This Row],[Gene names]:[Gene names]] = Table1[[Gene names]:[Gene names]])*1, 0))</f>
        <v>1.39066E-4</v>
      </c>
      <c r="C382" cm="1">
        <f t="array" ref="C382">INDEX(Table1[riBAQ 18], MATCH(1, (Table3[[#This Row],[Gene names]:[Gene names]] = Table1[[Gene names]:[Gene names]])*1, 0))</f>
        <v>1.34003E-4</v>
      </c>
      <c r="D382" cm="1">
        <f t="array" ref="D382">INDEX(Table1[riBAQ 35], MATCH(1, (Table3[[#This Row],[Gene names]:[Gene names]] = Table1[[Gene names]:[Gene names]])*1, 0))</f>
        <v>1.2719200000000001E-4</v>
      </c>
      <c r="E382" cm="1">
        <f t="array" ref="E382">INDEX(Table1[riBAQ 36], MATCH(1, (Table3[[#This Row],[Gene names]:[Gene names]] = Table1[[Gene names]:[Gene names]])*1, 0))</f>
        <v>1.50397E-4</v>
      </c>
      <c r="F382" cm="1">
        <f t="array" ref="F382">INDEX(Table1[riBAQ 19], MATCH(1, (Table3[[#This Row],[Gene names]:[Gene names]] = Table1[[Gene names]:[Gene names]])*1, 0))</f>
        <v>5.3399999999999997E-5</v>
      </c>
      <c r="G382" cm="1">
        <f t="array" ref="G382">INDEX(Table1[riBAQ 20], MATCH(1, (Table3[[#This Row],[Gene names]:[Gene names]] = Table1[[Gene names]:[Gene names]])*1, 0))</f>
        <v>9.6700000000000006E-5</v>
      </c>
      <c r="H382" cm="1">
        <f t="array" ref="H382">INDEX(Table1[riBAQ 21], MATCH(1, (Table3[[#This Row],[Gene names]:[Gene names]] = Table1[[Gene names]:[Gene names]])*1, 0))</f>
        <v>1.04467E-4</v>
      </c>
      <c r="I382" cm="1">
        <f t="array" ref="I382">INDEX(Table1[riBAQ 22], MATCH(1, (Table3[[#This Row],[Gene names]:[Gene names]] = Table1[[Gene names]:[Gene names]])*1, 0))</f>
        <v>8.0400000000000003E-5</v>
      </c>
      <c r="J382" cm="1">
        <f t="array" ref="J382">INDEX(Table1[riBAQ 23], MATCH(1, (Table3[[#This Row],[Gene names]:[Gene names]] = Table1[[Gene names]:[Gene names]])*1, 0))</f>
        <v>1.4032199999999999E-4</v>
      </c>
      <c r="K382" cm="1">
        <f t="array" ref="K382">INDEX(Table1[riBAQ 37], MATCH(1, (Table3[[#This Row],[Gene names]:[Gene names]] = Table1[[Gene names]:[Gene names]])*1, 0))</f>
        <v>1.03535E-4</v>
      </c>
      <c r="L382" cm="1">
        <f t="array" ref="L382">INDEX(Table1[riBAQ 38], MATCH(1, (Table3[[#This Row],[Gene names]:[Gene names]] = Table1[[Gene names]:[Gene names]])*1, 0))</f>
        <v>6.5599999999999995E-5</v>
      </c>
      <c r="M382" cm="1">
        <f t="array" ref="M382">INDEX(Table1[riBAQ 39], MATCH(1, (Table3[[#This Row],[Gene names]:[Gene names]] = Table1[[Gene names]:[Gene names]])*1, 0))</f>
        <v>9.4900000000000003E-5</v>
      </c>
      <c r="N382" cm="1">
        <f t="array" ref="N382">INDEX(Table1[riBAQ 40], MATCH(1, (Table3[[#This Row],[Gene names]:[Gene names]] = Table1[[Gene names]:[Gene names]])*1, 0))</f>
        <v>1.0472900000000001E-4</v>
      </c>
      <c r="O382" cm="1">
        <f t="array" ref="O382">INDEX(Table1[riBAQ 41], MATCH(1, (Table3[[#This Row],[Gene names]:[Gene names]] = Table1[[Gene names]:[Gene names]])*1, 0))</f>
        <v>1.5667099999999999E-4</v>
      </c>
      <c r="P382" cm="1">
        <f t="array" ref="P382">INDEX(Table1[riBAQ 24], MATCH(1, (Table3[[#This Row],[Gene names]:[Gene names]] = Table1[[Gene names]:[Gene names]])*1, 0))</f>
        <v>2.65E-5</v>
      </c>
      <c r="Q382" cm="1">
        <f t="array" ref="Q382">INDEX(Table1[riBAQ 25], MATCH(1, (Table3[[#This Row],[Gene names]:[Gene names]] = Table1[[Gene names]:[Gene names]])*1, 0))</f>
        <v>0</v>
      </c>
      <c r="R382" cm="1">
        <f t="array" ref="R382">INDEX(Table1[riBAQ 26], MATCH(1, (Table3[[#This Row],[Gene names]:[Gene names]] = Table1[[Gene names]:[Gene names]])*1, 0))</f>
        <v>3.1300000000000002E-5</v>
      </c>
      <c r="S382" cm="1">
        <f t="array" ref="S382">INDEX(Table1[riBAQ 42], MATCH(1, (Table3[[#This Row],[Gene names]:[Gene names]] = Table1[[Gene names]:[Gene names]])*1, 0))</f>
        <v>3.43E-5</v>
      </c>
      <c r="T382" cm="1">
        <f t="array" ref="T382">INDEX(Table1[riBAQ 43], MATCH(1, (Table3[[#This Row],[Gene names]:[Gene names]] = Table1[[Gene names]:[Gene names]])*1, 0))</f>
        <v>0</v>
      </c>
    </row>
    <row r="383" spans="1:20" x14ac:dyDescent="0.25">
      <c r="A383" t="s">
        <v>110</v>
      </c>
      <c r="B383" cm="1">
        <f t="array" ref="B383">INDEX(Table1[riBAQ 17], MATCH(1, (Table3[[#This Row],[Gene names]:[Gene names]] = Table1[[Gene names]:[Gene names]])*1, 0))</f>
        <v>3.5509099999999998E-4</v>
      </c>
      <c r="C383" cm="1">
        <f t="array" ref="C383">INDEX(Table1[riBAQ 18], MATCH(1, (Table3[[#This Row],[Gene names]:[Gene names]] = Table1[[Gene names]:[Gene names]])*1, 0))</f>
        <v>1.4478399999999999E-4</v>
      </c>
      <c r="D383" cm="1">
        <f t="array" ref="D383">INDEX(Table1[riBAQ 35], MATCH(1, (Table3[[#This Row],[Gene names]:[Gene names]] = Table1[[Gene names]:[Gene names]])*1, 0))</f>
        <v>2.3239300000000001E-4</v>
      </c>
      <c r="E383" cm="1">
        <f t="array" ref="E383">INDEX(Table1[riBAQ 36], MATCH(1, (Table3[[#This Row],[Gene names]:[Gene names]] = Table1[[Gene names]:[Gene names]])*1, 0))</f>
        <v>2.2478900000000001E-4</v>
      </c>
      <c r="F383" cm="1">
        <f t="array" ref="F383">INDEX(Table1[riBAQ 19], MATCH(1, (Table3[[#This Row],[Gene names]:[Gene names]] = Table1[[Gene names]:[Gene names]])*1, 0))</f>
        <v>2.5362200000000001E-4</v>
      </c>
      <c r="G383" cm="1">
        <f t="array" ref="G383">INDEX(Table1[riBAQ 20], MATCH(1, (Table3[[#This Row],[Gene names]:[Gene names]] = Table1[[Gene names]:[Gene names]])*1, 0))</f>
        <v>2.20433E-4</v>
      </c>
      <c r="H383" cm="1">
        <f t="array" ref="H383">INDEX(Table1[riBAQ 21], MATCH(1, (Table3[[#This Row],[Gene names]:[Gene names]] = Table1[[Gene names]:[Gene names]])*1, 0))</f>
        <v>3.56745E-4</v>
      </c>
      <c r="I383" cm="1">
        <f t="array" ref="I383">INDEX(Table1[riBAQ 22], MATCH(1, (Table3[[#This Row],[Gene names]:[Gene names]] = Table1[[Gene names]:[Gene names]])*1, 0))</f>
        <v>1.9955400000000001E-4</v>
      </c>
      <c r="J383" cm="1">
        <f t="array" ref="J383">INDEX(Table1[riBAQ 23], MATCH(1, (Table3[[#This Row],[Gene names]:[Gene names]] = Table1[[Gene names]:[Gene names]])*1, 0))</f>
        <v>2.86777E-4</v>
      </c>
      <c r="K383" cm="1">
        <f t="array" ref="K383">INDEX(Table1[riBAQ 37], MATCH(1, (Table3[[#This Row],[Gene names]:[Gene names]] = Table1[[Gene names]:[Gene names]])*1, 0))</f>
        <v>1.9477000000000001E-4</v>
      </c>
      <c r="L383" cm="1">
        <f t="array" ref="L383">INDEX(Table1[riBAQ 38], MATCH(1, (Table3[[#This Row],[Gene names]:[Gene names]] = Table1[[Gene names]:[Gene names]])*1, 0))</f>
        <v>1.75828E-4</v>
      </c>
      <c r="M383" cm="1">
        <f t="array" ref="M383">INDEX(Table1[riBAQ 39], MATCH(1, (Table3[[#This Row],[Gene names]:[Gene names]] = Table1[[Gene names]:[Gene names]])*1, 0))</f>
        <v>3.6768599999999999E-4</v>
      </c>
      <c r="N383" cm="1">
        <f t="array" ref="N383">INDEX(Table1[riBAQ 40], MATCH(1, (Table3[[#This Row],[Gene names]:[Gene names]] = Table1[[Gene names]:[Gene names]])*1, 0))</f>
        <v>1.6942500000000001E-4</v>
      </c>
      <c r="O383" cm="1">
        <f t="array" ref="O383">INDEX(Table1[riBAQ 41], MATCH(1, (Table3[[#This Row],[Gene names]:[Gene names]] = Table1[[Gene names]:[Gene names]])*1, 0))</f>
        <v>3.0786399999999998E-4</v>
      </c>
      <c r="P383" cm="1">
        <f t="array" ref="P383">INDEX(Table1[riBAQ 24], MATCH(1, (Table3[[#This Row],[Gene names]:[Gene names]] = Table1[[Gene names]:[Gene names]])*1, 0))</f>
        <v>4.9227099999999996E-4</v>
      </c>
      <c r="Q383" cm="1">
        <f t="array" ref="Q383">INDEX(Table1[riBAQ 25], MATCH(1, (Table3[[#This Row],[Gene names]:[Gene names]] = Table1[[Gene names]:[Gene names]])*1, 0))</f>
        <v>3.7854700000000002E-4</v>
      </c>
      <c r="R383" cm="1">
        <f t="array" ref="R383">INDEX(Table1[riBAQ 26], MATCH(1, (Table3[[#This Row],[Gene names]:[Gene names]] = Table1[[Gene names]:[Gene names]])*1, 0))</f>
        <v>4.6047299999999998E-4</v>
      </c>
      <c r="S383" cm="1">
        <f t="array" ref="S383">INDEX(Table1[riBAQ 42], MATCH(1, (Table3[[#This Row],[Gene names]:[Gene names]] = Table1[[Gene names]:[Gene names]])*1, 0))</f>
        <v>2.6970899999999998E-4</v>
      </c>
      <c r="T383" cm="1">
        <f t="array" ref="T383">INDEX(Table1[riBAQ 43], MATCH(1, (Table3[[#This Row],[Gene names]:[Gene names]] = Table1[[Gene names]:[Gene names]])*1, 0))</f>
        <v>6.2461799999999996E-4</v>
      </c>
    </row>
    <row r="384" spans="1:20" x14ac:dyDescent="0.25">
      <c r="A384" t="s">
        <v>1185</v>
      </c>
      <c r="B384" cm="1">
        <f t="array" ref="B384">INDEX(Table1[riBAQ 17], MATCH(1, (Table3[[#This Row],[Gene names]:[Gene names]] = Table1[[Gene names]:[Gene names]])*1, 0))</f>
        <v>5.6214500000000001E-4</v>
      </c>
      <c r="C384" cm="1">
        <f t="array" ref="C384">INDEX(Table1[riBAQ 18], MATCH(1, (Table3[[#This Row],[Gene names]:[Gene names]] = Table1[[Gene names]:[Gene names]])*1, 0))</f>
        <v>5.3899000000000004E-4</v>
      </c>
      <c r="D384" cm="1">
        <f t="array" ref="D384">INDEX(Table1[riBAQ 35], MATCH(1, (Table3[[#This Row],[Gene names]:[Gene names]] = Table1[[Gene names]:[Gene names]])*1, 0))</f>
        <v>5.4946900000000002E-4</v>
      </c>
      <c r="E384" cm="1">
        <f t="array" ref="E384">INDEX(Table1[riBAQ 36], MATCH(1, (Table3[[#This Row],[Gene names]:[Gene names]] = Table1[[Gene names]:[Gene names]])*1, 0))</f>
        <v>4.4736E-4</v>
      </c>
      <c r="F384" cm="1">
        <f t="array" ref="F384">INDEX(Table1[riBAQ 19], MATCH(1, (Table3[[#This Row],[Gene names]:[Gene names]] = Table1[[Gene names]:[Gene names]])*1, 0))</f>
        <v>6.2512099999999997E-4</v>
      </c>
      <c r="G384" cm="1">
        <f t="array" ref="G384">INDEX(Table1[riBAQ 20], MATCH(1, (Table3[[#This Row],[Gene names]:[Gene names]] = Table1[[Gene names]:[Gene names]])*1, 0))</f>
        <v>5.7356699999999998E-4</v>
      </c>
      <c r="H384" cm="1">
        <f t="array" ref="H384">INDEX(Table1[riBAQ 21], MATCH(1, (Table3[[#This Row],[Gene names]:[Gene names]] = Table1[[Gene names]:[Gene names]])*1, 0))</f>
        <v>6.3095399999999998E-4</v>
      </c>
      <c r="I384" cm="1">
        <f t="array" ref="I384">INDEX(Table1[riBAQ 22], MATCH(1, (Table3[[#This Row],[Gene names]:[Gene names]] = Table1[[Gene names]:[Gene names]])*1, 0))</f>
        <v>5.6123499999999999E-4</v>
      </c>
      <c r="J384" cm="1">
        <f t="array" ref="J384">INDEX(Table1[riBAQ 23], MATCH(1, (Table3[[#This Row],[Gene names]:[Gene names]] = Table1[[Gene names]:[Gene names]])*1, 0))</f>
        <v>3.6822299999999999E-4</v>
      </c>
      <c r="K384" cm="1">
        <f t="array" ref="K384">INDEX(Table1[riBAQ 37], MATCH(1, (Table3[[#This Row],[Gene names]:[Gene names]] = Table1[[Gene names]:[Gene names]])*1, 0))</f>
        <v>6.4032499999999997E-4</v>
      </c>
      <c r="L384" cm="1">
        <f t="array" ref="L384">INDEX(Table1[riBAQ 38], MATCH(1, (Table3[[#This Row],[Gene names]:[Gene names]] = Table1[[Gene names]:[Gene names]])*1, 0))</f>
        <v>4.5298199999999999E-4</v>
      </c>
      <c r="M384" cm="1">
        <f t="array" ref="M384">INDEX(Table1[riBAQ 39], MATCH(1, (Table3[[#This Row],[Gene names]:[Gene names]] = Table1[[Gene names]:[Gene names]])*1, 0))</f>
        <v>3.6062799999999999E-4</v>
      </c>
      <c r="N384" cm="1">
        <f t="array" ref="N384">INDEX(Table1[riBAQ 40], MATCH(1, (Table3[[#This Row],[Gene names]:[Gene names]] = Table1[[Gene names]:[Gene names]])*1, 0))</f>
        <v>3.2814699999999999E-4</v>
      </c>
      <c r="O384" cm="1">
        <f t="array" ref="O384">INDEX(Table1[riBAQ 41], MATCH(1, (Table3[[#This Row],[Gene names]:[Gene names]] = Table1[[Gene names]:[Gene names]])*1, 0))</f>
        <v>3.02935E-4</v>
      </c>
      <c r="P384" cm="1">
        <f t="array" ref="P384">INDEX(Table1[riBAQ 24], MATCH(1, (Table3[[#This Row],[Gene names]:[Gene names]] = Table1[[Gene names]:[Gene names]])*1, 0))</f>
        <v>4.61941E-4</v>
      </c>
      <c r="Q384" cm="1">
        <f t="array" ref="Q384">INDEX(Table1[riBAQ 25], MATCH(1, (Table3[[#This Row],[Gene names]:[Gene names]] = Table1[[Gene names]:[Gene names]])*1, 0))</f>
        <v>7.3162100000000001E-4</v>
      </c>
      <c r="R384" cm="1">
        <f t="array" ref="R384">INDEX(Table1[riBAQ 26], MATCH(1, (Table3[[#This Row],[Gene names]:[Gene names]] = Table1[[Gene names]:[Gene names]])*1, 0))</f>
        <v>6.7348199999999999E-4</v>
      </c>
      <c r="S384" cm="1">
        <f t="array" ref="S384">INDEX(Table1[riBAQ 42], MATCH(1, (Table3[[#This Row],[Gene names]:[Gene names]] = Table1[[Gene names]:[Gene names]])*1, 0))</f>
        <v>7.1317899999999998E-4</v>
      </c>
      <c r="T384" cm="1">
        <f t="array" ref="T384">INDEX(Table1[riBAQ 43], MATCH(1, (Table3[[#This Row],[Gene names]:[Gene names]] = Table1[[Gene names]:[Gene names]])*1, 0))</f>
        <v>1.2191859999999999E-3</v>
      </c>
    </row>
    <row r="385" spans="1:20" x14ac:dyDescent="0.25">
      <c r="A385" t="s">
        <v>1563</v>
      </c>
      <c r="B385" cm="1">
        <f t="array" ref="B385">INDEX(Table1[riBAQ 17], MATCH(1, (Table3[[#This Row],[Gene names]:[Gene names]] = Table1[[Gene names]:[Gene names]])*1, 0))</f>
        <v>3.7686550000000001E-3</v>
      </c>
      <c r="C385" cm="1">
        <f t="array" ref="C385">INDEX(Table1[riBAQ 18], MATCH(1, (Table3[[#This Row],[Gene names]:[Gene names]] = Table1[[Gene names]:[Gene names]])*1, 0))</f>
        <v>3.0005100000000001E-3</v>
      </c>
      <c r="D385" cm="1">
        <f t="array" ref="D385">INDEX(Table1[riBAQ 35], MATCH(1, (Table3[[#This Row],[Gene names]:[Gene names]] = Table1[[Gene names]:[Gene names]])*1, 0))</f>
        <v>2.6986509999999998E-3</v>
      </c>
      <c r="E385" cm="1">
        <f t="array" ref="E385">INDEX(Table1[riBAQ 36], MATCH(1, (Table3[[#This Row],[Gene names]:[Gene names]] = Table1[[Gene names]:[Gene names]])*1, 0))</f>
        <v>2.5716889999999998E-3</v>
      </c>
      <c r="F385" cm="1">
        <f t="array" ref="F385">INDEX(Table1[riBAQ 19], MATCH(1, (Table3[[#This Row],[Gene names]:[Gene names]] = Table1[[Gene names]:[Gene names]])*1, 0))</f>
        <v>2.4997840000000001E-3</v>
      </c>
      <c r="G385" cm="1">
        <f t="array" ref="G385">INDEX(Table1[riBAQ 20], MATCH(1, (Table3[[#This Row],[Gene names]:[Gene names]] = Table1[[Gene names]:[Gene names]])*1, 0))</f>
        <v>3.3660080000000002E-3</v>
      </c>
      <c r="H385" cm="1">
        <f t="array" ref="H385">INDEX(Table1[riBAQ 21], MATCH(1, (Table3[[#This Row],[Gene names]:[Gene names]] = Table1[[Gene names]:[Gene names]])*1, 0))</f>
        <v>2.836313E-3</v>
      </c>
      <c r="I385" cm="1">
        <f t="array" ref="I385">INDEX(Table1[riBAQ 22], MATCH(1, (Table3[[#This Row],[Gene names]:[Gene names]] = Table1[[Gene names]:[Gene names]])*1, 0))</f>
        <v>3.0761849999999999E-3</v>
      </c>
      <c r="J385" cm="1">
        <f t="array" ref="J385">INDEX(Table1[riBAQ 23], MATCH(1, (Table3[[#This Row],[Gene names]:[Gene names]] = Table1[[Gene names]:[Gene names]])*1, 0))</f>
        <v>3.1420609999999998E-3</v>
      </c>
      <c r="K385" cm="1">
        <f t="array" ref="K385">INDEX(Table1[riBAQ 37], MATCH(1, (Table3[[#This Row],[Gene names]:[Gene names]] = Table1[[Gene names]:[Gene names]])*1, 0))</f>
        <v>2.657441E-3</v>
      </c>
      <c r="L385" cm="1">
        <f t="array" ref="L385">INDEX(Table1[riBAQ 38], MATCH(1, (Table3[[#This Row],[Gene names]:[Gene names]] = Table1[[Gene names]:[Gene names]])*1, 0))</f>
        <v>2.526117E-3</v>
      </c>
      <c r="M385" cm="1">
        <f t="array" ref="M385">INDEX(Table1[riBAQ 39], MATCH(1, (Table3[[#This Row],[Gene names]:[Gene names]] = Table1[[Gene names]:[Gene names]])*1, 0))</f>
        <v>3.381528E-3</v>
      </c>
      <c r="N385" cm="1">
        <f t="array" ref="N385">INDEX(Table1[riBAQ 40], MATCH(1, (Table3[[#This Row],[Gene names]:[Gene names]] = Table1[[Gene names]:[Gene names]])*1, 0))</f>
        <v>2.071856E-3</v>
      </c>
      <c r="O385" cm="1">
        <f t="array" ref="O385">INDEX(Table1[riBAQ 41], MATCH(1, (Table3[[#This Row],[Gene names]:[Gene names]] = Table1[[Gene names]:[Gene names]])*1, 0))</f>
        <v>1.894981E-3</v>
      </c>
      <c r="P385" cm="1">
        <f t="array" ref="P385">INDEX(Table1[riBAQ 24], MATCH(1, (Table3[[#This Row],[Gene names]:[Gene names]] = Table1[[Gene names]:[Gene names]])*1, 0))</f>
        <v>4.5118930000000003E-3</v>
      </c>
      <c r="Q385" cm="1">
        <f t="array" ref="Q385">INDEX(Table1[riBAQ 25], MATCH(1, (Table3[[#This Row],[Gene names]:[Gene names]] = Table1[[Gene names]:[Gene names]])*1, 0))</f>
        <v>5.2499850000000004E-3</v>
      </c>
      <c r="R385" cm="1">
        <f t="array" ref="R385">INDEX(Table1[riBAQ 26], MATCH(1, (Table3[[#This Row],[Gene names]:[Gene names]] = Table1[[Gene names]:[Gene names]])*1, 0))</f>
        <v>4.0576500000000003E-3</v>
      </c>
      <c r="S385" cm="1">
        <f t="array" ref="S385">INDEX(Table1[riBAQ 42], MATCH(1, (Table3[[#This Row],[Gene names]:[Gene names]] = Table1[[Gene names]:[Gene names]])*1, 0))</f>
        <v>4.155967E-3</v>
      </c>
      <c r="T385" cm="1">
        <f t="array" ref="T385">INDEX(Table1[riBAQ 43], MATCH(1, (Table3[[#This Row],[Gene names]:[Gene names]] = Table1[[Gene names]:[Gene names]])*1, 0))</f>
        <v>4.3063659999999998E-3</v>
      </c>
    </row>
    <row r="386" spans="1:20" x14ac:dyDescent="0.25">
      <c r="A386" t="s">
        <v>27</v>
      </c>
      <c r="B386" cm="1">
        <f t="array" ref="B386">INDEX(Table1[riBAQ 17], MATCH(1, (Table3[[#This Row],[Gene names]:[Gene names]] = Table1[[Gene names]:[Gene names]])*1, 0))</f>
        <v>0</v>
      </c>
      <c r="C386" cm="1">
        <f t="array" ref="C386">INDEX(Table1[riBAQ 18], MATCH(1, (Table3[[#This Row],[Gene names]:[Gene names]] = Table1[[Gene names]:[Gene names]])*1, 0))</f>
        <v>0</v>
      </c>
      <c r="D386" cm="1">
        <f t="array" ref="D386">INDEX(Table1[riBAQ 35], MATCH(1, (Table3[[#This Row],[Gene names]:[Gene names]] = Table1[[Gene names]:[Gene names]])*1, 0))</f>
        <v>0</v>
      </c>
      <c r="E386" cm="1">
        <f t="array" ref="E386">INDEX(Table1[riBAQ 36], MATCH(1, (Table3[[#This Row],[Gene names]:[Gene names]] = Table1[[Gene names]:[Gene names]])*1, 0))</f>
        <v>0</v>
      </c>
      <c r="F386" cm="1">
        <f t="array" ref="F386">INDEX(Table1[riBAQ 19], MATCH(1, (Table3[[#This Row],[Gene names]:[Gene names]] = Table1[[Gene names]:[Gene names]])*1, 0))</f>
        <v>0</v>
      </c>
      <c r="G386" cm="1">
        <f t="array" ref="G386">INDEX(Table1[riBAQ 20], MATCH(1, (Table3[[#This Row],[Gene names]:[Gene names]] = Table1[[Gene names]:[Gene names]])*1, 0))</f>
        <v>0</v>
      </c>
      <c r="H386" cm="1">
        <f t="array" ref="H386">INDEX(Table1[riBAQ 21], MATCH(1, (Table3[[#This Row],[Gene names]:[Gene names]] = Table1[[Gene names]:[Gene names]])*1, 0))</f>
        <v>7.0500000000000003E-6</v>
      </c>
      <c r="I386" cm="1">
        <f t="array" ref="I386">INDEX(Table1[riBAQ 22], MATCH(1, (Table3[[#This Row],[Gene names]:[Gene names]] = Table1[[Gene names]:[Gene names]])*1, 0))</f>
        <v>0</v>
      </c>
      <c r="J386" cm="1">
        <f t="array" ref="J386">INDEX(Table1[riBAQ 23], MATCH(1, (Table3[[#This Row],[Gene names]:[Gene names]] = Table1[[Gene names]:[Gene names]])*1, 0))</f>
        <v>9.1500000000000005E-6</v>
      </c>
      <c r="K386" cm="1">
        <f t="array" ref="K386">INDEX(Table1[riBAQ 37], MATCH(1, (Table3[[#This Row],[Gene names]:[Gene names]] = Table1[[Gene names]:[Gene names]])*1, 0))</f>
        <v>0</v>
      </c>
      <c r="L386" cm="1">
        <f t="array" ref="L386">INDEX(Table1[riBAQ 38], MATCH(1, (Table3[[#This Row],[Gene names]:[Gene names]] = Table1[[Gene names]:[Gene names]])*1, 0))</f>
        <v>6.3199999999999996E-6</v>
      </c>
      <c r="M386" cm="1">
        <f t="array" ref="M386">INDEX(Table1[riBAQ 39], MATCH(1, (Table3[[#This Row],[Gene names]:[Gene names]] = Table1[[Gene names]:[Gene names]])*1, 0))</f>
        <v>0</v>
      </c>
      <c r="N386" cm="1">
        <f t="array" ref="N386">INDEX(Table1[riBAQ 40], MATCH(1, (Table3[[#This Row],[Gene names]:[Gene names]] = Table1[[Gene names]:[Gene names]])*1, 0))</f>
        <v>0</v>
      </c>
      <c r="O386" cm="1">
        <f t="array" ref="O386">INDEX(Table1[riBAQ 41], MATCH(1, (Table3[[#This Row],[Gene names]:[Gene names]] = Table1[[Gene names]:[Gene names]])*1, 0))</f>
        <v>0</v>
      </c>
      <c r="P386" cm="1">
        <f t="array" ref="P386">INDEX(Table1[riBAQ 24], MATCH(1, (Table3[[#This Row],[Gene names]:[Gene names]] = Table1[[Gene names]:[Gene names]])*1, 0))</f>
        <v>1.17E-5</v>
      </c>
      <c r="Q386" cm="1">
        <f t="array" ref="Q386">INDEX(Table1[riBAQ 25], MATCH(1, (Table3[[#This Row],[Gene names]:[Gene names]] = Table1[[Gene names]:[Gene names]])*1, 0))</f>
        <v>1.5099999999999999E-5</v>
      </c>
      <c r="R386" cm="1">
        <f t="array" ref="R386">INDEX(Table1[riBAQ 26], MATCH(1, (Table3[[#This Row],[Gene names]:[Gene names]] = Table1[[Gene names]:[Gene names]])*1, 0))</f>
        <v>1.33E-5</v>
      </c>
      <c r="S386" cm="1">
        <f t="array" ref="S386">INDEX(Table1[riBAQ 42], MATCH(1, (Table3[[#This Row],[Gene names]:[Gene names]] = Table1[[Gene names]:[Gene names]])*1, 0))</f>
        <v>1.5099999999999999E-5</v>
      </c>
      <c r="T386" cm="1">
        <f t="array" ref="T386">INDEX(Table1[riBAQ 43], MATCH(1, (Table3[[#This Row],[Gene names]:[Gene names]] = Table1[[Gene names]:[Gene names]])*1, 0))</f>
        <v>2.0100000000000001E-5</v>
      </c>
    </row>
    <row r="387" spans="1:20" x14ac:dyDescent="0.25">
      <c r="A387" t="s">
        <v>1562</v>
      </c>
      <c r="B387" cm="1">
        <f t="array" ref="B387">INDEX(Table1[riBAQ 17], MATCH(1, (Table3[[#This Row],[Gene names]:[Gene names]] = Table1[[Gene names]:[Gene names]])*1, 0))</f>
        <v>7.2964120000000004E-3</v>
      </c>
      <c r="C387" cm="1">
        <f t="array" ref="C387">INDEX(Table1[riBAQ 18], MATCH(1, (Table3[[#This Row],[Gene names]:[Gene names]] = Table1[[Gene names]:[Gene names]])*1, 0))</f>
        <v>6.3146590000000002E-3</v>
      </c>
      <c r="D387" cm="1">
        <f t="array" ref="D387">INDEX(Table1[riBAQ 35], MATCH(1, (Table3[[#This Row],[Gene names]:[Gene names]] = Table1[[Gene names]:[Gene names]])*1, 0))</f>
        <v>5.3170470000000001E-3</v>
      </c>
      <c r="E387" cm="1">
        <f t="array" ref="E387">INDEX(Table1[riBAQ 36], MATCH(1, (Table3[[#This Row],[Gene names]:[Gene names]] = Table1[[Gene names]:[Gene names]])*1, 0))</f>
        <v>7.0089540000000004E-3</v>
      </c>
      <c r="F387" cm="1">
        <f t="array" ref="F387">INDEX(Table1[riBAQ 19], MATCH(1, (Table3[[#This Row],[Gene names]:[Gene names]] = Table1[[Gene names]:[Gene names]])*1, 0))</f>
        <v>5.0096359999999996E-3</v>
      </c>
      <c r="G387" cm="1">
        <f t="array" ref="G387">INDEX(Table1[riBAQ 20], MATCH(1, (Table3[[#This Row],[Gene names]:[Gene names]] = Table1[[Gene names]:[Gene names]])*1, 0))</f>
        <v>6.8289049999999997E-3</v>
      </c>
      <c r="H387" cm="1">
        <f t="array" ref="H387">INDEX(Table1[riBAQ 21], MATCH(1, (Table3[[#This Row],[Gene names]:[Gene names]] = Table1[[Gene names]:[Gene names]])*1, 0))</f>
        <v>4.8754690000000003E-3</v>
      </c>
      <c r="I387" cm="1">
        <f t="array" ref="I387">INDEX(Table1[riBAQ 22], MATCH(1, (Table3[[#This Row],[Gene names]:[Gene names]] = Table1[[Gene names]:[Gene names]])*1, 0))</f>
        <v>7.0086460000000003E-3</v>
      </c>
      <c r="J387" cm="1">
        <f t="array" ref="J387">INDEX(Table1[riBAQ 23], MATCH(1, (Table3[[#This Row],[Gene names]:[Gene names]] = Table1[[Gene names]:[Gene names]])*1, 0))</f>
        <v>5.440706E-3</v>
      </c>
      <c r="K387" cm="1">
        <f t="array" ref="K387">INDEX(Table1[riBAQ 37], MATCH(1, (Table3[[#This Row],[Gene names]:[Gene names]] = Table1[[Gene names]:[Gene names]])*1, 0))</f>
        <v>4.6976099999999996E-3</v>
      </c>
      <c r="L387" cm="1">
        <f t="array" ref="L387">INDEX(Table1[riBAQ 38], MATCH(1, (Table3[[#This Row],[Gene names]:[Gene names]] = Table1[[Gene names]:[Gene names]])*1, 0))</f>
        <v>4.9054490000000001E-3</v>
      </c>
      <c r="M387" cm="1">
        <f t="array" ref="M387">INDEX(Table1[riBAQ 39], MATCH(1, (Table3[[#This Row],[Gene names]:[Gene names]] = Table1[[Gene names]:[Gene names]])*1, 0))</f>
        <v>5.6971340000000004E-3</v>
      </c>
      <c r="N387" cm="1">
        <f t="array" ref="N387">INDEX(Table1[riBAQ 40], MATCH(1, (Table3[[#This Row],[Gene names]:[Gene names]] = Table1[[Gene names]:[Gene names]])*1, 0))</f>
        <v>3.7297649999999999E-3</v>
      </c>
      <c r="O387" cm="1">
        <f t="array" ref="O387">INDEX(Table1[riBAQ 41], MATCH(1, (Table3[[#This Row],[Gene names]:[Gene names]] = Table1[[Gene names]:[Gene names]])*1, 0))</f>
        <v>3.9323960000000003E-3</v>
      </c>
      <c r="P387" cm="1">
        <f t="array" ref="P387">INDEX(Table1[riBAQ 24], MATCH(1, (Table3[[#This Row],[Gene names]:[Gene names]] = Table1[[Gene names]:[Gene names]])*1, 0))</f>
        <v>4.5080509999999999E-3</v>
      </c>
      <c r="Q387" cm="1">
        <f t="array" ref="Q387">INDEX(Table1[riBAQ 25], MATCH(1, (Table3[[#This Row],[Gene names]:[Gene names]] = Table1[[Gene names]:[Gene names]])*1, 0))</f>
        <v>2.3069990000000001E-3</v>
      </c>
      <c r="R387" cm="1">
        <f t="array" ref="R387">INDEX(Table1[riBAQ 26], MATCH(1, (Table3[[#This Row],[Gene names]:[Gene names]] = Table1[[Gene names]:[Gene names]])*1, 0))</f>
        <v>2.7904570000000001E-3</v>
      </c>
      <c r="S387" cm="1">
        <f t="array" ref="S387">INDEX(Table1[riBAQ 42], MATCH(1, (Table3[[#This Row],[Gene names]:[Gene names]] = Table1[[Gene names]:[Gene names]])*1, 0))</f>
        <v>3.0684929999999998E-3</v>
      </c>
      <c r="T387" cm="1">
        <f t="array" ref="T387">INDEX(Table1[riBAQ 43], MATCH(1, (Table3[[#This Row],[Gene names]:[Gene names]] = Table1[[Gene names]:[Gene names]])*1, 0))</f>
        <v>2.7198909999999999E-3</v>
      </c>
    </row>
    <row r="388" spans="1:20" x14ac:dyDescent="0.25">
      <c r="A388" t="s">
        <v>1050</v>
      </c>
      <c r="B388" cm="1">
        <f t="array" ref="B388">INDEX(Table1[riBAQ 17], MATCH(1, (Table3[[#This Row],[Gene names]:[Gene names]] = Table1[[Gene names]:[Gene names]])*1, 0))</f>
        <v>0</v>
      </c>
      <c r="C388" cm="1">
        <f t="array" ref="C388">INDEX(Table1[riBAQ 18], MATCH(1, (Table3[[#This Row],[Gene names]:[Gene names]] = Table1[[Gene names]:[Gene names]])*1, 0))</f>
        <v>3.7799999999999997E-5</v>
      </c>
      <c r="D388" cm="1">
        <f t="array" ref="D388">INDEX(Table1[riBAQ 35], MATCH(1, (Table3[[#This Row],[Gene names]:[Gene names]] = Table1[[Gene names]:[Gene names]])*1, 0))</f>
        <v>1.52E-5</v>
      </c>
      <c r="E388" cm="1">
        <f t="array" ref="E388">INDEX(Table1[riBAQ 36], MATCH(1, (Table3[[#This Row],[Gene names]:[Gene names]] = Table1[[Gene names]:[Gene names]])*1, 0))</f>
        <v>1.56E-5</v>
      </c>
      <c r="F388" cm="1">
        <f t="array" ref="F388">INDEX(Table1[riBAQ 19], MATCH(1, (Table3[[#This Row],[Gene names]:[Gene names]] = Table1[[Gene names]:[Gene names]])*1, 0))</f>
        <v>0</v>
      </c>
      <c r="G388" cm="1">
        <f t="array" ref="G388">INDEX(Table1[riBAQ 20], MATCH(1, (Table3[[#This Row],[Gene names]:[Gene names]] = Table1[[Gene names]:[Gene names]])*1, 0))</f>
        <v>3.6100000000000003E-5</v>
      </c>
      <c r="H388" cm="1">
        <f t="array" ref="H388">INDEX(Table1[riBAQ 21], MATCH(1, (Table3[[#This Row],[Gene names]:[Gene names]] = Table1[[Gene names]:[Gene names]])*1, 0))</f>
        <v>3.1900000000000003E-5</v>
      </c>
      <c r="I388" cm="1">
        <f t="array" ref="I388">INDEX(Table1[riBAQ 22], MATCH(1, (Table3[[#This Row],[Gene names]:[Gene names]] = Table1[[Gene names]:[Gene names]])*1, 0))</f>
        <v>0</v>
      </c>
      <c r="J388" cm="1">
        <f t="array" ref="J388">INDEX(Table1[riBAQ 23], MATCH(1, (Table3[[#This Row],[Gene names]:[Gene names]] = Table1[[Gene names]:[Gene names]])*1, 0))</f>
        <v>1.7799999999999999E-5</v>
      </c>
      <c r="K388" cm="1">
        <f t="array" ref="K388">INDEX(Table1[riBAQ 37], MATCH(1, (Table3[[#This Row],[Gene names]:[Gene names]] = Table1[[Gene names]:[Gene names]])*1, 0))</f>
        <v>3.6199999999999999E-5</v>
      </c>
      <c r="L388" cm="1">
        <f t="array" ref="L388">INDEX(Table1[riBAQ 38], MATCH(1, (Table3[[#This Row],[Gene names]:[Gene names]] = Table1[[Gene names]:[Gene names]])*1, 0))</f>
        <v>3.6600000000000002E-5</v>
      </c>
      <c r="M388" cm="1">
        <f t="array" ref="M388">INDEX(Table1[riBAQ 39], MATCH(1, (Table3[[#This Row],[Gene names]:[Gene names]] = Table1[[Gene names]:[Gene names]])*1, 0))</f>
        <v>1.77E-5</v>
      </c>
      <c r="N388" cm="1">
        <f t="array" ref="N388">INDEX(Table1[riBAQ 40], MATCH(1, (Table3[[#This Row],[Gene names]:[Gene names]] = Table1[[Gene names]:[Gene names]])*1, 0))</f>
        <v>2.0100000000000001E-5</v>
      </c>
      <c r="O388" cm="1">
        <f t="array" ref="O388">INDEX(Table1[riBAQ 41], MATCH(1, (Table3[[#This Row],[Gene names]:[Gene names]] = Table1[[Gene names]:[Gene names]])*1, 0))</f>
        <v>2.3E-5</v>
      </c>
      <c r="P388" cm="1">
        <f t="array" ref="P388">INDEX(Table1[riBAQ 24], MATCH(1, (Table3[[#This Row],[Gene names]:[Gene names]] = Table1[[Gene names]:[Gene names]])*1, 0))</f>
        <v>6.2700000000000006E-5</v>
      </c>
      <c r="Q388" cm="1">
        <f t="array" ref="Q388">INDEX(Table1[riBAQ 25], MATCH(1, (Table3[[#This Row],[Gene names]:[Gene names]] = Table1[[Gene names]:[Gene names]])*1, 0))</f>
        <v>7.1899999999999999E-5</v>
      </c>
      <c r="R388" cm="1">
        <f t="array" ref="R388">INDEX(Table1[riBAQ 26], MATCH(1, (Table3[[#This Row],[Gene names]:[Gene names]] = Table1[[Gene names]:[Gene names]])*1, 0))</f>
        <v>9.7E-5</v>
      </c>
      <c r="S388" cm="1">
        <f t="array" ref="S388">INDEX(Table1[riBAQ 42], MATCH(1, (Table3[[#This Row],[Gene names]:[Gene names]] = Table1[[Gene names]:[Gene names]])*1, 0))</f>
        <v>9.2200000000000005E-5</v>
      </c>
      <c r="T388" cm="1">
        <f t="array" ref="T388">INDEX(Table1[riBAQ 43], MATCH(1, (Table3[[#This Row],[Gene names]:[Gene names]] = Table1[[Gene names]:[Gene names]])*1, 0))</f>
        <v>4.07E-5</v>
      </c>
    </row>
    <row r="389" spans="1:20" x14ac:dyDescent="0.25">
      <c r="A389" t="s">
        <v>660</v>
      </c>
      <c r="B389" cm="1">
        <f t="array" ref="B389">INDEX(Table1[riBAQ 17], MATCH(1, (Table3[[#This Row],[Gene names]:[Gene names]] = Table1[[Gene names]:[Gene names]])*1, 0))</f>
        <v>2.65727E-4</v>
      </c>
      <c r="C389" cm="1">
        <f t="array" ref="C389">INDEX(Table1[riBAQ 18], MATCH(1, (Table3[[#This Row],[Gene names]:[Gene names]] = Table1[[Gene names]:[Gene names]])*1, 0))</f>
        <v>3.3039799999999998E-4</v>
      </c>
      <c r="D389" cm="1">
        <f t="array" ref="D389">INDEX(Table1[riBAQ 35], MATCH(1, (Table3[[#This Row],[Gene names]:[Gene names]] = Table1[[Gene names]:[Gene names]])*1, 0))</f>
        <v>0</v>
      </c>
      <c r="E389" cm="1">
        <f t="array" ref="E389">INDEX(Table1[riBAQ 36], MATCH(1, (Table3[[#This Row],[Gene names]:[Gene names]] = Table1[[Gene names]:[Gene names]])*1, 0))</f>
        <v>2.8213700000000001E-4</v>
      </c>
      <c r="F389" cm="1">
        <f t="array" ref="F389">INDEX(Table1[riBAQ 19], MATCH(1, (Table3[[#This Row],[Gene names]:[Gene names]] = Table1[[Gene names]:[Gene names]])*1, 0))</f>
        <v>2.6437500000000002E-4</v>
      </c>
      <c r="G389" cm="1">
        <f t="array" ref="G389">INDEX(Table1[riBAQ 20], MATCH(1, (Table3[[#This Row],[Gene names]:[Gene names]] = Table1[[Gene names]:[Gene names]])*1, 0))</f>
        <v>1.9870099999999999E-4</v>
      </c>
      <c r="H389" cm="1">
        <f t="array" ref="H389">INDEX(Table1[riBAQ 21], MATCH(1, (Table3[[#This Row],[Gene names]:[Gene names]] = Table1[[Gene names]:[Gene names]])*1, 0))</f>
        <v>2.0156199999999999E-4</v>
      </c>
      <c r="I389" cm="1">
        <f t="array" ref="I389">INDEX(Table1[riBAQ 22], MATCH(1, (Table3[[#This Row],[Gene names]:[Gene names]] = Table1[[Gene names]:[Gene names]])*1, 0))</f>
        <v>3.1515900000000002E-4</v>
      </c>
      <c r="J389" cm="1">
        <f t="array" ref="J389">INDEX(Table1[riBAQ 23], MATCH(1, (Table3[[#This Row],[Gene names]:[Gene names]] = Table1[[Gene names]:[Gene names]])*1, 0))</f>
        <v>3.4846299999999997E-4</v>
      </c>
      <c r="K389" cm="1">
        <f t="array" ref="K389">INDEX(Table1[riBAQ 37], MATCH(1, (Table3[[#This Row],[Gene names]:[Gene names]] = Table1[[Gene names]:[Gene names]])*1, 0))</f>
        <v>2.21516E-4</v>
      </c>
      <c r="L389" cm="1">
        <f t="array" ref="L389">INDEX(Table1[riBAQ 38], MATCH(1, (Table3[[#This Row],[Gene names]:[Gene names]] = Table1[[Gene names]:[Gene names]])*1, 0))</f>
        <v>2.7877799999999998E-4</v>
      </c>
      <c r="M389" cm="1">
        <f t="array" ref="M389">INDEX(Table1[riBAQ 39], MATCH(1, (Table3[[#This Row],[Gene names]:[Gene names]] = Table1[[Gene names]:[Gene names]])*1, 0))</f>
        <v>2.5073199999999998E-4</v>
      </c>
      <c r="N389" cm="1">
        <f t="array" ref="N389">INDEX(Table1[riBAQ 40], MATCH(1, (Table3[[#This Row],[Gene names]:[Gene names]] = Table1[[Gene names]:[Gene names]])*1, 0))</f>
        <v>4.16043E-4</v>
      </c>
      <c r="O389" cm="1">
        <f t="array" ref="O389">INDEX(Table1[riBAQ 41], MATCH(1, (Table3[[#This Row],[Gene names]:[Gene names]] = Table1[[Gene names]:[Gene names]])*1, 0))</f>
        <v>2.4346599999999999E-4</v>
      </c>
      <c r="P389" cm="1">
        <f t="array" ref="P389">INDEX(Table1[riBAQ 24], MATCH(1, (Table3[[#This Row],[Gene names]:[Gene names]] = Table1[[Gene names]:[Gene names]])*1, 0))</f>
        <v>0</v>
      </c>
      <c r="Q389" cm="1">
        <f t="array" ref="Q389">INDEX(Table1[riBAQ 25], MATCH(1, (Table3[[#This Row],[Gene names]:[Gene names]] = Table1[[Gene names]:[Gene names]])*1, 0))</f>
        <v>0</v>
      </c>
      <c r="R389" cm="1">
        <f t="array" ref="R389">INDEX(Table1[riBAQ 26], MATCH(1, (Table3[[#This Row],[Gene names]:[Gene names]] = Table1[[Gene names]:[Gene names]])*1, 0))</f>
        <v>0</v>
      </c>
      <c r="S389" cm="1">
        <f t="array" ref="S389">INDEX(Table1[riBAQ 42], MATCH(1, (Table3[[#This Row],[Gene names]:[Gene names]] = Table1[[Gene names]:[Gene names]])*1, 0))</f>
        <v>0</v>
      </c>
      <c r="T389" cm="1">
        <f t="array" ref="T389">INDEX(Table1[riBAQ 43], MATCH(1, (Table3[[#This Row],[Gene names]:[Gene names]] = Table1[[Gene names]:[Gene names]])*1, 0))</f>
        <v>0</v>
      </c>
    </row>
    <row r="390" spans="1:20" x14ac:dyDescent="0.25">
      <c r="A390" t="s">
        <v>1289</v>
      </c>
      <c r="B390" cm="1">
        <f t="array" ref="B390">INDEX(Table1[riBAQ 17], MATCH(1, (Table3[[#This Row],[Gene names]:[Gene names]] = Table1[[Gene names]:[Gene names]])*1, 0))</f>
        <v>1.4815999999999999E-4</v>
      </c>
      <c r="C390" cm="1">
        <f t="array" ref="C390">INDEX(Table1[riBAQ 18], MATCH(1, (Table3[[#This Row],[Gene names]:[Gene names]] = Table1[[Gene names]:[Gene names]])*1, 0))</f>
        <v>9.6799999999999995E-5</v>
      </c>
      <c r="D390" cm="1">
        <f t="array" ref="D390">INDEX(Table1[riBAQ 35], MATCH(1, (Table3[[#This Row],[Gene names]:[Gene names]] = Table1[[Gene names]:[Gene names]])*1, 0))</f>
        <v>7.6500000000000003E-5</v>
      </c>
      <c r="E390" cm="1">
        <f t="array" ref="E390">INDEX(Table1[riBAQ 36], MATCH(1, (Table3[[#This Row],[Gene names]:[Gene names]] = Table1[[Gene names]:[Gene names]])*1, 0))</f>
        <v>5.27E-5</v>
      </c>
      <c r="F390" cm="1">
        <f t="array" ref="F390">INDEX(Table1[riBAQ 19], MATCH(1, (Table3[[#This Row],[Gene names]:[Gene names]] = Table1[[Gene names]:[Gene names]])*1, 0))</f>
        <v>2.31852E-4</v>
      </c>
      <c r="G390" cm="1">
        <f t="array" ref="G390">INDEX(Table1[riBAQ 20], MATCH(1, (Table3[[#This Row],[Gene names]:[Gene names]] = Table1[[Gene names]:[Gene names]])*1, 0))</f>
        <v>2.14828E-4</v>
      </c>
      <c r="H390" cm="1">
        <f t="array" ref="H390">INDEX(Table1[riBAQ 21], MATCH(1, (Table3[[#This Row],[Gene names]:[Gene names]] = Table1[[Gene names]:[Gene names]])*1, 0))</f>
        <v>1.67866E-4</v>
      </c>
      <c r="I390" cm="1">
        <f t="array" ref="I390">INDEX(Table1[riBAQ 22], MATCH(1, (Table3[[#This Row],[Gene names]:[Gene names]] = Table1[[Gene names]:[Gene names]])*1, 0))</f>
        <v>2.8664400000000002E-4</v>
      </c>
      <c r="J390" cm="1">
        <f t="array" ref="J390">INDEX(Table1[riBAQ 23], MATCH(1, (Table3[[#This Row],[Gene names]:[Gene names]] = Table1[[Gene names]:[Gene names]])*1, 0))</f>
        <v>1.01259E-4</v>
      </c>
      <c r="K390" cm="1">
        <f t="array" ref="K390">INDEX(Table1[riBAQ 37], MATCH(1, (Table3[[#This Row],[Gene names]:[Gene names]] = Table1[[Gene names]:[Gene names]])*1, 0))</f>
        <v>9.6000000000000002E-5</v>
      </c>
      <c r="L390" cm="1">
        <f t="array" ref="L390">INDEX(Table1[riBAQ 38], MATCH(1, (Table3[[#This Row],[Gene names]:[Gene names]] = Table1[[Gene names]:[Gene names]])*1, 0))</f>
        <v>1.16165E-4</v>
      </c>
      <c r="M390" cm="1">
        <f t="array" ref="M390">INDEX(Table1[riBAQ 39], MATCH(1, (Table3[[#This Row],[Gene names]:[Gene names]] = Table1[[Gene names]:[Gene names]])*1, 0))</f>
        <v>1.9439300000000001E-4</v>
      </c>
      <c r="N390" cm="1">
        <f t="array" ref="N390">INDEX(Table1[riBAQ 40], MATCH(1, (Table3[[#This Row],[Gene names]:[Gene names]] = Table1[[Gene names]:[Gene names]])*1, 0))</f>
        <v>2.8702300000000002E-4</v>
      </c>
      <c r="O390" cm="1">
        <f t="array" ref="O390">INDEX(Table1[riBAQ 41], MATCH(1, (Table3[[#This Row],[Gene names]:[Gene names]] = Table1[[Gene names]:[Gene names]])*1, 0))</f>
        <v>9.8300000000000004E-5</v>
      </c>
      <c r="P390" cm="1">
        <f t="array" ref="P390">INDEX(Table1[riBAQ 24], MATCH(1, (Table3[[#This Row],[Gene names]:[Gene names]] = Table1[[Gene names]:[Gene names]])*1, 0))</f>
        <v>2.24451E-4</v>
      </c>
      <c r="Q390" cm="1">
        <f t="array" ref="Q390">INDEX(Table1[riBAQ 25], MATCH(1, (Table3[[#This Row],[Gene names]:[Gene names]] = Table1[[Gene names]:[Gene names]])*1, 0))</f>
        <v>6.9063499999999999E-4</v>
      </c>
      <c r="R390" cm="1">
        <f t="array" ref="R390">INDEX(Table1[riBAQ 26], MATCH(1, (Table3[[#This Row],[Gene names]:[Gene names]] = Table1[[Gene names]:[Gene names]])*1, 0))</f>
        <v>2.6573699999999999E-4</v>
      </c>
      <c r="S390" cm="1">
        <f t="array" ref="S390">INDEX(Table1[riBAQ 42], MATCH(1, (Table3[[#This Row],[Gene names]:[Gene names]] = Table1[[Gene names]:[Gene names]])*1, 0))</f>
        <v>3.2306700000000002E-4</v>
      </c>
      <c r="T390" cm="1">
        <f t="array" ref="T390">INDEX(Table1[riBAQ 43], MATCH(1, (Table3[[#This Row],[Gene names]:[Gene names]] = Table1[[Gene names]:[Gene names]])*1, 0))</f>
        <v>7.9859799999999997E-4</v>
      </c>
    </row>
    <row r="391" spans="1:20" x14ac:dyDescent="0.25">
      <c r="A391" t="s">
        <v>123</v>
      </c>
      <c r="B391" cm="1">
        <f t="array" ref="B391">INDEX(Table1[riBAQ 17], MATCH(1, (Table3[[#This Row],[Gene names]:[Gene names]] = Table1[[Gene names]:[Gene names]])*1, 0))</f>
        <v>1.38E-5</v>
      </c>
      <c r="C391" cm="1">
        <f t="array" ref="C391">INDEX(Table1[riBAQ 18], MATCH(1, (Table3[[#This Row],[Gene names]:[Gene names]] = Table1[[Gene names]:[Gene names]])*1, 0))</f>
        <v>0</v>
      </c>
      <c r="D391" cm="1">
        <f t="array" ref="D391">INDEX(Table1[riBAQ 35], MATCH(1, (Table3[[#This Row],[Gene names]:[Gene names]] = Table1[[Gene names]:[Gene names]])*1, 0))</f>
        <v>1.4E-5</v>
      </c>
      <c r="E391" cm="1">
        <f t="array" ref="E391">INDEX(Table1[riBAQ 36], MATCH(1, (Table3[[#This Row],[Gene names]:[Gene names]] = Table1[[Gene names]:[Gene names]])*1, 0))</f>
        <v>0</v>
      </c>
      <c r="F391" cm="1">
        <f t="array" ref="F391">INDEX(Table1[riBAQ 19], MATCH(1, (Table3[[#This Row],[Gene names]:[Gene names]] = Table1[[Gene names]:[Gene names]])*1, 0))</f>
        <v>1.6900000000000001E-5</v>
      </c>
      <c r="G391" cm="1">
        <f t="array" ref="G391">INDEX(Table1[riBAQ 20], MATCH(1, (Table3[[#This Row],[Gene names]:[Gene names]] = Table1[[Gene names]:[Gene names]])*1, 0))</f>
        <v>0</v>
      </c>
      <c r="H391" cm="1">
        <f t="array" ref="H391">INDEX(Table1[riBAQ 21], MATCH(1, (Table3[[#This Row],[Gene names]:[Gene names]] = Table1[[Gene names]:[Gene names]])*1, 0))</f>
        <v>0</v>
      </c>
      <c r="I391" cm="1">
        <f t="array" ref="I391">INDEX(Table1[riBAQ 22], MATCH(1, (Table3[[#This Row],[Gene names]:[Gene names]] = Table1[[Gene names]:[Gene names]])*1, 0))</f>
        <v>0</v>
      </c>
      <c r="J391" cm="1">
        <f t="array" ref="J391">INDEX(Table1[riBAQ 23], MATCH(1, (Table3[[#This Row],[Gene names]:[Gene names]] = Table1[[Gene names]:[Gene names]])*1, 0))</f>
        <v>1.2500000000000001E-5</v>
      </c>
      <c r="K391" cm="1">
        <f t="array" ref="K391">INDEX(Table1[riBAQ 37], MATCH(1, (Table3[[#This Row],[Gene names]:[Gene names]] = Table1[[Gene names]:[Gene names]])*1, 0))</f>
        <v>1.3499999999999999E-5</v>
      </c>
      <c r="L391" cm="1">
        <f t="array" ref="L391">INDEX(Table1[riBAQ 38], MATCH(1, (Table3[[#This Row],[Gene names]:[Gene names]] = Table1[[Gene names]:[Gene names]])*1, 0))</f>
        <v>0</v>
      </c>
      <c r="M391" cm="1">
        <f t="array" ref="M391">INDEX(Table1[riBAQ 39], MATCH(1, (Table3[[#This Row],[Gene names]:[Gene names]] = Table1[[Gene names]:[Gene names]])*1, 0))</f>
        <v>0</v>
      </c>
      <c r="N391" cm="1">
        <f t="array" ref="N391">INDEX(Table1[riBAQ 40], MATCH(1, (Table3[[#This Row],[Gene names]:[Gene names]] = Table1[[Gene names]:[Gene names]])*1, 0))</f>
        <v>0</v>
      </c>
      <c r="O391" cm="1">
        <f t="array" ref="O391">INDEX(Table1[riBAQ 41], MATCH(1, (Table3[[#This Row],[Gene names]:[Gene names]] = Table1[[Gene names]:[Gene names]])*1, 0))</f>
        <v>0</v>
      </c>
      <c r="P391" cm="1">
        <f t="array" ref="P391">INDEX(Table1[riBAQ 24], MATCH(1, (Table3[[#This Row],[Gene names]:[Gene names]] = Table1[[Gene names]:[Gene names]])*1, 0))</f>
        <v>0</v>
      </c>
      <c r="Q391" cm="1">
        <f t="array" ref="Q391">INDEX(Table1[riBAQ 25], MATCH(1, (Table3[[#This Row],[Gene names]:[Gene names]] = Table1[[Gene names]:[Gene names]])*1, 0))</f>
        <v>3.0700000000000001E-5</v>
      </c>
      <c r="R391" cm="1">
        <f t="array" ref="R391">INDEX(Table1[riBAQ 26], MATCH(1, (Table3[[#This Row],[Gene names]:[Gene names]] = Table1[[Gene names]:[Gene names]])*1, 0))</f>
        <v>3.6600000000000002E-5</v>
      </c>
      <c r="S391" cm="1">
        <f t="array" ref="S391">INDEX(Table1[riBAQ 42], MATCH(1, (Table3[[#This Row],[Gene names]:[Gene names]] = Table1[[Gene names]:[Gene names]])*1, 0))</f>
        <v>2.3900000000000002E-5</v>
      </c>
      <c r="T391" cm="1">
        <f t="array" ref="T391">INDEX(Table1[riBAQ 43], MATCH(1, (Table3[[#This Row],[Gene names]:[Gene names]] = Table1[[Gene names]:[Gene names]])*1, 0))</f>
        <v>3.4999999999999997E-5</v>
      </c>
    </row>
    <row r="392" spans="1:20" x14ac:dyDescent="0.25">
      <c r="A392" t="s">
        <v>347</v>
      </c>
      <c r="B392" cm="1">
        <f t="array" ref="B392">INDEX(Table1[riBAQ 17], MATCH(1, (Table3[[#This Row],[Gene names]:[Gene names]] = Table1[[Gene names]:[Gene names]])*1, 0))</f>
        <v>3.0732999999999997E-4</v>
      </c>
      <c r="C392" cm="1">
        <f t="array" ref="C392">INDEX(Table1[riBAQ 18], MATCH(1, (Table3[[#This Row],[Gene names]:[Gene names]] = Table1[[Gene names]:[Gene names]])*1, 0))</f>
        <v>0</v>
      </c>
      <c r="D392" cm="1">
        <f t="array" ref="D392">INDEX(Table1[riBAQ 35], MATCH(1, (Table3[[#This Row],[Gene names]:[Gene names]] = Table1[[Gene names]:[Gene names]])*1, 0))</f>
        <v>2.0350500000000001E-4</v>
      </c>
      <c r="E392" cm="1">
        <f t="array" ref="E392">INDEX(Table1[riBAQ 36], MATCH(1, (Table3[[#This Row],[Gene names]:[Gene names]] = Table1[[Gene names]:[Gene names]])*1, 0))</f>
        <v>2.3399099999999999E-4</v>
      </c>
      <c r="F392" cm="1">
        <f t="array" ref="F392">INDEX(Table1[riBAQ 19], MATCH(1, (Table3[[#This Row],[Gene names]:[Gene names]] = Table1[[Gene names]:[Gene names]])*1, 0))</f>
        <v>8.7277700000000004E-4</v>
      </c>
      <c r="G392" cm="1">
        <f t="array" ref="G392">INDEX(Table1[riBAQ 20], MATCH(1, (Table3[[#This Row],[Gene names]:[Gene names]] = Table1[[Gene names]:[Gene names]])*1, 0))</f>
        <v>6.69069E-4</v>
      </c>
      <c r="H392" cm="1">
        <f t="array" ref="H392">INDEX(Table1[riBAQ 21], MATCH(1, (Table3[[#This Row],[Gene names]:[Gene names]] = Table1[[Gene names]:[Gene names]])*1, 0))</f>
        <v>0</v>
      </c>
      <c r="I392" cm="1">
        <f t="array" ref="I392">INDEX(Table1[riBAQ 22], MATCH(1, (Table3[[#This Row],[Gene names]:[Gene names]] = Table1[[Gene names]:[Gene names]])*1, 0))</f>
        <v>3.6155900000000001E-4</v>
      </c>
      <c r="J392" cm="1">
        <f t="array" ref="J392">INDEX(Table1[riBAQ 23], MATCH(1, (Table3[[#This Row],[Gene names]:[Gene names]] = Table1[[Gene names]:[Gene names]])*1, 0))</f>
        <v>3.9951800000000002E-4</v>
      </c>
      <c r="K392" cm="1">
        <f t="array" ref="K392">INDEX(Table1[riBAQ 37], MATCH(1, (Table3[[#This Row],[Gene names]:[Gene names]] = Table1[[Gene names]:[Gene names]])*1, 0))</f>
        <v>5.8665799999999999E-4</v>
      </c>
      <c r="L392" cm="1">
        <f t="array" ref="L392">INDEX(Table1[riBAQ 38], MATCH(1, (Table3[[#This Row],[Gene names]:[Gene names]] = Table1[[Gene names]:[Gene names]])*1, 0))</f>
        <v>3.8856999999999997E-4</v>
      </c>
      <c r="M392" cm="1">
        <f t="array" ref="M392">INDEX(Table1[riBAQ 39], MATCH(1, (Table3[[#This Row],[Gene names]:[Gene names]] = Table1[[Gene names]:[Gene names]])*1, 0))</f>
        <v>3.2369199999999999E-4</v>
      </c>
      <c r="N392" cm="1">
        <f t="array" ref="N392">INDEX(Table1[riBAQ 40], MATCH(1, (Table3[[#This Row],[Gene names]:[Gene names]] = Table1[[Gene names]:[Gene names]])*1, 0))</f>
        <v>3.3635099999999998E-4</v>
      </c>
      <c r="O392" cm="1">
        <f t="array" ref="O392">INDEX(Table1[riBAQ 41], MATCH(1, (Table3[[#This Row],[Gene names]:[Gene names]] = Table1[[Gene names]:[Gene names]])*1, 0))</f>
        <v>0</v>
      </c>
      <c r="P392" cm="1">
        <f t="array" ref="P392">INDEX(Table1[riBAQ 24], MATCH(1, (Table3[[#This Row],[Gene names]:[Gene names]] = Table1[[Gene names]:[Gene names]])*1, 0))</f>
        <v>7.4185899999999999E-4</v>
      </c>
      <c r="Q392" cm="1">
        <f t="array" ref="Q392">INDEX(Table1[riBAQ 25], MATCH(1, (Table3[[#This Row],[Gene names]:[Gene names]] = Table1[[Gene names]:[Gene names]])*1, 0))</f>
        <v>1.273026E-3</v>
      </c>
      <c r="R392" cm="1">
        <f t="array" ref="R392">INDEX(Table1[riBAQ 26], MATCH(1, (Table3[[#This Row],[Gene names]:[Gene names]] = Table1[[Gene names]:[Gene names]])*1, 0))</f>
        <v>1.3260730000000001E-3</v>
      </c>
      <c r="S392" cm="1">
        <f t="array" ref="S392">INDEX(Table1[riBAQ 42], MATCH(1, (Table3[[#This Row],[Gene names]:[Gene names]] = Table1[[Gene names]:[Gene names]])*1, 0))</f>
        <v>1.035102E-3</v>
      </c>
      <c r="T392" cm="1">
        <f t="array" ref="T392">INDEX(Table1[riBAQ 43], MATCH(1, (Table3[[#This Row],[Gene names]:[Gene names]] = Table1[[Gene names]:[Gene names]])*1, 0))</f>
        <v>1.5007239999999999E-3</v>
      </c>
    </row>
    <row r="393" spans="1:20" x14ac:dyDescent="0.25">
      <c r="A393" t="s">
        <v>1603</v>
      </c>
      <c r="B393" cm="1">
        <f t="array" ref="B393">INDEX(Table1[riBAQ 17], MATCH(1, (Table3[[#This Row],[Gene names]:[Gene names]] = Table1[[Gene names]:[Gene names]])*1, 0))</f>
        <v>1.262771E-3</v>
      </c>
      <c r="C393" cm="1">
        <f t="array" ref="C393">INDEX(Table1[riBAQ 18], MATCH(1, (Table3[[#This Row],[Gene names]:[Gene names]] = Table1[[Gene names]:[Gene names]])*1, 0))</f>
        <v>1.2001449999999999E-3</v>
      </c>
      <c r="D393" cm="1">
        <f t="array" ref="D393">INDEX(Table1[riBAQ 35], MATCH(1, (Table3[[#This Row],[Gene names]:[Gene names]] = Table1[[Gene names]:[Gene names]])*1, 0))</f>
        <v>1.2083689999999999E-3</v>
      </c>
      <c r="E393" cm="1">
        <f t="array" ref="E393">INDEX(Table1[riBAQ 36], MATCH(1, (Table3[[#This Row],[Gene names]:[Gene names]] = Table1[[Gene names]:[Gene names]])*1, 0))</f>
        <v>1.808502E-3</v>
      </c>
      <c r="F393" cm="1">
        <f t="array" ref="F393">INDEX(Table1[riBAQ 19], MATCH(1, (Table3[[#This Row],[Gene names]:[Gene names]] = Table1[[Gene names]:[Gene names]])*1, 0))</f>
        <v>8.8259700000000005E-4</v>
      </c>
      <c r="G393" cm="1">
        <f t="array" ref="G393">INDEX(Table1[riBAQ 20], MATCH(1, (Table3[[#This Row],[Gene names]:[Gene names]] = Table1[[Gene names]:[Gene names]])*1, 0))</f>
        <v>8.4959399999999996E-4</v>
      </c>
      <c r="H393" cm="1">
        <f t="array" ref="H393">INDEX(Table1[riBAQ 21], MATCH(1, (Table3[[#This Row],[Gene names]:[Gene names]] = Table1[[Gene names]:[Gene names]])*1, 0))</f>
        <v>9.2453999999999995E-4</v>
      </c>
      <c r="I393" cm="1">
        <f t="array" ref="I393">INDEX(Table1[riBAQ 22], MATCH(1, (Table3[[#This Row],[Gene names]:[Gene names]] = Table1[[Gene names]:[Gene names]])*1, 0))</f>
        <v>1.1555000000000001E-3</v>
      </c>
      <c r="J393" cm="1">
        <f t="array" ref="J393">INDEX(Table1[riBAQ 23], MATCH(1, (Table3[[#This Row],[Gene names]:[Gene names]] = Table1[[Gene names]:[Gene names]])*1, 0))</f>
        <v>1.3374229999999999E-3</v>
      </c>
      <c r="K393" cm="1">
        <f t="array" ref="K393">INDEX(Table1[riBAQ 37], MATCH(1, (Table3[[#This Row],[Gene names]:[Gene names]] = Table1[[Gene names]:[Gene names]])*1, 0))</f>
        <v>1.2627960000000001E-3</v>
      </c>
      <c r="L393" cm="1">
        <f t="array" ref="L393">INDEX(Table1[riBAQ 38], MATCH(1, (Table3[[#This Row],[Gene names]:[Gene names]] = Table1[[Gene names]:[Gene names]])*1, 0))</f>
        <v>1.0244640000000001E-3</v>
      </c>
      <c r="M393" cm="1">
        <f t="array" ref="M393">INDEX(Table1[riBAQ 39], MATCH(1, (Table3[[#This Row],[Gene names]:[Gene names]] = Table1[[Gene names]:[Gene names]])*1, 0))</f>
        <v>1.082115E-3</v>
      </c>
      <c r="N393" cm="1">
        <f t="array" ref="N393">INDEX(Table1[riBAQ 40], MATCH(1, (Table3[[#This Row],[Gene names]:[Gene names]] = Table1[[Gene names]:[Gene names]])*1, 0))</f>
        <v>1.414975E-3</v>
      </c>
      <c r="O393" cm="1">
        <f t="array" ref="O393">INDEX(Table1[riBAQ 41], MATCH(1, (Table3[[#This Row],[Gene names]:[Gene names]] = Table1[[Gene names]:[Gene names]])*1, 0))</f>
        <v>1.5334700000000001E-3</v>
      </c>
      <c r="P393" cm="1">
        <f t="array" ref="P393">INDEX(Table1[riBAQ 24], MATCH(1, (Table3[[#This Row],[Gene names]:[Gene names]] = Table1[[Gene names]:[Gene names]])*1, 0))</f>
        <v>8.2344700000000005E-4</v>
      </c>
      <c r="Q393" cm="1">
        <f t="array" ref="Q393">INDEX(Table1[riBAQ 25], MATCH(1, (Table3[[#This Row],[Gene names]:[Gene names]] = Table1[[Gene names]:[Gene names]])*1, 0))</f>
        <v>3.4091200000000002E-4</v>
      </c>
      <c r="R393" cm="1">
        <f t="array" ref="R393">INDEX(Table1[riBAQ 26], MATCH(1, (Table3[[#This Row],[Gene names]:[Gene names]] = Table1[[Gene names]:[Gene names]])*1, 0))</f>
        <v>3.3125500000000003E-4</v>
      </c>
      <c r="S393" cm="1">
        <f t="array" ref="S393">INDEX(Table1[riBAQ 42], MATCH(1, (Table3[[#This Row],[Gene names]:[Gene names]] = Table1[[Gene names]:[Gene names]])*1, 0))</f>
        <v>1.9836800000000001E-4</v>
      </c>
      <c r="T393" cm="1">
        <f t="array" ref="T393">INDEX(Table1[riBAQ 43], MATCH(1, (Table3[[#This Row],[Gene names]:[Gene names]] = Table1[[Gene names]:[Gene names]])*1, 0))</f>
        <v>1.4218100000000001E-4</v>
      </c>
    </row>
    <row r="394" spans="1:20" x14ac:dyDescent="0.25">
      <c r="A394" t="s">
        <v>1602</v>
      </c>
      <c r="B394" cm="1">
        <f t="array" ref="B394">INDEX(Table1[riBAQ 17], MATCH(1, (Table3[[#This Row],[Gene names]:[Gene names]] = Table1[[Gene names]:[Gene names]])*1, 0))</f>
        <v>3.586873E-3</v>
      </c>
      <c r="C394" cm="1">
        <f t="array" ref="C394">INDEX(Table1[riBAQ 18], MATCH(1, (Table3[[#This Row],[Gene names]:[Gene names]] = Table1[[Gene names]:[Gene names]])*1, 0))</f>
        <v>3.0211460000000002E-3</v>
      </c>
      <c r="D394" cm="1">
        <f t="array" ref="D394">INDEX(Table1[riBAQ 35], MATCH(1, (Table3[[#This Row],[Gene names]:[Gene names]] = Table1[[Gene names]:[Gene names]])*1, 0))</f>
        <v>4.4648409999999998E-3</v>
      </c>
      <c r="E394" cm="1">
        <f t="array" ref="E394">INDEX(Table1[riBAQ 36], MATCH(1, (Table3[[#This Row],[Gene names]:[Gene names]] = Table1[[Gene names]:[Gene names]])*1, 0))</f>
        <v>6.9746310000000002E-3</v>
      </c>
      <c r="F394" cm="1">
        <f t="array" ref="F394">INDEX(Table1[riBAQ 19], MATCH(1, (Table3[[#This Row],[Gene names]:[Gene names]] = Table1[[Gene names]:[Gene names]])*1, 0))</f>
        <v>3.081126E-3</v>
      </c>
      <c r="G394" cm="1">
        <f t="array" ref="G394">INDEX(Table1[riBAQ 20], MATCH(1, (Table3[[#This Row],[Gene names]:[Gene names]] = Table1[[Gene names]:[Gene names]])*1, 0))</f>
        <v>3.0394160000000001E-3</v>
      </c>
      <c r="H394" cm="1">
        <f t="array" ref="H394">INDEX(Table1[riBAQ 21], MATCH(1, (Table3[[#This Row],[Gene names]:[Gene names]] = Table1[[Gene names]:[Gene names]])*1, 0))</f>
        <v>3.7163700000000001E-3</v>
      </c>
      <c r="I394" cm="1">
        <f t="array" ref="I394">INDEX(Table1[riBAQ 22], MATCH(1, (Table3[[#This Row],[Gene names]:[Gene names]] = Table1[[Gene names]:[Gene names]])*1, 0))</f>
        <v>3.8488179999999999E-3</v>
      </c>
      <c r="J394" cm="1">
        <f t="array" ref="J394">INDEX(Table1[riBAQ 23], MATCH(1, (Table3[[#This Row],[Gene names]:[Gene names]] = Table1[[Gene names]:[Gene names]])*1, 0))</f>
        <v>3.7306610000000001E-3</v>
      </c>
      <c r="K394" cm="1">
        <f t="array" ref="K394">INDEX(Table1[riBAQ 37], MATCH(1, (Table3[[#This Row],[Gene names]:[Gene names]] = Table1[[Gene names]:[Gene names]])*1, 0))</f>
        <v>3.9162060000000002E-3</v>
      </c>
      <c r="L394" cm="1">
        <f t="array" ref="L394">INDEX(Table1[riBAQ 38], MATCH(1, (Table3[[#This Row],[Gene names]:[Gene names]] = Table1[[Gene names]:[Gene names]])*1, 0))</f>
        <v>2.8714270000000002E-3</v>
      </c>
      <c r="M394" cm="1">
        <f t="array" ref="M394">INDEX(Table1[riBAQ 39], MATCH(1, (Table3[[#This Row],[Gene names]:[Gene names]] = Table1[[Gene names]:[Gene names]])*1, 0))</f>
        <v>2.8261750000000002E-3</v>
      </c>
      <c r="N394" cm="1">
        <f t="array" ref="N394">INDEX(Table1[riBAQ 40], MATCH(1, (Table3[[#This Row],[Gene names]:[Gene names]] = Table1[[Gene names]:[Gene names]])*1, 0))</f>
        <v>4.024967E-3</v>
      </c>
      <c r="O394" cm="1">
        <f t="array" ref="O394">INDEX(Table1[riBAQ 41], MATCH(1, (Table3[[#This Row],[Gene names]:[Gene names]] = Table1[[Gene names]:[Gene names]])*1, 0))</f>
        <v>3.6952159999999999E-3</v>
      </c>
      <c r="P394" cm="1">
        <f t="array" ref="P394">INDEX(Table1[riBAQ 24], MATCH(1, (Table3[[#This Row],[Gene names]:[Gene names]] = Table1[[Gene names]:[Gene names]])*1, 0))</f>
        <v>1.773286E-3</v>
      </c>
      <c r="Q394" cm="1">
        <f t="array" ref="Q394">INDEX(Table1[riBAQ 25], MATCH(1, (Table3[[#This Row],[Gene names]:[Gene names]] = Table1[[Gene names]:[Gene names]])*1, 0))</f>
        <v>6.5552199999999996E-4</v>
      </c>
      <c r="R394" cm="1">
        <f t="array" ref="R394">INDEX(Table1[riBAQ 26], MATCH(1, (Table3[[#This Row],[Gene names]:[Gene names]] = Table1[[Gene names]:[Gene names]])*1, 0))</f>
        <v>8.2595900000000002E-4</v>
      </c>
      <c r="S394" cm="1">
        <f t="array" ref="S394">INDEX(Table1[riBAQ 42], MATCH(1, (Table3[[#This Row],[Gene names]:[Gene names]] = Table1[[Gene names]:[Gene names]])*1, 0))</f>
        <v>6.7656699999999999E-4</v>
      </c>
      <c r="T394" cm="1">
        <f t="array" ref="T394">INDEX(Table1[riBAQ 43], MATCH(1, (Table3[[#This Row],[Gene names]:[Gene names]] = Table1[[Gene names]:[Gene names]])*1, 0))</f>
        <v>5.4668700000000002E-4</v>
      </c>
    </row>
    <row r="395" spans="1:20" x14ac:dyDescent="0.25">
      <c r="A395" t="s">
        <v>1000</v>
      </c>
      <c r="B395" cm="1">
        <f t="array" ref="B395">INDEX(Table1[riBAQ 17], MATCH(1, (Table3[[#This Row],[Gene names]:[Gene names]] = Table1[[Gene names]:[Gene names]])*1, 0))</f>
        <v>0</v>
      </c>
      <c r="C395" cm="1">
        <f t="array" ref="C395">INDEX(Table1[riBAQ 18], MATCH(1, (Table3[[#This Row],[Gene names]:[Gene names]] = Table1[[Gene names]:[Gene names]])*1, 0))</f>
        <v>0</v>
      </c>
      <c r="D395" cm="1">
        <f t="array" ref="D395">INDEX(Table1[riBAQ 35], MATCH(1, (Table3[[#This Row],[Gene names]:[Gene names]] = Table1[[Gene names]:[Gene names]])*1, 0))</f>
        <v>0</v>
      </c>
      <c r="E395" cm="1">
        <f t="array" ref="E395">INDEX(Table1[riBAQ 36], MATCH(1, (Table3[[#This Row],[Gene names]:[Gene names]] = Table1[[Gene names]:[Gene names]])*1, 0))</f>
        <v>0</v>
      </c>
      <c r="F395" cm="1">
        <f t="array" ref="F395">INDEX(Table1[riBAQ 19], MATCH(1, (Table3[[#This Row],[Gene names]:[Gene names]] = Table1[[Gene names]:[Gene names]])*1, 0))</f>
        <v>0</v>
      </c>
      <c r="G395" cm="1">
        <f t="array" ref="G395">INDEX(Table1[riBAQ 20], MATCH(1, (Table3[[#This Row],[Gene names]:[Gene names]] = Table1[[Gene names]:[Gene names]])*1, 0))</f>
        <v>0</v>
      </c>
      <c r="H395" cm="1">
        <f t="array" ref="H395">INDEX(Table1[riBAQ 21], MATCH(1, (Table3[[#This Row],[Gene names]:[Gene names]] = Table1[[Gene names]:[Gene names]])*1, 0))</f>
        <v>0</v>
      </c>
      <c r="I395" cm="1">
        <f t="array" ref="I395">INDEX(Table1[riBAQ 22], MATCH(1, (Table3[[#This Row],[Gene names]:[Gene names]] = Table1[[Gene names]:[Gene names]])*1, 0))</f>
        <v>0</v>
      </c>
      <c r="J395" cm="1">
        <f t="array" ref="J395">INDEX(Table1[riBAQ 23], MATCH(1, (Table3[[#This Row],[Gene names]:[Gene names]] = Table1[[Gene names]:[Gene names]])*1, 0))</f>
        <v>0</v>
      </c>
      <c r="K395" cm="1">
        <f t="array" ref="K395">INDEX(Table1[riBAQ 37], MATCH(1, (Table3[[#This Row],[Gene names]:[Gene names]] = Table1[[Gene names]:[Gene names]])*1, 0))</f>
        <v>0</v>
      </c>
      <c r="L395" cm="1">
        <f t="array" ref="L395">INDEX(Table1[riBAQ 38], MATCH(1, (Table3[[#This Row],[Gene names]:[Gene names]] = Table1[[Gene names]:[Gene names]])*1, 0))</f>
        <v>0</v>
      </c>
      <c r="M395" cm="1">
        <f t="array" ref="M395">INDEX(Table1[riBAQ 39], MATCH(1, (Table3[[#This Row],[Gene names]:[Gene names]] = Table1[[Gene names]:[Gene names]])*1, 0))</f>
        <v>0</v>
      </c>
      <c r="N395" cm="1">
        <f t="array" ref="N395">INDEX(Table1[riBAQ 40], MATCH(1, (Table3[[#This Row],[Gene names]:[Gene names]] = Table1[[Gene names]:[Gene names]])*1, 0))</f>
        <v>0</v>
      </c>
      <c r="O395" cm="1">
        <f t="array" ref="O395">INDEX(Table1[riBAQ 41], MATCH(1, (Table3[[#This Row],[Gene names]:[Gene names]] = Table1[[Gene names]:[Gene names]])*1, 0))</f>
        <v>0</v>
      </c>
      <c r="P395" cm="1">
        <f t="array" ref="P395">INDEX(Table1[riBAQ 24], MATCH(1, (Table3[[#This Row],[Gene names]:[Gene names]] = Table1[[Gene names]:[Gene names]])*1, 0))</f>
        <v>1.73E-5</v>
      </c>
      <c r="Q395" cm="1">
        <f t="array" ref="Q395">INDEX(Table1[riBAQ 25], MATCH(1, (Table3[[#This Row],[Gene names]:[Gene names]] = Table1[[Gene names]:[Gene names]])*1, 0))</f>
        <v>2.5000000000000001E-5</v>
      </c>
      <c r="R395" cm="1">
        <f t="array" ref="R395">INDEX(Table1[riBAQ 26], MATCH(1, (Table3[[#This Row],[Gene names]:[Gene names]] = Table1[[Gene names]:[Gene names]])*1, 0))</f>
        <v>3.0199999999999999E-5</v>
      </c>
      <c r="S395" cm="1">
        <f t="array" ref="S395">INDEX(Table1[riBAQ 42], MATCH(1, (Table3[[#This Row],[Gene names]:[Gene names]] = Table1[[Gene names]:[Gene names]])*1, 0))</f>
        <v>1.5999999999999999E-5</v>
      </c>
      <c r="T395" cm="1">
        <f t="array" ref="T395">INDEX(Table1[riBAQ 43], MATCH(1, (Table3[[#This Row],[Gene names]:[Gene names]] = Table1[[Gene names]:[Gene names]])*1, 0))</f>
        <v>3.9900000000000001E-5</v>
      </c>
    </row>
    <row r="396" spans="1:20" x14ac:dyDescent="0.25">
      <c r="A396" t="s">
        <v>1636</v>
      </c>
      <c r="B396" cm="1">
        <f t="array" ref="B396">INDEX(Table1[riBAQ 17], MATCH(1, (Table3[[#This Row],[Gene names]:[Gene names]] = Table1[[Gene names]:[Gene names]])*1, 0))</f>
        <v>1.6342700000000001E-4</v>
      </c>
      <c r="C396" cm="1">
        <f t="array" ref="C396">INDEX(Table1[riBAQ 18], MATCH(1, (Table3[[#This Row],[Gene names]:[Gene names]] = Table1[[Gene names]:[Gene names]])*1, 0))</f>
        <v>0</v>
      </c>
      <c r="D396" cm="1">
        <f t="array" ref="D396">INDEX(Table1[riBAQ 35], MATCH(1, (Table3[[#This Row],[Gene names]:[Gene names]] = Table1[[Gene names]:[Gene names]])*1, 0))</f>
        <v>0</v>
      </c>
      <c r="E396" cm="1">
        <f t="array" ref="E396">INDEX(Table1[riBAQ 36], MATCH(1, (Table3[[#This Row],[Gene names]:[Gene names]] = Table1[[Gene names]:[Gene names]])*1, 0))</f>
        <v>0</v>
      </c>
      <c r="F396" cm="1">
        <f t="array" ref="F396">INDEX(Table1[riBAQ 19], MATCH(1, (Table3[[#This Row],[Gene names]:[Gene names]] = Table1[[Gene names]:[Gene names]])*1, 0))</f>
        <v>1.2564299999999999E-4</v>
      </c>
      <c r="G396" cm="1">
        <f t="array" ref="G396">INDEX(Table1[riBAQ 20], MATCH(1, (Table3[[#This Row],[Gene names]:[Gene names]] = Table1[[Gene names]:[Gene names]])*1, 0))</f>
        <v>1.19233E-4</v>
      </c>
      <c r="H396" cm="1">
        <f t="array" ref="H396">INDEX(Table1[riBAQ 21], MATCH(1, (Table3[[#This Row],[Gene names]:[Gene names]] = Table1[[Gene names]:[Gene names]])*1, 0))</f>
        <v>1.5949099999999999E-4</v>
      </c>
      <c r="I396" cm="1">
        <f t="array" ref="I396">INDEX(Table1[riBAQ 22], MATCH(1, (Table3[[#This Row],[Gene names]:[Gene names]] = Table1[[Gene names]:[Gene names]])*1, 0))</f>
        <v>7.5599999999999994E-5</v>
      </c>
      <c r="J396" cm="1">
        <f t="array" ref="J396">INDEX(Table1[riBAQ 23], MATCH(1, (Table3[[#This Row],[Gene names]:[Gene names]] = Table1[[Gene names]:[Gene names]])*1, 0))</f>
        <v>1.79851E-4</v>
      </c>
      <c r="K396" cm="1">
        <f t="array" ref="K396">INDEX(Table1[riBAQ 37], MATCH(1, (Table3[[#This Row],[Gene names]:[Gene names]] = Table1[[Gene names]:[Gene names]])*1, 0))</f>
        <v>0</v>
      </c>
      <c r="L396" cm="1">
        <f t="array" ref="L396">INDEX(Table1[riBAQ 38], MATCH(1, (Table3[[#This Row],[Gene names]:[Gene names]] = Table1[[Gene names]:[Gene names]])*1, 0))</f>
        <v>0</v>
      </c>
      <c r="M396" cm="1">
        <f t="array" ref="M396">INDEX(Table1[riBAQ 39], MATCH(1, (Table3[[#This Row],[Gene names]:[Gene names]] = Table1[[Gene names]:[Gene names]])*1, 0))</f>
        <v>2.75629E-4</v>
      </c>
      <c r="N396" cm="1">
        <f t="array" ref="N396">INDEX(Table1[riBAQ 40], MATCH(1, (Table3[[#This Row],[Gene names]:[Gene names]] = Table1[[Gene names]:[Gene names]])*1, 0))</f>
        <v>2.8886299999999999E-4</v>
      </c>
      <c r="O396" cm="1">
        <f t="array" ref="O396">INDEX(Table1[riBAQ 41], MATCH(1, (Table3[[#This Row],[Gene names]:[Gene names]] = Table1[[Gene names]:[Gene names]])*1, 0))</f>
        <v>8.6899999999999998E-5</v>
      </c>
      <c r="P396" cm="1">
        <f t="array" ref="P396">INDEX(Table1[riBAQ 24], MATCH(1, (Table3[[#This Row],[Gene names]:[Gene names]] = Table1[[Gene names]:[Gene names]])*1, 0))</f>
        <v>2.4089200000000001E-4</v>
      </c>
      <c r="Q396" cm="1">
        <f t="array" ref="Q396">INDEX(Table1[riBAQ 25], MATCH(1, (Table3[[#This Row],[Gene names]:[Gene names]] = Table1[[Gene names]:[Gene names]])*1, 0))</f>
        <v>4.1978799999999999E-4</v>
      </c>
      <c r="R396" cm="1">
        <f t="array" ref="R396">INDEX(Table1[riBAQ 26], MATCH(1, (Table3[[#This Row],[Gene names]:[Gene names]] = Table1[[Gene names]:[Gene names]])*1, 0))</f>
        <v>4.1726300000000002E-4</v>
      </c>
      <c r="S396" cm="1">
        <f t="array" ref="S396">INDEX(Table1[riBAQ 42], MATCH(1, (Table3[[#This Row],[Gene names]:[Gene names]] = Table1[[Gene names]:[Gene names]])*1, 0))</f>
        <v>4.3261500000000002E-4</v>
      </c>
      <c r="T396" cm="1">
        <f t="array" ref="T396">INDEX(Table1[riBAQ 43], MATCH(1, (Table3[[#This Row],[Gene names]:[Gene names]] = Table1[[Gene names]:[Gene names]])*1, 0))</f>
        <v>6.2602100000000004E-4</v>
      </c>
    </row>
    <row r="397" spans="1:20" x14ac:dyDescent="0.25">
      <c r="A397" t="s">
        <v>379</v>
      </c>
      <c r="B397" cm="1">
        <f t="array" ref="B397">INDEX(Table1[riBAQ 17], MATCH(1, (Table3[[#This Row],[Gene names]:[Gene names]] = Table1[[Gene names]:[Gene names]])*1, 0))</f>
        <v>1.64506E-4</v>
      </c>
      <c r="C397" cm="1">
        <f t="array" ref="C397">INDEX(Table1[riBAQ 18], MATCH(1, (Table3[[#This Row],[Gene names]:[Gene names]] = Table1[[Gene names]:[Gene names]])*1, 0))</f>
        <v>3.1399999999999998E-5</v>
      </c>
      <c r="D397" cm="1">
        <f t="array" ref="D397">INDEX(Table1[riBAQ 35], MATCH(1, (Table3[[#This Row],[Gene names]:[Gene names]] = Table1[[Gene names]:[Gene names]])*1, 0))</f>
        <v>6.3600000000000001E-5</v>
      </c>
      <c r="E397" cm="1">
        <f t="array" ref="E397">INDEX(Table1[riBAQ 36], MATCH(1, (Table3[[#This Row],[Gene names]:[Gene names]] = Table1[[Gene names]:[Gene names]])*1, 0))</f>
        <v>1.7499999999999998E-5</v>
      </c>
      <c r="F397" cm="1">
        <f t="array" ref="F397">INDEX(Table1[riBAQ 19], MATCH(1, (Table3[[#This Row],[Gene names]:[Gene names]] = Table1[[Gene names]:[Gene names]])*1, 0))</f>
        <v>2.6232799999999999E-4</v>
      </c>
      <c r="G397" cm="1">
        <f t="array" ref="G397">INDEX(Table1[riBAQ 20], MATCH(1, (Table3[[#This Row],[Gene names]:[Gene names]] = Table1[[Gene names]:[Gene names]])*1, 0))</f>
        <v>4.5865100000000002E-4</v>
      </c>
      <c r="H397" cm="1">
        <f t="array" ref="H397">INDEX(Table1[riBAQ 21], MATCH(1, (Table3[[#This Row],[Gene names]:[Gene names]] = Table1[[Gene names]:[Gene names]])*1, 0))</f>
        <v>2.95481E-4</v>
      </c>
      <c r="I397" cm="1">
        <f t="array" ref="I397">INDEX(Table1[riBAQ 22], MATCH(1, (Table3[[#This Row],[Gene names]:[Gene names]] = Table1[[Gene names]:[Gene names]])*1, 0))</f>
        <v>1.30526E-4</v>
      </c>
      <c r="J397" cm="1">
        <f t="array" ref="J397">INDEX(Table1[riBAQ 23], MATCH(1, (Table3[[#This Row],[Gene names]:[Gene names]] = Table1[[Gene names]:[Gene names]])*1, 0))</f>
        <v>3.9030299999999999E-4</v>
      </c>
      <c r="K397" cm="1">
        <f t="array" ref="K397">INDEX(Table1[riBAQ 37], MATCH(1, (Table3[[#This Row],[Gene names]:[Gene names]] = Table1[[Gene names]:[Gene names]])*1, 0))</f>
        <v>8.2772E-4</v>
      </c>
      <c r="L397" cm="1">
        <f t="array" ref="L397">INDEX(Table1[riBAQ 38], MATCH(1, (Table3[[#This Row],[Gene names]:[Gene names]] = Table1[[Gene names]:[Gene names]])*1, 0))</f>
        <v>1.08028E-4</v>
      </c>
      <c r="M397" cm="1">
        <f t="array" ref="M397">INDEX(Table1[riBAQ 39], MATCH(1, (Table3[[#This Row],[Gene names]:[Gene names]] = Table1[[Gene names]:[Gene names]])*1, 0))</f>
        <v>1.4815499999999999E-4</v>
      </c>
      <c r="N397" cm="1">
        <f t="array" ref="N397">INDEX(Table1[riBAQ 40], MATCH(1, (Table3[[#This Row],[Gene names]:[Gene names]] = Table1[[Gene names]:[Gene names]])*1, 0))</f>
        <v>1.7101799999999999E-4</v>
      </c>
      <c r="O397" cm="1">
        <f t="array" ref="O397">INDEX(Table1[riBAQ 41], MATCH(1, (Table3[[#This Row],[Gene names]:[Gene names]] = Table1[[Gene names]:[Gene names]])*1, 0))</f>
        <v>1.7816300000000001E-4</v>
      </c>
      <c r="P397" cm="1">
        <f t="array" ref="P397">INDEX(Table1[riBAQ 24], MATCH(1, (Table3[[#This Row],[Gene names]:[Gene names]] = Table1[[Gene names]:[Gene names]])*1, 0))</f>
        <v>6.0263999999999999E-4</v>
      </c>
      <c r="Q397" cm="1">
        <f t="array" ref="Q397">INDEX(Table1[riBAQ 25], MATCH(1, (Table3[[#This Row],[Gene names]:[Gene names]] = Table1[[Gene names]:[Gene names]])*1, 0))</f>
        <v>2.204789E-3</v>
      </c>
      <c r="R397" cm="1">
        <f t="array" ref="R397">INDEX(Table1[riBAQ 26], MATCH(1, (Table3[[#This Row],[Gene names]:[Gene names]] = Table1[[Gene names]:[Gene names]])*1, 0))</f>
        <v>4.8512199999999999E-4</v>
      </c>
      <c r="S397" cm="1">
        <f t="array" ref="S397">INDEX(Table1[riBAQ 42], MATCH(1, (Table3[[#This Row],[Gene names]:[Gene names]] = Table1[[Gene names]:[Gene names]])*1, 0))</f>
        <v>1.9426350000000001E-3</v>
      </c>
      <c r="T397" cm="1">
        <f t="array" ref="T397">INDEX(Table1[riBAQ 43], MATCH(1, (Table3[[#This Row],[Gene names]:[Gene names]] = Table1[[Gene names]:[Gene names]])*1, 0))</f>
        <v>1.782243E-3</v>
      </c>
    </row>
    <row r="398" spans="1:20" x14ac:dyDescent="0.25">
      <c r="A398" t="s">
        <v>1359</v>
      </c>
      <c r="B398" cm="1">
        <f t="array" ref="B398">INDEX(Table1[riBAQ 17], MATCH(1, (Table3[[#This Row],[Gene names]:[Gene names]] = Table1[[Gene names]:[Gene names]])*1, 0))</f>
        <v>4.8900000000000003E-5</v>
      </c>
      <c r="C398" cm="1">
        <f t="array" ref="C398">INDEX(Table1[riBAQ 18], MATCH(1, (Table3[[#This Row],[Gene names]:[Gene names]] = Table1[[Gene names]:[Gene names]])*1, 0))</f>
        <v>5.6499999999999998E-5</v>
      </c>
      <c r="D398" cm="1">
        <f t="array" ref="D398">INDEX(Table1[riBAQ 35], MATCH(1, (Table3[[#This Row],[Gene names]:[Gene names]] = Table1[[Gene names]:[Gene names]])*1, 0))</f>
        <v>4.1300000000000001E-5</v>
      </c>
      <c r="E398" cm="1">
        <f t="array" ref="E398">INDEX(Table1[riBAQ 36], MATCH(1, (Table3[[#This Row],[Gene names]:[Gene names]] = Table1[[Gene names]:[Gene names]])*1, 0))</f>
        <v>7.1500000000000003E-5</v>
      </c>
      <c r="F398" cm="1">
        <f t="array" ref="F398">INDEX(Table1[riBAQ 19], MATCH(1, (Table3[[#This Row],[Gene names]:[Gene names]] = Table1[[Gene names]:[Gene names]])*1, 0))</f>
        <v>9.0799999999999998E-5</v>
      </c>
      <c r="G398" cm="1">
        <f t="array" ref="G398">INDEX(Table1[riBAQ 20], MATCH(1, (Table3[[#This Row],[Gene names]:[Gene names]] = Table1[[Gene names]:[Gene names]])*1, 0))</f>
        <v>8.1199999999999995E-5</v>
      </c>
      <c r="H398" cm="1">
        <f t="array" ref="H398">INDEX(Table1[riBAQ 21], MATCH(1, (Table3[[#This Row],[Gene names]:[Gene names]] = Table1[[Gene names]:[Gene names]])*1, 0))</f>
        <v>5.27E-5</v>
      </c>
      <c r="I398" cm="1">
        <f t="array" ref="I398">INDEX(Table1[riBAQ 22], MATCH(1, (Table3[[#This Row],[Gene names]:[Gene names]] = Table1[[Gene names]:[Gene names]])*1, 0))</f>
        <v>9.31E-5</v>
      </c>
      <c r="J398" cm="1">
        <f t="array" ref="J398">INDEX(Table1[riBAQ 23], MATCH(1, (Table3[[#This Row],[Gene names]:[Gene names]] = Table1[[Gene names]:[Gene names]])*1, 0))</f>
        <v>9.9599999999999995E-5</v>
      </c>
      <c r="K398" cm="1">
        <f t="array" ref="K398">INDEX(Table1[riBAQ 37], MATCH(1, (Table3[[#This Row],[Gene names]:[Gene names]] = Table1[[Gene names]:[Gene names]])*1, 0))</f>
        <v>6.5199999999999999E-5</v>
      </c>
      <c r="L398" cm="1">
        <f t="array" ref="L398">INDEX(Table1[riBAQ 38], MATCH(1, (Table3[[#This Row],[Gene names]:[Gene names]] = Table1[[Gene names]:[Gene names]])*1, 0))</f>
        <v>6.9800000000000003E-5</v>
      </c>
      <c r="M398" cm="1">
        <f t="array" ref="M398">INDEX(Table1[riBAQ 39], MATCH(1, (Table3[[#This Row],[Gene names]:[Gene names]] = Table1[[Gene names]:[Gene names]])*1, 0))</f>
        <v>6.0800000000000001E-5</v>
      </c>
      <c r="N398" cm="1">
        <f t="array" ref="N398">INDEX(Table1[riBAQ 40], MATCH(1, (Table3[[#This Row],[Gene names]:[Gene names]] = Table1[[Gene names]:[Gene names]])*1, 0))</f>
        <v>1.2348099999999999E-4</v>
      </c>
      <c r="O398" cm="1">
        <f t="array" ref="O398">INDEX(Table1[riBAQ 41], MATCH(1, (Table3[[#This Row],[Gene names]:[Gene names]] = Table1[[Gene names]:[Gene names]])*1, 0))</f>
        <v>7.1299999999999998E-5</v>
      </c>
      <c r="P398" cm="1">
        <f t="array" ref="P398">INDEX(Table1[riBAQ 24], MATCH(1, (Table3[[#This Row],[Gene names]:[Gene names]] = Table1[[Gene names]:[Gene names]])*1, 0))</f>
        <v>1.11081E-4</v>
      </c>
      <c r="Q398" cm="1">
        <f t="array" ref="Q398">INDEX(Table1[riBAQ 25], MATCH(1, (Table3[[#This Row],[Gene names]:[Gene names]] = Table1[[Gene names]:[Gene names]])*1, 0))</f>
        <v>1.61943E-4</v>
      </c>
      <c r="R398" cm="1">
        <f t="array" ref="R398">INDEX(Table1[riBAQ 26], MATCH(1, (Table3[[#This Row],[Gene names]:[Gene names]] = Table1[[Gene names]:[Gene names]])*1, 0))</f>
        <v>1.59619E-4</v>
      </c>
      <c r="S398" cm="1">
        <f t="array" ref="S398">INDEX(Table1[riBAQ 42], MATCH(1, (Table3[[#This Row],[Gene names]:[Gene names]] = Table1[[Gene names]:[Gene names]])*1, 0))</f>
        <v>1.6246000000000001E-4</v>
      </c>
      <c r="T398" cm="1">
        <f t="array" ref="T398">INDEX(Table1[riBAQ 43], MATCH(1, (Table3[[#This Row],[Gene names]:[Gene names]] = Table1[[Gene names]:[Gene names]])*1, 0))</f>
        <v>1.9797799999999999E-4</v>
      </c>
    </row>
    <row r="399" spans="1:20" x14ac:dyDescent="0.25">
      <c r="A399" t="s">
        <v>381</v>
      </c>
      <c r="B399" cm="1">
        <f t="array" ref="B399">INDEX(Table1[riBAQ 17], MATCH(1, (Table3[[#This Row],[Gene names]:[Gene names]] = Table1[[Gene names]:[Gene names]])*1, 0))</f>
        <v>5.1700000000000003E-5</v>
      </c>
      <c r="C399" cm="1">
        <f t="array" ref="C399">INDEX(Table1[riBAQ 18], MATCH(1, (Table3[[#This Row],[Gene names]:[Gene names]] = Table1[[Gene names]:[Gene names]])*1, 0))</f>
        <v>1.1199999999999999E-5</v>
      </c>
      <c r="D399" cm="1">
        <f t="array" ref="D399">INDEX(Table1[riBAQ 35], MATCH(1, (Table3[[#This Row],[Gene names]:[Gene names]] = Table1[[Gene names]:[Gene names]])*1, 0))</f>
        <v>2.4199999999999999E-5</v>
      </c>
      <c r="E399" cm="1">
        <f t="array" ref="E399">INDEX(Table1[riBAQ 36], MATCH(1, (Table3[[#This Row],[Gene names]:[Gene names]] = Table1[[Gene names]:[Gene names]])*1, 0))</f>
        <v>6.1399999999999997E-6</v>
      </c>
      <c r="F399" cm="1">
        <f t="array" ref="F399">INDEX(Table1[riBAQ 19], MATCH(1, (Table3[[#This Row],[Gene names]:[Gene names]] = Table1[[Gene names]:[Gene names]])*1, 0))</f>
        <v>8.9499999999999994E-5</v>
      </c>
      <c r="G399" cm="1">
        <f t="array" ref="G399">INDEX(Table1[riBAQ 20], MATCH(1, (Table3[[#This Row],[Gene names]:[Gene names]] = Table1[[Gene names]:[Gene names]])*1, 0))</f>
        <v>1.4436599999999999E-4</v>
      </c>
      <c r="H399" cm="1">
        <f t="array" ref="H399">INDEX(Table1[riBAQ 21], MATCH(1, (Table3[[#This Row],[Gene names]:[Gene names]] = Table1[[Gene names]:[Gene names]])*1, 0))</f>
        <v>9.9599999999999995E-5</v>
      </c>
      <c r="I399" cm="1">
        <f t="array" ref="I399">INDEX(Table1[riBAQ 22], MATCH(1, (Table3[[#This Row],[Gene names]:[Gene names]] = Table1[[Gene names]:[Gene names]])*1, 0))</f>
        <v>4.6600000000000001E-5</v>
      </c>
      <c r="J399" cm="1">
        <f t="array" ref="J399">INDEX(Table1[riBAQ 23], MATCH(1, (Table3[[#This Row],[Gene names]:[Gene names]] = Table1[[Gene names]:[Gene names]])*1, 0))</f>
        <v>1.3035799999999999E-4</v>
      </c>
      <c r="K399" cm="1">
        <f t="array" ref="K399">INDEX(Table1[riBAQ 37], MATCH(1, (Table3[[#This Row],[Gene names]:[Gene names]] = Table1[[Gene names]:[Gene names]])*1, 0))</f>
        <v>2.6948199999999998E-4</v>
      </c>
      <c r="L399" cm="1">
        <f t="array" ref="L399">INDEX(Table1[riBAQ 38], MATCH(1, (Table3[[#This Row],[Gene names]:[Gene names]] = Table1[[Gene names]:[Gene names]])*1, 0))</f>
        <v>3.6900000000000002E-5</v>
      </c>
      <c r="M399" cm="1">
        <f t="array" ref="M399">INDEX(Table1[riBAQ 39], MATCH(1, (Table3[[#This Row],[Gene names]:[Gene names]] = Table1[[Gene names]:[Gene names]])*1, 0))</f>
        <v>4.2400000000000001E-5</v>
      </c>
      <c r="N399" cm="1">
        <f t="array" ref="N399">INDEX(Table1[riBAQ 40], MATCH(1, (Table3[[#This Row],[Gene names]:[Gene names]] = Table1[[Gene names]:[Gene names]])*1, 0))</f>
        <v>4.7500000000000003E-5</v>
      </c>
      <c r="O399" cm="1">
        <f t="array" ref="O399">INDEX(Table1[riBAQ 41], MATCH(1, (Table3[[#This Row],[Gene names]:[Gene names]] = Table1[[Gene names]:[Gene names]])*1, 0))</f>
        <v>5.6499999999999998E-5</v>
      </c>
      <c r="P399" cm="1">
        <f t="array" ref="P399">INDEX(Table1[riBAQ 24], MATCH(1, (Table3[[#This Row],[Gene names]:[Gene names]] = Table1[[Gene names]:[Gene names]])*1, 0))</f>
        <v>1.74351E-4</v>
      </c>
      <c r="Q399" cm="1">
        <f t="array" ref="Q399">INDEX(Table1[riBAQ 25], MATCH(1, (Table3[[#This Row],[Gene names]:[Gene names]] = Table1[[Gene names]:[Gene names]])*1, 0))</f>
        <v>7.55976E-4</v>
      </c>
      <c r="R399" cm="1">
        <f t="array" ref="R399">INDEX(Table1[riBAQ 26], MATCH(1, (Table3[[#This Row],[Gene names]:[Gene names]] = Table1[[Gene names]:[Gene names]])*1, 0))</f>
        <v>1.5023E-4</v>
      </c>
      <c r="S399" cm="1">
        <f t="array" ref="S399">INDEX(Table1[riBAQ 42], MATCH(1, (Table3[[#This Row],[Gene names]:[Gene names]] = Table1[[Gene names]:[Gene names]])*1, 0))</f>
        <v>6.4267299999999996E-4</v>
      </c>
      <c r="T399" cm="1">
        <f t="array" ref="T399">INDEX(Table1[riBAQ 43], MATCH(1, (Table3[[#This Row],[Gene names]:[Gene names]] = Table1[[Gene names]:[Gene names]])*1, 0))</f>
        <v>5.6196200000000005E-4</v>
      </c>
    </row>
    <row r="400" spans="1:20" x14ac:dyDescent="0.25">
      <c r="A400" t="s">
        <v>380</v>
      </c>
      <c r="B400" cm="1">
        <f t="array" ref="B400">INDEX(Table1[riBAQ 17], MATCH(1, (Table3[[#This Row],[Gene names]:[Gene names]] = Table1[[Gene names]:[Gene names]])*1, 0))</f>
        <v>1.1749299999999999E-4</v>
      </c>
      <c r="C400" cm="1">
        <f t="array" ref="C400">INDEX(Table1[riBAQ 18], MATCH(1, (Table3[[#This Row],[Gene names]:[Gene names]] = Table1[[Gene names]:[Gene names]])*1, 0))</f>
        <v>1.59E-5</v>
      </c>
      <c r="D400" cm="1">
        <f t="array" ref="D400">INDEX(Table1[riBAQ 35], MATCH(1, (Table3[[#This Row],[Gene names]:[Gene names]] = Table1[[Gene names]:[Gene names]])*1, 0))</f>
        <v>3.9199999999999997E-5</v>
      </c>
      <c r="E400" cm="1">
        <f t="array" ref="E400">INDEX(Table1[riBAQ 36], MATCH(1, (Table3[[#This Row],[Gene names]:[Gene names]] = Table1[[Gene names]:[Gene names]])*1, 0))</f>
        <v>8.3999999999999992E-6</v>
      </c>
      <c r="F400" cm="1">
        <f t="array" ref="F400">INDEX(Table1[riBAQ 19], MATCH(1, (Table3[[#This Row],[Gene names]:[Gene names]] = Table1[[Gene names]:[Gene names]])*1, 0))</f>
        <v>1.65391E-4</v>
      </c>
      <c r="G400" cm="1">
        <f t="array" ref="G400">INDEX(Table1[riBAQ 20], MATCH(1, (Table3[[#This Row],[Gene names]:[Gene names]] = Table1[[Gene names]:[Gene names]])*1, 0))</f>
        <v>2.8748800000000002E-4</v>
      </c>
      <c r="H400" cm="1">
        <f t="array" ref="H400">INDEX(Table1[riBAQ 21], MATCH(1, (Table3[[#This Row],[Gene names]:[Gene names]] = Table1[[Gene names]:[Gene names]])*1, 0))</f>
        <v>1.7915699999999999E-4</v>
      </c>
      <c r="I400" cm="1">
        <f t="array" ref="I400">INDEX(Table1[riBAQ 22], MATCH(1, (Table3[[#This Row],[Gene names]:[Gene names]] = Table1[[Gene names]:[Gene names]])*1, 0))</f>
        <v>7.8899999999999993E-5</v>
      </c>
      <c r="J400" cm="1">
        <f t="array" ref="J400">INDEX(Table1[riBAQ 23], MATCH(1, (Table3[[#This Row],[Gene names]:[Gene names]] = Table1[[Gene names]:[Gene names]])*1, 0))</f>
        <v>2.20986E-4</v>
      </c>
      <c r="K400" cm="1">
        <f t="array" ref="K400">INDEX(Table1[riBAQ 37], MATCH(1, (Table3[[#This Row],[Gene names]:[Gene names]] = Table1[[Gene names]:[Gene names]])*1, 0))</f>
        <v>6.0179799999999996E-4</v>
      </c>
      <c r="L400" cm="1">
        <f t="array" ref="L400">INDEX(Table1[riBAQ 38], MATCH(1, (Table3[[#This Row],[Gene names]:[Gene names]] = Table1[[Gene names]:[Gene names]])*1, 0))</f>
        <v>7.2899999999999997E-5</v>
      </c>
      <c r="M400" cm="1">
        <f t="array" ref="M400">INDEX(Table1[riBAQ 39], MATCH(1, (Table3[[#This Row],[Gene names]:[Gene names]] = Table1[[Gene names]:[Gene names]])*1, 0))</f>
        <v>1.02266E-4</v>
      </c>
      <c r="N400" cm="1">
        <f t="array" ref="N400">INDEX(Table1[riBAQ 40], MATCH(1, (Table3[[#This Row],[Gene names]:[Gene names]] = Table1[[Gene names]:[Gene names]])*1, 0))</f>
        <v>1.15975E-4</v>
      </c>
      <c r="O400" cm="1">
        <f t="array" ref="O400">INDEX(Table1[riBAQ 41], MATCH(1, (Table3[[#This Row],[Gene names]:[Gene names]] = Table1[[Gene names]:[Gene names]])*1, 0))</f>
        <v>1.3894299999999999E-4</v>
      </c>
      <c r="P400" cm="1">
        <f t="array" ref="P400">INDEX(Table1[riBAQ 24], MATCH(1, (Table3[[#This Row],[Gene names]:[Gene names]] = Table1[[Gene names]:[Gene names]])*1, 0))</f>
        <v>3.7730899999999999E-4</v>
      </c>
      <c r="Q400" cm="1">
        <f t="array" ref="Q400">INDEX(Table1[riBAQ 25], MATCH(1, (Table3[[#This Row],[Gene names]:[Gene names]] = Table1[[Gene names]:[Gene names]])*1, 0))</f>
        <v>1.7358440000000001E-3</v>
      </c>
      <c r="R400" cm="1">
        <f t="array" ref="R400">INDEX(Table1[riBAQ 26], MATCH(1, (Table3[[#This Row],[Gene names]:[Gene names]] = Table1[[Gene names]:[Gene names]])*1, 0))</f>
        <v>3.2799000000000001E-4</v>
      </c>
      <c r="S400" cm="1">
        <f t="array" ref="S400">INDEX(Table1[riBAQ 42], MATCH(1, (Table3[[#This Row],[Gene names]:[Gene names]] = Table1[[Gene names]:[Gene names]])*1, 0))</f>
        <v>1.464227E-3</v>
      </c>
      <c r="T400" cm="1">
        <f t="array" ref="T400">INDEX(Table1[riBAQ 43], MATCH(1, (Table3[[#This Row],[Gene names]:[Gene names]] = Table1[[Gene names]:[Gene names]])*1, 0))</f>
        <v>1.2054100000000001E-3</v>
      </c>
    </row>
    <row r="401" spans="1:20" x14ac:dyDescent="0.25">
      <c r="A401" t="s">
        <v>1661</v>
      </c>
      <c r="B401" cm="1">
        <f t="array" ref="B401">INDEX(Table1[riBAQ 17], MATCH(1, (Table3[[#This Row],[Gene names]:[Gene names]] = Table1[[Gene names]:[Gene names]])*1, 0))</f>
        <v>1.7200000000000001E-5</v>
      </c>
      <c r="C401" cm="1">
        <f t="array" ref="C401">INDEX(Table1[riBAQ 18], MATCH(1, (Table3[[#This Row],[Gene names]:[Gene names]] = Table1[[Gene names]:[Gene names]])*1, 0))</f>
        <v>0</v>
      </c>
      <c r="D401" cm="1">
        <f t="array" ref="D401">INDEX(Table1[riBAQ 35], MATCH(1, (Table3[[#This Row],[Gene names]:[Gene names]] = Table1[[Gene names]:[Gene names]])*1, 0))</f>
        <v>0</v>
      </c>
      <c r="E401" cm="1">
        <f t="array" ref="E401">INDEX(Table1[riBAQ 36], MATCH(1, (Table3[[#This Row],[Gene names]:[Gene names]] = Table1[[Gene names]:[Gene names]])*1, 0))</f>
        <v>9.1600000000000004E-6</v>
      </c>
      <c r="F401" cm="1">
        <f t="array" ref="F401">INDEX(Table1[riBAQ 19], MATCH(1, (Table3[[#This Row],[Gene names]:[Gene names]] = Table1[[Gene names]:[Gene names]])*1, 0))</f>
        <v>0</v>
      </c>
      <c r="G401" cm="1">
        <f t="array" ref="G401">INDEX(Table1[riBAQ 20], MATCH(1, (Table3[[#This Row],[Gene names]:[Gene names]] = Table1[[Gene names]:[Gene names]])*1, 0))</f>
        <v>1.45E-5</v>
      </c>
      <c r="H401" cm="1">
        <f t="array" ref="H401">INDEX(Table1[riBAQ 21], MATCH(1, (Table3[[#This Row],[Gene names]:[Gene names]] = Table1[[Gene names]:[Gene names]])*1, 0))</f>
        <v>2.16E-5</v>
      </c>
      <c r="I401" cm="1">
        <f t="array" ref="I401">INDEX(Table1[riBAQ 22], MATCH(1, (Table3[[#This Row],[Gene names]:[Gene names]] = Table1[[Gene names]:[Gene names]])*1, 0))</f>
        <v>5.9900000000000002E-6</v>
      </c>
      <c r="J401" cm="1">
        <f t="array" ref="J401">INDEX(Table1[riBAQ 23], MATCH(1, (Table3[[#This Row],[Gene names]:[Gene names]] = Table1[[Gene names]:[Gene names]])*1, 0))</f>
        <v>1.42E-5</v>
      </c>
      <c r="K401" cm="1">
        <f t="array" ref="K401">INDEX(Table1[riBAQ 37], MATCH(1, (Table3[[#This Row],[Gene names]:[Gene names]] = Table1[[Gene names]:[Gene names]])*1, 0))</f>
        <v>3.3399999999999999E-5</v>
      </c>
      <c r="L401" cm="1">
        <f t="array" ref="L401">INDEX(Table1[riBAQ 38], MATCH(1, (Table3[[#This Row],[Gene names]:[Gene names]] = Table1[[Gene names]:[Gene names]])*1, 0))</f>
        <v>0</v>
      </c>
      <c r="M401" cm="1">
        <f t="array" ref="M401">INDEX(Table1[riBAQ 39], MATCH(1, (Table3[[#This Row],[Gene names]:[Gene names]] = Table1[[Gene names]:[Gene names]])*1, 0))</f>
        <v>2.2099999999999998E-5</v>
      </c>
      <c r="N401" cm="1">
        <f t="array" ref="N401">INDEX(Table1[riBAQ 40], MATCH(1, (Table3[[#This Row],[Gene names]:[Gene names]] = Table1[[Gene names]:[Gene names]])*1, 0))</f>
        <v>0</v>
      </c>
      <c r="O401" cm="1">
        <f t="array" ref="O401">INDEX(Table1[riBAQ 41], MATCH(1, (Table3[[#This Row],[Gene names]:[Gene names]] = Table1[[Gene names]:[Gene names]])*1, 0))</f>
        <v>0</v>
      </c>
      <c r="P401" cm="1">
        <f t="array" ref="P401">INDEX(Table1[riBAQ 24], MATCH(1, (Table3[[#This Row],[Gene names]:[Gene names]] = Table1[[Gene names]:[Gene names]])*1, 0))</f>
        <v>7.2100000000000004E-5</v>
      </c>
      <c r="Q401" cm="1">
        <f t="array" ref="Q401">INDEX(Table1[riBAQ 25], MATCH(1, (Table3[[#This Row],[Gene names]:[Gene names]] = Table1[[Gene names]:[Gene names]])*1, 0))</f>
        <v>1.7766700000000001E-4</v>
      </c>
      <c r="R401" cm="1">
        <f t="array" ref="R401">INDEX(Table1[riBAQ 26], MATCH(1, (Table3[[#This Row],[Gene names]:[Gene names]] = Table1[[Gene names]:[Gene names]])*1, 0))</f>
        <v>6.0999999999999999E-5</v>
      </c>
      <c r="S401" cm="1">
        <f t="array" ref="S401">INDEX(Table1[riBAQ 42], MATCH(1, (Table3[[#This Row],[Gene names]:[Gene names]] = Table1[[Gene names]:[Gene names]])*1, 0))</f>
        <v>8.9800000000000001E-5</v>
      </c>
      <c r="T401" cm="1">
        <f t="array" ref="T401">INDEX(Table1[riBAQ 43], MATCH(1, (Table3[[#This Row],[Gene names]:[Gene names]] = Table1[[Gene names]:[Gene names]])*1, 0))</f>
        <v>2.6463000000000002E-4</v>
      </c>
    </row>
    <row r="402" spans="1:20" x14ac:dyDescent="0.25">
      <c r="A402" t="s">
        <v>568</v>
      </c>
      <c r="B402" cm="1">
        <f t="array" ref="B402">INDEX(Table1[riBAQ 17], MATCH(1, (Table3[[#This Row],[Gene names]:[Gene names]] = Table1[[Gene names]:[Gene names]])*1, 0))</f>
        <v>7.8062890000000001E-3</v>
      </c>
      <c r="C402" cm="1">
        <f t="array" ref="C402">INDEX(Table1[riBAQ 18], MATCH(1, (Table3[[#This Row],[Gene names]:[Gene names]] = Table1[[Gene names]:[Gene names]])*1, 0))</f>
        <v>5.7666159999999996E-3</v>
      </c>
      <c r="D402" cm="1">
        <f t="array" ref="D402">INDEX(Table1[riBAQ 35], MATCH(1, (Table3[[#This Row],[Gene names]:[Gene names]] = Table1[[Gene names]:[Gene names]])*1, 0))</f>
        <v>6.5712979999999997E-3</v>
      </c>
      <c r="E402" cm="1">
        <f t="array" ref="E402">INDEX(Table1[riBAQ 36], MATCH(1, (Table3[[#This Row],[Gene names]:[Gene names]] = Table1[[Gene names]:[Gene names]])*1, 0))</f>
        <v>7.159861E-3</v>
      </c>
      <c r="F402" cm="1">
        <f t="array" ref="F402">INDEX(Table1[riBAQ 19], MATCH(1, (Table3[[#This Row],[Gene names]:[Gene names]] = Table1[[Gene names]:[Gene names]])*1, 0))</f>
        <v>7.4453399999999999E-3</v>
      </c>
      <c r="G402" cm="1">
        <f t="array" ref="G402">INDEX(Table1[riBAQ 20], MATCH(1, (Table3[[#This Row],[Gene names]:[Gene names]] = Table1[[Gene names]:[Gene names]])*1, 0))</f>
        <v>7.0052550000000002E-3</v>
      </c>
      <c r="H402" cm="1">
        <f t="array" ref="H402">INDEX(Table1[riBAQ 21], MATCH(1, (Table3[[#This Row],[Gene names]:[Gene names]] = Table1[[Gene names]:[Gene names]])*1, 0))</f>
        <v>5.8513769999999996E-3</v>
      </c>
      <c r="I402" cm="1">
        <f t="array" ref="I402">INDEX(Table1[riBAQ 22], MATCH(1, (Table3[[#This Row],[Gene names]:[Gene names]] = Table1[[Gene names]:[Gene names]])*1, 0))</f>
        <v>7.2601870000000004E-3</v>
      </c>
      <c r="J402" cm="1">
        <f t="array" ref="J402">INDEX(Table1[riBAQ 23], MATCH(1, (Table3[[#This Row],[Gene names]:[Gene names]] = Table1[[Gene names]:[Gene names]])*1, 0))</f>
        <v>7.9769179999999995E-3</v>
      </c>
      <c r="K402" cm="1">
        <f t="array" ref="K402">INDEX(Table1[riBAQ 37], MATCH(1, (Table3[[#This Row],[Gene names]:[Gene names]] = Table1[[Gene names]:[Gene names]])*1, 0))</f>
        <v>6.7478030000000001E-3</v>
      </c>
      <c r="L402" cm="1">
        <f t="array" ref="L402">INDEX(Table1[riBAQ 38], MATCH(1, (Table3[[#This Row],[Gene names]:[Gene names]] = Table1[[Gene names]:[Gene names]])*1, 0))</f>
        <v>5.681541E-3</v>
      </c>
      <c r="M402" cm="1">
        <f t="array" ref="M402">INDEX(Table1[riBAQ 39], MATCH(1, (Table3[[#This Row],[Gene names]:[Gene names]] = Table1[[Gene names]:[Gene names]])*1, 0))</f>
        <v>7.4959309999999999E-3</v>
      </c>
      <c r="N402" cm="1">
        <f t="array" ref="N402">INDEX(Table1[riBAQ 40], MATCH(1, (Table3[[#This Row],[Gene names]:[Gene names]] = Table1[[Gene names]:[Gene names]])*1, 0))</f>
        <v>6.5723910000000003E-3</v>
      </c>
      <c r="O402" cm="1">
        <f t="array" ref="O402">INDEX(Table1[riBAQ 41], MATCH(1, (Table3[[#This Row],[Gene names]:[Gene names]] = Table1[[Gene names]:[Gene names]])*1, 0))</f>
        <v>7.7585019999999996E-3</v>
      </c>
      <c r="P402" cm="1">
        <f t="array" ref="P402">INDEX(Table1[riBAQ 24], MATCH(1, (Table3[[#This Row],[Gene names]:[Gene names]] = Table1[[Gene names]:[Gene names]])*1, 0))</f>
        <v>8.3695039999999998E-3</v>
      </c>
      <c r="Q402" cm="1">
        <f t="array" ref="Q402">INDEX(Table1[riBAQ 25], MATCH(1, (Table3[[#This Row],[Gene names]:[Gene names]] = Table1[[Gene names]:[Gene names]])*1, 0))</f>
        <v>7.8569420000000004E-3</v>
      </c>
      <c r="R402" cm="1">
        <f t="array" ref="R402">INDEX(Table1[riBAQ 26], MATCH(1, (Table3[[#This Row],[Gene names]:[Gene names]] = Table1[[Gene names]:[Gene names]])*1, 0))</f>
        <v>1.2553579E-2</v>
      </c>
      <c r="S402" cm="1">
        <f t="array" ref="S402">INDEX(Table1[riBAQ 42], MATCH(1, (Table3[[#This Row],[Gene names]:[Gene names]] = Table1[[Gene names]:[Gene names]])*1, 0))</f>
        <v>9.1574280000000004E-3</v>
      </c>
      <c r="T402" cm="1">
        <f t="array" ref="T402">INDEX(Table1[riBAQ 43], MATCH(1, (Table3[[#This Row],[Gene names]:[Gene names]] = Table1[[Gene names]:[Gene names]])*1, 0))</f>
        <v>8.6025489999999993E-3</v>
      </c>
    </row>
    <row r="403" spans="1:20" x14ac:dyDescent="0.25">
      <c r="A403" t="s">
        <v>567</v>
      </c>
      <c r="B403" cm="1">
        <f t="array" ref="B403">INDEX(Table1[riBAQ 17], MATCH(1, (Table3[[#This Row],[Gene names]:[Gene names]] = Table1[[Gene names]:[Gene names]])*1, 0))</f>
        <v>0</v>
      </c>
      <c r="C403" cm="1">
        <f t="array" ref="C403">INDEX(Table1[riBAQ 18], MATCH(1, (Table3[[#This Row],[Gene names]:[Gene names]] = Table1[[Gene names]:[Gene names]])*1, 0))</f>
        <v>0</v>
      </c>
      <c r="D403" cm="1">
        <f t="array" ref="D403">INDEX(Table1[riBAQ 35], MATCH(1, (Table3[[#This Row],[Gene names]:[Gene names]] = Table1[[Gene names]:[Gene names]])*1, 0))</f>
        <v>0</v>
      </c>
      <c r="E403" cm="1">
        <f t="array" ref="E403">INDEX(Table1[riBAQ 36], MATCH(1, (Table3[[#This Row],[Gene names]:[Gene names]] = Table1[[Gene names]:[Gene names]])*1, 0))</f>
        <v>0</v>
      </c>
      <c r="F403" cm="1">
        <f t="array" ref="F403">INDEX(Table1[riBAQ 19], MATCH(1, (Table3[[#This Row],[Gene names]:[Gene names]] = Table1[[Gene names]:[Gene names]])*1, 0))</f>
        <v>0</v>
      </c>
      <c r="G403" cm="1">
        <f t="array" ref="G403">INDEX(Table1[riBAQ 20], MATCH(1, (Table3[[#This Row],[Gene names]:[Gene names]] = Table1[[Gene names]:[Gene names]])*1, 0))</f>
        <v>0</v>
      </c>
      <c r="H403" cm="1">
        <f t="array" ref="H403">INDEX(Table1[riBAQ 21], MATCH(1, (Table3[[#This Row],[Gene names]:[Gene names]] = Table1[[Gene names]:[Gene names]])*1, 0))</f>
        <v>0</v>
      </c>
      <c r="I403" cm="1">
        <f t="array" ref="I403">INDEX(Table1[riBAQ 22], MATCH(1, (Table3[[#This Row],[Gene names]:[Gene names]] = Table1[[Gene names]:[Gene names]])*1, 0))</f>
        <v>0</v>
      </c>
      <c r="J403" cm="1">
        <f t="array" ref="J403">INDEX(Table1[riBAQ 23], MATCH(1, (Table3[[#This Row],[Gene names]:[Gene names]] = Table1[[Gene names]:[Gene names]])*1, 0))</f>
        <v>0</v>
      </c>
      <c r="K403" cm="1">
        <f t="array" ref="K403">INDEX(Table1[riBAQ 37], MATCH(1, (Table3[[#This Row],[Gene names]:[Gene names]] = Table1[[Gene names]:[Gene names]])*1, 0))</f>
        <v>0</v>
      </c>
      <c r="L403" cm="1">
        <f t="array" ref="L403">INDEX(Table1[riBAQ 38], MATCH(1, (Table3[[#This Row],[Gene names]:[Gene names]] = Table1[[Gene names]:[Gene names]])*1, 0))</f>
        <v>7.7500000000000003E-6</v>
      </c>
      <c r="M403" cm="1">
        <f t="array" ref="M403">INDEX(Table1[riBAQ 39], MATCH(1, (Table3[[#This Row],[Gene names]:[Gene names]] = Table1[[Gene names]:[Gene names]])*1, 0))</f>
        <v>0</v>
      </c>
      <c r="N403" cm="1">
        <f t="array" ref="N403">INDEX(Table1[riBAQ 40], MATCH(1, (Table3[[#This Row],[Gene names]:[Gene names]] = Table1[[Gene names]:[Gene names]])*1, 0))</f>
        <v>0</v>
      </c>
      <c r="O403" cm="1">
        <f t="array" ref="O403">INDEX(Table1[riBAQ 41], MATCH(1, (Table3[[#This Row],[Gene names]:[Gene names]] = Table1[[Gene names]:[Gene names]])*1, 0))</f>
        <v>0</v>
      </c>
      <c r="P403" cm="1">
        <f t="array" ref="P403">INDEX(Table1[riBAQ 24], MATCH(1, (Table3[[#This Row],[Gene names]:[Gene names]] = Table1[[Gene names]:[Gene names]])*1, 0))</f>
        <v>1.5999999999999999E-5</v>
      </c>
      <c r="Q403" cm="1">
        <f t="array" ref="Q403">INDEX(Table1[riBAQ 25], MATCH(1, (Table3[[#This Row],[Gene names]:[Gene names]] = Table1[[Gene names]:[Gene names]])*1, 0))</f>
        <v>2.09E-5</v>
      </c>
      <c r="R403" cm="1">
        <f t="array" ref="R403">INDEX(Table1[riBAQ 26], MATCH(1, (Table3[[#This Row],[Gene names]:[Gene names]] = Table1[[Gene names]:[Gene names]])*1, 0))</f>
        <v>0</v>
      </c>
      <c r="S403" cm="1">
        <f t="array" ref="S403">INDEX(Table1[riBAQ 42], MATCH(1, (Table3[[#This Row],[Gene names]:[Gene names]] = Table1[[Gene names]:[Gene names]])*1, 0))</f>
        <v>1.59E-5</v>
      </c>
      <c r="T403" cm="1">
        <f t="array" ref="T403">INDEX(Table1[riBAQ 43], MATCH(1, (Table3[[#This Row],[Gene names]:[Gene names]] = Table1[[Gene names]:[Gene names]])*1, 0))</f>
        <v>1.4399999999999999E-5</v>
      </c>
    </row>
    <row r="404" spans="1:20" x14ac:dyDescent="0.25">
      <c r="A404" t="s">
        <v>443</v>
      </c>
      <c r="B404" cm="1">
        <f t="array" ref="B404">INDEX(Table1[riBAQ 17], MATCH(1, (Table3[[#This Row],[Gene names]:[Gene names]] = Table1[[Gene names]:[Gene names]])*1, 0))</f>
        <v>1.7200000000000001E-5</v>
      </c>
      <c r="C404" cm="1">
        <f t="array" ref="C404">INDEX(Table1[riBAQ 18], MATCH(1, (Table3[[#This Row],[Gene names]:[Gene names]] = Table1[[Gene names]:[Gene names]])*1, 0))</f>
        <v>2.0699999999999998E-5</v>
      </c>
      <c r="D404" cm="1">
        <f t="array" ref="D404">INDEX(Table1[riBAQ 35], MATCH(1, (Table3[[#This Row],[Gene names]:[Gene names]] = Table1[[Gene names]:[Gene names]])*1, 0))</f>
        <v>2.1500000000000001E-5</v>
      </c>
      <c r="E404" cm="1">
        <f t="array" ref="E404">INDEX(Table1[riBAQ 36], MATCH(1, (Table3[[#This Row],[Gene names]:[Gene names]] = Table1[[Gene names]:[Gene names]])*1, 0))</f>
        <v>3.4600000000000001E-5</v>
      </c>
      <c r="F404" cm="1">
        <f t="array" ref="F404">INDEX(Table1[riBAQ 19], MATCH(1, (Table3[[#This Row],[Gene names]:[Gene names]] = Table1[[Gene names]:[Gene names]])*1, 0))</f>
        <v>0</v>
      </c>
      <c r="G404" cm="1">
        <f t="array" ref="G404">INDEX(Table1[riBAQ 20], MATCH(1, (Table3[[#This Row],[Gene names]:[Gene names]] = Table1[[Gene names]:[Gene names]])*1, 0))</f>
        <v>2.34E-5</v>
      </c>
      <c r="H404" cm="1">
        <f t="array" ref="H404">INDEX(Table1[riBAQ 21], MATCH(1, (Table3[[#This Row],[Gene names]:[Gene names]] = Table1[[Gene names]:[Gene names]])*1, 0))</f>
        <v>1.8600000000000001E-5</v>
      </c>
      <c r="I404" cm="1">
        <f t="array" ref="I404">INDEX(Table1[riBAQ 22], MATCH(1, (Table3[[#This Row],[Gene names]:[Gene names]] = Table1[[Gene names]:[Gene names]])*1, 0))</f>
        <v>1.3699999999999999E-5</v>
      </c>
      <c r="J404" cm="1">
        <f t="array" ref="J404">INDEX(Table1[riBAQ 23], MATCH(1, (Table3[[#This Row],[Gene names]:[Gene names]] = Table1[[Gene names]:[Gene names]])*1, 0))</f>
        <v>2.5000000000000001E-5</v>
      </c>
      <c r="K404" cm="1">
        <f t="array" ref="K404">INDEX(Table1[riBAQ 37], MATCH(1, (Table3[[#This Row],[Gene names]:[Gene names]] = Table1[[Gene names]:[Gene names]])*1, 0))</f>
        <v>3.29E-5</v>
      </c>
      <c r="L404" cm="1">
        <f t="array" ref="L404">INDEX(Table1[riBAQ 38], MATCH(1, (Table3[[#This Row],[Gene names]:[Gene names]] = Table1[[Gene names]:[Gene names]])*1, 0))</f>
        <v>2.0100000000000001E-5</v>
      </c>
      <c r="M404" cm="1">
        <f t="array" ref="M404">INDEX(Table1[riBAQ 39], MATCH(1, (Table3[[#This Row],[Gene names]:[Gene names]] = Table1[[Gene names]:[Gene names]])*1, 0))</f>
        <v>2.58E-5</v>
      </c>
      <c r="N404" cm="1">
        <f t="array" ref="N404">INDEX(Table1[riBAQ 40], MATCH(1, (Table3[[#This Row],[Gene names]:[Gene names]] = Table1[[Gene names]:[Gene names]])*1, 0))</f>
        <v>2.2900000000000001E-5</v>
      </c>
      <c r="O404" cm="1">
        <f t="array" ref="O404">INDEX(Table1[riBAQ 41], MATCH(1, (Table3[[#This Row],[Gene names]:[Gene names]] = Table1[[Gene names]:[Gene names]])*1, 0))</f>
        <v>2.3799999999999999E-5</v>
      </c>
      <c r="P404" cm="1">
        <f t="array" ref="P404">INDEX(Table1[riBAQ 24], MATCH(1, (Table3[[#This Row],[Gene names]:[Gene names]] = Table1[[Gene names]:[Gene names]])*1, 0))</f>
        <v>0</v>
      </c>
      <c r="Q404" cm="1">
        <f t="array" ref="Q404">INDEX(Table1[riBAQ 25], MATCH(1, (Table3[[#This Row],[Gene names]:[Gene names]] = Table1[[Gene names]:[Gene names]])*1, 0))</f>
        <v>0</v>
      </c>
      <c r="R404" cm="1">
        <f t="array" ref="R404">INDEX(Table1[riBAQ 26], MATCH(1, (Table3[[#This Row],[Gene names]:[Gene names]] = Table1[[Gene names]:[Gene names]])*1, 0))</f>
        <v>1.5699999999999999E-5</v>
      </c>
      <c r="S404" cm="1">
        <f t="array" ref="S404">INDEX(Table1[riBAQ 42], MATCH(1, (Table3[[#This Row],[Gene names]:[Gene names]] = Table1[[Gene names]:[Gene names]])*1, 0))</f>
        <v>0</v>
      </c>
      <c r="T404" cm="1">
        <f t="array" ref="T404">INDEX(Table1[riBAQ 43], MATCH(1, (Table3[[#This Row],[Gene names]:[Gene names]] = Table1[[Gene names]:[Gene names]])*1, 0))</f>
        <v>0</v>
      </c>
    </row>
    <row r="405" spans="1:20" x14ac:dyDescent="0.25">
      <c r="A405" t="s">
        <v>789</v>
      </c>
      <c r="B405" cm="1">
        <f t="array" ref="B405">INDEX(Table1[riBAQ 17], MATCH(1, (Table3[[#This Row],[Gene names]:[Gene names]] = Table1[[Gene names]:[Gene names]])*1, 0))</f>
        <v>6.9599999999999998E-5</v>
      </c>
      <c r="C405" cm="1">
        <f t="array" ref="C405">INDEX(Table1[riBAQ 18], MATCH(1, (Table3[[#This Row],[Gene names]:[Gene names]] = Table1[[Gene names]:[Gene names]])*1, 0))</f>
        <v>8.7999999999999998E-5</v>
      </c>
      <c r="D405" cm="1">
        <f t="array" ref="D405">INDEX(Table1[riBAQ 35], MATCH(1, (Table3[[#This Row],[Gene names]:[Gene names]] = Table1[[Gene names]:[Gene names]])*1, 0))</f>
        <v>0</v>
      </c>
      <c r="E405" cm="1">
        <f t="array" ref="E405">INDEX(Table1[riBAQ 36], MATCH(1, (Table3[[#This Row],[Gene names]:[Gene names]] = Table1[[Gene names]:[Gene names]])*1, 0))</f>
        <v>6.2500000000000001E-5</v>
      </c>
      <c r="F405" cm="1">
        <f t="array" ref="F405">INDEX(Table1[riBAQ 19], MATCH(1, (Table3[[#This Row],[Gene names]:[Gene names]] = Table1[[Gene names]:[Gene names]])*1, 0))</f>
        <v>7.7899999999999996E-5</v>
      </c>
      <c r="G405" cm="1">
        <f t="array" ref="G405">INDEX(Table1[riBAQ 20], MATCH(1, (Table3[[#This Row],[Gene names]:[Gene names]] = Table1[[Gene names]:[Gene names]])*1, 0))</f>
        <v>8.8599999999999999E-5</v>
      </c>
      <c r="H405" cm="1">
        <f t="array" ref="H405">INDEX(Table1[riBAQ 21], MATCH(1, (Table3[[#This Row],[Gene names]:[Gene names]] = Table1[[Gene names]:[Gene names]])*1, 0))</f>
        <v>7.3100000000000001E-5</v>
      </c>
      <c r="I405" cm="1">
        <f t="array" ref="I405">INDEX(Table1[riBAQ 22], MATCH(1, (Table3[[#This Row],[Gene names]:[Gene names]] = Table1[[Gene names]:[Gene names]])*1, 0))</f>
        <v>6.9499999999999995E-5</v>
      </c>
      <c r="J405" cm="1">
        <f t="array" ref="J405">INDEX(Table1[riBAQ 23], MATCH(1, (Table3[[#This Row],[Gene names]:[Gene names]] = Table1[[Gene names]:[Gene names]])*1, 0))</f>
        <v>0</v>
      </c>
      <c r="K405" cm="1">
        <f t="array" ref="K405">INDEX(Table1[riBAQ 37], MATCH(1, (Table3[[#This Row],[Gene names]:[Gene names]] = Table1[[Gene names]:[Gene names]])*1, 0))</f>
        <v>1.8564300000000001E-4</v>
      </c>
      <c r="L405" cm="1">
        <f t="array" ref="L405">INDEX(Table1[riBAQ 38], MATCH(1, (Table3[[#This Row],[Gene names]:[Gene names]] = Table1[[Gene names]:[Gene names]])*1, 0))</f>
        <v>0</v>
      </c>
      <c r="M405" cm="1">
        <f t="array" ref="M405">INDEX(Table1[riBAQ 39], MATCH(1, (Table3[[#This Row],[Gene names]:[Gene names]] = Table1[[Gene names]:[Gene names]])*1, 0))</f>
        <v>0</v>
      </c>
      <c r="N405" cm="1">
        <f t="array" ref="N405">INDEX(Table1[riBAQ 40], MATCH(1, (Table3[[#This Row],[Gene names]:[Gene names]] = Table1[[Gene names]:[Gene names]])*1, 0))</f>
        <v>1.3135100000000001E-4</v>
      </c>
      <c r="O405" cm="1">
        <f t="array" ref="O405">INDEX(Table1[riBAQ 41], MATCH(1, (Table3[[#This Row],[Gene names]:[Gene names]] = Table1[[Gene names]:[Gene names]])*1, 0))</f>
        <v>0</v>
      </c>
      <c r="P405" cm="1">
        <f t="array" ref="P405">INDEX(Table1[riBAQ 24], MATCH(1, (Table3[[#This Row],[Gene names]:[Gene names]] = Table1[[Gene names]:[Gene names]])*1, 0))</f>
        <v>2.3165999999999999E-4</v>
      </c>
      <c r="Q405" cm="1">
        <f t="array" ref="Q405">INDEX(Table1[riBAQ 25], MATCH(1, (Table3[[#This Row],[Gene names]:[Gene names]] = Table1[[Gene names]:[Gene names]])*1, 0))</f>
        <v>1.61652E-4</v>
      </c>
      <c r="R405" cm="1">
        <f t="array" ref="R405">INDEX(Table1[riBAQ 26], MATCH(1, (Table3[[#This Row],[Gene names]:[Gene names]] = Table1[[Gene names]:[Gene names]])*1, 0))</f>
        <v>2.2599100000000001E-4</v>
      </c>
      <c r="S405" cm="1">
        <f t="array" ref="S405">INDEX(Table1[riBAQ 42], MATCH(1, (Table3[[#This Row],[Gene names]:[Gene names]] = Table1[[Gene names]:[Gene names]])*1, 0))</f>
        <v>1.89252E-4</v>
      </c>
      <c r="T405" cm="1">
        <f t="array" ref="T405">INDEX(Table1[riBAQ 43], MATCH(1, (Table3[[#This Row],[Gene names]:[Gene names]] = Table1[[Gene names]:[Gene names]])*1, 0))</f>
        <v>1.34659E-4</v>
      </c>
    </row>
    <row r="406" spans="1:20" x14ac:dyDescent="0.25">
      <c r="A406" t="s">
        <v>1642</v>
      </c>
      <c r="B406" cm="1">
        <f t="array" ref="B406">INDEX(Table1[riBAQ 17], MATCH(1, (Table3[[#This Row],[Gene names]:[Gene names]] = Table1[[Gene names]:[Gene names]])*1, 0))</f>
        <v>3.7550600000000001E-4</v>
      </c>
      <c r="C406" cm="1">
        <f t="array" ref="C406">INDEX(Table1[riBAQ 18], MATCH(1, (Table3[[#This Row],[Gene names]:[Gene names]] = Table1[[Gene names]:[Gene names]])*1, 0))</f>
        <v>4.3567399999999999E-4</v>
      </c>
      <c r="D406" cm="1">
        <f t="array" ref="D406">INDEX(Table1[riBAQ 35], MATCH(1, (Table3[[#This Row],[Gene names]:[Gene names]] = Table1[[Gene names]:[Gene names]])*1, 0))</f>
        <v>4.9519500000000003E-4</v>
      </c>
      <c r="E406" cm="1">
        <f t="array" ref="E406">INDEX(Table1[riBAQ 36], MATCH(1, (Table3[[#This Row],[Gene names]:[Gene names]] = Table1[[Gene names]:[Gene names]])*1, 0))</f>
        <v>3.8657200000000001E-4</v>
      </c>
      <c r="F406" cm="1">
        <f t="array" ref="F406">INDEX(Table1[riBAQ 19], MATCH(1, (Table3[[#This Row],[Gene names]:[Gene names]] = Table1[[Gene names]:[Gene names]])*1, 0))</f>
        <v>4.7220399999999999E-4</v>
      </c>
      <c r="G406" cm="1">
        <f t="array" ref="G406">INDEX(Table1[riBAQ 20], MATCH(1, (Table3[[#This Row],[Gene names]:[Gene names]] = Table1[[Gene names]:[Gene names]])*1, 0))</f>
        <v>4.0492799999999998E-4</v>
      </c>
      <c r="H406" cm="1">
        <f t="array" ref="H406">INDEX(Table1[riBAQ 21], MATCH(1, (Table3[[#This Row],[Gene names]:[Gene names]] = Table1[[Gene names]:[Gene names]])*1, 0))</f>
        <v>2.69831E-4</v>
      </c>
      <c r="I406" cm="1">
        <f t="array" ref="I406">INDEX(Table1[riBAQ 22], MATCH(1, (Table3[[#This Row],[Gene names]:[Gene names]] = Table1[[Gene names]:[Gene names]])*1, 0))</f>
        <v>4.4169199999999999E-4</v>
      </c>
      <c r="J406" cm="1">
        <f t="array" ref="J406">INDEX(Table1[riBAQ 23], MATCH(1, (Table3[[#This Row],[Gene names]:[Gene names]] = Table1[[Gene names]:[Gene names]])*1, 0))</f>
        <v>5.46837E-4</v>
      </c>
      <c r="K406" cm="1">
        <f t="array" ref="K406">INDEX(Table1[riBAQ 37], MATCH(1, (Table3[[#This Row],[Gene names]:[Gene names]] = Table1[[Gene names]:[Gene names]])*1, 0))</f>
        <v>4.2522000000000003E-4</v>
      </c>
      <c r="L406" cm="1">
        <f t="array" ref="L406">INDEX(Table1[riBAQ 38], MATCH(1, (Table3[[#This Row],[Gene names]:[Gene names]] = Table1[[Gene names]:[Gene names]])*1, 0))</f>
        <v>4.5425899999999999E-4</v>
      </c>
      <c r="M406" cm="1">
        <f t="array" ref="M406">INDEX(Table1[riBAQ 39], MATCH(1, (Table3[[#This Row],[Gene names]:[Gene names]] = Table1[[Gene names]:[Gene names]])*1, 0))</f>
        <v>3.3562099999999998E-4</v>
      </c>
      <c r="N406" cm="1">
        <f t="array" ref="N406">INDEX(Table1[riBAQ 40], MATCH(1, (Table3[[#This Row],[Gene names]:[Gene names]] = Table1[[Gene names]:[Gene names]])*1, 0))</f>
        <v>5.9497800000000002E-4</v>
      </c>
      <c r="O406" cm="1">
        <f t="array" ref="O406">INDEX(Table1[riBAQ 41], MATCH(1, (Table3[[#This Row],[Gene names]:[Gene names]] = Table1[[Gene names]:[Gene names]])*1, 0))</f>
        <v>4.6691700000000002E-4</v>
      </c>
      <c r="P406" cm="1">
        <f t="array" ref="P406">INDEX(Table1[riBAQ 24], MATCH(1, (Table3[[#This Row],[Gene names]:[Gene names]] = Table1[[Gene names]:[Gene names]])*1, 0))</f>
        <v>3.4695E-4</v>
      </c>
      <c r="Q406" cm="1">
        <f t="array" ref="Q406">INDEX(Table1[riBAQ 25], MATCH(1, (Table3[[#This Row],[Gene names]:[Gene names]] = Table1[[Gene names]:[Gene names]])*1, 0))</f>
        <v>2.41215E-4</v>
      </c>
      <c r="R406" cm="1">
        <f t="array" ref="R406">INDEX(Table1[riBAQ 26], MATCH(1, (Table3[[#This Row],[Gene names]:[Gene names]] = Table1[[Gene names]:[Gene names]])*1, 0))</f>
        <v>2.44601E-4</v>
      </c>
      <c r="S406" cm="1">
        <f t="array" ref="S406">INDEX(Table1[riBAQ 42], MATCH(1, (Table3[[#This Row],[Gene names]:[Gene names]] = Table1[[Gene names]:[Gene names]])*1, 0))</f>
        <v>2.8035499999999998E-4</v>
      </c>
      <c r="T406" cm="1">
        <f t="array" ref="T406">INDEX(Table1[riBAQ 43], MATCH(1, (Table3[[#This Row],[Gene names]:[Gene names]] = Table1[[Gene names]:[Gene names]])*1, 0))</f>
        <v>3.51226E-4</v>
      </c>
    </row>
    <row r="407" spans="1:20" x14ac:dyDescent="0.25">
      <c r="A407" t="s">
        <v>1410</v>
      </c>
      <c r="B407" cm="1">
        <f t="array" ref="B407">INDEX(Table1[riBAQ 17], MATCH(1, (Table3[[#This Row],[Gene names]:[Gene names]] = Table1[[Gene names]:[Gene names]])*1, 0))</f>
        <v>1.8741799999999999E-4</v>
      </c>
      <c r="C407" cm="1">
        <f t="array" ref="C407">INDEX(Table1[riBAQ 18], MATCH(1, (Table3[[#This Row],[Gene names]:[Gene names]] = Table1[[Gene names]:[Gene names]])*1, 0))</f>
        <v>2.2237599999999999E-4</v>
      </c>
      <c r="D407" cm="1">
        <f t="array" ref="D407">INDEX(Table1[riBAQ 35], MATCH(1, (Table3[[#This Row],[Gene names]:[Gene names]] = Table1[[Gene names]:[Gene names]])*1, 0))</f>
        <v>2.27774E-4</v>
      </c>
      <c r="E407" cm="1">
        <f t="array" ref="E407">INDEX(Table1[riBAQ 36], MATCH(1, (Table3[[#This Row],[Gene names]:[Gene names]] = Table1[[Gene names]:[Gene names]])*1, 0))</f>
        <v>2.5165700000000002E-4</v>
      </c>
      <c r="F407" cm="1">
        <f t="array" ref="F407">INDEX(Table1[riBAQ 19], MATCH(1, (Table3[[#This Row],[Gene names]:[Gene names]] = Table1[[Gene names]:[Gene names]])*1, 0))</f>
        <v>1.7695699999999999E-4</v>
      </c>
      <c r="G407" cm="1">
        <f t="array" ref="G407">INDEX(Table1[riBAQ 20], MATCH(1, (Table3[[#This Row],[Gene names]:[Gene names]] = Table1[[Gene names]:[Gene names]])*1, 0))</f>
        <v>2.26018E-4</v>
      </c>
      <c r="H407" cm="1">
        <f t="array" ref="H407">INDEX(Table1[riBAQ 21], MATCH(1, (Table3[[#This Row],[Gene names]:[Gene names]] = Table1[[Gene names]:[Gene names]])*1, 0))</f>
        <v>1.7348E-4</v>
      </c>
      <c r="I407" cm="1">
        <f t="array" ref="I407">INDEX(Table1[riBAQ 22], MATCH(1, (Table3[[#This Row],[Gene names]:[Gene names]] = Table1[[Gene names]:[Gene names]])*1, 0))</f>
        <v>2.06517E-4</v>
      </c>
      <c r="J407" cm="1">
        <f t="array" ref="J407">INDEX(Table1[riBAQ 23], MATCH(1, (Table3[[#This Row],[Gene names]:[Gene names]] = Table1[[Gene names]:[Gene names]])*1, 0))</f>
        <v>2.8442300000000001E-4</v>
      </c>
      <c r="K407" cm="1">
        <f t="array" ref="K407">INDEX(Table1[riBAQ 37], MATCH(1, (Table3[[#This Row],[Gene names]:[Gene names]] = Table1[[Gene names]:[Gene names]])*1, 0))</f>
        <v>1.5073199999999999E-4</v>
      </c>
      <c r="L407" cm="1">
        <f t="array" ref="L407">INDEX(Table1[riBAQ 38], MATCH(1, (Table3[[#This Row],[Gene names]:[Gene names]] = Table1[[Gene names]:[Gene names]])*1, 0))</f>
        <v>1.9067500000000001E-4</v>
      </c>
      <c r="M407" cm="1">
        <f t="array" ref="M407">INDEX(Table1[riBAQ 39], MATCH(1, (Table3[[#This Row],[Gene names]:[Gene names]] = Table1[[Gene names]:[Gene names]])*1, 0))</f>
        <v>2.41971E-4</v>
      </c>
      <c r="N407" cm="1">
        <f t="array" ref="N407">INDEX(Table1[riBAQ 40], MATCH(1, (Table3[[#This Row],[Gene names]:[Gene names]] = Table1[[Gene names]:[Gene names]])*1, 0))</f>
        <v>2.29631E-4</v>
      </c>
      <c r="O407" cm="1">
        <f t="array" ref="O407">INDEX(Table1[riBAQ 41], MATCH(1, (Table3[[#This Row],[Gene names]:[Gene names]] = Table1[[Gene names]:[Gene names]])*1, 0))</f>
        <v>3.2268500000000002E-4</v>
      </c>
      <c r="P407" cm="1">
        <f t="array" ref="P407">INDEX(Table1[riBAQ 24], MATCH(1, (Table3[[#This Row],[Gene names]:[Gene names]] = Table1[[Gene names]:[Gene names]])*1, 0))</f>
        <v>1.6437299999999999E-4</v>
      </c>
      <c r="Q407" cm="1">
        <f t="array" ref="Q407">INDEX(Table1[riBAQ 25], MATCH(1, (Table3[[#This Row],[Gene names]:[Gene names]] = Table1[[Gene names]:[Gene names]])*1, 0))</f>
        <v>9.8200000000000002E-5</v>
      </c>
      <c r="R407" cm="1">
        <f t="array" ref="R407">INDEX(Table1[riBAQ 26], MATCH(1, (Table3[[#This Row],[Gene names]:[Gene names]] = Table1[[Gene names]:[Gene names]])*1, 0))</f>
        <v>1.18528E-4</v>
      </c>
      <c r="S407" cm="1">
        <f t="array" ref="S407">INDEX(Table1[riBAQ 42], MATCH(1, (Table3[[#This Row],[Gene names]:[Gene names]] = Table1[[Gene names]:[Gene names]])*1, 0))</f>
        <v>1.37381E-4</v>
      </c>
      <c r="T407" cm="1">
        <f t="array" ref="T407">INDEX(Table1[riBAQ 43], MATCH(1, (Table3[[#This Row],[Gene names]:[Gene names]] = Table1[[Gene names]:[Gene names]])*1, 0))</f>
        <v>1.06106E-4</v>
      </c>
    </row>
    <row r="408" spans="1:20" x14ac:dyDescent="0.25">
      <c r="A408" t="s">
        <v>95</v>
      </c>
      <c r="B408" cm="1">
        <f t="array" ref="B408">INDEX(Table1[riBAQ 17], MATCH(1, (Table3[[#This Row],[Gene names]:[Gene names]] = Table1[[Gene names]:[Gene names]])*1, 0))</f>
        <v>9.4500000000000007E-5</v>
      </c>
      <c r="C408" cm="1">
        <f t="array" ref="C408">INDEX(Table1[riBAQ 18], MATCH(1, (Table3[[#This Row],[Gene names]:[Gene names]] = Table1[[Gene names]:[Gene names]])*1, 0))</f>
        <v>3.8099999999999998E-5</v>
      </c>
      <c r="D408" cm="1">
        <f t="array" ref="D408">INDEX(Table1[riBAQ 35], MATCH(1, (Table3[[#This Row],[Gene names]:[Gene names]] = Table1[[Gene names]:[Gene names]])*1, 0))</f>
        <v>0</v>
      </c>
      <c r="E408" cm="1">
        <f t="array" ref="E408">INDEX(Table1[riBAQ 36], MATCH(1, (Table3[[#This Row],[Gene names]:[Gene names]] = Table1[[Gene names]:[Gene names]])*1, 0))</f>
        <v>5.2299999999999997E-5</v>
      </c>
      <c r="F408" cm="1">
        <f t="array" ref="F408">INDEX(Table1[riBAQ 19], MATCH(1, (Table3[[#This Row],[Gene names]:[Gene names]] = Table1[[Gene names]:[Gene names]])*1, 0))</f>
        <v>6.3700000000000003E-5</v>
      </c>
      <c r="G408" cm="1">
        <f t="array" ref="G408">INDEX(Table1[riBAQ 20], MATCH(1, (Table3[[#This Row],[Gene names]:[Gene names]] = Table1[[Gene names]:[Gene names]])*1, 0))</f>
        <v>3.6300000000000001E-5</v>
      </c>
      <c r="H408" cm="1">
        <f t="array" ref="H408">INDEX(Table1[riBAQ 21], MATCH(1, (Table3[[#This Row],[Gene names]:[Gene names]] = Table1[[Gene names]:[Gene names]])*1, 0))</f>
        <v>1.14289E-4</v>
      </c>
      <c r="I408" cm="1">
        <f t="array" ref="I408">INDEX(Table1[riBAQ 22], MATCH(1, (Table3[[#This Row],[Gene names]:[Gene names]] = Table1[[Gene names]:[Gene names]])*1, 0))</f>
        <v>4.7500000000000003E-5</v>
      </c>
      <c r="J408" cm="1">
        <f t="array" ref="J408">INDEX(Table1[riBAQ 23], MATCH(1, (Table3[[#This Row],[Gene names]:[Gene names]] = Table1[[Gene names]:[Gene names]])*1, 0))</f>
        <v>1.21002E-4</v>
      </c>
      <c r="K408" cm="1">
        <f t="array" ref="K408">INDEX(Table1[riBAQ 37], MATCH(1, (Table3[[#This Row],[Gene names]:[Gene names]] = Table1[[Gene names]:[Gene names]])*1, 0))</f>
        <v>5.5099999999999998E-5</v>
      </c>
      <c r="L408" cm="1">
        <f t="array" ref="L408">INDEX(Table1[riBAQ 38], MATCH(1, (Table3[[#This Row],[Gene names]:[Gene names]] = Table1[[Gene names]:[Gene names]])*1, 0))</f>
        <v>5.8699999999999997E-5</v>
      </c>
      <c r="M408" cm="1">
        <f t="array" ref="M408">INDEX(Table1[riBAQ 39], MATCH(1, (Table3[[#This Row],[Gene names]:[Gene names]] = Table1[[Gene names]:[Gene names]])*1, 0))</f>
        <v>8.4099999999999998E-5</v>
      </c>
      <c r="N408" cm="1">
        <f t="array" ref="N408">INDEX(Table1[riBAQ 40], MATCH(1, (Table3[[#This Row],[Gene names]:[Gene names]] = Table1[[Gene names]:[Gene names]])*1, 0))</f>
        <v>1.50972E-4</v>
      </c>
      <c r="O408" cm="1">
        <f t="array" ref="O408">INDEX(Table1[riBAQ 41], MATCH(1, (Table3[[#This Row],[Gene names]:[Gene names]] = Table1[[Gene names]:[Gene names]])*1, 0))</f>
        <v>8.2899999999999996E-5</v>
      </c>
      <c r="P408" cm="1">
        <f t="array" ref="P408">INDEX(Table1[riBAQ 24], MATCH(1, (Table3[[#This Row],[Gene names]:[Gene names]] = Table1[[Gene names]:[Gene names]])*1, 0))</f>
        <v>1.05697E-4</v>
      </c>
      <c r="Q408" cm="1">
        <f t="array" ref="Q408">INDEX(Table1[riBAQ 25], MATCH(1, (Table3[[#This Row],[Gene names]:[Gene names]] = Table1[[Gene names]:[Gene names]])*1, 0))</f>
        <v>2.5530099999999999E-4</v>
      </c>
      <c r="R408" cm="1">
        <f t="array" ref="R408">INDEX(Table1[riBAQ 26], MATCH(1, (Table3[[#This Row],[Gene names]:[Gene names]] = Table1[[Gene names]:[Gene names]])*1, 0))</f>
        <v>1.81206E-4</v>
      </c>
      <c r="S408" cm="1">
        <f t="array" ref="S408">INDEX(Table1[riBAQ 42], MATCH(1, (Table3[[#This Row],[Gene names]:[Gene names]] = Table1[[Gene names]:[Gene names]])*1, 0))</f>
        <v>1.2764499999999999E-4</v>
      </c>
      <c r="T408" cm="1">
        <f t="array" ref="T408">INDEX(Table1[riBAQ 43], MATCH(1, (Table3[[#This Row],[Gene names]:[Gene names]] = Table1[[Gene names]:[Gene names]])*1, 0))</f>
        <v>3.1715999999999998E-4</v>
      </c>
    </row>
    <row r="409" spans="1:20" x14ac:dyDescent="0.25">
      <c r="A409" t="s">
        <v>376</v>
      </c>
      <c r="B409" cm="1">
        <f t="array" ref="B409">INDEX(Table1[riBAQ 17], MATCH(1, (Table3[[#This Row],[Gene names]:[Gene names]] = Table1[[Gene names]:[Gene names]])*1, 0))</f>
        <v>0</v>
      </c>
      <c r="C409" cm="1">
        <f t="array" ref="C409">INDEX(Table1[riBAQ 18], MATCH(1, (Table3[[#This Row],[Gene names]:[Gene names]] = Table1[[Gene names]:[Gene names]])*1, 0))</f>
        <v>0</v>
      </c>
      <c r="D409" cm="1">
        <f t="array" ref="D409">INDEX(Table1[riBAQ 35], MATCH(1, (Table3[[#This Row],[Gene names]:[Gene names]] = Table1[[Gene names]:[Gene names]])*1, 0))</f>
        <v>0</v>
      </c>
      <c r="E409" cm="1">
        <f t="array" ref="E409">INDEX(Table1[riBAQ 36], MATCH(1, (Table3[[#This Row],[Gene names]:[Gene names]] = Table1[[Gene names]:[Gene names]])*1, 0))</f>
        <v>0</v>
      </c>
      <c r="F409" cm="1">
        <f t="array" ref="F409">INDEX(Table1[riBAQ 19], MATCH(1, (Table3[[#This Row],[Gene names]:[Gene names]] = Table1[[Gene names]:[Gene names]])*1, 0))</f>
        <v>0</v>
      </c>
      <c r="G409" cm="1">
        <f t="array" ref="G409">INDEX(Table1[riBAQ 20], MATCH(1, (Table3[[#This Row],[Gene names]:[Gene names]] = Table1[[Gene names]:[Gene names]])*1, 0))</f>
        <v>0</v>
      </c>
      <c r="H409" cm="1">
        <f t="array" ref="H409">INDEX(Table1[riBAQ 21], MATCH(1, (Table3[[#This Row],[Gene names]:[Gene names]] = Table1[[Gene names]:[Gene names]])*1, 0))</f>
        <v>0</v>
      </c>
      <c r="I409" cm="1">
        <f t="array" ref="I409">INDEX(Table1[riBAQ 22], MATCH(1, (Table3[[#This Row],[Gene names]:[Gene names]] = Table1[[Gene names]:[Gene names]])*1, 0))</f>
        <v>0</v>
      </c>
      <c r="J409" cm="1">
        <f t="array" ref="J409">INDEX(Table1[riBAQ 23], MATCH(1, (Table3[[#This Row],[Gene names]:[Gene names]] = Table1[[Gene names]:[Gene names]])*1, 0))</f>
        <v>0</v>
      </c>
      <c r="K409" cm="1">
        <f t="array" ref="K409">INDEX(Table1[riBAQ 37], MATCH(1, (Table3[[#This Row],[Gene names]:[Gene names]] = Table1[[Gene names]:[Gene names]])*1, 0))</f>
        <v>7.1199999999999996E-6</v>
      </c>
      <c r="L409" cm="1">
        <f t="array" ref="L409">INDEX(Table1[riBAQ 38], MATCH(1, (Table3[[#This Row],[Gene names]:[Gene names]] = Table1[[Gene names]:[Gene names]])*1, 0))</f>
        <v>0</v>
      </c>
      <c r="M409" cm="1">
        <f t="array" ref="M409">INDEX(Table1[riBAQ 39], MATCH(1, (Table3[[#This Row],[Gene names]:[Gene names]] = Table1[[Gene names]:[Gene names]])*1, 0))</f>
        <v>5.2599999999999996E-6</v>
      </c>
      <c r="N409" cm="1">
        <f t="array" ref="N409">INDEX(Table1[riBAQ 40], MATCH(1, (Table3[[#This Row],[Gene names]:[Gene names]] = Table1[[Gene names]:[Gene names]])*1, 0))</f>
        <v>0</v>
      </c>
      <c r="O409" cm="1">
        <f t="array" ref="O409">INDEX(Table1[riBAQ 41], MATCH(1, (Table3[[#This Row],[Gene names]:[Gene names]] = Table1[[Gene names]:[Gene names]])*1, 0))</f>
        <v>0</v>
      </c>
      <c r="P409" cm="1">
        <f t="array" ref="P409">INDEX(Table1[riBAQ 24], MATCH(1, (Table3[[#This Row],[Gene names]:[Gene names]] = Table1[[Gene names]:[Gene names]])*1, 0))</f>
        <v>1.45E-5</v>
      </c>
      <c r="Q409" cm="1">
        <f t="array" ref="Q409">INDEX(Table1[riBAQ 25], MATCH(1, (Table3[[#This Row],[Gene names]:[Gene names]] = Table1[[Gene names]:[Gene names]])*1, 0))</f>
        <v>3.4499999999999998E-5</v>
      </c>
      <c r="R409" cm="1">
        <f t="array" ref="R409">INDEX(Table1[riBAQ 26], MATCH(1, (Table3[[#This Row],[Gene names]:[Gene names]] = Table1[[Gene names]:[Gene names]])*1, 0))</f>
        <v>9.9399999999999997E-6</v>
      </c>
      <c r="S409" cm="1">
        <f t="array" ref="S409">INDEX(Table1[riBAQ 42], MATCH(1, (Table3[[#This Row],[Gene names]:[Gene names]] = Table1[[Gene names]:[Gene names]])*1, 0))</f>
        <v>1.47E-5</v>
      </c>
      <c r="T409" cm="1">
        <f t="array" ref="T409">INDEX(Table1[riBAQ 43], MATCH(1, (Table3[[#This Row],[Gene names]:[Gene names]] = Table1[[Gene names]:[Gene names]])*1, 0))</f>
        <v>3.7599999999999999E-5</v>
      </c>
    </row>
    <row r="410" spans="1:20" x14ac:dyDescent="0.25">
      <c r="A410" t="s">
        <v>826</v>
      </c>
      <c r="B410" cm="1">
        <f t="array" ref="B410">INDEX(Table1[riBAQ 17], MATCH(1, (Table3[[#This Row],[Gene names]:[Gene names]] = Table1[[Gene names]:[Gene names]])*1, 0))</f>
        <v>1.1792199999999999E-3</v>
      </c>
      <c r="C410" cm="1">
        <f t="array" ref="C410">INDEX(Table1[riBAQ 18], MATCH(1, (Table3[[#This Row],[Gene names]:[Gene names]] = Table1[[Gene names]:[Gene names]])*1, 0))</f>
        <v>4.4360800000000001E-4</v>
      </c>
      <c r="D410" cm="1">
        <f t="array" ref="D410">INDEX(Table1[riBAQ 35], MATCH(1, (Table3[[#This Row],[Gene names]:[Gene names]] = Table1[[Gene names]:[Gene names]])*1, 0))</f>
        <v>6.8986700000000004E-4</v>
      </c>
      <c r="E410" cm="1">
        <f t="array" ref="E410">INDEX(Table1[riBAQ 36], MATCH(1, (Table3[[#This Row],[Gene names]:[Gene names]] = Table1[[Gene names]:[Gene names]])*1, 0))</f>
        <v>4.9285900000000001E-4</v>
      </c>
      <c r="F410" cm="1">
        <f t="array" ref="F410">INDEX(Table1[riBAQ 19], MATCH(1, (Table3[[#This Row],[Gene names]:[Gene names]] = Table1[[Gene names]:[Gene names]])*1, 0))</f>
        <v>9.5645599999999995E-4</v>
      </c>
      <c r="G410" cm="1">
        <f t="array" ref="G410">INDEX(Table1[riBAQ 20], MATCH(1, (Table3[[#This Row],[Gene names]:[Gene names]] = Table1[[Gene names]:[Gene names]])*1, 0))</f>
        <v>8.0371000000000001E-4</v>
      </c>
      <c r="H410" cm="1">
        <f t="array" ref="H410">INDEX(Table1[riBAQ 21], MATCH(1, (Table3[[#This Row],[Gene names]:[Gene names]] = Table1[[Gene names]:[Gene names]])*1, 0))</f>
        <v>1.1670929999999999E-3</v>
      </c>
      <c r="I410" cm="1">
        <f t="array" ref="I410">INDEX(Table1[riBAQ 22], MATCH(1, (Table3[[#This Row],[Gene names]:[Gene names]] = Table1[[Gene names]:[Gene names]])*1, 0))</f>
        <v>1.0269820000000001E-3</v>
      </c>
      <c r="J410" cm="1">
        <f t="array" ref="J410">INDEX(Table1[riBAQ 23], MATCH(1, (Table3[[#This Row],[Gene names]:[Gene names]] = Table1[[Gene names]:[Gene names]])*1, 0))</f>
        <v>1.2519969999999999E-3</v>
      </c>
      <c r="K410" cm="1">
        <f t="array" ref="K410">INDEX(Table1[riBAQ 37], MATCH(1, (Table3[[#This Row],[Gene names]:[Gene names]] = Table1[[Gene names]:[Gene names]])*1, 0))</f>
        <v>6.9424199999999997E-4</v>
      </c>
      <c r="L410" cm="1">
        <f t="array" ref="L410">INDEX(Table1[riBAQ 38], MATCH(1, (Table3[[#This Row],[Gene names]:[Gene names]] = Table1[[Gene names]:[Gene names]])*1, 0))</f>
        <v>6.2887399999999997E-4</v>
      </c>
      <c r="M410" cm="1">
        <f t="array" ref="M410">INDEX(Table1[riBAQ 39], MATCH(1, (Table3[[#This Row],[Gene names]:[Gene names]] = Table1[[Gene names]:[Gene names]])*1, 0))</f>
        <v>1.4599890000000001E-3</v>
      </c>
      <c r="N410" cm="1">
        <f t="array" ref="N410">INDEX(Table1[riBAQ 40], MATCH(1, (Table3[[#This Row],[Gene names]:[Gene names]] = Table1[[Gene names]:[Gene names]])*1, 0))</f>
        <v>2.3812939999999999E-3</v>
      </c>
      <c r="O410" cm="1">
        <f t="array" ref="O410">INDEX(Table1[riBAQ 41], MATCH(1, (Table3[[#This Row],[Gene names]:[Gene names]] = Table1[[Gene names]:[Gene names]])*1, 0))</f>
        <v>9.5020300000000005E-4</v>
      </c>
      <c r="P410" cm="1">
        <f t="array" ref="P410">INDEX(Table1[riBAQ 24], MATCH(1, (Table3[[#This Row],[Gene names]:[Gene names]] = Table1[[Gene names]:[Gene names]])*1, 0))</f>
        <v>1.5489200000000001E-3</v>
      </c>
      <c r="Q410" cm="1">
        <f t="array" ref="Q410">INDEX(Table1[riBAQ 25], MATCH(1, (Table3[[#This Row],[Gene names]:[Gene names]] = Table1[[Gene names]:[Gene names]])*1, 0))</f>
        <v>2.0085089999999999E-3</v>
      </c>
      <c r="R410" cm="1">
        <f t="array" ref="R410">INDEX(Table1[riBAQ 26], MATCH(1, (Table3[[#This Row],[Gene names]:[Gene names]] = Table1[[Gene names]:[Gene names]])*1, 0))</f>
        <v>1.9554049999999999E-3</v>
      </c>
      <c r="S410" cm="1">
        <f t="array" ref="S410">INDEX(Table1[riBAQ 42], MATCH(1, (Table3[[#This Row],[Gene names]:[Gene names]] = Table1[[Gene names]:[Gene names]])*1, 0))</f>
        <v>1.8579429999999999E-3</v>
      </c>
      <c r="T410" cm="1">
        <f t="array" ref="T410">INDEX(Table1[riBAQ 43], MATCH(1, (Table3[[#This Row],[Gene names]:[Gene names]] = Table1[[Gene names]:[Gene names]])*1, 0))</f>
        <v>3.3710430000000002E-3</v>
      </c>
    </row>
    <row r="411" spans="1:20" x14ac:dyDescent="0.25">
      <c r="A411" t="s">
        <v>1568</v>
      </c>
      <c r="B411" cm="1">
        <f t="array" ref="B411">INDEX(Table1[riBAQ 17], MATCH(1, (Table3[[#This Row],[Gene names]:[Gene names]] = Table1[[Gene names]:[Gene names]])*1, 0))</f>
        <v>0</v>
      </c>
      <c r="C411" cm="1">
        <f t="array" ref="C411">INDEX(Table1[riBAQ 18], MATCH(1, (Table3[[#This Row],[Gene names]:[Gene names]] = Table1[[Gene names]:[Gene names]])*1, 0))</f>
        <v>0</v>
      </c>
      <c r="D411" cm="1">
        <f t="array" ref="D411">INDEX(Table1[riBAQ 35], MATCH(1, (Table3[[#This Row],[Gene names]:[Gene names]] = Table1[[Gene names]:[Gene names]])*1, 0))</f>
        <v>0</v>
      </c>
      <c r="E411" cm="1">
        <f t="array" ref="E411">INDEX(Table1[riBAQ 36], MATCH(1, (Table3[[#This Row],[Gene names]:[Gene names]] = Table1[[Gene names]:[Gene names]])*1, 0))</f>
        <v>0</v>
      </c>
      <c r="F411" cm="1">
        <f t="array" ref="F411">INDEX(Table1[riBAQ 19], MATCH(1, (Table3[[#This Row],[Gene names]:[Gene names]] = Table1[[Gene names]:[Gene names]])*1, 0))</f>
        <v>0</v>
      </c>
      <c r="G411" cm="1">
        <f t="array" ref="G411">INDEX(Table1[riBAQ 20], MATCH(1, (Table3[[#This Row],[Gene names]:[Gene names]] = Table1[[Gene names]:[Gene names]])*1, 0))</f>
        <v>0</v>
      </c>
      <c r="H411" cm="1">
        <f t="array" ref="H411">INDEX(Table1[riBAQ 21], MATCH(1, (Table3[[#This Row],[Gene names]:[Gene names]] = Table1[[Gene names]:[Gene names]])*1, 0))</f>
        <v>0</v>
      </c>
      <c r="I411" cm="1">
        <f t="array" ref="I411">INDEX(Table1[riBAQ 22], MATCH(1, (Table3[[#This Row],[Gene names]:[Gene names]] = Table1[[Gene names]:[Gene names]])*1, 0))</f>
        <v>0</v>
      </c>
      <c r="J411" cm="1">
        <f t="array" ref="J411">INDEX(Table1[riBAQ 23], MATCH(1, (Table3[[#This Row],[Gene names]:[Gene names]] = Table1[[Gene names]:[Gene names]])*1, 0))</f>
        <v>0</v>
      </c>
      <c r="K411" cm="1">
        <f t="array" ref="K411">INDEX(Table1[riBAQ 37], MATCH(1, (Table3[[#This Row],[Gene names]:[Gene names]] = Table1[[Gene names]:[Gene names]])*1, 0))</f>
        <v>0</v>
      </c>
      <c r="L411" cm="1">
        <f t="array" ref="L411">INDEX(Table1[riBAQ 38], MATCH(1, (Table3[[#This Row],[Gene names]:[Gene names]] = Table1[[Gene names]:[Gene names]])*1, 0))</f>
        <v>0</v>
      </c>
      <c r="M411" cm="1">
        <f t="array" ref="M411">INDEX(Table1[riBAQ 39], MATCH(1, (Table3[[#This Row],[Gene names]:[Gene names]] = Table1[[Gene names]:[Gene names]])*1, 0))</f>
        <v>0</v>
      </c>
      <c r="N411" cm="1">
        <f t="array" ref="N411">INDEX(Table1[riBAQ 40], MATCH(1, (Table3[[#This Row],[Gene names]:[Gene names]] = Table1[[Gene names]:[Gene names]])*1, 0))</f>
        <v>0</v>
      </c>
      <c r="O411" cm="1">
        <f t="array" ref="O411">INDEX(Table1[riBAQ 41], MATCH(1, (Table3[[#This Row],[Gene names]:[Gene names]] = Table1[[Gene names]:[Gene names]])*1, 0))</f>
        <v>0</v>
      </c>
      <c r="P411" cm="1">
        <f t="array" ref="P411">INDEX(Table1[riBAQ 24], MATCH(1, (Table3[[#This Row],[Gene names]:[Gene names]] = Table1[[Gene names]:[Gene names]])*1, 0))</f>
        <v>0</v>
      </c>
      <c r="Q411" cm="1">
        <f t="array" ref="Q411">INDEX(Table1[riBAQ 25], MATCH(1, (Table3[[#This Row],[Gene names]:[Gene names]] = Table1[[Gene names]:[Gene names]])*1, 0))</f>
        <v>7.3300000000000006E-5</v>
      </c>
      <c r="R411" cm="1">
        <f t="array" ref="R411">INDEX(Table1[riBAQ 26], MATCH(1, (Table3[[#This Row],[Gene names]:[Gene names]] = Table1[[Gene names]:[Gene names]])*1, 0))</f>
        <v>7.0199999999999999E-5</v>
      </c>
      <c r="S411" cm="1">
        <f t="array" ref="S411">INDEX(Table1[riBAQ 42], MATCH(1, (Table3[[#This Row],[Gene names]:[Gene names]] = Table1[[Gene names]:[Gene names]])*1, 0))</f>
        <v>2.62E-5</v>
      </c>
      <c r="T411" cm="1">
        <f t="array" ref="T411">INDEX(Table1[riBAQ 43], MATCH(1, (Table3[[#This Row],[Gene names]:[Gene names]] = Table1[[Gene names]:[Gene names]])*1, 0))</f>
        <v>1.2379599999999999E-4</v>
      </c>
    </row>
    <row r="412" spans="1:20" x14ac:dyDescent="0.25">
      <c r="A412" t="s">
        <v>1684</v>
      </c>
      <c r="B412" cm="1">
        <f t="array" ref="B412">INDEX(Table1[riBAQ 17], MATCH(1, (Table3[[#This Row],[Gene names]:[Gene names]] = Table1[[Gene names]:[Gene names]])*1, 0))</f>
        <v>3.2100000000000001E-5</v>
      </c>
      <c r="C412" cm="1">
        <f t="array" ref="C412">INDEX(Table1[riBAQ 18], MATCH(1, (Table3[[#This Row],[Gene names]:[Gene names]] = Table1[[Gene names]:[Gene names]])*1, 0))</f>
        <v>3.7299999999999999E-5</v>
      </c>
      <c r="D412" cm="1">
        <f t="array" ref="D412">INDEX(Table1[riBAQ 35], MATCH(1, (Table3[[#This Row],[Gene names]:[Gene names]] = Table1[[Gene names]:[Gene names]])*1, 0))</f>
        <v>4.0599999999999998E-5</v>
      </c>
      <c r="E412" cm="1">
        <f t="array" ref="E412">INDEX(Table1[riBAQ 36], MATCH(1, (Table3[[#This Row],[Gene names]:[Gene names]] = Table1[[Gene names]:[Gene names]])*1, 0))</f>
        <v>3.15E-5</v>
      </c>
      <c r="F412" cm="1">
        <f t="array" ref="F412">INDEX(Table1[riBAQ 19], MATCH(1, (Table3[[#This Row],[Gene names]:[Gene names]] = Table1[[Gene names]:[Gene names]])*1, 0))</f>
        <v>4.4400000000000002E-5</v>
      </c>
      <c r="G412" cm="1">
        <f t="array" ref="G412">INDEX(Table1[riBAQ 20], MATCH(1, (Table3[[#This Row],[Gene names]:[Gene names]] = Table1[[Gene names]:[Gene names]])*1, 0))</f>
        <v>4.5800000000000002E-5</v>
      </c>
      <c r="H412" cm="1">
        <f t="array" ref="H412">INDEX(Table1[riBAQ 21], MATCH(1, (Table3[[#This Row],[Gene names]:[Gene names]] = Table1[[Gene names]:[Gene names]])*1, 0))</f>
        <v>5.0899999999999997E-5</v>
      </c>
      <c r="I412" cm="1">
        <f t="array" ref="I412">INDEX(Table1[riBAQ 22], MATCH(1, (Table3[[#This Row],[Gene names]:[Gene names]] = Table1[[Gene names]:[Gene names]])*1, 0))</f>
        <v>4.1699999999999997E-5</v>
      </c>
      <c r="J412" cm="1">
        <f t="array" ref="J412">INDEX(Table1[riBAQ 23], MATCH(1, (Table3[[#This Row],[Gene names]:[Gene names]] = Table1[[Gene names]:[Gene names]])*1, 0))</f>
        <v>7.0199999999999999E-5</v>
      </c>
      <c r="K412" cm="1">
        <f t="array" ref="K412">INDEX(Table1[riBAQ 37], MATCH(1, (Table3[[#This Row],[Gene names]:[Gene names]] = Table1[[Gene names]:[Gene names]])*1, 0))</f>
        <v>3.6999999999999998E-5</v>
      </c>
      <c r="L412" cm="1">
        <f t="array" ref="L412">INDEX(Table1[riBAQ 38], MATCH(1, (Table3[[#This Row],[Gene names]:[Gene names]] = Table1[[Gene names]:[Gene names]])*1, 0))</f>
        <v>3.4900000000000001E-5</v>
      </c>
      <c r="M412" cm="1">
        <f t="array" ref="M412">INDEX(Table1[riBAQ 39], MATCH(1, (Table3[[#This Row],[Gene names]:[Gene names]] = Table1[[Gene names]:[Gene names]])*1, 0))</f>
        <v>4.4199999999999997E-5</v>
      </c>
      <c r="N412" cm="1">
        <f t="array" ref="N412">INDEX(Table1[riBAQ 40], MATCH(1, (Table3[[#This Row],[Gene names]:[Gene names]] = Table1[[Gene names]:[Gene names]])*1, 0))</f>
        <v>6.8700000000000003E-5</v>
      </c>
      <c r="O412" cm="1">
        <f t="array" ref="O412">INDEX(Table1[riBAQ 41], MATCH(1, (Table3[[#This Row],[Gene names]:[Gene names]] = Table1[[Gene names]:[Gene names]])*1, 0))</f>
        <v>5.1E-5</v>
      </c>
      <c r="P412" cm="1">
        <f t="array" ref="P412">INDEX(Table1[riBAQ 24], MATCH(1, (Table3[[#This Row],[Gene names]:[Gene names]] = Table1[[Gene names]:[Gene names]])*1, 0))</f>
        <v>0</v>
      </c>
      <c r="Q412" cm="1">
        <f t="array" ref="Q412">INDEX(Table1[riBAQ 25], MATCH(1, (Table3[[#This Row],[Gene names]:[Gene names]] = Table1[[Gene names]:[Gene names]])*1, 0))</f>
        <v>3.0899999999999999E-5</v>
      </c>
      <c r="R412" cm="1">
        <f t="array" ref="R412">INDEX(Table1[riBAQ 26], MATCH(1, (Table3[[#This Row],[Gene names]:[Gene names]] = Table1[[Gene names]:[Gene names]])*1, 0))</f>
        <v>0</v>
      </c>
      <c r="S412" cm="1">
        <f t="array" ref="S412">INDEX(Table1[riBAQ 42], MATCH(1, (Table3[[#This Row],[Gene names]:[Gene names]] = Table1[[Gene names]:[Gene names]])*1, 0))</f>
        <v>2.5400000000000001E-5</v>
      </c>
      <c r="T412" cm="1">
        <f t="array" ref="T412">INDEX(Table1[riBAQ 43], MATCH(1, (Table3[[#This Row],[Gene names]:[Gene names]] = Table1[[Gene names]:[Gene names]])*1, 0))</f>
        <v>0</v>
      </c>
    </row>
    <row r="413" spans="1:20" x14ac:dyDescent="0.25">
      <c r="A413" t="s">
        <v>303</v>
      </c>
      <c r="B413" cm="1">
        <f t="array" ref="B413">INDEX(Table1[riBAQ 17], MATCH(1, (Table3[[#This Row],[Gene names]:[Gene names]] = Table1[[Gene names]:[Gene names]])*1, 0))</f>
        <v>3.9132899999999999E-4</v>
      </c>
      <c r="C413" cm="1">
        <f t="array" ref="C413">INDEX(Table1[riBAQ 18], MATCH(1, (Table3[[#This Row],[Gene names]:[Gene names]] = Table1[[Gene names]:[Gene names]])*1, 0))</f>
        <v>0</v>
      </c>
      <c r="D413" cm="1">
        <f t="array" ref="D413">INDEX(Table1[riBAQ 35], MATCH(1, (Table3[[#This Row],[Gene names]:[Gene names]] = Table1[[Gene names]:[Gene names]])*1, 0))</f>
        <v>1.8929E-4</v>
      </c>
      <c r="E413" cm="1">
        <f t="array" ref="E413">INDEX(Table1[riBAQ 36], MATCH(1, (Table3[[#This Row],[Gene names]:[Gene names]] = Table1[[Gene names]:[Gene names]])*1, 0))</f>
        <v>2.5400299999999999E-4</v>
      </c>
      <c r="F413" cm="1">
        <f t="array" ref="F413">INDEX(Table1[riBAQ 19], MATCH(1, (Table3[[#This Row],[Gene names]:[Gene names]] = Table1[[Gene names]:[Gene names]])*1, 0))</f>
        <v>0</v>
      </c>
      <c r="G413" cm="1">
        <f t="array" ref="G413">INDEX(Table1[riBAQ 20], MATCH(1, (Table3[[#This Row],[Gene names]:[Gene names]] = Table1[[Gene names]:[Gene names]])*1, 0))</f>
        <v>3.7019199999999998E-4</v>
      </c>
      <c r="H413" cm="1">
        <f t="array" ref="H413">INDEX(Table1[riBAQ 21], MATCH(1, (Table3[[#This Row],[Gene names]:[Gene names]] = Table1[[Gene names]:[Gene names]])*1, 0))</f>
        <v>2.4257400000000001E-4</v>
      </c>
      <c r="I413" cm="1">
        <f t="array" ref="I413">INDEX(Table1[riBAQ 22], MATCH(1, (Table3[[#This Row],[Gene names]:[Gene names]] = Table1[[Gene names]:[Gene names]])*1, 0))</f>
        <v>0</v>
      </c>
      <c r="J413" cm="1">
        <f t="array" ref="J413">INDEX(Table1[riBAQ 23], MATCH(1, (Table3[[#This Row],[Gene names]:[Gene names]] = Table1[[Gene names]:[Gene names]])*1, 0))</f>
        <v>4.3075500000000001E-4</v>
      </c>
      <c r="K413" cm="1">
        <f t="array" ref="K413">INDEX(Table1[riBAQ 37], MATCH(1, (Table3[[#This Row],[Gene names]:[Gene names]] = Table1[[Gene names]:[Gene names]])*1, 0))</f>
        <v>5.5564899999999996E-4</v>
      </c>
      <c r="L413" cm="1">
        <f t="array" ref="L413">INDEX(Table1[riBAQ 38], MATCH(1, (Table3[[#This Row],[Gene names]:[Gene names]] = Table1[[Gene names]:[Gene names]])*1, 0))</f>
        <v>1.7394E-4</v>
      </c>
      <c r="M413" cm="1">
        <f t="array" ref="M413">INDEX(Table1[riBAQ 39], MATCH(1, (Table3[[#This Row],[Gene names]:[Gene names]] = Table1[[Gene names]:[Gene names]])*1, 0))</f>
        <v>3.6776000000000002E-4</v>
      </c>
      <c r="N413" cm="1">
        <f t="array" ref="N413">INDEX(Table1[riBAQ 40], MATCH(1, (Table3[[#This Row],[Gene names]:[Gene names]] = Table1[[Gene names]:[Gene names]])*1, 0))</f>
        <v>0</v>
      </c>
      <c r="O413" cm="1">
        <f t="array" ref="O413">INDEX(Table1[riBAQ 41], MATCH(1, (Table3[[#This Row],[Gene names]:[Gene names]] = Table1[[Gene names]:[Gene names]])*1, 0))</f>
        <v>0</v>
      </c>
      <c r="P413" cm="1">
        <f t="array" ref="P413">INDEX(Table1[riBAQ 24], MATCH(1, (Table3[[#This Row],[Gene names]:[Gene names]] = Table1[[Gene names]:[Gene names]])*1, 0))</f>
        <v>7.5779199999999997E-4</v>
      </c>
      <c r="Q413" cm="1">
        <f t="array" ref="Q413">INDEX(Table1[riBAQ 25], MATCH(1, (Table3[[#This Row],[Gene names]:[Gene names]] = Table1[[Gene names]:[Gene names]])*1, 0))</f>
        <v>1.658915E-3</v>
      </c>
      <c r="R413" cm="1">
        <f t="array" ref="R413">INDEX(Table1[riBAQ 26], MATCH(1, (Table3[[#This Row],[Gene names]:[Gene names]] = Table1[[Gene names]:[Gene names]])*1, 0))</f>
        <v>4.2571699999999999E-4</v>
      </c>
      <c r="S413" cm="1">
        <f t="array" ref="S413">INDEX(Table1[riBAQ 42], MATCH(1, (Table3[[#This Row],[Gene names]:[Gene names]] = Table1[[Gene names]:[Gene names]])*1, 0))</f>
        <v>6.4673499999999995E-4</v>
      </c>
      <c r="T413" cm="1">
        <f t="array" ref="T413">INDEX(Table1[riBAQ 43], MATCH(1, (Table3[[#This Row],[Gene names]:[Gene names]] = Table1[[Gene names]:[Gene names]])*1, 0))</f>
        <v>1.4016199999999999E-3</v>
      </c>
    </row>
    <row r="414" spans="1:20" x14ac:dyDescent="0.25">
      <c r="A414" t="s">
        <v>1317</v>
      </c>
      <c r="B414" cm="1">
        <f t="array" ref="B414">INDEX(Table1[riBAQ 17], MATCH(1, (Table3[[#This Row],[Gene names]:[Gene names]] = Table1[[Gene names]:[Gene names]])*1, 0))</f>
        <v>7.9186100000000004E-4</v>
      </c>
      <c r="C414" cm="1">
        <f t="array" ref="C414">INDEX(Table1[riBAQ 18], MATCH(1, (Table3[[#This Row],[Gene names]:[Gene names]] = Table1[[Gene names]:[Gene names]])*1, 0))</f>
        <v>5.9432899999999999E-4</v>
      </c>
      <c r="D414" cm="1">
        <f t="array" ref="D414">INDEX(Table1[riBAQ 35], MATCH(1, (Table3[[#This Row],[Gene names]:[Gene names]] = Table1[[Gene names]:[Gene names]])*1, 0))</f>
        <v>8.3299800000000005E-4</v>
      </c>
      <c r="E414" cm="1">
        <f t="array" ref="E414">INDEX(Table1[riBAQ 36], MATCH(1, (Table3[[#This Row],[Gene names]:[Gene names]] = Table1[[Gene names]:[Gene names]])*1, 0))</f>
        <v>7.7612199999999997E-4</v>
      </c>
      <c r="F414" cm="1">
        <f t="array" ref="F414">INDEX(Table1[riBAQ 19], MATCH(1, (Table3[[#This Row],[Gene names]:[Gene names]] = Table1[[Gene names]:[Gene names]])*1, 0))</f>
        <v>5.7956800000000003E-4</v>
      </c>
      <c r="G414" cm="1">
        <f t="array" ref="G414">INDEX(Table1[riBAQ 20], MATCH(1, (Table3[[#This Row],[Gene names]:[Gene names]] = Table1[[Gene names]:[Gene names]])*1, 0))</f>
        <v>4.7909599999999998E-4</v>
      </c>
      <c r="H414" cm="1">
        <f t="array" ref="H414">INDEX(Table1[riBAQ 21], MATCH(1, (Table3[[#This Row],[Gene names]:[Gene names]] = Table1[[Gene names]:[Gene names]])*1, 0))</f>
        <v>3.8906800000000001E-4</v>
      </c>
      <c r="I414" cm="1">
        <f t="array" ref="I414">INDEX(Table1[riBAQ 22], MATCH(1, (Table3[[#This Row],[Gene names]:[Gene names]] = Table1[[Gene names]:[Gene names]])*1, 0))</f>
        <v>6.2387599999999999E-4</v>
      </c>
      <c r="J414" cm="1">
        <f t="array" ref="J414">INDEX(Table1[riBAQ 23], MATCH(1, (Table3[[#This Row],[Gene names]:[Gene names]] = Table1[[Gene names]:[Gene names]])*1, 0))</f>
        <v>6.4788400000000005E-4</v>
      </c>
      <c r="K414" cm="1">
        <f t="array" ref="K414">INDEX(Table1[riBAQ 37], MATCH(1, (Table3[[#This Row],[Gene names]:[Gene names]] = Table1[[Gene names]:[Gene names]])*1, 0))</f>
        <v>7.2802900000000005E-4</v>
      </c>
      <c r="L414" cm="1">
        <f t="array" ref="L414">INDEX(Table1[riBAQ 38], MATCH(1, (Table3[[#This Row],[Gene names]:[Gene names]] = Table1[[Gene names]:[Gene names]])*1, 0))</f>
        <v>5.43766E-4</v>
      </c>
      <c r="M414" cm="1">
        <f t="array" ref="M414">INDEX(Table1[riBAQ 39], MATCH(1, (Table3[[#This Row],[Gene names]:[Gene names]] = Table1[[Gene names]:[Gene names]])*1, 0))</f>
        <v>5.8455400000000004E-4</v>
      </c>
      <c r="N414" cm="1">
        <f t="array" ref="N414">INDEX(Table1[riBAQ 40], MATCH(1, (Table3[[#This Row],[Gene names]:[Gene names]] = Table1[[Gene names]:[Gene names]])*1, 0))</f>
        <v>6.2191700000000004E-4</v>
      </c>
      <c r="O414" cm="1">
        <f t="array" ref="O414">INDEX(Table1[riBAQ 41], MATCH(1, (Table3[[#This Row],[Gene names]:[Gene names]] = Table1[[Gene names]:[Gene names]])*1, 0))</f>
        <v>7.7916200000000002E-4</v>
      </c>
      <c r="P414" cm="1">
        <f t="array" ref="P414">INDEX(Table1[riBAQ 24], MATCH(1, (Table3[[#This Row],[Gene names]:[Gene names]] = Table1[[Gene names]:[Gene names]])*1, 0))</f>
        <v>2.5474100000000001E-4</v>
      </c>
      <c r="Q414" cm="1">
        <f t="array" ref="Q414">INDEX(Table1[riBAQ 25], MATCH(1, (Table3[[#This Row],[Gene names]:[Gene names]] = Table1[[Gene names]:[Gene names]])*1, 0))</f>
        <v>9.98E-5</v>
      </c>
      <c r="R414" cm="1">
        <f t="array" ref="R414">INDEX(Table1[riBAQ 26], MATCH(1, (Table3[[#This Row],[Gene names]:[Gene names]] = Table1[[Gene names]:[Gene names]])*1, 0))</f>
        <v>1.18397E-4</v>
      </c>
      <c r="S414" cm="1">
        <f t="array" ref="S414">INDEX(Table1[riBAQ 42], MATCH(1, (Table3[[#This Row],[Gene names]:[Gene names]] = Table1[[Gene names]:[Gene names]])*1, 0))</f>
        <v>0</v>
      </c>
      <c r="T414" cm="1">
        <f t="array" ref="T414">INDEX(Table1[riBAQ 43], MATCH(1, (Table3[[#This Row],[Gene names]:[Gene names]] = Table1[[Gene names]:[Gene names]])*1, 0))</f>
        <v>6.1299999999999999E-5</v>
      </c>
    </row>
    <row r="415" spans="1:20" x14ac:dyDescent="0.25">
      <c r="A415" t="s">
        <v>883</v>
      </c>
      <c r="B415" cm="1">
        <f t="array" ref="B415">INDEX(Table1[riBAQ 17], MATCH(1, (Table3[[#This Row],[Gene names]:[Gene names]] = Table1[[Gene names]:[Gene names]])*1, 0))</f>
        <v>1.6399999999999999E-5</v>
      </c>
      <c r="C415" cm="1">
        <f t="array" ref="C415">INDEX(Table1[riBAQ 18], MATCH(1, (Table3[[#This Row],[Gene names]:[Gene names]] = Table1[[Gene names]:[Gene names]])*1, 0))</f>
        <v>0</v>
      </c>
      <c r="D415" cm="1">
        <f t="array" ref="D415">INDEX(Table1[riBAQ 35], MATCH(1, (Table3[[#This Row],[Gene names]:[Gene names]] = Table1[[Gene names]:[Gene names]])*1, 0))</f>
        <v>0</v>
      </c>
      <c r="E415" cm="1">
        <f t="array" ref="E415">INDEX(Table1[riBAQ 36], MATCH(1, (Table3[[#This Row],[Gene names]:[Gene names]] = Table1[[Gene names]:[Gene names]])*1, 0))</f>
        <v>0</v>
      </c>
      <c r="F415" cm="1">
        <f t="array" ref="F415">INDEX(Table1[riBAQ 19], MATCH(1, (Table3[[#This Row],[Gene names]:[Gene names]] = Table1[[Gene names]:[Gene names]])*1, 0))</f>
        <v>1.38E-5</v>
      </c>
      <c r="G415" cm="1">
        <f t="array" ref="G415">INDEX(Table1[riBAQ 20], MATCH(1, (Table3[[#This Row],[Gene names]:[Gene names]] = Table1[[Gene names]:[Gene names]])*1, 0))</f>
        <v>0</v>
      </c>
      <c r="H415" cm="1">
        <f t="array" ref="H415">INDEX(Table1[riBAQ 21], MATCH(1, (Table3[[#This Row],[Gene names]:[Gene names]] = Table1[[Gene names]:[Gene names]])*1, 0))</f>
        <v>0</v>
      </c>
      <c r="I415" cm="1">
        <f t="array" ref="I415">INDEX(Table1[riBAQ 22], MATCH(1, (Table3[[#This Row],[Gene names]:[Gene names]] = Table1[[Gene names]:[Gene names]])*1, 0))</f>
        <v>0</v>
      </c>
      <c r="J415" cm="1">
        <f t="array" ref="J415">INDEX(Table1[riBAQ 23], MATCH(1, (Table3[[#This Row],[Gene names]:[Gene names]] = Table1[[Gene names]:[Gene names]])*1, 0))</f>
        <v>0</v>
      </c>
      <c r="K415" cm="1">
        <f t="array" ref="K415">INDEX(Table1[riBAQ 37], MATCH(1, (Table3[[#This Row],[Gene names]:[Gene names]] = Table1[[Gene names]:[Gene names]])*1, 0))</f>
        <v>0</v>
      </c>
      <c r="L415" cm="1">
        <f t="array" ref="L415">INDEX(Table1[riBAQ 38], MATCH(1, (Table3[[#This Row],[Gene names]:[Gene names]] = Table1[[Gene names]:[Gene names]])*1, 0))</f>
        <v>1.22E-5</v>
      </c>
      <c r="M415" cm="1">
        <f t="array" ref="M415">INDEX(Table1[riBAQ 39], MATCH(1, (Table3[[#This Row],[Gene names]:[Gene names]] = Table1[[Gene names]:[Gene names]])*1, 0))</f>
        <v>1.13E-5</v>
      </c>
      <c r="N415" cm="1">
        <f t="array" ref="N415">INDEX(Table1[riBAQ 40], MATCH(1, (Table3[[#This Row],[Gene names]:[Gene names]] = Table1[[Gene names]:[Gene names]])*1, 0))</f>
        <v>0</v>
      </c>
      <c r="O415" cm="1">
        <f t="array" ref="O415">INDEX(Table1[riBAQ 41], MATCH(1, (Table3[[#This Row],[Gene names]:[Gene names]] = Table1[[Gene names]:[Gene names]])*1, 0))</f>
        <v>0</v>
      </c>
      <c r="P415" cm="1">
        <f t="array" ref="P415">INDEX(Table1[riBAQ 24], MATCH(1, (Table3[[#This Row],[Gene names]:[Gene names]] = Table1[[Gene names]:[Gene names]])*1, 0))</f>
        <v>3.6600000000000002E-5</v>
      </c>
      <c r="Q415" cm="1">
        <f t="array" ref="Q415">INDEX(Table1[riBAQ 25], MATCH(1, (Table3[[#This Row],[Gene names]:[Gene names]] = Table1[[Gene names]:[Gene names]])*1, 0))</f>
        <v>3.7499999999999997E-5</v>
      </c>
      <c r="R415" cm="1">
        <f t="array" ref="R415">INDEX(Table1[riBAQ 26], MATCH(1, (Table3[[#This Row],[Gene names]:[Gene names]] = Table1[[Gene names]:[Gene names]])*1, 0))</f>
        <v>5.3900000000000002E-5</v>
      </c>
      <c r="S415" cm="1">
        <f t="array" ref="S415">INDEX(Table1[riBAQ 42], MATCH(1, (Table3[[#This Row],[Gene names]:[Gene names]] = Table1[[Gene names]:[Gene names]])*1, 0))</f>
        <v>3.0199999999999999E-5</v>
      </c>
      <c r="T415" cm="1">
        <f t="array" ref="T415">INDEX(Table1[riBAQ 43], MATCH(1, (Table3[[#This Row],[Gene names]:[Gene names]] = Table1[[Gene names]:[Gene names]])*1, 0))</f>
        <v>3.9100000000000002E-5</v>
      </c>
    </row>
    <row r="416" spans="1:20" x14ac:dyDescent="0.25">
      <c r="A416" t="s">
        <v>882</v>
      </c>
      <c r="B416" cm="1">
        <f t="array" ref="B416">INDEX(Table1[riBAQ 17], MATCH(1, (Table3[[#This Row],[Gene names]:[Gene names]] = Table1[[Gene names]:[Gene names]])*1, 0))</f>
        <v>1.7600000000000001E-5</v>
      </c>
      <c r="C416" cm="1">
        <f t="array" ref="C416">INDEX(Table1[riBAQ 18], MATCH(1, (Table3[[#This Row],[Gene names]:[Gene names]] = Table1[[Gene names]:[Gene names]])*1, 0))</f>
        <v>2.0699999999999998E-5</v>
      </c>
      <c r="D416" cm="1">
        <f t="array" ref="D416">INDEX(Table1[riBAQ 35], MATCH(1, (Table3[[#This Row],[Gene names]:[Gene names]] = Table1[[Gene names]:[Gene names]])*1, 0))</f>
        <v>7.2599999999999999E-6</v>
      </c>
      <c r="E416" cm="1">
        <f t="array" ref="E416">INDEX(Table1[riBAQ 36], MATCH(1, (Table3[[#This Row],[Gene names]:[Gene names]] = Table1[[Gene names]:[Gene names]])*1, 0))</f>
        <v>0</v>
      </c>
      <c r="F416" cm="1">
        <f t="array" ref="F416">INDEX(Table1[riBAQ 19], MATCH(1, (Table3[[#This Row],[Gene names]:[Gene names]] = Table1[[Gene names]:[Gene names]])*1, 0))</f>
        <v>2.0299999999999999E-5</v>
      </c>
      <c r="G416" cm="1">
        <f t="array" ref="G416">INDEX(Table1[riBAQ 20], MATCH(1, (Table3[[#This Row],[Gene names]:[Gene names]] = Table1[[Gene names]:[Gene names]])*1, 0))</f>
        <v>1.63E-5</v>
      </c>
      <c r="H416" cm="1">
        <f t="array" ref="H416">INDEX(Table1[riBAQ 21], MATCH(1, (Table3[[#This Row],[Gene names]:[Gene names]] = Table1[[Gene names]:[Gene names]])*1, 0))</f>
        <v>2.9200000000000002E-5</v>
      </c>
      <c r="I416" cm="1">
        <f t="array" ref="I416">INDEX(Table1[riBAQ 22], MATCH(1, (Table3[[#This Row],[Gene names]:[Gene names]] = Table1[[Gene names]:[Gene names]])*1, 0))</f>
        <v>2.2399999999999999E-5</v>
      </c>
      <c r="J416" cm="1">
        <f t="array" ref="J416">INDEX(Table1[riBAQ 23], MATCH(1, (Table3[[#This Row],[Gene names]:[Gene names]] = Table1[[Gene names]:[Gene names]])*1, 0))</f>
        <v>3.57E-5</v>
      </c>
      <c r="K416" cm="1">
        <f t="array" ref="K416">INDEX(Table1[riBAQ 37], MATCH(1, (Table3[[#This Row],[Gene names]:[Gene names]] = Table1[[Gene names]:[Gene names]])*1, 0))</f>
        <v>2.34E-5</v>
      </c>
      <c r="L416" cm="1">
        <f t="array" ref="L416">INDEX(Table1[riBAQ 38], MATCH(1, (Table3[[#This Row],[Gene names]:[Gene names]] = Table1[[Gene names]:[Gene names]])*1, 0))</f>
        <v>2.2900000000000001E-5</v>
      </c>
      <c r="M416" cm="1">
        <f t="array" ref="M416">INDEX(Table1[riBAQ 39], MATCH(1, (Table3[[#This Row],[Gene names]:[Gene names]] = Table1[[Gene names]:[Gene names]])*1, 0))</f>
        <v>1.52E-5</v>
      </c>
      <c r="N416" cm="1">
        <f t="array" ref="N416">INDEX(Table1[riBAQ 40], MATCH(1, (Table3[[#This Row],[Gene names]:[Gene names]] = Table1[[Gene names]:[Gene names]])*1, 0))</f>
        <v>2.02E-5</v>
      </c>
      <c r="O416" cm="1">
        <f t="array" ref="O416">INDEX(Table1[riBAQ 41], MATCH(1, (Table3[[#This Row],[Gene names]:[Gene names]] = Table1[[Gene names]:[Gene names]])*1, 0))</f>
        <v>1.5E-5</v>
      </c>
      <c r="P416" cm="1">
        <f t="array" ref="P416">INDEX(Table1[riBAQ 24], MATCH(1, (Table3[[#This Row],[Gene names]:[Gene names]] = Table1[[Gene names]:[Gene names]])*1, 0))</f>
        <v>3.2799999999999998E-5</v>
      </c>
      <c r="Q416" cm="1">
        <f t="array" ref="Q416">INDEX(Table1[riBAQ 25], MATCH(1, (Table3[[#This Row],[Gene names]:[Gene names]] = Table1[[Gene names]:[Gene names]])*1, 0))</f>
        <v>6.4800000000000003E-5</v>
      </c>
      <c r="R416" cm="1">
        <f t="array" ref="R416">INDEX(Table1[riBAQ 26], MATCH(1, (Table3[[#This Row],[Gene names]:[Gene names]] = Table1[[Gene names]:[Gene names]])*1, 0))</f>
        <v>1.03803E-4</v>
      </c>
      <c r="S416" cm="1">
        <f t="array" ref="S416">INDEX(Table1[riBAQ 42], MATCH(1, (Table3[[#This Row],[Gene names]:[Gene names]] = Table1[[Gene names]:[Gene names]])*1, 0))</f>
        <v>5.5899999999999997E-5</v>
      </c>
      <c r="T416" cm="1">
        <f t="array" ref="T416">INDEX(Table1[riBAQ 43], MATCH(1, (Table3[[#This Row],[Gene names]:[Gene names]] = Table1[[Gene names]:[Gene names]])*1, 0))</f>
        <v>6.0900000000000003E-5</v>
      </c>
    </row>
    <row r="417" spans="1:20" x14ac:dyDescent="0.25">
      <c r="A417" t="s">
        <v>995</v>
      </c>
      <c r="B417" cm="1">
        <f t="array" ref="B417">INDEX(Table1[riBAQ 17], MATCH(1, (Table3[[#This Row],[Gene names]:[Gene names]] = Table1[[Gene names]:[Gene names]])*1, 0))</f>
        <v>0</v>
      </c>
      <c r="C417" cm="1">
        <f t="array" ref="C417">INDEX(Table1[riBAQ 18], MATCH(1, (Table3[[#This Row],[Gene names]:[Gene names]] = Table1[[Gene names]:[Gene names]])*1, 0))</f>
        <v>0</v>
      </c>
      <c r="D417" cm="1">
        <f t="array" ref="D417">INDEX(Table1[riBAQ 35], MATCH(1, (Table3[[#This Row],[Gene names]:[Gene names]] = Table1[[Gene names]:[Gene names]])*1, 0))</f>
        <v>0</v>
      </c>
      <c r="E417" cm="1">
        <f t="array" ref="E417">INDEX(Table1[riBAQ 36], MATCH(1, (Table3[[#This Row],[Gene names]:[Gene names]] = Table1[[Gene names]:[Gene names]])*1, 0))</f>
        <v>0</v>
      </c>
      <c r="F417" cm="1">
        <f t="array" ref="F417">INDEX(Table1[riBAQ 19], MATCH(1, (Table3[[#This Row],[Gene names]:[Gene names]] = Table1[[Gene names]:[Gene names]])*1, 0))</f>
        <v>0</v>
      </c>
      <c r="G417" cm="1">
        <f t="array" ref="G417">INDEX(Table1[riBAQ 20], MATCH(1, (Table3[[#This Row],[Gene names]:[Gene names]] = Table1[[Gene names]:[Gene names]])*1, 0))</f>
        <v>0</v>
      </c>
      <c r="H417" cm="1">
        <f t="array" ref="H417">INDEX(Table1[riBAQ 21], MATCH(1, (Table3[[#This Row],[Gene names]:[Gene names]] = Table1[[Gene names]:[Gene names]])*1, 0))</f>
        <v>0</v>
      </c>
      <c r="I417" cm="1">
        <f t="array" ref="I417">INDEX(Table1[riBAQ 22], MATCH(1, (Table3[[#This Row],[Gene names]:[Gene names]] = Table1[[Gene names]:[Gene names]])*1, 0))</f>
        <v>0</v>
      </c>
      <c r="J417" cm="1">
        <f t="array" ref="J417">INDEX(Table1[riBAQ 23], MATCH(1, (Table3[[#This Row],[Gene names]:[Gene names]] = Table1[[Gene names]:[Gene names]])*1, 0))</f>
        <v>0</v>
      </c>
      <c r="K417" cm="1">
        <f t="array" ref="K417">INDEX(Table1[riBAQ 37], MATCH(1, (Table3[[#This Row],[Gene names]:[Gene names]] = Table1[[Gene names]:[Gene names]])*1, 0))</f>
        <v>0</v>
      </c>
      <c r="L417" cm="1">
        <f t="array" ref="L417">INDEX(Table1[riBAQ 38], MATCH(1, (Table3[[#This Row],[Gene names]:[Gene names]] = Table1[[Gene names]:[Gene names]])*1, 0))</f>
        <v>0</v>
      </c>
      <c r="M417" cm="1">
        <f t="array" ref="M417">INDEX(Table1[riBAQ 39], MATCH(1, (Table3[[#This Row],[Gene names]:[Gene names]] = Table1[[Gene names]:[Gene names]])*1, 0))</f>
        <v>0</v>
      </c>
      <c r="N417" cm="1">
        <f t="array" ref="N417">INDEX(Table1[riBAQ 40], MATCH(1, (Table3[[#This Row],[Gene names]:[Gene names]] = Table1[[Gene names]:[Gene names]])*1, 0))</f>
        <v>0</v>
      </c>
      <c r="O417" cm="1">
        <f t="array" ref="O417">INDEX(Table1[riBAQ 41], MATCH(1, (Table3[[#This Row],[Gene names]:[Gene names]] = Table1[[Gene names]:[Gene names]])*1, 0))</f>
        <v>0</v>
      </c>
      <c r="P417" cm="1">
        <f t="array" ref="P417">INDEX(Table1[riBAQ 24], MATCH(1, (Table3[[#This Row],[Gene names]:[Gene names]] = Table1[[Gene names]:[Gene names]])*1, 0))</f>
        <v>0</v>
      </c>
      <c r="Q417" cm="1">
        <f t="array" ref="Q417">INDEX(Table1[riBAQ 25], MATCH(1, (Table3[[#This Row],[Gene names]:[Gene names]] = Table1[[Gene names]:[Gene names]])*1, 0))</f>
        <v>1.45E-5</v>
      </c>
      <c r="R417" cm="1">
        <f t="array" ref="R417">INDEX(Table1[riBAQ 26], MATCH(1, (Table3[[#This Row],[Gene names]:[Gene names]] = Table1[[Gene names]:[Gene names]])*1, 0))</f>
        <v>1.2099999999999999E-5</v>
      </c>
      <c r="S417" cm="1">
        <f t="array" ref="S417">INDEX(Table1[riBAQ 42], MATCH(1, (Table3[[#This Row],[Gene names]:[Gene names]] = Table1[[Gene names]:[Gene names]])*1, 0))</f>
        <v>1.08E-5</v>
      </c>
      <c r="T417" cm="1">
        <f t="array" ref="T417">INDEX(Table1[riBAQ 43], MATCH(1, (Table3[[#This Row],[Gene names]:[Gene names]] = Table1[[Gene names]:[Gene names]])*1, 0))</f>
        <v>2.5700000000000001E-5</v>
      </c>
    </row>
    <row r="418" spans="1:20" x14ac:dyDescent="0.25">
      <c r="A418" t="s">
        <v>365</v>
      </c>
      <c r="B418" cm="1">
        <f t="array" ref="B418">INDEX(Table1[riBAQ 17], MATCH(1, (Table3[[#This Row],[Gene names]:[Gene names]] = Table1[[Gene names]:[Gene names]])*1, 0))</f>
        <v>4.07E-5</v>
      </c>
      <c r="C418" cm="1">
        <f t="array" ref="C418">INDEX(Table1[riBAQ 18], MATCH(1, (Table3[[#This Row],[Gene names]:[Gene names]] = Table1[[Gene names]:[Gene names]])*1, 0))</f>
        <v>6.2500000000000001E-5</v>
      </c>
      <c r="D418" cm="1">
        <f t="array" ref="D418">INDEX(Table1[riBAQ 35], MATCH(1, (Table3[[#This Row],[Gene names]:[Gene names]] = Table1[[Gene names]:[Gene names]])*1, 0))</f>
        <v>4.0899999999999998E-5</v>
      </c>
      <c r="E418" cm="1">
        <f t="array" ref="E418">INDEX(Table1[riBAQ 36], MATCH(1, (Table3[[#This Row],[Gene names]:[Gene names]] = Table1[[Gene names]:[Gene names]])*1, 0))</f>
        <v>4.8099999999999997E-5</v>
      </c>
      <c r="F418" cm="1">
        <f t="array" ref="F418">INDEX(Table1[riBAQ 19], MATCH(1, (Table3[[#This Row],[Gene names]:[Gene names]] = Table1[[Gene names]:[Gene names]])*1, 0))</f>
        <v>5.27E-5</v>
      </c>
      <c r="G418" cm="1">
        <f t="array" ref="G418">INDEX(Table1[riBAQ 20], MATCH(1, (Table3[[#This Row],[Gene names]:[Gene names]] = Table1[[Gene names]:[Gene names]])*1, 0))</f>
        <v>6.7399999999999998E-5</v>
      </c>
      <c r="H418" cm="1">
        <f t="array" ref="H418">INDEX(Table1[riBAQ 21], MATCH(1, (Table3[[#This Row],[Gene names]:[Gene names]] = Table1[[Gene names]:[Gene names]])*1, 0))</f>
        <v>6.4800000000000003E-5</v>
      </c>
      <c r="I418" cm="1">
        <f t="array" ref="I418">INDEX(Table1[riBAQ 22], MATCH(1, (Table3[[#This Row],[Gene names]:[Gene names]] = Table1[[Gene names]:[Gene names]])*1, 0))</f>
        <v>7.5400000000000003E-5</v>
      </c>
      <c r="J418" cm="1">
        <f t="array" ref="J418">INDEX(Table1[riBAQ 23], MATCH(1, (Table3[[#This Row],[Gene names]:[Gene names]] = Table1[[Gene names]:[Gene names]])*1, 0))</f>
        <v>8.6799999999999996E-5</v>
      </c>
      <c r="K418" cm="1">
        <f t="array" ref="K418">INDEX(Table1[riBAQ 37], MATCH(1, (Table3[[#This Row],[Gene names]:[Gene names]] = Table1[[Gene names]:[Gene names]])*1, 0))</f>
        <v>6.8499999999999998E-5</v>
      </c>
      <c r="L418" cm="1">
        <f t="array" ref="L418">INDEX(Table1[riBAQ 38], MATCH(1, (Table3[[#This Row],[Gene names]:[Gene names]] = Table1[[Gene names]:[Gene names]])*1, 0))</f>
        <v>8.0799999999999999E-5</v>
      </c>
      <c r="M418" cm="1">
        <f t="array" ref="M418">INDEX(Table1[riBAQ 39], MATCH(1, (Table3[[#This Row],[Gene names]:[Gene names]] = Table1[[Gene names]:[Gene names]])*1, 0))</f>
        <v>5.4599999999999999E-5</v>
      </c>
      <c r="N418" cm="1">
        <f t="array" ref="N418">INDEX(Table1[riBAQ 40], MATCH(1, (Table3[[#This Row],[Gene names]:[Gene names]] = Table1[[Gene names]:[Gene names]])*1, 0))</f>
        <v>8.7600000000000002E-5</v>
      </c>
      <c r="O418" cm="1">
        <f t="array" ref="O418">INDEX(Table1[riBAQ 41], MATCH(1, (Table3[[#This Row],[Gene names]:[Gene names]] = Table1[[Gene names]:[Gene names]])*1, 0))</f>
        <v>8.42E-5</v>
      </c>
      <c r="P418" cm="1">
        <f t="array" ref="P418">INDEX(Table1[riBAQ 24], MATCH(1, (Table3[[#This Row],[Gene names]:[Gene names]] = Table1[[Gene names]:[Gene names]])*1, 0))</f>
        <v>1.02267E-4</v>
      </c>
      <c r="Q418" cm="1">
        <f t="array" ref="Q418">INDEX(Table1[riBAQ 25], MATCH(1, (Table3[[#This Row],[Gene names]:[Gene names]] = Table1[[Gene names]:[Gene names]])*1, 0))</f>
        <v>1.41922E-4</v>
      </c>
      <c r="R418" cm="1">
        <f t="array" ref="R418">INDEX(Table1[riBAQ 26], MATCH(1, (Table3[[#This Row],[Gene names]:[Gene names]] = Table1[[Gene names]:[Gene names]])*1, 0))</f>
        <v>1.5610600000000001E-4</v>
      </c>
      <c r="S418" cm="1">
        <f t="array" ref="S418">INDEX(Table1[riBAQ 42], MATCH(1, (Table3[[#This Row],[Gene names]:[Gene names]] = Table1[[Gene names]:[Gene names]])*1, 0))</f>
        <v>1.8403199999999999E-4</v>
      </c>
      <c r="T418" cm="1">
        <f t="array" ref="T418">INDEX(Table1[riBAQ 43], MATCH(1, (Table3[[#This Row],[Gene names]:[Gene names]] = Table1[[Gene names]:[Gene names]])*1, 0))</f>
        <v>8.7999999999999998E-5</v>
      </c>
    </row>
    <row r="419" spans="1:20" x14ac:dyDescent="0.25">
      <c r="A419" t="s">
        <v>1676</v>
      </c>
      <c r="B419" cm="1">
        <f t="array" ref="B419">INDEX(Table1[riBAQ 17], MATCH(1, (Table3[[#This Row],[Gene names]:[Gene names]] = Table1[[Gene names]:[Gene names]])*1, 0))</f>
        <v>1.149267E-3</v>
      </c>
      <c r="C419" cm="1">
        <f t="array" ref="C419">INDEX(Table1[riBAQ 18], MATCH(1, (Table3[[#This Row],[Gene names]:[Gene names]] = Table1[[Gene names]:[Gene names]])*1, 0))</f>
        <v>1.1091779999999999E-3</v>
      </c>
      <c r="D419" cm="1">
        <f t="array" ref="D419">INDEX(Table1[riBAQ 35], MATCH(1, (Table3[[#This Row],[Gene names]:[Gene names]] = Table1[[Gene names]:[Gene names]])*1, 0))</f>
        <v>1.5018099999999999E-3</v>
      </c>
      <c r="E419" cm="1">
        <f t="array" ref="E419">INDEX(Table1[riBAQ 36], MATCH(1, (Table3[[#This Row],[Gene names]:[Gene names]] = Table1[[Gene names]:[Gene names]])*1, 0))</f>
        <v>1.0849430000000001E-3</v>
      </c>
      <c r="F419" cm="1">
        <f t="array" ref="F419">INDEX(Table1[riBAQ 19], MATCH(1, (Table3[[#This Row],[Gene names]:[Gene names]] = Table1[[Gene names]:[Gene names]])*1, 0))</f>
        <v>6.82104E-4</v>
      </c>
      <c r="G419" cm="1">
        <f t="array" ref="G419">INDEX(Table1[riBAQ 20], MATCH(1, (Table3[[#This Row],[Gene names]:[Gene names]] = Table1[[Gene names]:[Gene names]])*1, 0))</f>
        <v>6.2565299999999999E-4</v>
      </c>
      <c r="H419" cm="1">
        <f t="array" ref="H419">INDEX(Table1[riBAQ 21], MATCH(1, (Table3[[#This Row],[Gene names]:[Gene names]] = Table1[[Gene names]:[Gene names]])*1, 0))</f>
        <v>5.7233299999999996E-4</v>
      </c>
      <c r="I419" cm="1">
        <f t="array" ref="I419">INDEX(Table1[riBAQ 22], MATCH(1, (Table3[[#This Row],[Gene names]:[Gene names]] = Table1[[Gene names]:[Gene names]])*1, 0))</f>
        <v>8.7502000000000001E-4</v>
      </c>
      <c r="J419" cm="1">
        <f t="array" ref="J419">INDEX(Table1[riBAQ 23], MATCH(1, (Table3[[#This Row],[Gene names]:[Gene names]] = Table1[[Gene names]:[Gene names]])*1, 0))</f>
        <v>6.6399299999999998E-4</v>
      </c>
      <c r="K419" cm="1">
        <f t="array" ref="K419">INDEX(Table1[riBAQ 37], MATCH(1, (Table3[[#This Row],[Gene names]:[Gene names]] = Table1[[Gene names]:[Gene names]])*1, 0))</f>
        <v>9.3582599999999995E-4</v>
      </c>
      <c r="L419" cm="1">
        <f t="array" ref="L419">INDEX(Table1[riBAQ 38], MATCH(1, (Table3[[#This Row],[Gene names]:[Gene names]] = Table1[[Gene names]:[Gene names]])*1, 0))</f>
        <v>8.8996400000000003E-4</v>
      </c>
      <c r="M419" cm="1">
        <f t="array" ref="M419">INDEX(Table1[riBAQ 39], MATCH(1, (Table3[[#This Row],[Gene names]:[Gene names]] = Table1[[Gene names]:[Gene names]])*1, 0))</f>
        <v>9.2000100000000004E-4</v>
      </c>
      <c r="N419" cm="1">
        <f t="array" ref="N419">INDEX(Table1[riBAQ 40], MATCH(1, (Table3[[#This Row],[Gene names]:[Gene names]] = Table1[[Gene names]:[Gene names]])*1, 0))</f>
        <v>1.082048E-3</v>
      </c>
      <c r="O419" cm="1">
        <f t="array" ref="O419">INDEX(Table1[riBAQ 41], MATCH(1, (Table3[[#This Row],[Gene names]:[Gene names]] = Table1[[Gene names]:[Gene names]])*1, 0))</f>
        <v>9.4487300000000005E-4</v>
      </c>
      <c r="P419" cm="1">
        <f t="array" ref="P419">INDEX(Table1[riBAQ 24], MATCH(1, (Table3[[#This Row],[Gene names]:[Gene names]] = Table1[[Gene names]:[Gene names]])*1, 0))</f>
        <v>5.5807199999999995E-4</v>
      </c>
      <c r="Q419" cm="1">
        <f t="array" ref="Q419">INDEX(Table1[riBAQ 25], MATCH(1, (Table3[[#This Row],[Gene names]:[Gene names]] = Table1[[Gene names]:[Gene names]])*1, 0))</f>
        <v>2.48454E-4</v>
      </c>
      <c r="R419" cm="1">
        <f t="array" ref="R419">INDEX(Table1[riBAQ 26], MATCH(1, (Table3[[#This Row],[Gene names]:[Gene names]] = Table1[[Gene names]:[Gene names]])*1, 0))</f>
        <v>2.1333600000000001E-4</v>
      </c>
      <c r="S419" cm="1">
        <f t="array" ref="S419">INDEX(Table1[riBAQ 42], MATCH(1, (Table3[[#This Row],[Gene names]:[Gene names]] = Table1[[Gene names]:[Gene names]])*1, 0))</f>
        <v>1.97147E-4</v>
      </c>
      <c r="T419" cm="1">
        <f t="array" ref="T419">INDEX(Table1[riBAQ 43], MATCH(1, (Table3[[#This Row],[Gene names]:[Gene names]] = Table1[[Gene names]:[Gene names]])*1, 0))</f>
        <v>2.7320000000000003E-4</v>
      </c>
    </row>
    <row r="420" spans="1:20" x14ac:dyDescent="0.25">
      <c r="A420" t="s">
        <v>1028</v>
      </c>
      <c r="B420" cm="1">
        <f t="array" ref="B420">INDEX(Table1[riBAQ 17], MATCH(1, (Table3[[#This Row],[Gene names]:[Gene names]] = Table1[[Gene names]:[Gene names]])*1, 0))</f>
        <v>0</v>
      </c>
      <c r="C420" cm="1">
        <f t="array" ref="C420">INDEX(Table1[riBAQ 18], MATCH(1, (Table3[[#This Row],[Gene names]:[Gene names]] = Table1[[Gene names]:[Gene names]])*1, 0))</f>
        <v>2.0200000000000001E-6</v>
      </c>
      <c r="D420" cm="1">
        <f t="array" ref="D420">INDEX(Table1[riBAQ 35], MATCH(1, (Table3[[#This Row],[Gene names]:[Gene names]] = Table1[[Gene names]:[Gene names]])*1, 0))</f>
        <v>0</v>
      </c>
      <c r="E420" cm="1">
        <f t="array" ref="E420">INDEX(Table1[riBAQ 36], MATCH(1, (Table3[[#This Row],[Gene names]:[Gene names]] = Table1[[Gene names]:[Gene names]])*1, 0))</f>
        <v>0</v>
      </c>
      <c r="F420" cm="1">
        <f t="array" ref="F420">INDEX(Table1[riBAQ 19], MATCH(1, (Table3[[#This Row],[Gene names]:[Gene names]] = Table1[[Gene names]:[Gene names]])*1, 0))</f>
        <v>0</v>
      </c>
      <c r="G420" cm="1">
        <f t="array" ref="G420">INDEX(Table1[riBAQ 20], MATCH(1, (Table3[[#This Row],[Gene names]:[Gene names]] = Table1[[Gene names]:[Gene names]])*1, 0))</f>
        <v>0</v>
      </c>
      <c r="H420" cm="1">
        <f t="array" ref="H420">INDEX(Table1[riBAQ 21], MATCH(1, (Table3[[#This Row],[Gene names]:[Gene names]] = Table1[[Gene names]:[Gene names]])*1, 0))</f>
        <v>0</v>
      </c>
      <c r="I420" cm="1">
        <f t="array" ref="I420">INDEX(Table1[riBAQ 22], MATCH(1, (Table3[[#This Row],[Gene names]:[Gene names]] = Table1[[Gene names]:[Gene names]])*1, 0))</f>
        <v>0</v>
      </c>
      <c r="J420" cm="1">
        <f t="array" ref="J420">INDEX(Table1[riBAQ 23], MATCH(1, (Table3[[#This Row],[Gene names]:[Gene names]] = Table1[[Gene names]:[Gene names]])*1, 0))</f>
        <v>0</v>
      </c>
      <c r="K420" cm="1">
        <f t="array" ref="K420">INDEX(Table1[riBAQ 37], MATCH(1, (Table3[[#This Row],[Gene names]:[Gene names]] = Table1[[Gene names]:[Gene names]])*1, 0))</f>
        <v>0</v>
      </c>
      <c r="L420" cm="1">
        <f t="array" ref="L420">INDEX(Table1[riBAQ 38], MATCH(1, (Table3[[#This Row],[Gene names]:[Gene names]] = Table1[[Gene names]:[Gene names]])*1, 0))</f>
        <v>0</v>
      </c>
      <c r="M420" cm="1">
        <f t="array" ref="M420">INDEX(Table1[riBAQ 39], MATCH(1, (Table3[[#This Row],[Gene names]:[Gene names]] = Table1[[Gene names]:[Gene names]])*1, 0))</f>
        <v>0</v>
      </c>
      <c r="N420" cm="1">
        <f t="array" ref="N420">INDEX(Table1[riBAQ 40], MATCH(1, (Table3[[#This Row],[Gene names]:[Gene names]] = Table1[[Gene names]:[Gene names]])*1, 0))</f>
        <v>0</v>
      </c>
      <c r="O420" cm="1">
        <f t="array" ref="O420">INDEX(Table1[riBAQ 41], MATCH(1, (Table3[[#This Row],[Gene names]:[Gene names]] = Table1[[Gene names]:[Gene names]])*1, 0))</f>
        <v>0</v>
      </c>
      <c r="P420" cm="1">
        <f t="array" ref="P420">INDEX(Table1[riBAQ 24], MATCH(1, (Table3[[#This Row],[Gene names]:[Gene names]] = Table1[[Gene names]:[Gene names]])*1, 0))</f>
        <v>0</v>
      </c>
      <c r="Q420" cm="1">
        <f t="array" ref="Q420">INDEX(Table1[riBAQ 25], MATCH(1, (Table3[[#This Row],[Gene names]:[Gene names]] = Table1[[Gene names]:[Gene names]])*1, 0))</f>
        <v>1.7099999999999999E-6</v>
      </c>
      <c r="R420" cm="1">
        <f t="array" ref="R420">INDEX(Table1[riBAQ 26], MATCH(1, (Table3[[#This Row],[Gene names]:[Gene names]] = Table1[[Gene names]:[Gene names]])*1, 0))</f>
        <v>1.44E-6</v>
      </c>
      <c r="S420" cm="1">
        <f t="array" ref="S420">INDEX(Table1[riBAQ 42], MATCH(1, (Table3[[#This Row],[Gene names]:[Gene names]] = Table1[[Gene names]:[Gene names]])*1, 0))</f>
        <v>2.03E-6</v>
      </c>
      <c r="T420" cm="1">
        <f t="array" ref="T420">INDEX(Table1[riBAQ 43], MATCH(1, (Table3[[#This Row],[Gene names]:[Gene names]] = Table1[[Gene names]:[Gene names]])*1, 0))</f>
        <v>2.43E-6</v>
      </c>
    </row>
    <row r="421" spans="1:20" x14ac:dyDescent="0.25">
      <c r="A421" t="s">
        <v>255</v>
      </c>
      <c r="B421" cm="1">
        <f t="array" ref="B421">INDEX(Table1[riBAQ 17], MATCH(1, (Table3[[#This Row],[Gene names]:[Gene names]] = Table1[[Gene names]:[Gene names]])*1, 0))</f>
        <v>4.0399999999999999E-5</v>
      </c>
      <c r="C421" cm="1">
        <f t="array" ref="C421">INDEX(Table1[riBAQ 18], MATCH(1, (Table3[[#This Row],[Gene names]:[Gene names]] = Table1[[Gene names]:[Gene names]])*1, 0))</f>
        <v>2.9899999999999998E-5</v>
      </c>
      <c r="D421" cm="1">
        <f t="array" ref="D421">INDEX(Table1[riBAQ 35], MATCH(1, (Table3[[#This Row],[Gene names]:[Gene names]] = Table1[[Gene names]:[Gene names]])*1, 0))</f>
        <v>0</v>
      </c>
      <c r="E421" cm="1">
        <f t="array" ref="E421">INDEX(Table1[riBAQ 36], MATCH(1, (Table3[[#This Row],[Gene names]:[Gene names]] = Table1[[Gene names]:[Gene names]])*1, 0))</f>
        <v>0</v>
      </c>
      <c r="F421" cm="1">
        <f t="array" ref="F421">INDEX(Table1[riBAQ 19], MATCH(1, (Table3[[#This Row],[Gene names]:[Gene names]] = Table1[[Gene names]:[Gene names]])*1, 0))</f>
        <v>7.0599999999999995E-5</v>
      </c>
      <c r="G421" cm="1">
        <f t="array" ref="G421">INDEX(Table1[riBAQ 20], MATCH(1, (Table3[[#This Row],[Gene names]:[Gene names]] = Table1[[Gene names]:[Gene names]])*1, 0))</f>
        <v>1.59433E-4</v>
      </c>
      <c r="H421" cm="1">
        <f t="array" ref="H421">INDEX(Table1[riBAQ 21], MATCH(1, (Table3[[#This Row],[Gene names]:[Gene names]] = Table1[[Gene names]:[Gene names]])*1, 0))</f>
        <v>2.1478099999999999E-4</v>
      </c>
      <c r="I421" cm="1">
        <f t="array" ref="I421">INDEX(Table1[riBAQ 22], MATCH(1, (Table3[[#This Row],[Gene names]:[Gene names]] = Table1[[Gene names]:[Gene names]])*1, 0))</f>
        <v>1.0786899999999999E-4</v>
      </c>
      <c r="J421" cm="1">
        <f t="array" ref="J421">INDEX(Table1[riBAQ 23], MATCH(1, (Table3[[#This Row],[Gene names]:[Gene names]] = Table1[[Gene names]:[Gene names]])*1, 0))</f>
        <v>1.1203E-4</v>
      </c>
      <c r="K421" cm="1">
        <f t="array" ref="K421">INDEX(Table1[riBAQ 37], MATCH(1, (Table3[[#This Row],[Gene names]:[Gene names]] = Table1[[Gene names]:[Gene names]])*1, 0))</f>
        <v>8.2200000000000006E-5</v>
      </c>
      <c r="L421" cm="1">
        <f t="array" ref="L421">INDEX(Table1[riBAQ 38], MATCH(1, (Table3[[#This Row],[Gene names]:[Gene names]] = Table1[[Gene names]:[Gene names]])*1, 0))</f>
        <v>1.01211E-4</v>
      </c>
      <c r="M421" cm="1">
        <f t="array" ref="M421">INDEX(Table1[riBAQ 39], MATCH(1, (Table3[[#This Row],[Gene names]:[Gene names]] = Table1[[Gene names]:[Gene names]])*1, 0))</f>
        <v>1.3016300000000001E-4</v>
      </c>
      <c r="N421" cm="1">
        <f t="array" ref="N421">INDEX(Table1[riBAQ 40], MATCH(1, (Table3[[#This Row],[Gene names]:[Gene names]] = Table1[[Gene names]:[Gene names]])*1, 0))</f>
        <v>2.3899300000000001E-4</v>
      </c>
      <c r="O421" cm="1">
        <f t="array" ref="O421">INDEX(Table1[riBAQ 41], MATCH(1, (Table3[[#This Row],[Gene names]:[Gene names]] = Table1[[Gene names]:[Gene names]])*1, 0))</f>
        <v>3.7599999999999999E-5</v>
      </c>
      <c r="P421" cm="1">
        <f t="array" ref="P421">INDEX(Table1[riBAQ 24], MATCH(1, (Table3[[#This Row],[Gene names]:[Gene names]] = Table1[[Gene names]:[Gene names]])*1, 0))</f>
        <v>1.9707000000000001E-4</v>
      </c>
      <c r="Q421" cm="1">
        <f t="array" ref="Q421">INDEX(Table1[riBAQ 25], MATCH(1, (Table3[[#This Row],[Gene names]:[Gene names]] = Table1[[Gene names]:[Gene names]])*1, 0))</f>
        <v>2.7670400000000001E-4</v>
      </c>
      <c r="R421" cm="1">
        <f t="array" ref="R421">INDEX(Table1[riBAQ 26], MATCH(1, (Table3[[#This Row],[Gene names]:[Gene names]] = Table1[[Gene names]:[Gene names]])*1, 0))</f>
        <v>5.4933599999999999E-4</v>
      </c>
      <c r="S421" cm="1">
        <f t="array" ref="S421">INDEX(Table1[riBAQ 42], MATCH(1, (Table3[[#This Row],[Gene names]:[Gene names]] = Table1[[Gene names]:[Gene names]])*1, 0))</f>
        <v>4.4136799999999998E-4</v>
      </c>
      <c r="T421" cm="1">
        <f t="array" ref="T421">INDEX(Table1[riBAQ 43], MATCH(1, (Table3[[#This Row],[Gene names]:[Gene names]] = Table1[[Gene names]:[Gene names]])*1, 0))</f>
        <v>2.91549E-4</v>
      </c>
    </row>
    <row r="422" spans="1:20" x14ac:dyDescent="0.25">
      <c r="A422" t="s">
        <v>856</v>
      </c>
      <c r="B422" cm="1">
        <f t="array" ref="B422">INDEX(Table1[riBAQ 17], MATCH(1, (Table3[[#This Row],[Gene names]:[Gene names]] = Table1[[Gene names]:[Gene names]])*1, 0))</f>
        <v>1.2300000000000001E-5</v>
      </c>
      <c r="C422" cm="1">
        <f t="array" ref="C422">INDEX(Table1[riBAQ 18], MATCH(1, (Table3[[#This Row],[Gene names]:[Gene names]] = Table1[[Gene names]:[Gene names]])*1, 0))</f>
        <v>0</v>
      </c>
      <c r="D422" cm="1">
        <f t="array" ref="D422">INDEX(Table1[riBAQ 35], MATCH(1, (Table3[[#This Row],[Gene names]:[Gene names]] = Table1[[Gene names]:[Gene names]])*1, 0))</f>
        <v>0</v>
      </c>
      <c r="E422" cm="1">
        <f t="array" ref="E422">INDEX(Table1[riBAQ 36], MATCH(1, (Table3[[#This Row],[Gene names]:[Gene names]] = Table1[[Gene names]:[Gene names]])*1, 0))</f>
        <v>0</v>
      </c>
      <c r="F422" cm="1">
        <f t="array" ref="F422">INDEX(Table1[riBAQ 19], MATCH(1, (Table3[[#This Row],[Gene names]:[Gene names]] = Table1[[Gene names]:[Gene names]])*1, 0))</f>
        <v>2.0299999999999999E-5</v>
      </c>
      <c r="G422" cm="1">
        <f t="array" ref="G422">INDEX(Table1[riBAQ 20], MATCH(1, (Table3[[#This Row],[Gene names]:[Gene names]] = Table1[[Gene names]:[Gene names]])*1, 0))</f>
        <v>1.56E-5</v>
      </c>
      <c r="H422" cm="1">
        <f t="array" ref="H422">INDEX(Table1[riBAQ 21], MATCH(1, (Table3[[#This Row],[Gene names]:[Gene names]] = Table1[[Gene names]:[Gene names]])*1, 0))</f>
        <v>1.2300000000000001E-5</v>
      </c>
      <c r="I422" cm="1">
        <f t="array" ref="I422">INDEX(Table1[riBAQ 22], MATCH(1, (Table3[[#This Row],[Gene names]:[Gene names]] = Table1[[Gene names]:[Gene names]])*1, 0))</f>
        <v>1.1199999999999999E-5</v>
      </c>
      <c r="J422" cm="1">
        <f t="array" ref="J422">INDEX(Table1[riBAQ 23], MATCH(1, (Table3[[#This Row],[Gene names]:[Gene names]] = Table1[[Gene names]:[Gene names]])*1, 0))</f>
        <v>1.15E-5</v>
      </c>
      <c r="K422" cm="1">
        <f t="array" ref="K422">INDEX(Table1[riBAQ 37], MATCH(1, (Table3[[#This Row],[Gene names]:[Gene names]] = Table1[[Gene names]:[Gene names]])*1, 0))</f>
        <v>1.1199999999999999E-5</v>
      </c>
      <c r="L422" cm="1">
        <f t="array" ref="L422">INDEX(Table1[riBAQ 38], MATCH(1, (Table3[[#This Row],[Gene names]:[Gene names]] = Table1[[Gene names]:[Gene names]])*1, 0))</f>
        <v>0</v>
      </c>
      <c r="M422" cm="1">
        <f t="array" ref="M422">INDEX(Table1[riBAQ 39], MATCH(1, (Table3[[#This Row],[Gene names]:[Gene names]] = Table1[[Gene names]:[Gene names]])*1, 0))</f>
        <v>0</v>
      </c>
      <c r="N422" cm="1">
        <f t="array" ref="N422">INDEX(Table1[riBAQ 40], MATCH(1, (Table3[[#This Row],[Gene names]:[Gene names]] = Table1[[Gene names]:[Gene names]])*1, 0))</f>
        <v>1.2099999999999999E-5</v>
      </c>
      <c r="O422" cm="1">
        <f t="array" ref="O422">INDEX(Table1[riBAQ 41], MATCH(1, (Table3[[#This Row],[Gene names]:[Gene names]] = Table1[[Gene names]:[Gene names]])*1, 0))</f>
        <v>0</v>
      </c>
      <c r="P422" cm="1">
        <f t="array" ref="P422">INDEX(Table1[riBAQ 24], MATCH(1, (Table3[[#This Row],[Gene names]:[Gene names]] = Table1[[Gene names]:[Gene names]])*1, 0))</f>
        <v>6.0699999999999998E-5</v>
      </c>
      <c r="Q422" cm="1">
        <f t="array" ref="Q422">INDEX(Table1[riBAQ 25], MATCH(1, (Table3[[#This Row],[Gene names]:[Gene names]] = Table1[[Gene names]:[Gene names]])*1, 0))</f>
        <v>1.61621E-4</v>
      </c>
      <c r="R422" cm="1">
        <f t="array" ref="R422">INDEX(Table1[riBAQ 26], MATCH(1, (Table3[[#This Row],[Gene names]:[Gene names]] = Table1[[Gene names]:[Gene names]])*1, 0))</f>
        <v>1.0539600000000001E-4</v>
      </c>
      <c r="S422" cm="1">
        <f t="array" ref="S422">INDEX(Table1[riBAQ 42], MATCH(1, (Table3[[#This Row],[Gene names]:[Gene names]] = Table1[[Gene names]:[Gene names]])*1, 0))</f>
        <v>1.08662E-4</v>
      </c>
      <c r="T422" cm="1">
        <f t="array" ref="T422">INDEX(Table1[riBAQ 43], MATCH(1, (Table3[[#This Row],[Gene names]:[Gene names]] = Table1[[Gene names]:[Gene names]])*1, 0))</f>
        <v>2.5838599999999999E-4</v>
      </c>
    </row>
    <row r="423" spans="1:20" x14ac:dyDescent="0.25">
      <c r="A423" t="s">
        <v>321</v>
      </c>
      <c r="B423" cm="1">
        <f t="array" ref="B423">INDEX(Table1[riBAQ 17], MATCH(1, (Table3[[#This Row],[Gene names]:[Gene names]] = Table1[[Gene names]:[Gene names]])*1, 0))</f>
        <v>2.2666599999999999E-4</v>
      </c>
      <c r="C423" cm="1">
        <f t="array" ref="C423">INDEX(Table1[riBAQ 18], MATCH(1, (Table3[[#This Row],[Gene names]:[Gene names]] = Table1[[Gene names]:[Gene names]])*1, 0))</f>
        <v>1.4218E-4</v>
      </c>
      <c r="D423" cm="1">
        <f t="array" ref="D423">INDEX(Table1[riBAQ 35], MATCH(1, (Table3[[#This Row],[Gene names]:[Gene names]] = Table1[[Gene names]:[Gene names]])*1, 0))</f>
        <v>5.2599999999999998E-5</v>
      </c>
      <c r="E423" cm="1">
        <f t="array" ref="E423">INDEX(Table1[riBAQ 36], MATCH(1, (Table3[[#This Row],[Gene names]:[Gene names]] = Table1[[Gene names]:[Gene names]])*1, 0))</f>
        <v>3.5599999999999998E-5</v>
      </c>
      <c r="F423" cm="1">
        <f t="array" ref="F423">INDEX(Table1[riBAQ 19], MATCH(1, (Table3[[#This Row],[Gene names]:[Gene names]] = Table1[[Gene names]:[Gene names]])*1, 0))</f>
        <v>7.0186900000000004E-4</v>
      </c>
      <c r="G423" cm="1">
        <f t="array" ref="G423">INDEX(Table1[riBAQ 20], MATCH(1, (Table3[[#This Row],[Gene names]:[Gene names]] = Table1[[Gene names]:[Gene names]])*1, 0))</f>
        <v>9.5096500000000001E-4</v>
      </c>
      <c r="H423" cm="1">
        <f t="array" ref="H423">INDEX(Table1[riBAQ 21], MATCH(1, (Table3[[#This Row],[Gene names]:[Gene names]] = Table1[[Gene names]:[Gene names]])*1, 0))</f>
        <v>6.4190799999999995E-4</v>
      </c>
      <c r="I423" cm="1">
        <f t="array" ref="I423">INDEX(Table1[riBAQ 22], MATCH(1, (Table3[[#This Row],[Gene names]:[Gene names]] = Table1[[Gene names]:[Gene names]])*1, 0))</f>
        <v>1.080679E-3</v>
      </c>
      <c r="J423" cm="1">
        <f t="array" ref="J423">INDEX(Table1[riBAQ 23], MATCH(1, (Table3[[#This Row],[Gene names]:[Gene names]] = Table1[[Gene names]:[Gene names]])*1, 0))</f>
        <v>9.8823300000000004E-4</v>
      </c>
      <c r="K423" cm="1">
        <f t="array" ref="K423">INDEX(Table1[riBAQ 37], MATCH(1, (Table3[[#This Row],[Gene names]:[Gene names]] = Table1[[Gene names]:[Gene names]])*1, 0))</f>
        <v>3.3947799999999999E-4</v>
      </c>
      <c r="L423" cm="1">
        <f t="array" ref="L423">INDEX(Table1[riBAQ 38], MATCH(1, (Table3[[#This Row],[Gene names]:[Gene names]] = Table1[[Gene names]:[Gene names]])*1, 0))</f>
        <v>6.3559800000000002E-4</v>
      </c>
      <c r="M423" cm="1">
        <f t="array" ref="M423">INDEX(Table1[riBAQ 39], MATCH(1, (Table3[[#This Row],[Gene names]:[Gene names]] = Table1[[Gene names]:[Gene names]])*1, 0))</f>
        <v>6.5264800000000003E-4</v>
      </c>
      <c r="N423" cm="1">
        <f t="array" ref="N423">INDEX(Table1[riBAQ 40], MATCH(1, (Table3[[#This Row],[Gene names]:[Gene names]] = Table1[[Gene names]:[Gene names]])*1, 0))</f>
        <v>7.0608200000000002E-4</v>
      </c>
      <c r="O423" cm="1">
        <f t="array" ref="O423">INDEX(Table1[riBAQ 41], MATCH(1, (Table3[[#This Row],[Gene names]:[Gene names]] = Table1[[Gene names]:[Gene names]])*1, 0))</f>
        <v>4.0453100000000002E-4</v>
      </c>
      <c r="P423" cm="1">
        <f t="array" ref="P423">INDEX(Table1[riBAQ 24], MATCH(1, (Table3[[#This Row],[Gene names]:[Gene names]] = Table1[[Gene names]:[Gene names]])*1, 0))</f>
        <v>2.213034E-3</v>
      </c>
      <c r="Q423" cm="1">
        <f t="array" ref="Q423">INDEX(Table1[riBAQ 25], MATCH(1, (Table3[[#This Row],[Gene names]:[Gene names]] = Table1[[Gene names]:[Gene names]])*1, 0))</f>
        <v>3.7047080000000001E-3</v>
      </c>
      <c r="R423" cm="1">
        <f t="array" ref="R423">INDEX(Table1[riBAQ 26], MATCH(1, (Table3[[#This Row],[Gene names]:[Gene names]] = Table1[[Gene names]:[Gene names]])*1, 0))</f>
        <v>4.1857789999999997E-3</v>
      </c>
      <c r="S423" cm="1">
        <f t="array" ref="S423">INDEX(Table1[riBAQ 42], MATCH(1, (Table3[[#This Row],[Gene names]:[Gene names]] = Table1[[Gene names]:[Gene names]])*1, 0))</f>
        <v>4.7291640000000001E-3</v>
      </c>
      <c r="T423" cm="1">
        <f t="array" ref="T423">INDEX(Table1[riBAQ 43], MATCH(1, (Table3[[#This Row],[Gene names]:[Gene names]] = Table1[[Gene names]:[Gene names]])*1, 0))</f>
        <v>3.826023E-3</v>
      </c>
    </row>
    <row r="424" spans="1:20" x14ac:dyDescent="0.25">
      <c r="A424" t="s">
        <v>825</v>
      </c>
      <c r="B424" cm="1">
        <f t="array" ref="B424">INDEX(Table1[riBAQ 17], MATCH(1, (Table3[[#This Row],[Gene names]:[Gene names]] = Table1[[Gene names]:[Gene names]])*1, 0))</f>
        <v>2.8305300000000002E-4</v>
      </c>
      <c r="C424" cm="1">
        <f t="array" ref="C424">INDEX(Table1[riBAQ 18], MATCH(1, (Table3[[#This Row],[Gene names]:[Gene names]] = Table1[[Gene names]:[Gene names]])*1, 0))</f>
        <v>9.0199999999999997E-5</v>
      </c>
      <c r="D424" cm="1">
        <f t="array" ref="D424">INDEX(Table1[riBAQ 35], MATCH(1, (Table3[[#This Row],[Gene names]:[Gene names]] = Table1[[Gene names]:[Gene names]])*1, 0))</f>
        <v>1.5928200000000001E-4</v>
      </c>
      <c r="E424" cm="1">
        <f t="array" ref="E424">INDEX(Table1[riBAQ 36], MATCH(1, (Table3[[#This Row],[Gene names]:[Gene names]] = Table1[[Gene names]:[Gene names]])*1, 0))</f>
        <v>1.2599900000000001E-4</v>
      </c>
      <c r="F424" cm="1">
        <f t="array" ref="F424">INDEX(Table1[riBAQ 19], MATCH(1, (Table3[[#This Row],[Gene names]:[Gene names]] = Table1[[Gene names]:[Gene names]])*1, 0))</f>
        <v>2.00683E-4</v>
      </c>
      <c r="G424" cm="1">
        <f t="array" ref="G424">INDEX(Table1[riBAQ 20], MATCH(1, (Table3[[#This Row],[Gene names]:[Gene names]] = Table1[[Gene names]:[Gene names]])*1, 0))</f>
        <v>1.4815100000000001E-4</v>
      </c>
      <c r="H424" cm="1">
        <f t="array" ref="H424">INDEX(Table1[riBAQ 21], MATCH(1, (Table3[[#This Row],[Gene names]:[Gene names]] = Table1[[Gene names]:[Gene names]])*1, 0))</f>
        <v>3.6638900000000001E-4</v>
      </c>
      <c r="I424" cm="1">
        <f t="array" ref="I424">INDEX(Table1[riBAQ 22], MATCH(1, (Table3[[#This Row],[Gene names]:[Gene names]] = Table1[[Gene names]:[Gene names]])*1, 0))</f>
        <v>1.82022E-4</v>
      </c>
      <c r="J424" cm="1">
        <f t="array" ref="J424">INDEX(Table1[riBAQ 23], MATCH(1, (Table3[[#This Row],[Gene names]:[Gene names]] = Table1[[Gene names]:[Gene names]])*1, 0))</f>
        <v>2.9694699999999999E-4</v>
      </c>
      <c r="K424" cm="1">
        <f t="array" ref="K424">INDEX(Table1[riBAQ 37], MATCH(1, (Table3[[#This Row],[Gene names]:[Gene names]] = Table1[[Gene names]:[Gene names]])*1, 0))</f>
        <v>1.6869699999999999E-4</v>
      </c>
      <c r="L424" cm="1">
        <f t="array" ref="L424">INDEX(Table1[riBAQ 38], MATCH(1, (Table3[[#This Row],[Gene names]:[Gene names]] = Table1[[Gene names]:[Gene names]])*1, 0))</f>
        <v>1.1112600000000001E-4</v>
      </c>
      <c r="M424" cm="1">
        <f t="array" ref="M424">INDEX(Table1[riBAQ 39], MATCH(1, (Table3[[#This Row],[Gene names]:[Gene names]] = Table1[[Gene names]:[Gene names]])*1, 0))</f>
        <v>3.2040500000000001E-4</v>
      </c>
      <c r="N424" cm="1">
        <f t="array" ref="N424">INDEX(Table1[riBAQ 40], MATCH(1, (Table3[[#This Row],[Gene names]:[Gene names]] = Table1[[Gene names]:[Gene names]])*1, 0))</f>
        <v>4.3467499999999998E-4</v>
      </c>
      <c r="O424" cm="1">
        <f t="array" ref="O424">INDEX(Table1[riBAQ 41], MATCH(1, (Table3[[#This Row],[Gene names]:[Gene names]] = Table1[[Gene names]:[Gene names]])*1, 0))</f>
        <v>2.35985E-4</v>
      </c>
      <c r="P424" cm="1">
        <f t="array" ref="P424">INDEX(Table1[riBAQ 24], MATCH(1, (Table3[[#This Row],[Gene names]:[Gene names]] = Table1[[Gene names]:[Gene names]])*1, 0))</f>
        <v>5.6840099999999995E-4</v>
      </c>
      <c r="Q424" cm="1">
        <f t="array" ref="Q424">INDEX(Table1[riBAQ 25], MATCH(1, (Table3[[#This Row],[Gene names]:[Gene names]] = Table1[[Gene names]:[Gene names]])*1, 0))</f>
        <v>6.9909400000000004E-4</v>
      </c>
      <c r="R424" cm="1">
        <f t="array" ref="R424">INDEX(Table1[riBAQ 26], MATCH(1, (Table3[[#This Row],[Gene names]:[Gene names]] = Table1[[Gene names]:[Gene names]])*1, 0))</f>
        <v>5.93035E-4</v>
      </c>
      <c r="S424" cm="1">
        <f t="array" ref="S424">INDEX(Table1[riBAQ 42], MATCH(1, (Table3[[#This Row],[Gene names]:[Gene names]] = Table1[[Gene names]:[Gene names]])*1, 0))</f>
        <v>3.4820899999999999E-4</v>
      </c>
      <c r="T424" cm="1">
        <f t="array" ref="T424">INDEX(Table1[riBAQ 43], MATCH(1, (Table3[[#This Row],[Gene names]:[Gene names]] = Table1[[Gene names]:[Gene names]])*1, 0))</f>
        <v>1.0442069999999999E-3</v>
      </c>
    </row>
    <row r="425" spans="1:20" x14ac:dyDescent="0.25">
      <c r="A425" t="s">
        <v>880</v>
      </c>
      <c r="B425" cm="1">
        <f t="array" ref="B425">INDEX(Table1[riBAQ 17], MATCH(1, (Table3[[#This Row],[Gene names]:[Gene names]] = Table1[[Gene names]:[Gene names]])*1, 0))</f>
        <v>4.7700000000000001E-5</v>
      </c>
      <c r="C425" cm="1">
        <f t="array" ref="C425">INDEX(Table1[riBAQ 18], MATCH(1, (Table3[[#This Row],[Gene names]:[Gene names]] = Table1[[Gene names]:[Gene names]])*1, 0))</f>
        <v>7.3399999999999995E-5</v>
      </c>
      <c r="D425" cm="1">
        <f t="array" ref="D425">INDEX(Table1[riBAQ 35], MATCH(1, (Table3[[#This Row],[Gene names]:[Gene names]] = Table1[[Gene names]:[Gene names]])*1, 0))</f>
        <v>5.3000000000000001E-5</v>
      </c>
      <c r="E425" cm="1">
        <f t="array" ref="E425">INDEX(Table1[riBAQ 36], MATCH(1, (Table3[[#This Row],[Gene names]:[Gene names]] = Table1[[Gene names]:[Gene names]])*1, 0))</f>
        <v>5.7099999999999999E-5</v>
      </c>
      <c r="F425" cm="1">
        <f t="array" ref="F425">INDEX(Table1[riBAQ 19], MATCH(1, (Table3[[#This Row],[Gene names]:[Gene names]] = Table1[[Gene names]:[Gene names]])*1, 0))</f>
        <v>1.01191E-4</v>
      </c>
      <c r="G425" cm="1">
        <f t="array" ref="G425">INDEX(Table1[riBAQ 20], MATCH(1, (Table3[[#This Row],[Gene names]:[Gene names]] = Table1[[Gene names]:[Gene names]])*1, 0))</f>
        <v>1.17583E-4</v>
      </c>
      <c r="H425" cm="1">
        <f t="array" ref="H425">INDEX(Table1[riBAQ 21], MATCH(1, (Table3[[#This Row],[Gene names]:[Gene names]] = Table1[[Gene names]:[Gene names]])*1, 0))</f>
        <v>9.5199999999999997E-5</v>
      </c>
      <c r="I425" cm="1">
        <f t="array" ref="I425">INDEX(Table1[riBAQ 22], MATCH(1, (Table3[[#This Row],[Gene names]:[Gene names]] = Table1[[Gene names]:[Gene names]])*1, 0))</f>
        <v>1.26124E-4</v>
      </c>
      <c r="J425" cm="1">
        <f t="array" ref="J425">INDEX(Table1[riBAQ 23], MATCH(1, (Table3[[#This Row],[Gene names]:[Gene names]] = Table1[[Gene names]:[Gene names]])*1, 0))</f>
        <v>9.1000000000000003E-5</v>
      </c>
      <c r="K425" cm="1">
        <f t="array" ref="K425">INDEX(Table1[riBAQ 37], MATCH(1, (Table3[[#This Row],[Gene names]:[Gene names]] = Table1[[Gene names]:[Gene names]])*1, 0))</f>
        <v>9.7899999999999994E-5</v>
      </c>
      <c r="L425" cm="1">
        <f t="array" ref="L425">INDEX(Table1[riBAQ 38], MATCH(1, (Table3[[#This Row],[Gene names]:[Gene names]] = Table1[[Gene names]:[Gene names]])*1, 0))</f>
        <v>9.7800000000000006E-5</v>
      </c>
      <c r="M425" cm="1">
        <f t="array" ref="M425">INDEX(Table1[riBAQ 39], MATCH(1, (Table3[[#This Row],[Gene names]:[Gene names]] = Table1[[Gene names]:[Gene names]])*1, 0))</f>
        <v>8.2299999999999995E-5</v>
      </c>
      <c r="N425" cm="1">
        <f t="array" ref="N425">INDEX(Table1[riBAQ 40], MATCH(1, (Table3[[#This Row],[Gene names]:[Gene names]] = Table1[[Gene names]:[Gene names]])*1, 0))</f>
        <v>7.4999999999999993E-5</v>
      </c>
      <c r="O425" cm="1">
        <f t="array" ref="O425">INDEX(Table1[riBAQ 41], MATCH(1, (Table3[[#This Row],[Gene names]:[Gene names]] = Table1[[Gene names]:[Gene names]])*1, 0))</f>
        <v>9.1100000000000005E-5</v>
      </c>
      <c r="P425" cm="1">
        <f t="array" ref="P425">INDEX(Table1[riBAQ 24], MATCH(1, (Table3[[#This Row],[Gene names]:[Gene names]] = Table1[[Gene names]:[Gene names]])*1, 0))</f>
        <v>1.68746E-4</v>
      </c>
      <c r="Q425" cm="1">
        <f t="array" ref="Q425">INDEX(Table1[riBAQ 25], MATCH(1, (Table3[[#This Row],[Gene names]:[Gene names]] = Table1[[Gene names]:[Gene names]])*1, 0))</f>
        <v>1.92418E-4</v>
      </c>
      <c r="R425" cm="1">
        <f t="array" ref="R425">INDEX(Table1[riBAQ 26], MATCH(1, (Table3[[#This Row],[Gene names]:[Gene names]] = Table1[[Gene names]:[Gene names]])*1, 0))</f>
        <v>2.5487799999999999E-4</v>
      </c>
      <c r="S425" cm="1">
        <f t="array" ref="S425">INDEX(Table1[riBAQ 42], MATCH(1, (Table3[[#This Row],[Gene names]:[Gene names]] = Table1[[Gene names]:[Gene names]])*1, 0))</f>
        <v>2.56414E-4</v>
      </c>
      <c r="T425" cm="1">
        <f t="array" ref="T425">INDEX(Table1[riBAQ 43], MATCH(1, (Table3[[#This Row],[Gene names]:[Gene names]] = Table1[[Gene names]:[Gene names]])*1, 0))</f>
        <v>1.4252500000000001E-4</v>
      </c>
    </row>
    <row r="426" spans="1:20" x14ac:dyDescent="0.25">
      <c r="A426" t="s">
        <v>1312</v>
      </c>
      <c r="B426" cm="1">
        <f t="array" ref="B426">INDEX(Table1[riBAQ 17], MATCH(1, (Table3[[#This Row],[Gene names]:[Gene names]] = Table1[[Gene names]:[Gene names]])*1, 0))</f>
        <v>0</v>
      </c>
      <c r="C426" cm="1">
        <f t="array" ref="C426">INDEX(Table1[riBAQ 18], MATCH(1, (Table3[[#This Row],[Gene names]:[Gene names]] = Table1[[Gene names]:[Gene names]])*1, 0))</f>
        <v>0</v>
      </c>
      <c r="D426" cm="1">
        <f t="array" ref="D426">INDEX(Table1[riBAQ 35], MATCH(1, (Table3[[#This Row],[Gene names]:[Gene names]] = Table1[[Gene names]:[Gene names]])*1, 0))</f>
        <v>0</v>
      </c>
      <c r="E426" cm="1">
        <f t="array" ref="E426">INDEX(Table1[riBAQ 36], MATCH(1, (Table3[[#This Row],[Gene names]:[Gene names]] = Table1[[Gene names]:[Gene names]])*1, 0))</f>
        <v>0</v>
      </c>
      <c r="F426" cm="1">
        <f t="array" ref="F426">INDEX(Table1[riBAQ 19], MATCH(1, (Table3[[#This Row],[Gene names]:[Gene names]] = Table1[[Gene names]:[Gene names]])*1, 0))</f>
        <v>5.22E-6</v>
      </c>
      <c r="G426" cm="1">
        <f t="array" ref="G426">INDEX(Table1[riBAQ 20], MATCH(1, (Table3[[#This Row],[Gene names]:[Gene names]] = Table1[[Gene names]:[Gene names]])*1, 0))</f>
        <v>0</v>
      </c>
      <c r="H426" cm="1">
        <f t="array" ref="H426">INDEX(Table1[riBAQ 21], MATCH(1, (Table3[[#This Row],[Gene names]:[Gene names]] = Table1[[Gene names]:[Gene names]])*1, 0))</f>
        <v>0</v>
      </c>
      <c r="I426" cm="1">
        <f t="array" ref="I426">INDEX(Table1[riBAQ 22], MATCH(1, (Table3[[#This Row],[Gene names]:[Gene names]] = Table1[[Gene names]:[Gene names]])*1, 0))</f>
        <v>0</v>
      </c>
      <c r="J426" cm="1">
        <f t="array" ref="J426">INDEX(Table1[riBAQ 23], MATCH(1, (Table3[[#This Row],[Gene names]:[Gene names]] = Table1[[Gene names]:[Gene names]])*1, 0))</f>
        <v>0</v>
      </c>
      <c r="K426" cm="1">
        <f t="array" ref="K426">INDEX(Table1[riBAQ 37], MATCH(1, (Table3[[#This Row],[Gene names]:[Gene names]] = Table1[[Gene names]:[Gene names]])*1, 0))</f>
        <v>0</v>
      </c>
      <c r="L426" cm="1">
        <f t="array" ref="L426">INDEX(Table1[riBAQ 38], MATCH(1, (Table3[[#This Row],[Gene names]:[Gene names]] = Table1[[Gene names]:[Gene names]])*1, 0))</f>
        <v>0</v>
      </c>
      <c r="M426" cm="1">
        <f t="array" ref="M426">INDEX(Table1[riBAQ 39], MATCH(1, (Table3[[#This Row],[Gene names]:[Gene names]] = Table1[[Gene names]:[Gene names]])*1, 0))</f>
        <v>0</v>
      </c>
      <c r="N426" cm="1">
        <f t="array" ref="N426">INDEX(Table1[riBAQ 40], MATCH(1, (Table3[[#This Row],[Gene names]:[Gene names]] = Table1[[Gene names]:[Gene names]])*1, 0))</f>
        <v>0</v>
      </c>
      <c r="O426" cm="1">
        <f t="array" ref="O426">INDEX(Table1[riBAQ 41], MATCH(1, (Table3[[#This Row],[Gene names]:[Gene names]] = Table1[[Gene names]:[Gene names]])*1, 0))</f>
        <v>0</v>
      </c>
      <c r="P426" cm="1">
        <f t="array" ref="P426">INDEX(Table1[riBAQ 24], MATCH(1, (Table3[[#This Row],[Gene names]:[Gene names]] = Table1[[Gene names]:[Gene names]])*1, 0))</f>
        <v>0</v>
      </c>
      <c r="Q426" cm="1">
        <f t="array" ref="Q426">INDEX(Table1[riBAQ 25], MATCH(1, (Table3[[#This Row],[Gene names]:[Gene names]] = Table1[[Gene names]:[Gene names]])*1, 0))</f>
        <v>3.9799999999999998E-5</v>
      </c>
      <c r="R426" cm="1">
        <f t="array" ref="R426">INDEX(Table1[riBAQ 26], MATCH(1, (Table3[[#This Row],[Gene names]:[Gene names]] = Table1[[Gene names]:[Gene names]])*1, 0))</f>
        <v>3.1999999999999999E-5</v>
      </c>
      <c r="S426" cm="1">
        <f t="array" ref="S426">INDEX(Table1[riBAQ 42], MATCH(1, (Table3[[#This Row],[Gene names]:[Gene names]] = Table1[[Gene names]:[Gene names]])*1, 0))</f>
        <v>5.2900000000000002E-6</v>
      </c>
      <c r="T426" cm="1">
        <f t="array" ref="T426">INDEX(Table1[riBAQ 43], MATCH(1, (Table3[[#This Row],[Gene names]:[Gene names]] = Table1[[Gene names]:[Gene names]])*1, 0))</f>
        <v>5.1700000000000003E-5</v>
      </c>
    </row>
    <row r="427" spans="1:20" x14ac:dyDescent="0.25">
      <c r="A427" t="s">
        <v>1396</v>
      </c>
      <c r="B427" cm="1">
        <f t="array" ref="B427">INDEX(Table1[riBAQ 17], MATCH(1, (Table3[[#This Row],[Gene names]:[Gene names]] = Table1[[Gene names]:[Gene names]])*1, 0))</f>
        <v>6.1400000000000002E-5</v>
      </c>
      <c r="C427" cm="1">
        <f t="array" ref="C427">INDEX(Table1[riBAQ 18], MATCH(1, (Table3[[#This Row],[Gene names]:[Gene names]] = Table1[[Gene names]:[Gene names]])*1, 0))</f>
        <v>6.5400000000000004E-5</v>
      </c>
      <c r="D427" cm="1">
        <f t="array" ref="D427">INDEX(Table1[riBAQ 35], MATCH(1, (Table3[[#This Row],[Gene names]:[Gene names]] = Table1[[Gene names]:[Gene names]])*1, 0))</f>
        <v>5.9799999999999997E-5</v>
      </c>
      <c r="E427" cm="1">
        <f t="array" ref="E427">INDEX(Table1[riBAQ 36], MATCH(1, (Table3[[#This Row],[Gene names]:[Gene names]] = Table1[[Gene names]:[Gene names]])*1, 0))</f>
        <v>5.4200000000000003E-5</v>
      </c>
      <c r="F427" cm="1">
        <f t="array" ref="F427">INDEX(Table1[riBAQ 19], MATCH(1, (Table3[[#This Row],[Gene names]:[Gene names]] = Table1[[Gene names]:[Gene names]])*1, 0))</f>
        <v>6.8700000000000003E-5</v>
      </c>
      <c r="G427" cm="1">
        <f t="array" ref="G427">INDEX(Table1[riBAQ 20], MATCH(1, (Table3[[#This Row],[Gene names]:[Gene names]] = Table1[[Gene names]:[Gene names]])*1, 0))</f>
        <v>5.8799999999999999E-5</v>
      </c>
      <c r="H427" cm="1">
        <f t="array" ref="H427">INDEX(Table1[riBAQ 21], MATCH(1, (Table3[[#This Row],[Gene names]:[Gene names]] = Table1[[Gene names]:[Gene names]])*1, 0))</f>
        <v>4.5500000000000001E-5</v>
      </c>
      <c r="I427" cm="1">
        <f t="array" ref="I427">INDEX(Table1[riBAQ 22], MATCH(1, (Table3[[#This Row],[Gene names]:[Gene names]] = Table1[[Gene names]:[Gene names]])*1, 0))</f>
        <v>4.2799999999999997E-5</v>
      </c>
      <c r="J427" cm="1">
        <f t="array" ref="J427">INDEX(Table1[riBAQ 23], MATCH(1, (Table3[[#This Row],[Gene names]:[Gene names]] = Table1[[Gene names]:[Gene names]])*1, 0))</f>
        <v>5.2200000000000002E-5</v>
      </c>
      <c r="K427" cm="1">
        <f t="array" ref="K427">INDEX(Table1[riBAQ 37], MATCH(1, (Table3[[#This Row],[Gene names]:[Gene names]] = Table1[[Gene names]:[Gene names]])*1, 0))</f>
        <v>5.3900000000000002E-5</v>
      </c>
      <c r="L427" cm="1">
        <f t="array" ref="L427">INDEX(Table1[riBAQ 38], MATCH(1, (Table3[[#This Row],[Gene names]:[Gene names]] = Table1[[Gene names]:[Gene names]])*1, 0))</f>
        <v>5.4299999999999998E-5</v>
      </c>
      <c r="M427" cm="1">
        <f t="array" ref="M427">INDEX(Table1[riBAQ 39], MATCH(1, (Table3[[#This Row],[Gene names]:[Gene names]] = Table1[[Gene names]:[Gene names]])*1, 0))</f>
        <v>7.3800000000000005E-5</v>
      </c>
      <c r="N427" cm="1">
        <f t="array" ref="N427">INDEX(Table1[riBAQ 40], MATCH(1, (Table3[[#This Row],[Gene names]:[Gene names]] = Table1[[Gene names]:[Gene names]])*1, 0))</f>
        <v>4.6799999999999999E-5</v>
      </c>
      <c r="O427" cm="1">
        <f t="array" ref="O427">INDEX(Table1[riBAQ 41], MATCH(1, (Table3[[#This Row],[Gene names]:[Gene names]] = Table1[[Gene names]:[Gene names]])*1, 0))</f>
        <v>5.1400000000000003E-5</v>
      </c>
      <c r="P427" cm="1">
        <f t="array" ref="P427">INDEX(Table1[riBAQ 24], MATCH(1, (Table3[[#This Row],[Gene names]:[Gene names]] = Table1[[Gene names]:[Gene names]])*1, 0))</f>
        <v>4.1E-5</v>
      </c>
      <c r="Q427" cm="1">
        <f t="array" ref="Q427">INDEX(Table1[riBAQ 25], MATCH(1, (Table3[[#This Row],[Gene names]:[Gene names]] = Table1[[Gene names]:[Gene names]])*1, 0))</f>
        <v>3.0700000000000001E-5</v>
      </c>
      <c r="R427" cm="1">
        <f t="array" ref="R427">INDEX(Table1[riBAQ 26], MATCH(1, (Table3[[#This Row],[Gene names]:[Gene names]] = Table1[[Gene names]:[Gene names]])*1, 0))</f>
        <v>3.6600000000000002E-5</v>
      </c>
      <c r="S427" cm="1">
        <f t="array" ref="S427">INDEX(Table1[riBAQ 42], MATCH(1, (Table3[[#This Row],[Gene names]:[Gene names]] = Table1[[Gene names]:[Gene names]])*1, 0))</f>
        <v>4.4100000000000001E-5</v>
      </c>
      <c r="T427" cm="1">
        <f t="array" ref="T427">INDEX(Table1[riBAQ 43], MATCH(1, (Table3[[#This Row],[Gene names]:[Gene names]] = Table1[[Gene names]:[Gene names]])*1, 0))</f>
        <v>2.3799999999999999E-5</v>
      </c>
    </row>
    <row r="428" spans="1:20" x14ac:dyDescent="0.25">
      <c r="A428" t="s">
        <v>878</v>
      </c>
      <c r="B428" cm="1">
        <f t="array" ref="B428">INDEX(Table1[riBAQ 17], MATCH(1, (Table3[[#This Row],[Gene names]:[Gene names]] = Table1[[Gene names]:[Gene names]])*1, 0))</f>
        <v>0</v>
      </c>
      <c r="C428" cm="1">
        <f t="array" ref="C428">INDEX(Table1[riBAQ 18], MATCH(1, (Table3[[#This Row],[Gene names]:[Gene names]] = Table1[[Gene names]:[Gene names]])*1, 0))</f>
        <v>0</v>
      </c>
      <c r="D428" cm="1">
        <f t="array" ref="D428">INDEX(Table1[riBAQ 35], MATCH(1, (Table3[[#This Row],[Gene names]:[Gene names]] = Table1[[Gene names]:[Gene names]])*1, 0))</f>
        <v>0</v>
      </c>
      <c r="E428" cm="1">
        <f t="array" ref="E428">INDEX(Table1[riBAQ 36], MATCH(1, (Table3[[#This Row],[Gene names]:[Gene names]] = Table1[[Gene names]:[Gene names]])*1, 0))</f>
        <v>0</v>
      </c>
      <c r="F428" cm="1">
        <f t="array" ref="F428">INDEX(Table1[riBAQ 19], MATCH(1, (Table3[[#This Row],[Gene names]:[Gene names]] = Table1[[Gene names]:[Gene names]])*1, 0))</f>
        <v>2.09E-5</v>
      </c>
      <c r="G428" cm="1">
        <f t="array" ref="G428">INDEX(Table1[riBAQ 20], MATCH(1, (Table3[[#This Row],[Gene names]:[Gene names]] = Table1[[Gene names]:[Gene names]])*1, 0))</f>
        <v>1.6900000000000001E-5</v>
      </c>
      <c r="H428" cm="1">
        <f t="array" ref="H428">INDEX(Table1[riBAQ 21], MATCH(1, (Table3[[#This Row],[Gene names]:[Gene names]] = Table1[[Gene names]:[Gene names]])*1, 0))</f>
        <v>9.2699999999999993E-6</v>
      </c>
      <c r="I428" cm="1">
        <f t="array" ref="I428">INDEX(Table1[riBAQ 22], MATCH(1, (Table3[[#This Row],[Gene names]:[Gene names]] = Table1[[Gene names]:[Gene names]])*1, 0))</f>
        <v>2.3099999999999999E-5</v>
      </c>
      <c r="J428" cm="1">
        <f t="array" ref="J428">INDEX(Table1[riBAQ 23], MATCH(1, (Table3[[#This Row],[Gene names]:[Gene names]] = Table1[[Gene names]:[Gene names]])*1, 0))</f>
        <v>1.4399999999999999E-5</v>
      </c>
      <c r="K428" cm="1">
        <f t="array" ref="K428">INDEX(Table1[riBAQ 37], MATCH(1, (Table3[[#This Row],[Gene names]:[Gene names]] = Table1[[Gene names]:[Gene names]])*1, 0))</f>
        <v>6.1500000000000004E-6</v>
      </c>
      <c r="L428" cm="1">
        <f t="array" ref="L428">INDEX(Table1[riBAQ 38], MATCH(1, (Table3[[#This Row],[Gene names]:[Gene names]] = Table1[[Gene names]:[Gene names]])*1, 0))</f>
        <v>5.8599999999999998E-6</v>
      </c>
      <c r="M428" cm="1">
        <f t="array" ref="M428">INDEX(Table1[riBAQ 39], MATCH(1, (Table3[[#This Row],[Gene names]:[Gene names]] = Table1[[Gene names]:[Gene names]])*1, 0))</f>
        <v>3.98E-6</v>
      </c>
      <c r="N428" cm="1">
        <f t="array" ref="N428">INDEX(Table1[riBAQ 40], MATCH(1, (Table3[[#This Row],[Gene names]:[Gene names]] = Table1[[Gene names]:[Gene names]])*1, 0))</f>
        <v>1.04E-5</v>
      </c>
      <c r="O428" cm="1">
        <f t="array" ref="O428">INDEX(Table1[riBAQ 41], MATCH(1, (Table3[[#This Row],[Gene names]:[Gene names]] = Table1[[Gene names]:[Gene names]])*1, 0))</f>
        <v>9.4299999999999995E-6</v>
      </c>
      <c r="P428" cm="1">
        <f t="array" ref="P428">INDEX(Table1[riBAQ 24], MATCH(1, (Table3[[#This Row],[Gene names]:[Gene names]] = Table1[[Gene names]:[Gene names]])*1, 0))</f>
        <v>3.7700000000000002E-5</v>
      </c>
      <c r="Q428" cm="1">
        <f t="array" ref="Q428">INDEX(Table1[riBAQ 25], MATCH(1, (Table3[[#This Row],[Gene names]:[Gene names]] = Table1[[Gene names]:[Gene names]])*1, 0))</f>
        <v>2.3900000000000002E-5</v>
      </c>
      <c r="R428" cm="1">
        <f t="array" ref="R428">INDEX(Table1[riBAQ 26], MATCH(1, (Table3[[#This Row],[Gene names]:[Gene names]] = Table1[[Gene names]:[Gene names]])*1, 0))</f>
        <v>4.74E-5</v>
      </c>
      <c r="S428" cm="1">
        <f t="array" ref="S428">INDEX(Table1[riBAQ 42], MATCH(1, (Table3[[#This Row],[Gene names]:[Gene names]] = Table1[[Gene names]:[Gene names]])*1, 0))</f>
        <v>2.51E-5</v>
      </c>
      <c r="T428" cm="1">
        <f t="array" ref="T428">INDEX(Table1[riBAQ 43], MATCH(1, (Table3[[#This Row],[Gene names]:[Gene names]] = Table1[[Gene names]:[Gene names]])*1, 0))</f>
        <v>1.7200000000000001E-5</v>
      </c>
    </row>
    <row r="429" spans="1:20" x14ac:dyDescent="0.25">
      <c r="A429" t="s">
        <v>572</v>
      </c>
      <c r="B429" cm="1">
        <f t="array" ref="B429">INDEX(Table1[riBAQ 17], MATCH(1, (Table3[[#This Row],[Gene names]:[Gene names]] = Table1[[Gene names]:[Gene names]])*1, 0))</f>
        <v>6.2485800000000005E-4</v>
      </c>
      <c r="C429" cm="1">
        <f t="array" ref="C429">INDEX(Table1[riBAQ 18], MATCH(1, (Table3[[#This Row],[Gene names]:[Gene names]] = Table1[[Gene names]:[Gene names]])*1, 0))</f>
        <v>3.6403500000000002E-4</v>
      </c>
      <c r="D429" cm="1">
        <f t="array" ref="D429">INDEX(Table1[riBAQ 35], MATCH(1, (Table3[[#This Row],[Gene names]:[Gene names]] = Table1[[Gene names]:[Gene names]])*1, 0))</f>
        <v>2.4230500000000001E-4</v>
      </c>
      <c r="E429" cm="1">
        <f t="array" ref="E429">INDEX(Table1[riBAQ 36], MATCH(1, (Table3[[#This Row],[Gene names]:[Gene names]] = Table1[[Gene names]:[Gene names]])*1, 0))</f>
        <v>1.78357E-4</v>
      </c>
      <c r="F429" cm="1">
        <f t="array" ref="F429">INDEX(Table1[riBAQ 19], MATCH(1, (Table3[[#This Row],[Gene names]:[Gene names]] = Table1[[Gene names]:[Gene names]])*1, 0))</f>
        <v>3.8763699999999998E-4</v>
      </c>
      <c r="G429" cm="1">
        <f t="array" ref="G429">INDEX(Table1[riBAQ 20], MATCH(1, (Table3[[#This Row],[Gene names]:[Gene names]] = Table1[[Gene names]:[Gene names]])*1, 0))</f>
        <v>8.9156499999999998E-4</v>
      </c>
      <c r="H429" cm="1">
        <f t="array" ref="H429">INDEX(Table1[riBAQ 21], MATCH(1, (Table3[[#This Row],[Gene names]:[Gene names]] = Table1[[Gene names]:[Gene names]])*1, 0))</f>
        <v>5.67929E-4</v>
      </c>
      <c r="I429" cm="1">
        <f t="array" ref="I429">INDEX(Table1[riBAQ 22], MATCH(1, (Table3[[#This Row],[Gene names]:[Gene names]] = Table1[[Gene names]:[Gene names]])*1, 0))</f>
        <v>2.0528000000000001E-4</v>
      </c>
      <c r="J429" cm="1">
        <f t="array" ref="J429">INDEX(Table1[riBAQ 23], MATCH(1, (Table3[[#This Row],[Gene names]:[Gene names]] = Table1[[Gene names]:[Gene names]])*1, 0))</f>
        <v>6.7451499999999999E-4</v>
      </c>
      <c r="K429" cm="1">
        <f t="array" ref="K429">INDEX(Table1[riBAQ 37], MATCH(1, (Table3[[#This Row],[Gene names]:[Gene names]] = Table1[[Gene names]:[Gene names]])*1, 0))</f>
        <v>7.6135700000000005E-4</v>
      </c>
      <c r="L429" cm="1">
        <f t="array" ref="L429">INDEX(Table1[riBAQ 38], MATCH(1, (Table3[[#This Row],[Gene names]:[Gene names]] = Table1[[Gene names]:[Gene names]])*1, 0))</f>
        <v>5.6888299999999995E-4</v>
      </c>
      <c r="M429" cm="1">
        <f t="array" ref="M429">INDEX(Table1[riBAQ 39], MATCH(1, (Table3[[#This Row],[Gene names]:[Gene names]] = Table1[[Gene names]:[Gene names]])*1, 0))</f>
        <v>8.3030099999999998E-4</v>
      </c>
      <c r="N429" cm="1">
        <f t="array" ref="N429">INDEX(Table1[riBAQ 40], MATCH(1, (Table3[[#This Row],[Gene names]:[Gene names]] = Table1[[Gene names]:[Gene names]])*1, 0))</f>
        <v>3.5480400000000001E-4</v>
      </c>
      <c r="O429" cm="1">
        <f t="array" ref="O429">INDEX(Table1[riBAQ 41], MATCH(1, (Table3[[#This Row],[Gene names]:[Gene names]] = Table1[[Gene names]:[Gene names]])*1, 0))</f>
        <v>5.9339199999999999E-4</v>
      </c>
      <c r="P429" cm="1">
        <f t="array" ref="P429">INDEX(Table1[riBAQ 24], MATCH(1, (Table3[[#This Row],[Gene names]:[Gene names]] = Table1[[Gene names]:[Gene names]])*1, 0))</f>
        <v>9.0695499999999998E-4</v>
      </c>
      <c r="Q429" cm="1">
        <f t="array" ref="Q429">INDEX(Table1[riBAQ 25], MATCH(1, (Table3[[#This Row],[Gene names]:[Gene names]] = Table1[[Gene names]:[Gene names]])*1, 0))</f>
        <v>1.0778960000000001E-3</v>
      </c>
      <c r="R429" cm="1">
        <f t="array" ref="R429">INDEX(Table1[riBAQ 26], MATCH(1, (Table3[[#This Row],[Gene names]:[Gene names]] = Table1[[Gene names]:[Gene names]])*1, 0))</f>
        <v>8.3640400000000001E-4</v>
      </c>
      <c r="S429" cm="1">
        <f t="array" ref="S429">INDEX(Table1[riBAQ 42], MATCH(1, (Table3[[#This Row],[Gene names]:[Gene names]] = Table1[[Gene names]:[Gene names]])*1, 0))</f>
        <v>1.0034390000000001E-3</v>
      </c>
      <c r="T429" cm="1">
        <f t="array" ref="T429">INDEX(Table1[riBAQ 43], MATCH(1, (Table3[[#This Row],[Gene names]:[Gene names]] = Table1[[Gene names]:[Gene names]])*1, 0))</f>
        <v>7.3288699999999999E-4</v>
      </c>
    </row>
    <row r="430" spans="1:20" x14ac:dyDescent="0.25">
      <c r="A430" t="s">
        <v>879</v>
      </c>
      <c r="B430" cm="1">
        <f t="array" ref="B430">INDEX(Table1[riBAQ 17], MATCH(1, (Table3[[#This Row],[Gene names]:[Gene names]] = Table1[[Gene names]:[Gene names]])*1, 0))</f>
        <v>2.35021E-4</v>
      </c>
      <c r="C430" cm="1">
        <f t="array" ref="C430">INDEX(Table1[riBAQ 18], MATCH(1, (Table3[[#This Row],[Gene names]:[Gene names]] = Table1[[Gene names]:[Gene names]])*1, 0))</f>
        <v>1.3065900000000001E-4</v>
      </c>
      <c r="D430" cm="1">
        <f t="array" ref="D430">INDEX(Table1[riBAQ 35], MATCH(1, (Table3[[#This Row],[Gene names]:[Gene names]] = Table1[[Gene names]:[Gene names]])*1, 0))</f>
        <v>1.0851E-4</v>
      </c>
      <c r="E430" cm="1">
        <f t="array" ref="E430">INDEX(Table1[riBAQ 36], MATCH(1, (Table3[[#This Row],[Gene names]:[Gene names]] = Table1[[Gene names]:[Gene names]])*1, 0))</f>
        <v>1.42831E-4</v>
      </c>
      <c r="F430" cm="1">
        <f t="array" ref="F430">INDEX(Table1[riBAQ 19], MATCH(1, (Table3[[#This Row],[Gene names]:[Gene names]] = Table1[[Gene names]:[Gene names]])*1, 0))</f>
        <v>3.17454E-4</v>
      </c>
      <c r="G430" cm="1">
        <f t="array" ref="G430">INDEX(Table1[riBAQ 20], MATCH(1, (Table3[[#This Row],[Gene names]:[Gene names]] = Table1[[Gene names]:[Gene names]])*1, 0))</f>
        <v>2.0197999999999999E-4</v>
      </c>
      <c r="H430" cm="1">
        <f t="array" ref="H430">INDEX(Table1[riBAQ 21], MATCH(1, (Table3[[#This Row],[Gene names]:[Gene names]] = Table1[[Gene names]:[Gene names]])*1, 0))</f>
        <v>3.5282899999999998E-4</v>
      </c>
      <c r="I430" cm="1">
        <f t="array" ref="I430">INDEX(Table1[riBAQ 22], MATCH(1, (Table3[[#This Row],[Gene names]:[Gene names]] = Table1[[Gene names]:[Gene names]])*1, 0))</f>
        <v>2.37669E-4</v>
      </c>
      <c r="J430" cm="1">
        <f t="array" ref="J430">INDEX(Table1[riBAQ 23], MATCH(1, (Table3[[#This Row],[Gene names]:[Gene names]] = Table1[[Gene names]:[Gene names]])*1, 0))</f>
        <v>3.3654699999999997E-4</v>
      </c>
      <c r="K430" cm="1">
        <f t="array" ref="K430">INDEX(Table1[riBAQ 37], MATCH(1, (Table3[[#This Row],[Gene names]:[Gene names]] = Table1[[Gene names]:[Gene names]])*1, 0))</f>
        <v>3.0120199999999998E-4</v>
      </c>
      <c r="L430" cm="1">
        <f t="array" ref="L430">INDEX(Table1[riBAQ 38], MATCH(1, (Table3[[#This Row],[Gene names]:[Gene names]] = Table1[[Gene names]:[Gene names]])*1, 0))</f>
        <v>2.5974599999999999E-4</v>
      </c>
      <c r="M430" cm="1">
        <f t="array" ref="M430">INDEX(Table1[riBAQ 39], MATCH(1, (Table3[[#This Row],[Gene names]:[Gene names]] = Table1[[Gene names]:[Gene names]])*1, 0))</f>
        <v>4.1397599999999998E-4</v>
      </c>
      <c r="N430" cm="1">
        <f t="array" ref="N430">INDEX(Table1[riBAQ 40], MATCH(1, (Table3[[#This Row],[Gene names]:[Gene names]] = Table1[[Gene names]:[Gene names]])*1, 0))</f>
        <v>2.8661399999999998E-4</v>
      </c>
      <c r="O430" cm="1">
        <f t="array" ref="O430">INDEX(Table1[riBAQ 41], MATCH(1, (Table3[[#This Row],[Gene names]:[Gene names]] = Table1[[Gene names]:[Gene names]])*1, 0))</f>
        <v>2.38297E-4</v>
      </c>
      <c r="P430" cm="1">
        <f t="array" ref="P430">INDEX(Table1[riBAQ 24], MATCH(1, (Table3[[#This Row],[Gene names]:[Gene names]] = Table1[[Gene names]:[Gene names]])*1, 0))</f>
        <v>5.5450699999999998E-4</v>
      </c>
      <c r="Q430" cm="1">
        <f t="array" ref="Q430">INDEX(Table1[riBAQ 25], MATCH(1, (Table3[[#This Row],[Gene names]:[Gene names]] = Table1[[Gene names]:[Gene names]])*1, 0))</f>
        <v>9.5283100000000001E-4</v>
      </c>
      <c r="R430" cm="1">
        <f t="array" ref="R430">INDEX(Table1[riBAQ 26], MATCH(1, (Table3[[#This Row],[Gene names]:[Gene names]] = Table1[[Gene names]:[Gene names]])*1, 0))</f>
        <v>9.72386E-4</v>
      </c>
      <c r="S430" cm="1">
        <f t="array" ref="S430">INDEX(Table1[riBAQ 42], MATCH(1, (Table3[[#This Row],[Gene names]:[Gene names]] = Table1[[Gene names]:[Gene names]])*1, 0))</f>
        <v>8.6994999999999998E-4</v>
      </c>
      <c r="T430" cm="1">
        <f t="array" ref="T430">INDEX(Table1[riBAQ 43], MATCH(1, (Table3[[#This Row],[Gene names]:[Gene names]] = Table1[[Gene names]:[Gene names]])*1, 0))</f>
        <v>8.0196E-4</v>
      </c>
    </row>
    <row r="431" spans="1:20" x14ac:dyDescent="0.25">
      <c r="A431" t="s">
        <v>291</v>
      </c>
      <c r="B431" cm="1">
        <f t="array" ref="B431">INDEX(Table1[riBAQ 17], MATCH(1, (Table3[[#This Row],[Gene names]:[Gene names]] = Table1[[Gene names]:[Gene names]])*1, 0))</f>
        <v>1.13217E-4</v>
      </c>
      <c r="C431" cm="1">
        <f t="array" ref="C431">INDEX(Table1[riBAQ 18], MATCH(1, (Table3[[#This Row],[Gene names]:[Gene names]] = Table1[[Gene names]:[Gene names]])*1, 0))</f>
        <v>1.12237E-4</v>
      </c>
      <c r="D431" cm="1">
        <f t="array" ref="D431">INDEX(Table1[riBAQ 35], MATCH(1, (Table3[[#This Row],[Gene names]:[Gene names]] = Table1[[Gene names]:[Gene names]])*1, 0))</f>
        <v>1.17623E-4</v>
      </c>
      <c r="E431" cm="1">
        <f t="array" ref="E431">INDEX(Table1[riBAQ 36], MATCH(1, (Table3[[#This Row],[Gene names]:[Gene names]] = Table1[[Gene names]:[Gene names]])*1, 0))</f>
        <v>1.13223E-4</v>
      </c>
      <c r="F431" cm="1">
        <f t="array" ref="F431">INDEX(Table1[riBAQ 19], MATCH(1, (Table3[[#This Row],[Gene names]:[Gene names]] = Table1[[Gene names]:[Gene names]])*1, 0))</f>
        <v>2.21177E-4</v>
      </c>
      <c r="G431" cm="1">
        <f t="array" ref="G431">INDEX(Table1[riBAQ 20], MATCH(1, (Table3[[#This Row],[Gene names]:[Gene names]] = Table1[[Gene names]:[Gene names]])*1, 0))</f>
        <v>7.86E-5</v>
      </c>
      <c r="H431" cm="1">
        <f t="array" ref="H431">INDEX(Table1[riBAQ 21], MATCH(1, (Table3[[#This Row],[Gene names]:[Gene names]] = Table1[[Gene names]:[Gene names]])*1, 0))</f>
        <v>1.18756E-4</v>
      </c>
      <c r="I431" cm="1">
        <f t="array" ref="I431">INDEX(Table1[riBAQ 22], MATCH(1, (Table3[[#This Row],[Gene names]:[Gene names]] = Table1[[Gene names]:[Gene names]])*1, 0))</f>
        <v>1.3542900000000001E-4</v>
      </c>
      <c r="J431" cm="1">
        <f t="array" ref="J431">INDEX(Table1[riBAQ 23], MATCH(1, (Table3[[#This Row],[Gene names]:[Gene names]] = Table1[[Gene names]:[Gene names]])*1, 0))</f>
        <v>1.58014E-4</v>
      </c>
      <c r="K431" cm="1">
        <f t="array" ref="K431">INDEX(Table1[riBAQ 37], MATCH(1, (Table3[[#This Row],[Gene names]:[Gene names]] = Table1[[Gene names]:[Gene names]])*1, 0))</f>
        <v>1.04978E-4</v>
      </c>
      <c r="L431" cm="1">
        <f t="array" ref="L431">INDEX(Table1[riBAQ 38], MATCH(1, (Table3[[#This Row],[Gene names]:[Gene names]] = Table1[[Gene names]:[Gene names]])*1, 0))</f>
        <v>8.9400000000000005E-5</v>
      </c>
      <c r="M431" cm="1">
        <f t="array" ref="M431">INDEX(Table1[riBAQ 39], MATCH(1, (Table3[[#This Row],[Gene names]:[Gene names]] = Table1[[Gene names]:[Gene names]])*1, 0))</f>
        <v>1.42053E-4</v>
      </c>
      <c r="N431" cm="1">
        <f t="array" ref="N431">INDEX(Table1[riBAQ 40], MATCH(1, (Table3[[#This Row],[Gene names]:[Gene names]] = Table1[[Gene names]:[Gene names]])*1, 0))</f>
        <v>7.4900000000000005E-5</v>
      </c>
      <c r="O431" cm="1">
        <f t="array" ref="O431">INDEX(Table1[riBAQ 41], MATCH(1, (Table3[[#This Row],[Gene names]:[Gene names]] = Table1[[Gene names]:[Gene names]])*1, 0))</f>
        <v>7.7200000000000006E-5</v>
      </c>
      <c r="P431" cm="1">
        <f t="array" ref="P431">INDEX(Table1[riBAQ 24], MATCH(1, (Table3[[#This Row],[Gene names]:[Gene names]] = Table1[[Gene names]:[Gene names]])*1, 0))</f>
        <v>1.73843E-4</v>
      </c>
      <c r="Q431" cm="1">
        <f t="array" ref="Q431">INDEX(Table1[riBAQ 25], MATCH(1, (Table3[[#This Row],[Gene names]:[Gene names]] = Table1[[Gene names]:[Gene names]])*1, 0))</f>
        <v>4.0858399999999998E-4</v>
      </c>
      <c r="R431" cm="1">
        <f t="array" ref="R431">INDEX(Table1[riBAQ 26], MATCH(1, (Table3[[#This Row],[Gene names]:[Gene names]] = Table1[[Gene names]:[Gene names]])*1, 0))</f>
        <v>4.4544400000000003E-4</v>
      </c>
      <c r="S431" cm="1">
        <f t="array" ref="S431">INDEX(Table1[riBAQ 42], MATCH(1, (Table3[[#This Row],[Gene names]:[Gene names]] = Table1[[Gene names]:[Gene names]])*1, 0))</f>
        <v>2.9249099999999997E-4</v>
      </c>
      <c r="T431" cm="1">
        <f t="array" ref="T431">INDEX(Table1[riBAQ 43], MATCH(1, (Table3[[#This Row],[Gene names]:[Gene names]] = Table1[[Gene names]:[Gene names]])*1, 0))</f>
        <v>1.88192E-4</v>
      </c>
    </row>
    <row r="432" spans="1:20" x14ac:dyDescent="0.25">
      <c r="A432" t="s">
        <v>302</v>
      </c>
      <c r="B432" cm="1">
        <f t="array" ref="B432">INDEX(Table1[riBAQ 17], MATCH(1, (Table3[[#This Row],[Gene names]:[Gene names]] = Table1[[Gene names]:[Gene names]])*1, 0))</f>
        <v>8.3700000000000002E-5</v>
      </c>
      <c r="C432" cm="1">
        <f t="array" ref="C432">INDEX(Table1[riBAQ 18], MATCH(1, (Table3[[#This Row],[Gene names]:[Gene names]] = Table1[[Gene names]:[Gene names]])*1, 0))</f>
        <v>7.1699999999999995E-5</v>
      </c>
      <c r="D432" cm="1">
        <f t="array" ref="D432">INDEX(Table1[riBAQ 35], MATCH(1, (Table3[[#This Row],[Gene names]:[Gene names]] = Table1[[Gene names]:[Gene names]])*1, 0))</f>
        <v>7.2700000000000005E-5</v>
      </c>
      <c r="E432" cm="1">
        <f t="array" ref="E432">INDEX(Table1[riBAQ 36], MATCH(1, (Table3[[#This Row],[Gene names]:[Gene names]] = Table1[[Gene names]:[Gene names]])*1, 0))</f>
        <v>3.0599999999999998E-5</v>
      </c>
      <c r="F432" cm="1">
        <f t="array" ref="F432">INDEX(Table1[riBAQ 19], MATCH(1, (Table3[[#This Row],[Gene names]:[Gene names]] = Table1[[Gene names]:[Gene names]])*1, 0))</f>
        <v>7.3300000000000006E-5</v>
      </c>
      <c r="G432" cm="1">
        <f t="array" ref="G432">INDEX(Table1[riBAQ 20], MATCH(1, (Table3[[#This Row],[Gene names]:[Gene names]] = Table1[[Gene names]:[Gene names]])*1, 0))</f>
        <v>8.0099999999999995E-5</v>
      </c>
      <c r="H432" cm="1">
        <f t="array" ref="H432">INDEX(Table1[riBAQ 21], MATCH(1, (Table3[[#This Row],[Gene names]:[Gene names]] = Table1[[Gene names]:[Gene names]])*1, 0))</f>
        <v>1.3668999999999999E-4</v>
      </c>
      <c r="I432" cm="1">
        <f t="array" ref="I432">INDEX(Table1[riBAQ 22], MATCH(1, (Table3[[#This Row],[Gene names]:[Gene names]] = Table1[[Gene names]:[Gene names]])*1, 0))</f>
        <v>5.77E-5</v>
      </c>
      <c r="J432" cm="1">
        <f t="array" ref="J432">INDEX(Table1[riBAQ 23], MATCH(1, (Table3[[#This Row],[Gene names]:[Gene names]] = Table1[[Gene names]:[Gene names]])*1, 0))</f>
        <v>6.9599999999999998E-5</v>
      </c>
      <c r="K432" cm="1">
        <f t="array" ref="K432">INDEX(Table1[riBAQ 37], MATCH(1, (Table3[[#This Row],[Gene names]:[Gene names]] = Table1[[Gene names]:[Gene names]])*1, 0))</f>
        <v>6.1799999999999998E-5</v>
      </c>
      <c r="L432" cm="1">
        <f t="array" ref="L432">INDEX(Table1[riBAQ 38], MATCH(1, (Table3[[#This Row],[Gene names]:[Gene names]] = Table1[[Gene names]:[Gene names]])*1, 0))</f>
        <v>6.7100000000000005E-5</v>
      </c>
      <c r="M432" cm="1">
        <f t="array" ref="M432">INDEX(Table1[riBAQ 39], MATCH(1, (Table3[[#This Row],[Gene names]:[Gene names]] = Table1[[Gene names]:[Gene names]])*1, 0))</f>
        <v>1.32127E-4</v>
      </c>
      <c r="N432" cm="1">
        <f t="array" ref="N432">INDEX(Table1[riBAQ 40], MATCH(1, (Table3[[#This Row],[Gene names]:[Gene names]] = Table1[[Gene names]:[Gene names]])*1, 0))</f>
        <v>1.9613899999999999E-4</v>
      </c>
      <c r="O432" cm="1">
        <f t="array" ref="O432">INDEX(Table1[riBAQ 41], MATCH(1, (Table3[[#This Row],[Gene names]:[Gene names]] = Table1[[Gene names]:[Gene names]])*1, 0))</f>
        <v>1.04293E-4</v>
      </c>
      <c r="P432" cm="1">
        <f t="array" ref="P432">INDEX(Table1[riBAQ 24], MATCH(1, (Table3[[#This Row],[Gene names]:[Gene names]] = Table1[[Gene names]:[Gene names]])*1, 0))</f>
        <v>1.6571199999999999E-4</v>
      </c>
      <c r="Q432" cm="1">
        <f t="array" ref="Q432">INDEX(Table1[riBAQ 25], MATCH(1, (Table3[[#This Row],[Gene names]:[Gene names]] = Table1[[Gene names]:[Gene names]])*1, 0))</f>
        <v>2.4708800000000002E-4</v>
      </c>
      <c r="R432" cm="1">
        <f t="array" ref="R432">INDEX(Table1[riBAQ 26], MATCH(1, (Table3[[#This Row],[Gene names]:[Gene names]] = Table1[[Gene names]:[Gene names]])*1, 0))</f>
        <v>1.5788400000000001E-4</v>
      </c>
      <c r="S432" cm="1">
        <f t="array" ref="S432">INDEX(Table1[riBAQ 42], MATCH(1, (Table3[[#This Row],[Gene names]:[Gene names]] = Table1[[Gene names]:[Gene names]])*1, 0))</f>
        <v>4.2492099999999998E-4</v>
      </c>
      <c r="T432" cm="1">
        <f t="array" ref="T432">INDEX(Table1[riBAQ 43], MATCH(1, (Table3[[#This Row],[Gene names]:[Gene names]] = Table1[[Gene names]:[Gene names]])*1, 0))</f>
        <v>3.8926899999999998E-4</v>
      </c>
    </row>
    <row r="433" spans="1:20" x14ac:dyDescent="0.25">
      <c r="A433" t="s">
        <v>877</v>
      </c>
      <c r="B433" cm="1">
        <f t="array" ref="B433">INDEX(Table1[riBAQ 17], MATCH(1, (Table3[[#This Row],[Gene names]:[Gene names]] = Table1[[Gene names]:[Gene names]])*1, 0))</f>
        <v>1.3630700000000001E-4</v>
      </c>
      <c r="C433" cm="1">
        <f t="array" ref="C433">INDEX(Table1[riBAQ 18], MATCH(1, (Table3[[#This Row],[Gene names]:[Gene names]] = Table1[[Gene names]:[Gene names]])*1, 0))</f>
        <v>1.3172999999999999E-4</v>
      </c>
      <c r="D433" cm="1">
        <f t="array" ref="D433">INDEX(Table1[riBAQ 35], MATCH(1, (Table3[[#This Row],[Gene names]:[Gene names]] = Table1[[Gene names]:[Gene names]])*1, 0))</f>
        <v>1.3324499999999999E-4</v>
      </c>
      <c r="E433" cm="1">
        <f t="array" ref="E433">INDEX(Table1[riBAQ 36], MATCH(1, (Table3[[#This Row],[Gene names]:[Gene names]] = Table1[[Gene names]:[Gene names]])*1, 0))</f>
        <v>1.3059700000000001E-4</v>
      </c>
      <c r="F433" cm="1">
        <f t="array" ref="F433">INDEX(Table1[riBAQ 19], MATCH(1, (Table3[[#This Row],[Gene names]:[Gene names]] = Table1[[Gene names]:[Gene names]])*1, 0))</f>
        <v>1.2591100000000001E-4</v>
      </c>
      <c r="G433" cm="1">
        <f t="array" ref="G433">INDEX(Table1[riBAQ 20], MATCH(1, (Table3[[#This Row],[Gene names]:[Gene names]] = Table1[[Gene names]:[Gene names]])*1, 0))</f>
        <v>1.3821300000000001E-4</v>
      </c>
      <c r="H433" cm="1">
        <f t="array" ref="H433">INDEX(Table1[riBAQ 21], MATCH(1, (Table3[[#This Row],[Gene names]:[Gene names]] = Table1[[Gene names]:[Gene names]])*1, 0))</f>
        <v>1.7324699999999999E-4</v>
      </c>
      <c r="I433" cm="1">
        <f t="array" ref="I433">INDEX(Table1[riBAQ 22], MATCH(1, (Table3[[#This Row],[Gene names]:[Gene names]] = Table1[[Gene names]:[Gene names]])*1, 0))</f>
        <v>1.11527E-4</v>
      </c>
      <c r="J433" cm="1">
        <f t="array" ref="J433">INDEX(Table1[riBAQ 23], MATCH(1, (Table3[[#This Row],[Gene names]:[Gene names]] = Table1[[Gene names]:[Gene names]])*1, 0))</f>
        <v>1.1637E-4</v>
      </c>
      <c r="K433" cm="1">
        <f t="array" ref="K433">INDEX(Table1[riBAQ 37], MATCH(1, (Table3[[#This Row],[Gene names]:[Gene names]] = Table1[[Gene names]:[Gene names]])*1, 0))</f>
        <v>1.5438E-4</v>
      </c>
      <c r="L433" cm="1">
        <f t="array" ref="L433">INDEX(Table1[riBAQ 38], MATCH(1, (Table3[[#This Row],[Gene names]:[Gene names]] = Table1[[Gene names]:[Gene names]])*1, 0))</f>
        <v>1.43986E-4</v>
      </c>
      <c r="M433" cm="1">
        <f t="array" ref="M433">INDEX(Table1[riBAQ 39], MATCH(1, (Table3[[#This Row],[Gene names]:[Gene names]] = Table1[[Gene names]:[Gene names]])*1, 0))</f>
        <v>1.4773600000000001E-4</v>
      </c>
      <c r="N433" cm="1">
        <f t="array" ref="N433">INDEX(Table1[riBAQ 40], MATCH(1, (Table3[[#This Row],[Gene names]:[Gene names]] = Table1[[Gene names]:[Gene names]])*1, 0))</f>
        <v>1.22323E-4</v>
      </c>
      <c r="O433" cm="1">
        <f t="array" ref="O433">INDEX(Table1[riBAQ 41], MATCH(1, (Table3[[#This Row],[Gene names]:[Gene names]] = Table1[[Gene names]:[Gene names]])*1, 0))</f>
        <v>1.0920399999999999E-4</v>
      </c>
      <c r="P433" cm="1">
        <f t="array" ref="P433">INDEX(Table1[riBAQ 24], MATCH(1, (Table3[[#This Row],[Gene names]:[Gene names]] = Table1[[Gene names]:[Gene names]])*1, 0))</f>
        <v>1.7813700000000001E-4</v>
      </c>
      <c r="Q433" cm="1">
        <f t="array" ref="Q433">INDEX(Table1[riBAQ 25], MATCH(1, (Table3[[#This Row],[Gene names]:[Gene names]] = Table1[[Gene names]:[Gene names]])*1, 0))</f>
        <v>1.8345699999999999E-4</v>
      </c>
      <c r="R433" cm="1">
        <f t="array" ref="R433">INDEX(Table1[riBAQ 26], MATCH(1, (Table3[[#This Row],[Gene names]:[Gene names]] = Table1[[Gene names]:[Gene names]])*1, 0))</f>
        <v>2.41652E-4</v>
      </c>
      <c r="S433" cm="1">
        <f t="array" ref="S433">INDEX(Table1[riBAQ 42], MATCH(1, (Table3[[#This Row],[Gene names]:[Gene names]] = Table1[[Gene names]:[Gene names]])*1, 0))</f>
        <v>1.6790300000000001E-4</v>
      </c>
      <c r="T433" cm="1">
        <f t="array" ref="T433">INDEX(Table1[riBAQ 43], MATCH(1, (Table3[[#This Row],[Gene names]:[Gene names]] = Table1[[Gene names]:[Gene names]])*1, 0))</f>
        <v>2.35694E-4</v>
      </c>
    </row>
    <row r="434" spans="1:20" x14ac:dyDescent="0.25">
      <c r="A434" t="s">
        <v>1311</v>
      </c>
      <c r="B434" cm="1">
        <f t="array" ref="B434">INDEX(Table1[riBAQ 17], MATCH(1, (Table3[[#This Row],[Gene names]:[Gene names]] = Table1[[Gene names]:[Gene names]])*1, 0))</f>
        <v>2.05818E-4</v>
      </c>
      <c r="C434" cm="1">
        <f t="array" ref="C434">INDEX(Table1[riBAQ 18], MATCH(1, (Table3[[#This Row],[Gene names]:[Gene names]] = Table1[[Gene names]:[Gene names]])*1, 0))</f>
        <v>1.92623E-4</v>
      </c>
      <c r="D434" cm="1">
        <f t="array" ref="D434">INDEX(Table1[riBAQ 35], MATCH(1, (Table3[[#This Row],[Gene names]:[Gene names]] = Table1[[Gene names]:[Gene names]])*1, 0))</f>
        <v>2.38879E-4</v>
      </c>
      <c r="E434" cm="1">
        <f t="array" ref="E434">INDEX(Table1[riBAQ 36], MATCH(1, (Table3[[#This Row],[Gene names]:[Gene names]] = Table1[[Gene names]:[Gene names]])*1, 0))</f>
        <v>1.2303800000000001E-4</v>
      </c>
      <c r="F434" cm="1">
        <f t="array" ref="F434">INDEX(Table1[riBAQ 19], MATCH(1, (Table3[[#This Row],[Gene names]:[Gene names]] = Table1[[Gene names]:[Gene names]])*1, 0))</f>
        <v>1.8381499999999999E-4</v>
      </c>
      <c r="G434" cm="1">
        <f t="array" ref="G434">INDEX(Table1[riBAQ 20], MATCH(1, (Table3[[#This Row],[Gene names]:[Gene names]] = Table1[[Gene names]:[Gene names]])*1, 0))</f>
        <v>4.1909199999999998E-4</v>
      </c>
      <c r="H434" cm="1">
        <f t="array" ref="H434">INDEX(Table1[riBAQ 21], MATCH(1, (Table3[[#This Row],[Gene names]:[Gene names]] = Table1[[Gene names]:[Gene names]])*1, 0))</f>
        <v>5.8524900000000003E-4</v>
      </c>
      <c r="I434" cm="1">
        <f t="array" ref="I434">INDEX(Table1[riBAQ 22], MATCH(1, (Table3[[#This Row],[Gene names]:[Gene names]] = Table1[[Gene names]:[Gene names]])*1, 0))</f>
        <v>2.6242399999999998E-4</v>
      </c>
      <c r="J434" cm="1">
        <f t="array" ref="J434">INDEX(Table1[riBAQ 23], MATCH(1, (Table3[[#This Row],[Gene names]:[Gene names]] = Table1[[Gene names]:[Gene names]])*1, 0))</f>
        <v>2.3571099999999999E-4</v>
      </c>
      <c r="K434" cm="1">
        <f t="array" ref="K434">INDEX(Table1[riBAQ 37], MATCH(1, (Table3[[#This Row],[Gene names]:[Gene names]] = Table1[[Gene names]:[Gene names]])*1, 0))</f>
        <v>1.41734E-4</v>
      </c>
      <c r="L434" cm="1">
        <f t="array" ref="L434">INDEX(Table1[riBAQ 38], MATCH(1, (Table3[[#This Row],[Gene names]:[Gene names]] = Table1[[Gene names]:[Gene names]])*1, 0))</f>
        <v>2.0579800000000001E-4</v>
      </c>
      <c r="M434" cm="1">
        <f t="array" ref="M434">INDEX(Table1[riBAQ 39], MATCH(1, (Table3[[#This Row],[Gene names]:[Gene names]] = Table1[[Gene names]:[Gene names]])*1, 0))</f>
        <v>3.0569899999999999E-4</v>
      </c>
      <c r="N434" cm="1">
        <f t="array" ref="N434">INDEX(Table1[riBAQ 40], MATCH(1, (Table3[[#This Row],[Gene names]:[Gene names]] = Table1[[Gene names]:[Gene names]])*1, 0))</f>
        <v>4.4032300000000001E-4</v>
      </c>
      <c r="O434" cm="1">
        <f t="array" ref="O434">INDEX(Table1[riBAQ 41], MATCH(1, (Table3[[#This Row],[Gene names]:[Gene names]] = Table1[[Gene names]:[Gene names]])*1, 0))</f>
        <v>2.6454099999999997E-4</v>
      </c>
      <c r="P434" cm="1">
        <f t="array" ref="P434">INDEX(Table1[riBAQ 24], MATCH(1, (Table3[[#This Row],[Gene names]:[Gene names]] = Table1[[Gene names]:[Gene names]])*1, 0))</f>
        <v>3.0991999999999999E-4</v>
      </c>
      <c r="Q434" cm="1">
        <f t="array" ref="Q434">INDEX(Table1[riBAQ 25], MATCH(1, (Table3[[#This Row],[Gene names]:[Gene names]] = Table1[[Gene names]:[Gene names]])*1, 0))</f>
        <v>5.664E-4</v>
      </c>
      <c r="R434" cm="1">
        <f t="array" ref="R434">INDEX(Table1[riBAQ 26], MATCH(1, (Table3[[#This Row],[Gene names]:[Gene names]] = Table1[[Gene names]:[Gene names]])*1, 0))</f>
        <v>3.1220500000000002E-4</v>
      </c>
      <c r="S434" cm="1">
        <f t="array" ref="S434">INDEX(Table1[riBAQ 42], MATCH(1, (Table3[[#This Row],[Gene names]:[Gene names]] = Table1[[Gene names]:[Gene names]])*1, 0))</f>
        <v>0</v>
      </c>
      <c r="T434" cm="1">
        <f t="array" ref="T434">INDEX(Table1[riBAQ 43], MATCH(1, (Table3[[#This Row],[Gene names]:[Gene names]] = Table1[[Gene names]:[Gene names]])*1, 0))</f>
        <v>8.1656299999999997E-4</v>
      </c>
    </row>
    <row r="435" spans="1:20" x14ac:dyDescent="0.25">
      <c r="A435" t="s">
        <v>876</v>
      </c>
      <c r="B435" cm="1">
        <f t="array" ref="B435">INDEX(Table1[riBAQ 17], MATCH(1, (Table3[[#This Row],[Gene names]:[Gene names]] = Table1[[Gene names]:[Gene names]])*1, 0))</f>
        <v>1.17E-5</v>
      </c>
      <c r="C435" cm="1">
        <f t="array" ref="C435">INDEX(Table1[riBAQ 18], MATCH(1, (Table3[[#This Row],[Gene names]:[Gene names]] = Table1[[Gene names]:[Gene names]])*1, 0))</f>
        <v>2.5199999999999999E-5</v>
      </c>
      <c r="D435" cm="1">
        <f t="array" ref="D435">INDEX(Table1[riBAQ 35], MATCH(1, (Table3[[#This Row],[Gene names]:[Gene names]] = Table1[[Gene names]:[Gene names]])*1, 0))</f>
        <v>1.42E-5</v>
      </c>
      <c r="E435" cm="1">
        <f t="array" ref="E435">INDEX(Table1[riBAQ 36], MATCH(1, (Table3[[#This Row],[Gene names]:[Gene names]] = Table1[[Gene names]:[Gene names]])*1, 0))</f>
        <v>1.47E-5</v>
      </c>
      <c r="F435" cm="1">
        <f t="array" ref="F435">INDEX(Table1[riBAQ 19], MATCH(1, (Table3[[#This Row],[Gene names]:[Gene names]] = Table1[[Gene names]:[Gene names]])*1, 0))</f>
        <v>2.7800000000000001E-5</v>
      </c>
      <c r="G435" cm="1">
        <f t="array" ref="G435">INDEX(Table1[riBAQ 20], MATCH(1, (Table3[[#This Row],[Gene names]:[Gene names]] = Table1[[Gene names]:[Gene names]])*1, 0))</f>
        <v>3.6300000000000001E-5</v>
      </c>
      <c r="H435" cm="1">
        <f t="array" ref="H435">INDEX(Table1[riBAQ 21], MATCH(1, (Table3[[#This Row],[Gene names]:[Gene names]] = Table1[[Gene names]:[Gene names]])*1, 0))</f>
        <v>3.6900000000000002E-5</v>
      </c>
      <c r="I435" cm="1">
        <f t="array" ref="I435">INDEX(Table1[riBAQ 22], MATCH(1, (Table3[[#This Row],[Gene names]:[Gene names]] = Table1[[Gene names]:[Gene names]])*1, 0))</f>
        <v>4.85E-5</v>
      </c>
      <c r="J435" cm="1">
        <f t="array" ref="J435">INDEX(Table1[riBAQ 23], MATCH(1, (Table3[[#This Row],[Gene names]:[Gene names]] = Table1[[Gene names]:[Gene names]])*1, 0))</f>
        <v>2.1699999999999999E-5</v>
      </c>
      <c r="K435" cm="1">
        <f t="array" ref="K435">INDEX(Table1[riBAQ 37], MATCH(1, (Table3[[#This Row],[Gene names]:[Gene names]] = Table1[[Gene names]:[Gene names]])*1, 0))</f>
        <v>3.0700000000000001E-5</v>
      </c>
      <c r="L435" cm="1">
        <f t="array" ref="L435">INDEX(Table1[riBAQ 38], MATCH(1, (Table3[[#This Row],[Gene names]:[Gene names]] = Table1[[Gene names]:[Gene names]])*1, 0))</f>
        <v>3.4799999999999999E-5</v>
      </c>
      <c r="M435" cm="1">
        <f t="array" ref="M435">INDEX(Table1[riBAQ 39], MATCH(1, (Table3[[#This Row],[Gene names]:[Gene names]] = Table1[[Gene names]:[Gene names]])*1, 0))</f>
        <v>1.5400000000000002E-5</v>
      </c>
      <c r="N435" cm="1">
        <f t="array" ref="N435">INDEX(Table1[riBAQ 40], MATCH(1, (Table3[[#This Row],[Gene names]:[Gene names]] = Table1[[Gene names]:[Gene names]])*1, 0))</f>
        <v>1.6099999999999998E-5</v>
      </c>
      <c r="O435" cm="1">
        <f t="array" ref="O435">INDEX(Table1[riBAQ 41], MATCH(1, (Table3[[#This Row],[Gene names]:[Gene names]] = Table1[[Gene names]:[Gene names]])*1, 0))</f>
        <v>2.2500000000000001E-5</v>
      </c>
      <c r="P435" cm="1">
        <f t="array" ref="P435">INDEX(Table1[riBAQ 24], MATCH(1, (Table3[[#This Row],[Gene names]:[Gene names]] = Table1[[Gene names]:[Gene names]])*1, 0))</f>
        <v>5.1600000000000001E-5</v>
      </c>
      <c r="Q435" cm="1">
        <f t="array" ref="Q435">INDEX(Table1[riBAQ 25], MATCH(1, (Table3[[#This Row],[Gene names]:[Gene names]] = Table1[[Gene names]:[Gene names]])*1, 0))</f>
        <v>6.3600000000000001E-5</v>
      </c>
      <c r="R435" cm="1">
        <f t="array" ref="R435">INDEX(Table1[riBAQ 26], MATCH(1, (Table3[[#This Row],[Gene names]:[Gene names]] = Table1[[Gene names]:[Gene names]])*1, 0))</f>
        <v>6.5599999999999995E-5</v>
      </c>
      <c r="S435" cm="1">
        <f t="array" ref="S435">INDEX(Table1[riBAQ 42], MATCH(1, (Table3[[#This Row],[Gene names]:[Gene names]] = Table1[[Gene names]:[Gene names]])*1, 0))</f>
        <v>6.6600000000000006E-5</v>
      </c>
      <c r="T435" cm="1">
        <f t="array" ref="T435">INDEX(Table1[riBAQ 43], MATCH(1, (Table3[[#This Row],[Gene names]:[Gene names]] = Table1[[Gene names]:[Gene names]])*1, 0))</f>
        <v>4.9299999999999999E-5</v>
      </c>
    </row>
    <row r="436" spans="1:20" x14ac:dyDescent="0.25">
      <c r="A436" t="s">
        <v>938</v>
      </c>
      <c r="B436" cm="1">
        <f t="array" ref="B436">INDEX(Table1[riBAQ 17], MATCH(1, (Table3[[#This Row],[Gene names]:[Gene names]] = Table1[[Gene names]:[Gene names]])*1, 0))</f>
        <v>1.78634E-4</v>
      </c>
      <c r="C436" cm="1">
        <f t="array" ref="C436">INDEX(Table1[riBAQ 18], MATCH(1, (Table3[[#This Row],[Gene names]:[Gene names]] = Table1[[Gene names]:[Gene names]])*1, 0))</f>
        <v>1.6455899999999999E-4</v>
      </c>
      <c r="D436" cm="1">
        <f t="array" ref="D436">INDEX(Table1[riBAQ 35], MATCH(1, (Table3[[#This Row],[Gene names]:[Gene names]] = Table1[[Gene names]:[Gene names]])*1, 0))</f>
        <v>1.2968800000000001E-4</v>
      </c>
      <c r="E436" cm="1">
        <f t="array" ref="E436">INDEX(Table1[riBAQ 36], MATCH(1, (Table3[[#This Row],[Gene names]:[Gene names]] = Table1[[Gene names]:[Gene names]])*1, 0))</f>
        <v>1.1493300000000001E-4</v>
      </c>
      <c r="F436" cm="1">
        <f t="array" ref="F436">INDEX(Table1[riBAQ 19], MATCH(1, (Table3[[#This Row],[Gene names]:[Gene names]] = Table1[[Gene names]:[Gene names]])*1, 0))</f>
        <v>2.3750099999999999E-4</v>
      </c>
      <c r="G436" cm="1">
        <f t="array" ref="G436">INDEX(Table1[riBAQ 20], MATCH(1, (Table3[[#This Row],[Gene names]:[Gene names]] = Table1[[Gene names]:[Gene names]])*1, 0))</f>
        <v>1.62065E-4</v>
      </c>
      <c r="H436" cm="1">
        <f t="array" ref="H436">INDEX(Table1[riBAQ 21], MATCH(1, (Table3[[#This Row],[Gene names]:[Gene names]] = Table1[[Gene names]:[Gene names]])*1, 0))</f>
        <v>2.4042399999999999E-4</v>
      </c>
      <c r="I436" cm="1">
        <f t="array" ref="I436">INDEX(Table1[riBAQ 22], MATCH(1, (Table3[[#This Row],[Gene names]:[Gene names]] = Table1[[Gene names]:[Gene names]])*1, 0))</f>
        <v>2.6576600000000002E-4</v>
      </c>
      <c r="J436" cm="1">
        <f t="array" ref="J436">INDEX(Table1[riBAQ 23], MATCH(1, (Table3[[#This Row],[Gene names]:[Gene names]] = Table1[[Gene names]:[Gene names]])*1, 0))</f>
        <v>2.4957499999999998E-4</v>
      </c>
      <c r="K436" cm="1">
        <f t="array" ref="K436">INDEX(Table1[riBAQ 37], MATCH(1, (Table3[[#This Row],[Gene names]:[Gene names]] = Table1[[Gene names]:[Gene names]])*1, 0))</f>
        <v>1.7602500000000001E-4</v>
      </c>
      <c r="L436" cm="1">
        <f t="array" ref="L436">INDEX(Table1[riBAQ 38], MATCH(1, (Table3[[#This Row],[Gene names]:[Gene names]] = Table1[[Gene names]:[Gene names]])*1, 0))</f>
        <v>1.8986799999999999E-4</v>
      </c>
      <c r="M436" cm="1">
        <f t="array" ref="M436">INDEX(Table1[riBAQ 39], MATCH(1, (Table3[[#This Row],[Gene names]:[Gene names]] = Table1[[Gene names]:[Gene names]])*1, 0))</f>
        <v>2.0394400000000001E-4</v>
      </c>
      <c r="N436" cm="1">
        <f t="array" ref="N436">INDEX(Table1[riBAQ 40], MATCH(1, (Table3[[#This Row],[Gene names]:[Gene names]] = Table1[[Gene names]:[Gene names]])*1, 0))</f>
        <v>6.12639E-4</v>
      </c>
      <c r="O436" cm="1">
        <f t="array" ref="O436">INDEX(Table1[riBAQ 41], MATCH(1, (Table3[[#This Row],[Gene names]:[Gene names]] = Table1[[Gene names]:[Gene names]])*1, 0))</f>
        <v>1.7666099999999999E-4</v>
      </c>
      <c r="P436" cm="1">
        <f t="array" ref="P436">INDEX(Table1[riBAQ 24], MATCH(1, (Table3[[#This Row],[Gene names]:[Gene names]] = Table1[[Gene names]:[Gene names]])*1, 0))</f>
        <v>3.8072099999999999E-4</v>
      </c>
      <c r="Q436" cm="1">
        <f t="array" ref="Q436">INDEX(Table1[riBAQ 25], MATCH(1, (Table3[[#This Row],[Gene names]:[Gene names]] = Table1[[Gene names]:[Gene names]])*1, 0))</f>
        <v>4.9668499999999997E-4</v>
      </c>
      <c r="R436" cm="1">
        <f t="array" ref="R436">INDEX(Table1[riBAQ 26], MATCH(1, (Table3[[#This Row],[Gene names]:[Gene names]] = Table1[[Gene names]:[Gene names]])*1, 0))</f>
        <v>3.5194000000000002E-4</v>
      </c>
      <c r="S436" cm="1">
        <f t="array" ref="S436">INDEX(Table1[riBAQ 42], MATCH(1, (Table3[[#This Row],[Gene names]:[Gene names]] = Table1[[Gene names]:[Gene names]])*1, 0))</f>
        <v>5.9173199999999998E-4</v>
      </c>
      <c r="T436" cm="1">
        <f t="array" ref="T436">INDEX(Table1[riBAQ 43], MATCH(1, (Table3[[#This Row],[Gene names]:[Gene names]] = Table1[[Gene names]:[Gene names]])*1, 0))</f>
        <v>5.7495099999999998E-4</v>
      </c>
    </row>
    <row r="437" spans="1:20" x14ac:dyDescent="0.25">
      <c r="A437" t="s">
        <v>415</v>
      </c>
      <c r="B437" cm="1">
        <f t="array" ref="B437">INDEX(Table1[riBAQ 17], MATCH(1, (Table3[[#This Row],[Gene names]:[Gene names]] = Table1[[Gene names]:[Gene names]])*1, 0))</f>
        <v>1.05813E-4</v>
      </c>
      <c r="C437" cm="1">
        <f t="array" ref="C437">INDEX(Table1[riBAQ 18], MATCH(1, (Table3[[#This Row],[Gene names]:[Gene names]] = Table1[[Gene names]:[Gene names]])*1, 0))</f>
        <v>0</v>
      </c>
      <c r="D437" cm="1">
        <f t="array" ref="D437">INDEX(Table1[riBAQ 35], MATCH(1, (Table3[[#This Row],[Gene names]:[Gene names]] = Table1[[Gene names]:[Gene names]])*1, 0))</f>
        <v>6.8499999999999998E-5</v>
      </c>
      <c r="E437" cm="1">
        <f t="array" ref="E437">INDEX(Table1[riBAQ 36], MATCH(1, (Table3[[#This Row],[Gene names]:[Gene names]] = Table1[[Gene names]:[Gene names]])*1, 0))</f>
        <v>0</v>
      </c>
      <c r="F437" cm="1">
        <f t="array" ref="F437">INDEX(Table1[riBAQ 19], MATCH(1, (Table3[[#This Row],[Gene names]:[Gene names]] = Table1[[Gene names]:[Gene names]])*1, 0))</f>
        <v>3.1699999999999998E-5</v>
      </c>
      <c r="G437" cm="1">
        <f t="array" ref="G437">INDEX(Table1[riBAQ 20], MATCH(1, (Table3[[#This Row],[Gene names]:[Gene names]] = Table1[[Gene names]:[Gene names]])*1, 0))</f>
        <v>1.31426E-4</v>
      </c>
      <c r="H437" cm="1">
        <f t="array" ref="H437">INDEX(Table1[riBAQ 21], MATCH(1, (Table3[[#This Row],[Gene names]:[Gene names]] = Table1[[Gene names]:[Gene names]])*1, 0))</f>
        <v>0</v>
      </c>
      <c r="I437" cm="1">
        <f t="array" ref="I437">INDEX(Table1[riBAQ 22], MATCH(1, (Table3[[#This Row],[Gene names]:[Gene names]] = Table1[[Gene names]:[Gene names]])*1, 0))</f>
        <v>0</v>
      </c>
      <c r="J437" cm="1">
        <f t="array" ref="J437">INDEX(Table1[riBAQ 23], MATCH(1, (Table3[[#This Row],[Gene names]:[Gene names]] = Table1[[Gene names]:[Gene names]])*1, 0))</f>
        <v>3.37382E-4</v>
      </c>
      <c r="K437" cm="1">
        <f t="array" ref="K437">INDEX(Table1[riBAQ 37], MATCH(1, (Table3[[#This Row],[Gene names]:[Gene names]] = Table1[[Gene names]:[Gene names]])*1, 0))</f>
        <v>2.4317100000000001E-4</v>
      </c>
      <c r="L437" cm="1">
        <f t="array" ref="L437">INDEX(Table1[riBAQ 38], MATCH(1, (Table3[[#This Row],[Gene names]:[Gene names]] = Table1[[Gene names]:[Gene names]])*1, 0))</f>
        <v>0</v>
      </c>
      <c r="M437" cm="1">
        <f t="array" ref="M437">INDEX(Table1[riBAQ 39], MATCH(1, (Table3[[#This Row],[Gene names]:[Gene names]] = Table1[[Gene names]:[Gene names]])*1, 0))</f>
        <v>2.8023000000000002E-4</v>
      </c>
      <c r="N437" cm="1">
        <f t="array" ref="N437">INDEX(Table1[riBAQ 40], MATCH(1, (Table3[[#This Row],[Gene names]:[Gene names]] = Table1[[Gene names]:[Gene names]])*1, 0))</f>
        <v>0</v>
      </c>
      <c r="O437" cm="1">
        <f t="array" ref="O437">INDEX(Table1[riBAQ 41], MATCH(1, (Table3[[#This Row],[Gene names]:[Gene names]] = Table1[[Gene names]:[Gene names]])*1, 0))</f>
        <v>4.6100000000000002E-5</v>
      </c>
      <c r="P437" cm="1">
        <f t="array" ref="P437">INDEX(Table1[riBAQ 24], MATCH(1, (Table3[[#This Row],[Gene names]:[Gene names]] = Table1[[Gene names]:[Gene names]])*1, 0))</f>
        <v>2.4506199999999999E-4</v>
      </c>
      <c r="Q437" cm="1">
        <f t="array" ref="Q437">INDEX(Table1[riBAQ 25], MATCH(1, (Table3[[#This Row],[Gene names]:[Gene names]] = Table1[[Gene names]:[Gene names]])*1, 0))</f>
        <v>4.8455500000000001E-4</v>
      </c>
      <c r="R437" cm="1">
        <f t="array" ref="R437">INDEX(Table1[riBAQ 26], MATCH(1, (Table3[[#This Row],[Gene names]:[Gene names]] = Table1[[Gene names]:[Gene names]])*1, 0))</f>
        <v>8.8200000000000003E-5</v>
      </c>
      <c r="S437" cm="1">
        <f t="array" ref="S437">INDEX(Table1[riBAQ 42], MATCH(1, (Table3[[#This Row],[Gene names]:[Gene names]] = Table1[[Gene names]:[Gene names]])*1, 0))</f>
        <v>3.7280700000000001E-4</v>
      </c>
      <c r="T437" cm="1">
        <f t="array" ref="T437">INDEX(Table1[riBAQ 43], MATCH(1, (Table3[[#This Row],[Gene names]:[Gene names]] = Table1[[Gene names]:[Gene names]])*1, 0))</f>
        <v>3.6017999999999998E-4</v>
      </c>
    </row>
    <row r="438" spans="1:20" x14ac:dyDescent="0.25">
      <c r="A438" t="s">
        <v>650</v>
      </c>
      <c r="B438" cm="1">
        <f t="array" ref="B438">INDEX(Table1[riBAQ 17], MATCH(1, (Table3[[#This Row],[Gene names]:[Gene names]] = Table1[[Gene names]:[Gene names]])*1, 0))</f>
        <v>1.42504E-4</v>
      </c>
      <c r="C438" cm="1">
        <f t="array" ref="C438">INDEX(Table1[riBAQ 18], MATCH(1, (Table3[[#This Row],[Gene names]:[Gene names]] = Table1[[Gene names]:[Gene names]])*1, 0))</f>
        <v>6.2500000000000001E-5</v>
      </c>
      <c r="D438" cm="1">
        <f t="array" ref="D438">INDEX(Table1[riBAQ 35], MATCH(1, (Table3[[#This Row],[Gene names]:[Gene names]] = Table1[[Gene names]:[Gene names]])*1, 0))</f>
        <v>1.15918E-4</v>
      </c>
      <c r="E438" cm="1">
        <f t="array" ref="E438">INDEX(Table1[riBAQ 36], MATCH(1, (Table3[[#This Row],[Gene names]:[Gene names]] = Table1[[Gene names]:[Gene names]])*1, 0))</f>
        <v>1.32273E-4</v>
      </c>
      <c r="F438" cm="1">
        <f t="array" ref="F438">INDEX(Table1[riBAQ 19], MATCH(1, (Table3[[#This Row],[Gene names]:[Gene names]] = Table1[[Gene names]:[Gene names]])*1, 0))</f>
        <v>2.1987800000000001E-4</v>
      </c>
      <c r="G438" cm="1">
        <f t="array" ref="G438">INDEX(Table1[riBAQ 20], MATCH(1, (Table3[[#This Row],[Gene names]:[Gene names]] = Table1[[Gene names]:[Gene names]])*1, 0))</f>
        <v>2.36674E-4</v>
      </c>
      <c r="H438" cm="1">
        <f t="array" ref="H438">INDEX(Table1[riBAQ 21], MATCH(1, (Table3[[#This Row],[Gene names]:[Gene names]] = Table1[[Gene names]:[Gene names]])*1, 0))</f>
        <v>8.6799999999999996E-5</v>
      </c>
      <c r="I438" cm="1">
        <f t="array" ref="I438">INDEX(Table1[riBAQ 22], MATCH(1, (Table3[[#This Row],[Gene names]:[Gene names]] = Table1[[Gene names]:[Gene names]])*1, 0))</f>
        <v>9.7499999999999998E-5</v>
      </c>
      <c r="J438" cm="1">
        <f t="array" ref="J438">INDEX(Table1[riBAQ 23], MATCH(1, (Table3[[#This Row],[Gene names]:[Gene names]] = Table1[[Gene names]:[Gene names]])*1, 0))</f>
        <v>9.4400000000000004E-5</v>
      </c>
      <c r="K438" cm="1">
        <f t="array" ref="K438">INDEX(Table1[riBAQ 37], MATCH(1, (Table3[[#This Row],[Gene names]:[Gene names]] = Table1[[Gene names]:[Gene names]])*1, 0))</f>
        <v>2.77626E-4</v>
      </c>
      <c r="L438" cm="1">
        <f t="array" ref="L438">INDEX(Table1[riBAQ 38], MATCH(1, (Table3[[#This Row],[Gene names]:[Gene names]] = Table1[[Gene names]:[Gene names]])*1, 0))</f>
        <v>9.2E-5</v>
      </c>
      <c r="M438" cm="1">
        <f t="array" ref="M438">INDEX(Table1[riBAQ 39], MATCH(1, (Table3[[#This Row],[Gene names]:[Gene names]] = Table1[[Gene names]:[Gene names]])*1, 0))</f>
        <v>1.18526E-4</v>
      </c>
      <c r="N438" cm="1">
        <f t="array" ref="N438">INDEX(Table1[riBAQ 40], MATCH(1, (Table3[[#This Row],[Gene names]:[Gene names]] = Table1[[Gene names]:[Gene names]])*1, 0))</f>
        <v>5.7399999999999999E-5</v>
      </c>
      <c r="O438" cm="1">
        <f t="array" ref="O438">INDEX(Table1[riBAQ 41], MATCH(1, (Table3[[#This Row],[Gene names]:[Gene names]] = Table1[[Gene names]:[Gene names]])*1, 0))</f>
        <v>5.5699999999999999E-5</v>
      </c>
      <c r="P438" cm="1">
        <f t="array" ref="P438">INDEX(Table1[riBAQ 24], MATCH(1, (Table3[[#This Row],[Gene names]:[Gene names]] = Table1[[Gene names]:[Gene names]])*1, 0))</f>
        <v>4.4746E-4</v>
      </c>
      <c r="Q438" cm="1">
        <f t="array" ref="Q438">INDEX(Table1[riBAQ 25], MATCH(1, (Table3[[#This Row],[Gene names]:[Gene names]] = Table1[[Gene names]:[Gene names]])*1, 0))</f>
        <v>5.5819599999999995E-4</v>
      </c>
      <c r="R438" cm="1">
        <f t="array" ref="R438">INDEX(Table1[riBAQ 26], MATCH(1, (Table3[[#This Row],[Gene names]:[Gene names]] = Table1[[Gene names]:[Gene names]])*1, 0))</f>
        <v>4.0508900000000002E-4</v>
      </c>
      <c r="S438" cm="1">
        <f t="array" ref="S438">INDEX(Table1[riBAQ 42], MATCH(1, (Table3[[#This Row],[Gene names]:[Gene names]] = Table1[[Gene names]:[Gene names]])*1, 0))</f>
        <v>2.9629500000000002E-4</v>
      </c>
      <c r="T438" cm="1">
        <f t="array" ref="T438">INDEX(Table1[riBAQ 43], MATCH(1, (Table3[[#This Row],[Gene names]:[Gene names]] = Table1[[Gene names]:[Gene names]])*1, 0))</f>
        <v>5.4109600000000002E-4</v>
      </c>
    </row>
    <row r="439" spans="1:20" x14ac:dyDescent="0.25">
      <c r="A439" t="s">
        <v>416</v>
      </c>
      <c r="B439" cm="1">
        <f t="array" ref="B439">INDEX(Table1[riBAQ 17], MATCH(1, (Table3[[#This Row],[Gene names]:[Gene names]] = Table1[[Gene names]:[Gene names]])*1, 0))</f>
        <v>2.7800000000000001E-5</v>
      </c>
      <c r="C439" cm="1">
        <f t="array" ref="C439">INDEX(Table1[riBAQ 18], MATCH(1, (Table3[[#This Row],[Gene names]:[Gene names]] = Table1[[Gene names]:[Gene names]])*1, 0))</f>
        <v>0</v>
      </c>
      <c r="D439" cm="1">
        <f t="array" ref="D439">INDEX(Table1[riBAQ 35], MATCH(1, (Table3[[#This Row],[Gene names]:[Gene names]] = Table1[[Gene names]:[Gene names]])*1, 0))</f>
        <v>0</v>
      </c>
      <c r="E439" cm="1">
        <f t="array" ref="E439">INDEX(Table1[riBAQ 36], MATCH(1, (Table3[[#This Row],[Gene names]:[Gene names]] = Table1[[Gene names]:[Gene names]])*1, 0))</f>
        <v>1.1399999999999999E-5</v>
      </c>
      <c r="F439" cm="1">
        <f t="array" ref="F439">INDEX(Table1[riBAQ 19], MATCH(1, (Table3[[#This Row],[Gene names]:[Gene names]] = Table1[[Gene names]:[Gene names]])*1, 0))</f>
        <v>0</v>
      </c>
      <c r="G439" cm="1">
        <f t="array" ref="G439">INDEX(Table1[riBAQ 20], MATCH(1, (Table3[[#This Row],[Gene names]:[Gene names]] = Table1[[Gene names]:[Gene names]])*1, 0))</f>
        <v>0</v>
      </c>
      <c r="H439" cm="1">
        <f t="array" ref="H439">INDEX(Table1[riBAQ 21], MATCH(1, (Table3[[#This Row],[Gene names]:[Gene names]] = Table1[[Gene names]:[Gene names]])*1, 0))</f>
        <v>1.4800000000000001E-5</v>
      </c>
      <c r="I439" cm="1">
        <f t="array" ref="I439">INDEX(Table1[riBAQ 22], MATCH(1, (Table3[[#This Row],[Gene names]:[Gene names]] = Table1[[Gene names]:[Gene names]])*1, 0))</f>
        <v>0</v>
      </c>
      <c r="J439" cm="1">
        <f t="array" ref="J439">INDEX(Table1[riBAQ 23], MATCH(1, (Table3[[#This Row],[Gene names]:[Gene names]] = Table1[[Gene names]:[Gene names]])*1, 0))</f>
        <v>0</v>
      </c>
      <c r="K439" cm="1">
        <f t="array" ref="K439">INDEX(Table1[riBAQ 37], MATCH(1, (Table3[[#This Row],[Gene names]:[Gene names]] = Table1[[Gene names]:[Gene names]])*1, 0))</f>
        <v>7.7700000000000001E-6</v>
      </c>
      <c r="L439" cm="1">
        <f t="array" ref="L439">INDEX(Table1[riBAQ 38], MATCH(1, (Table3[[#This Row],[Gene names]:[Gene names]] = Table1[[Gene names]:[Gene names]])*1, 0))</f>
        <v>0</v>
      </c>
      <c r="M439" cm="1">
        <f t="array" ref="M439">INDEX(Table1[riBAQ 39], MATCH(1, (Table3[[#This Row],[Gene names]:[Gene names]] = Table1[[Gene names]:[Gene names]])*1, 0))</f>
        <v>0</v>
      </c>
      <c r="N439" cm="1">
        <f t="array" ref="N439">INDEX(Table1[riBAQ 40], MATCH(1, (Table3[[#This Row],[Gene names]:[Gene names]] = Table1[[Gene names]:[Gene names]])*1, 0))</f>
        <v>0</v>
      </c>
      <c r="O439" cm="1">
        <f t="array" ref="O439">INDEX(Table1[riBAQ 41], MATCH(1, (Table3[[#This Row],[Gene names]:[Gene names]] = Table1[[Gene names]:[Gene names]])*1, 0))</f>
        <v>0</v>
      </c>
      <c r="P439" cm="1">
        <f t="array" ref="P439">INDEX(Table1[riBAQ 24], MATCH(1, (Table3[[#This Row],[Gene names]:[Gene names]] = Table1[[Gene names]:[Gene names]])*1, 0))</f>
        <v>1.5800000000000001E-5</v>
      </c>
      <c r="Q439" cm="1">
        <f t="array" ref="Q439">INDEX(Table1[riBAQ 25], MATCH(1, (Table3[[#This Row],[Gene names]:[Gene names]] = Table1[[Gene names]:[Gene names]])*1, 0))</f>
        <v>1.29E-5</v>
      </c>
      <c r="R439" cm="1">
        <f t="array" ref="R439">INDEX(Table1[riBAQ 26], MATCH(1, (Table3[[#This Row],[Gene names]:[Gene names]] = Table1[[Gene names]:[Gene names]])*1, 0))</f>
        <v>1.8899999999999999E-5</v>
      </c>
      <c r="S439" cm="1">
        <f t="array" ref="S439">INDEX(Table1[riBAQ 42], MATCH(1, (Table3[[#This Row],[Gene names]:[Gene names]] = Table1[[Gene names]:[Gene names]])*1, 0))</f>
        <v>0</v>
      </c>
      <c r="T439" cm="1">
        <f t="array" ref="T439">INDEX(Table1[riBAQ 43], MATCH(1, (Table3[[#This Row],[Gene names]:[Gene names]] = Table1[[Gene names]:[Gene names]])*1, 0))</f>
        <v>3.3000000000000003E-5</v>
      </c>
    </row>
    <row r="440" spans="1:20" x14ac:dyDescent="0.25">
      <c r="A440" t="s">
        <v>601</v>
      </c>
      <c r="B440" cm="1">
        <f t="array" ref="B440">INDEX(Table1[riBAQ 17], MATCH(1, (Table3[[#This Row],[Gene names]:[Gene names]] = Table1[[Gene names]:[Gene names]])*1, 0))</f>
        <v>0</v>
      </c>
      <c r="C440" cm="1">
        <f t="array" ref="C440">INDEX(Table1[riBAQ 18], MATCH(1, (Table3[[#This Row],[Gene names]:[Gene names]] = Table1[[Gene names]:[Gene names]])*1, 0))</f>
        <v>0</v>
      </c>
      <c r="D440" cm="1">
        <f t="array" ref="D440">INDEX(Table1[riBAQ 35], MATCH(1, (Table3[[#This Row],[Gene names]:[Gene names]] = Table1[[Gene names]:[Gene names]])*1, 0))</f>
        <v>0</v>
      </c>
      <c r="E440" cm="1">
        <f t="array" ref="E440">INDEX(Table1[riBAQ 36], MATCH(1, (Table3[[#This Row],[Gene names]:[Gene names]] = Table1[[Gene names]:[Gene names]])*1, 0))</f>
        <v>0</v>
      </c>
      <c r="F440" cm="1">
        <f t="array" ref="F440">INDEX(Table1[riBAQ 19], MATCH(1, (Table3[[#This Row],[Gene names]:[Gene names]] = Table1[[Gene names]:[Gene names]])*1, 0))</f>
        <v>0</v>
      </c>
      <c r="G440" cm="1">
        <f t="array" ref="G440">INDEX(Table1[riBAQ 20], MATCH(1, (Table3[[#This Row],[Gene names]:[Gene names]] = Table1[[Gene names]:[Gene names]])*1, 0))</f>
        <v>0</v>
      </c>
      <c r="H440" cm="1">
        <f t="array" ref="H440">INDEX(Table1[riBAQ 21], MATCH(1, (Table3[[#This Row],[Gene names]:[Gene names]] = Table1[[Gene names]:[Gene names]])*1, 0))</f>
        <v>0</v>
      </c>
      <c r="I440" cm="1">
        <f t="array" ref="I440">INDEX(Table1[riBAQ 22], MATCH(1, (Table3[[#This Row],[Gene names]:[Gene names]] = Table1[[Gene names]:[Gene names]])*1, 0))</f>
        <v>0</v>
      </c>
      <c r="J440" cm="1">
        <f t="array" ref="J440">INDEX(Table1[riBAQ 23], MATCH(1, (Table3[[#This Row],[Gene names]:[Gene names]] = Table1[[Gene names]:[Gene names]])*1, 0))</f>
        <v>0</v>
      </c>
      <c r="K440" cm="1">
        <f t="array" ref="K440">INDEX(Table1[riBAQ 37], MATCH(1, (Table3[[#This Row],[Gene names]:[Gene names]] = Table1[[Gene names]:[Gene names]])*1, 0))</f>
        <v>0</v>
      </c>
      <c r="L440" cm="1">
        <f t="array" ref="L440">INDEX(Table1[riBAQ 38], MATCH(1, (Table3[[#This Row],[Gene names]:[Gene names]] = Table1[[Gene names]:[Gene names]])*1, 0))</f>
        <v>0</v>
      </c>
      <c r="M440" cm="1">
        <f t="array" ref="M440">INDEX(Table1[riBAQ 39], MATCH(1, (Table3[[#This Row],[Gene names]:[Gene names]] = Table1[[Gene names]:[Gene names]])*1, 0))</f>
        <v>0</v>
      </c>
      <c r="N440" cm="1">
        <f t="array" ref="N440">INDEX(Table1[riBAQ 40], MATCH(1, (Table3[[#This Row],[Gene names]:[Gene names]] = Table1[[Gene names]:[Gene names]])*1, 0))</f>
        <v>0</v>
      </c>
      <c r="O440" cm="1">
        <f t="array" ref="O440">INDEX(Table1[riBAQ 41], MATCH(1, (Table3[[#This Row],[Gene names]:[Gene names]] = Table1[[Gene names]:[Gene names]])*1, 0))</f>
        <v>0</v>
      </c>
      <c r="P440" cm="1">
        <f t="array" ref="P440">INDEX(Table1[riBAQ 24], MATCH(1, (Table3[[#This Row],[Gene names]:[Gene names]] = Table1[[Gene names]:[Gene names]])*1, 0))</f>
        <v>2.3900000000000002E-5</v>
      </c>
      <c r="Q440" cm="1">
        <f t="array" ref="Q440">INDEX(Table1[riBAQ 25], MATCH(1, (Table3[[#This Row],[Gene names]:[Gene names]] = Table1[[Gene names]:[Gene names]])*1, 0))</f>
        <v>6.8399999999999996E-5</v>
      </c>
      <c r="R440" cm="1">
        <f t="array" ref="R440">INDEX(Table1[riBAQ 26], MATCH(1, (Table3[[#This Row],[Gene names]:[Gene names]] = Table1[[Gene names]:[Gene names]])*1, 0))</f>
        <v>6.4300000000000004E-5</v>
      </c>
      <c r="S440" cm="1">
        <f t="array" ref="S440">INDEX(Table1[riBAQ 42], MATCH(1, (Table3[[#This Row],[Gene names]:[Gene names]] = Table1[[Gene names]:[Gene names]])*1, 0))</f>
        <v>3.9700000000000003E-5</v>
      </c>
      <c r="T440" cm="1">
        <f t="array" ref="T440">INDEX(Table1[riBAQ 43], MATCH(1, (Table3[[#This Row],[Gene names]:[Gene names]] = Table1[[Gene names]:[Gene names]])*1, 0))</f>
        <v>1.15127E-4</v>
      </c>
    </row>
    <row r="441" spans="1:20" x14ac:dyDescent="0.25">
      <c r="A441" t="s">
        <v>822</v>
      </c>
      <c r="B441" cm="1">
        <f t="array" ref="B441">INDEX(Table1[riBAQ 17], MATCH(1, (Table3[[#This Row],[Gene names]:[Gene names]] = Table1[[Gene names]:[Gene names]])*1, 0))</f>
        <v>5.733775E-3</v>
      </c>
      <c r="C441" cm="1">
        <f t="array" ref="C441">INDEX(Table1[riBAQ 18], MATCH(1, (Table3[[#This Row],[Gene names]:[Gene names]] = Table1[[Gene names]:[Gene names]])*1, 0))</f>
        <v>5.1368050000000004E-3</v>
      </c>
      <c r="D441" cm="1">
        <f t="array" ref="D441">INDEX(Table1[riBAQ 35], MATCH(1, (Table3[[#This Row],[Gene names]:[Gene names]] = Table1[[Gene names]:[Gene names]])*1, 0))</f>
        <v>6.0899589999999998E-3</v>
      </c>
      <c r="E441" cm="1">
        <f t="array" ref="E441">INDEX(Table1[riBAQ 36], MATCH(1, (Table3[[#This Row],[Gene names]:[Gene names]] = Table1[[Gene names]:[Gene names]])*1, 0))</f>
        <v>5.456766E-3</v>
      </c>
      <c r="F441" cm="1">
        <f t="array" ref="F441">INDEX(Table1[riBAQ 19], MATCH(1, (Table3[[#This Row],[Gene names]:[Gene names]] = Table1[[Gene names]:[Gene names]])*1, 0))</f>
        <v>4.7418449999999997E-3</v>
      </c>
      <c r="G441" cm="1">
        <f t="array" ref="G441">INDEX(Table1[riBAQ 20], MATCH(1, (Table3[[#This Row],[Gene names]:[Gene names]] = Table1[[Gene names]:[Gene names]])*1, 0))</f>
        <v>4.1009289999999997E-3</v>
      </c>
      <c r="H441" cm="1">
        <f t="array" ref="H441">INDEX(Table1[riBAQ 21], MATCH(1, (Table3[[#This Row],[Gene names]:[Gene names]] = Table1[[Gene names]:[Gene names]])*1, 0))</f>
        <v>3.2294519999999998E-3</v>
      </c>
      <c r="I441" cm="1">
        <f t="array" ref="I441">INDEX(Table1[riBAQ 22], MATCH(1, (Table3[[#This Row],[Gene names]:[Gene names]] = Table1[[Gene names]:[Gene names]])*1, 0))</f>
        <v>4.8400229999999997E-3</v>
      </c>
      <c r="J441" cm="1">
        <f t="array" ref="J441">INDEX(Table1[riBAQ 23], MATCH(1, (Table3[[#This Row],[Gene names]:[Gene names]] = Table1[[Gene names]:[Gene names]])*1, 0))</f>
        <v>4.7306639999999999E-3</v>
      </c>
      <c r="K441" cm="1">
        <f t="array" ref="K441">INDEX(Table1[riBAQ 37], MATCH(1, (Table3[[#This Row],[Gene names]:[Gene names]] = Table1[[Gene names]:[Gene names]])*1, 0))</f>
        <v>4.8813709999999998E-3</v>
      </c>
      <c r="L441" cm="1">
        <f t="array" ref="L441">INDEX(Table1[riBAQ 38], MATCH(1, (Table3[[#This Row],[Gene names]:[Gene names]] = Table1[[Gene names]:[Gene names]])*1, 0))</f>
        <v>5.1269940000000002E-3</v>
      </c>
      <c r="M441" cm="1">
        <f t="array" ref="M441">INDEX(Table1[riBAQ 39], MATCH(1, (Table3[[#This Row],[Gene names]:[Gene names]] = Table1[[Gene names]:[Gene names]])*1, 0))</f>
        <v>4.9341410000000004E-3</v>
      </c>
      <c r="N441" cm="1">
        <f t="array" ref="N441">INDEX(Table1[riBAQ 40], MATCH(1, (Table3[[#This Row],[Gene names]:[Gene names]] = Table1[[Gene names]:[Gene names]])*1, 0))</f>
        <v>5.6770739999999998E-3</v>
      </c>
      <c r="O441" cm="1">
        <f t="array" ref="O441">INDEX(Table1[riBAQ 41], MATCH(1, (Table3[[#This Row],[Gene names]:[Gene names]] = Table1[[Gene names]:[Gene names]])*1, 0))</f>
        <v>5.0511159999999996E-3</v>
      </c>
      <c r="P441" cm="1">
        <f t="array" ref="P441">INDEX(Table1[riBAQ 24], MATCH(1, (Table3[[#This Row],[Gene names]:[Gene names]] = Table1[[Gene names]:[Gene names]])*1, 0))</f>
        <v>3.8729229999999999E-3</v>
      </c>
      <c r="Q441" cm="1">
        <f t="array" ref="Q441">INDEX(Table1[riBAQ 25], MATCH(1, (Table3[[#This Row],[Gene names]:[Gene names]] = Table1[[Gene names]:[Gene names]])*1, 0))</f>
        <v>2.7143699999999998E-3</v>
      </c>
      <c r="R441" cm="1">
        <f t="array" ref="R441">INDEX(Table1[riBAQ 26], MATCH(1, (Table3[[#This Row],[Gene names]:[Gene names]] = Table1[[Gene names]:[Gene names]])*1, 0))</f>
        <v>2.9028410000000002E-3</v>
      </c>
      <c r="S441" cm="1">
        <f t="array" ref="S441">INDEX(Table1[riBAQ 42], MATCH(1, (Table3[[#This Row],[Gene names]:[Gene names]] = Table1[[Gene names]:[Gene names]])*1, 0))</f>
        <v>2.8573769999999999E-3</v>
      </c>
      <c r="T441" cm="1">
        <f t="array" ref="T441">INDEX(Table1[riBAQ 43], MATCH(1, (Table3[[#This Row],[Gene names]:[Gene names]] = Table1[[Gene names]:[Gene names]])*1, 0))</f>
        <v>3.418885E-3</v>
      </c>
    </row>
    <row r="442" spans="1:20" x14ac:dyDescent="0.25">
      <c r="A442" t="s">
        <v>320</v>
      </c>
      <c r="B442" cm="1">
        <f t="array" ref="B442">INDEX(Table1[riBAQ 17], MATCH(1, (Table3[[#This Row],[Gene names]:[Gene names]] = Table1[[Gene names]:[Gene names]])*1, 0))</f>
        <v>2.7631900000000002E-4</v>
      </c>
      <c r="C442" cm="1">
        <f t="array" ref="C442">INDEX(Table1[riBAQ 18], MATCH(1, (Table3[[#This Row],[Gene names]:[Gene names]] = Table1[[Gene names]:[Gene names]])*1, 0))</f>
        <v>2.7015200000000001E-4</v>
      </c>
      <c r="D442" cm="1">
        <f t="array" ref="D442">INDEX(Table1[riBAQ 35], MATCH(1, (Table3[[#This Row],[Gene names]:[Gene names]] = Table1[[Gene names]:[Gene names]])*1, 0))</f>
        <v>1.1213E-4</v>
      </c>
      <c r="E442" cm="1">
        <f t="array" ref="E442">INDEX(Table1[riBAQ 36], MATCH(1, (Table3[[#This Row],[Gene names]:[Gene names]] = Table1[[Gene names]:[Gene names]])*1, 0))</f>
        <v>6.02E-5</v>
      </c>
      <c r="F442" cm="1">
        <f t="array" ref="F442">INDEX(Table1[riBAQ 19], MATCH(1, (Table3[[#This Row],[Gene names]:[Gene names]] = Table1[[Gene names]:[Gene names]])*1, 0))</f>
        <v>1.3496800000000001E-4</v>
      </c>
      <c r="G442" cm="1">
        <f t="array" ref="G442">INDEX(Table1[riBAQ 20], MATCH(1, (Table3[[#This Row],[Gene names]:[Gene names]] = Table1[[Gene names]:[Gene names]])*1, 0))</f>
        <v>2.6545600000000001E-4</v>
      </c>
      <c r="H442" cm="1">
        <f t="array" ref="H442">INDEX(Table1[riBAQ 21], MATCH(1, (Table3[[#This Row],[Gene names]:[Gene names]] = Table1[[Gene names]:[Gene names]])*1, 0))</f>
        <v>2.3416999999999999E-4</v>
      </c>
      <c r="I442" cm="1">
        <f t="array" ref="I442">INDEX(Table1[riBAQ 22], MATCH(1, (Table3[[#This Row],[Gene names]:[Gene names]] = Table1[[Gene names]:[Gene names]])*1, 0))</f>
        <v>2.2871299999999999E-4</v>
      </c>
      <c r="J442" cm="1">
        <f t="array" ref="J442">INDEX(Table1[riBAQ 23], MATCH(1, (Table3[[#This Row],[Gene names]:[Gene names]] = Table1[[Gene names]:[Gene names]])*1, 0))</f>
        <v>1.9683799999999999E-4</v>
      </c>
      <c r="K442" cm="1">
        <f t="array" ref="K442">INDEX(Table1[riBAQ 37], MATCH(1, (Table3[[#This Row],[Gene names]:[Gene names]] = Table1[[Gene names]:[Gene names]])*1, 0))</f>
        <v>3.12916E-4</v>
      </c>
      <c r="L442" cm="1">
        <f t="array" ref="L442">INDEX(Table1[riBAQ 38], MATCH(1, (Table3[[#This Row],[Gene names]:[Gene names]] = Table1[[Gene names]:[Gene names]])*1, 0))</f>
        <v>2.8105699999999998E-4</v>
      </c>
      <c r="M442" cm="1">
        <f t="array" ref="M442">INDEX(Table1[riBAQ 39], MATCH(1, (Table3[[#This Row],[Gene names]:[Gene names]] = Table1[[Gene names]:[Gene names]])*1, 0))</f>
        <v>2.9102899999999999E-4</v>
      </c>
      <c r="N442" cm="1">
        <f t="array" ref="N442">INDEX(Table1[riBAQ 40], MATCH(1, (Table3[[#This Row],[Gene names]:[Gene names]] = Table1[[Gene names]:[Gene names]])*1, 0))</f>
        <v>1.47754E-4</v>
      </c>
      <c r="O442" cm="1">
        <f t="array" ref="O442">INDEX(Table1[riBAQ 41], MATCH(1, (Table3[[#This Row],[Gene names]:[Gene names]] = Table1[[Gene names]:[Gene names]])*1, 0))</f>
        <v>2.4469299999999998E-4</v>
      </c>
      <c r="P442" cm="1">
        <f t="array" ref="P442">INDEX(Table1[riBAQ 24], MATCH(1, (Table3[[#This Row],[Gene names]:[Gene names]] = Table1[[Gene names]:[Gene names]])*1, 0))</f>
        <v>3.4430099999999998E-4</v>
      </c>
      <c r="Q442" cm="1">
        <f t="array" ref="Q442">INDEX(Table1[riBAQ 25], MATCH(1, (Table3[[#This Row],[Gene names]:[Gene names]] = Table1[[Gene names]:[Gene names]])*1, 0))</f>
        <v>5.18295E-4</v>
      </c>
      <c r="R442" cm="1">
        <f t="array" ref="R442">INDEX(Table1[riBAQ 26], MATCH(1, (Table3[[#This Row],[Gene names]:[Gene names]] = Table1[[Gene names]:[Gene names]])*1, 0))</f>
        <v>6.68635E-4</v>
      </c>
      <c r="S442" cm="1">
        <f t="array" ref="S442">INDEX(Table1[riBAQ 42], MATCH(1, (Table3[[#This Row],[Gene names]:[Gene names]] = Table1[[Gene names]:[Gene names]])*1, 0))</f>
        <v>5.2471600000000005E-4</v>
      </c>
      <c r="T442" cm="1">
        <f t="array" ref="T442">INDEX(Table1[riBAQ 43], MATCH(1, (Table3[[#This Row],[Gene names]:[Gene names]] = Table1[[Gene names]:[Gene names]])*1, 0))</f>
        <v>3.49363E-4</v>
      </c>
    </row>
    <row r="443" spans="1:20" x14ac:dyDescent="0.25">
      <c r="A443" t="s">
        <v>330</v>
      </c>
      <c r="B443" cm="1">
        <f t="array" ref="B443">INDEX(Table1[riBAQ 17], MATCH(1, (Table3[[#This Row],[Gene names]:[Gene names]] = Table1[[Gene names]:[Gene names]])*1, 0))</f>
        <v>7.1343399999999999E-4</v>
      </c>
      <c r="C443" cm="1">
        <f t="array" ref="C443">INDEX(Table1[riBAQ 18], MATCH(1, (Table3[[#This Row],[Gene names]:[Gene names]] = Table1[[Gene names]:[Gene names]])*1, 0))</f>
        <v>6.3355900000000001E-4</v>
      </c>
      <c r="D443" cm="1">
        <f t="array" ref="D443">INDEX(Table1[riBAQ 35], MATCH(1, (Table3[[#This Row],[Gene names]:[Gene names]] = Table1[[Gene names]:[Gene names]])*1, 0))</f>
        <v>6.0916900000000001E-4</v>
      </c>
      <c r="E443" cm="1">
        <f t="array" ref="E443">INDEX(Table1[riBAQ 36], MATCH(1, (Table3[[#This Row],[Gene names]:[Gene names]] = Table1[[Gene names]:[Gene names]])*1, 0))</f>
        <v>3.5239100000000002E-4</v>
      </c>
      <c r="F443" cm="1">
        <f t="array" ref="F443">INDEX(Table1[riBAQ 19], MATCH(1, (Table3[[#This Row],[Gene names]:[Gene names]] = Table1[[Gene names]:[Gene names]])*1, 0))</f>
        <v>5.9021400000000004E-4</v>
      </c>
      <c r="G443" cm="1">
        <f t="array" ref="G443">INDEX(Table1[riBAQ 20], MATCH(1, (Table3[[#This Row],[Gene names]:[Gene names]] = Table1[[Gene names]:[Gene names]])*1, 0))</f>
        <v>4.7413099999999998E-4</v>
      </c>
      <c r="H443" cm="1">
        <f t="array" ref="H443">INDEX(Table1[riBAQ 21], MATCH(1, (Table3[[#This Row],[Gene names]:[Gene names]] = Table1[[Gene names]:[Gene names]])*1, 0))</f>
        <v>6.1237599999999998E-4</v>
      </c>
      <c r="I443" cm="1">
        <f t="array" ref="I443">INDEX(Table1[riBAQ 22], MATCH(1, (Table3[[#This Row],[Gene names]:[Gene names]] = Table1[[Gene names]:[Gene names]])*1, 0))</f>
        <v>3.59575E-4</v>
      </c>
      <c r="J443" cm="1">
        <f t="array" ref="J443">INDEX(Table1[riBAQ 23], MATCH(1, (Table3[[#This Row],[Gene names]:[Gene names]] = Table1[[Gene names]:[Gene names]])*1, 0))</f>
        <v>5.89957E-4</v>
      </c>
      <c r="K443" cm="1">
        <f t="array" ref="K443">INDEX(Table1[riBAQ 37], MATCH(1, (Table3[[#This Row],[Gene names]:[Gene names]] = Table1[[Gene names]:[Gene names]])*1, 0))</f>
        <v>4.4006699999999999E-4</v>
      </c>
      <c r="L443" cm="1">
        <f t="array" ref="L443">INDEX(Table1[riBAQ 38], MATCH(1, (Table3[[#This Row],[Gene names]:[Gene names]] = Table1[[Gene names]:[Gene names]])*1, 0))</f>
        <v>4.6936999999999999E-4</v>
      </c>
      <c r="M443" cm="1">
        <f t="array" ref="M443">INDEX(Table1[riBAQ 39], MATCH(1, (Table3[[#This Row],[Gene names]:[Gene names]] = Table1[[Gene names]:[Gene names]])*1, 0))</f>
        <v>4.2535099999999997E-4</v>
      </c>
      <c r="N443" cm="1">
        <f t="array" ref="N443">INDEX(Table1[riBAQ 40], MATCH(1, (Table3[[#This Row],[Gene names]:[Gene names]] = Table1[[Gene names]:[Gene names]])*1, 0))</f>
        <v>6.4024299999999998E-4</v>
      </c>
      <c r="O443" cm="1">
        <f t="array" ref="O443">INDEX(Table1[riBAQ 41], MATCH(1, (Table3[[#This Row],[Gene names]:[Gene names]] = Table1[[Gene names]:[Gene names]])*1, 0))</f>
        <v>5.60685E-4</v>
      </c>
      <c r="P443" cm="1">
        <f t="array" ref="P443">INDEX(Table1[riBAQ 24], MATCH(1, (Table3[[#This Row],[Gene names]:[Gene names]] = Table1[[Gene names]:[Gene names]])*1, 0))</f>
        <v>2.1188500000000001E-4</v>
      </c>
      <c r="Q443" cm="1">
        <f t="array" ref="Q443">INDEX(Table1[riBAQ 25], MATCH(1, (Table3[[#This Row],[Gene names]:[Gene names]] = Table1[[Gene names]:[Gene names]])*1, 0))</f>
        <v>2.52802E-4</v>
      </c>
      <c r="R443" cm="1">
        <f t="array" ref="R443">INDEX(Table1[riBAQ 26], MATCH(1, (Table3[[#This Row],[Gene names]:[Gene names]] = Table1[[Gene names]:[Gene names]])*1, 0))</f>
        <v>1.44466E-4</v>
      </c>
      <c r="S443" cm="1">
        <f t="array" ref="S443">INDEX(Table1[riBAQ 42], MATCH(1, (Table3[[#This Row],[Gene names]:[Gene names]] = Table1[[Gene names]:[Gene names]])*1, 0))</f>
        <v>1.3381499999999999E-4</v>
      </c>
      <c r="T443" cm="1">
        <f t="array" ref="T443">INDEX(Table1[riBAQ 43], MATCH(1, (Table3[[#This Row],[Gene names]:[Gene names]] = Table1[[Gene names]:[Gene names]])*1, 0))</f>
        <v>2.79213E-4</v>
      </c>
    </row>
    <row r="444" spans="1:20" x14ac:dyDescent="0.25">
      <c r="A444" t="s">
        <v>1693</v>
      </c>
      <c r="B444" cm="1">
        <f t="array" ref="B444">INDEX(Table1[riBAQ 17], MATCH(1, (Table3[[#This Row],[Gene names]:[Gene names]] = Table1[[Gene names]:[Gene names]])*1, 0))</f>
        <v>0</v>
      </c>
      <c r="C444" cm="1">
        <f t="array" ref="C444">INDEX(Table1[riBAQ 18], MATCH(1, (Table3[[#This Row],[Gene names]:[Gene names]] = Table1[[Gene names]:[Gene names]])*1, 0))</f>
        <v>0</v>
      </c>
      <c r="D444" cm="1">
        <f t="array" ref="D444">INDEX(Table1[riBAQ 35], MATCH(1, (Table3[[#This Row],[Gene names]:[Gene names]] = Table1[[Gene names]:[Gene names]])*1, 0))</f>
        <v>0</v>
      </c>
      <c r="E444" cm="1">
        <f t="array" ref="E444">INDEX(Table1[riBAQ 36], MATCH(1, (Table3[[#This Row],[Gene names]:[Gene names]] = Table1[[Gene names]:[Gene names]])*1, 0))</f>
        <v>0</v>
      </c>
      <c r="F444" cm="1">
        <f t="array" ref="F444">INDEX(Table1[riBAQ 19], MATCH(1, (Table3[[#This Row],[Gene names]:[Gene names]] = Table1[[Gene names]:[Gene names]])*1, 0))</f>
        <v>0</v>
      </c>
      <c r="G444" cm="1">
        <f t="array" ref="G444">INDEX(Table1[riBAQ 20], MATCH(1, (Table3[[#This Row],[Gene names]:[Gene names]] = Table1[[Gene names]:[Gene names]])*1, 0))</f>
        <v>0</v>
      </c>
      <c r="H444" cm="1">
        <f t="array" ref="H444">INDEX(Table1[riBAQ 21], MATCH(1, (Table3[[#This Row],[Gene names]:[Gene names]] = Table1[[Gene names]:[Gene names]])*1, 0))</f>
        <v>0</v>
      </c>
      <c r="I444" cm="1">
        <f t="array" ref="I444">INDEX(Table1[riBAQ 22], MATCH(1, (Table3[[#This Row],[Gene names]:[Gene names]] = Table1[[Gene names]:[Gene names]])*1, 0))</f>
        <v>0</v>
      </c>
      <c r="J444" cm="1">
        <f t="array" ref="J444">INDEX(Table1[riBAQ 23], MATCH(1, (Table3[[#This Row],[Gene names]:[Gene names]] = Table1[[Gene names]:[Gene names]])*1, 0))</f>
        <v>0</v>
      </c>
      <c r="K444" cm="1">
        <f t="array" ref="K444">INDEX(Table1[riBAQ 37], MATCH(1, (Table3[[#This Row],[Gene names]:[Gene names]] = Table1[[Gene names]:[Gene names]])*1, 0))</f>
        <v>0</v>
      </c>
      <c r="L444" cm="1">
        <f t="array" ref="L444">INDEX(Table1[riBAQ 38], MATCH(1, (Table3[[#This Row],[Gene names]:[Gene names]] = Table1[[Gene names]:[Gene names]])*1, 0))</f>
        <v>0</v>
      </c>
      <c r="M444" cm="1">
        <f t="array" ref="M444">INDEX(Table1[riBAQ 39], MATCH(1, (Table3[[#This Row],[Gene names]:[Gene names]] = Table1[[Gene names]:[Gene names]])*1, 0))</f>
        <v>0</v>
      </c>
      <c r="N444" cm="1">
        <f t="array" ref="N444">INDEX(Table1[riBAQ 40], MATCH(1, (Table3[[#This Row],[Gene names]:[Gene names]] = Table1[[Gene names]:[Gene names]])*1, 0))</f>
        <v>0</v>
      </c>
      <c r="O444" cm="1">
        <f t="array" ref="O444">INDEX(Table1[riBAQ 41], MATCH(1, (Table3[[#This Row],[Gene names]:[Gene names]] = Table1[[Gene names]:[Gene names]])*1, 0))</f>
        <v>0</v>
      </c>
      <c r="P444" cm="1">
        <f t="array" ref="P444">INDEX(Table1[riBAQ 24], MATCH(1, (Table3[[#This Row],[Gene names]:[Gene names]] = Table1[[Gene names]:[Gene names]])*1, 0))</f>
        <v>3.76E-6</v>
      </c>
      <c r="Q444" cm="1">
        <f t="array" ref="Q444">INDEX(Table1[riBAQ 25], MATCH(1, (Table3[[#This Row],[Gene names]:[Gene names]] = Table1[[Gene names]:[Gene names]])*1, 0))</f>
        <v>7.6799999999999993E-6</v>
      </c>
      <c r="R444" cm="1">
        <f t="array" ref="R444">INDEX(Table1[riBAQ 26], MATCH(1, (Table3[[#This Row],[Gene names]:[Gene names]] = Table1[[Gene names]:[Gene names]])*1, 0))</f>
        <v>4.7199999999999997E-6</v>
      </c>
      <c r="S444" cm="1">
        <f t="array" ref="S444">INDEX(Table1[riBAQ 42], MATCH(1, (Table3[[#This Row],[Gene names]:[Gene names]] = Table1[[Gene names]:[Gene names]])*1, 0))</f>
        <v>1.11E-5</v>
      </c>
      <c r="T444" cm="1">
        <f t="array" ref="T444">INDEX(Table1[riBAQ 43], MATCH(1, (Table3[[#This Row],[Gene names]:[Gene names]] = Table1[[Gene names]:[Gene names]])*1, 0))</f>
        <v>1.8300000000000001E-5</v>
      </c>
    </row>
    <row r="445" spans="1:20" x14ac:dyDescent="0.25">
      <c r="A445" t="s">
        <v>574</v>
      </c>
      <c r="B445" cm="1">
        <f t="array" ref="B445">INDEX(Table1[riBAQ 17], MATCH(1, (Table3[[#This Row],[Gene names]:[Gene names]] = Table1[[Gene names]:[Gene names]])*1, 0))</f>
        <v>4.0599999999999998E-5</v>
      </c>
      <c r="C445" cm="1">
        <f t="array" ref="C445">INDEX(Table1[riBAQ 18], MATCH(1, (Table3[[#This Row],[Gene names]:[Gene names]] = Table1[[Gene names]:[Gene names]])*1, 0))</f>
        <v>0</v>
      </c>
      <c r="D445" cm="1">
        <f t="array" ref="D445">INDEX(Table1[riBAQ 35], MATCH(1, (Table3[[#This Row],[Gene names]:[Gene names]] = Table1[[Gene names]:[Gene names]])*1, 0))</f>
        <v>3.3699999999999999E-5</v>
      </c>
      <c r="E445" cm="1">
        <f t="array" ref="E445">INDEX(Table1[riBAQ 36], MATCH(1, (Table3[[#This Row],[Gene names]:[Gene names]] = Table1[[Gene names]:[Gene names]])*1, 0))</f>
        <v>3.3599999999999997E-5</v>
      </c>
      <c r="F445" cm="1">
        <f t="array" ref="F445">INDEX(Table1[riBAQ 19], MATCH(1, (Table3[[#This Row],[Gene names]:[Gene names]] = Table1[[Gene names]:[Gene names]])*1, 0))</f>
        <v>3.9499999999999998E-5</v>
      </c>
      <c r="G445" cm="1">
        <f t="array" ref="G445">INDEX(Table1[riBAQ 20], MATCH(1, (Table3[[#This Row],[Gene names]:[Gene names]] = Table1[[Gene names]:[Gene names]])*1, 0))</f>
        <v>5.7399999999999999E-5</v>
      </c>
      <c r="H445" cm="1">
        <f t="array" ref="H445">INDEX(Table1[riBAQ 21], MATCH(1, (Table3[[#This Row],[Gene names]:[Gene names]] = Table1[[Gene names]:[Gene names]])*1, 0))</f>
        <v>6.9499999999999995E-5</v>
      </c>
      <c r="I445" cm="1">
        <f t="array" ref="I445">INDEX(Table1[riBAQ 22], MATCH(1, (Table3[[#This Row],[Gene names]:[Gene names]] = Table1[[Gene names]:[Gene names]])*1, 0))</f>
        <v>4.9299999999999999E-5</v>
      </c>
      <c r="J445" cm="1">
        <f t="array" ref="J445">INDEX(Table1[riBAQ 23], MATCH(1, (Table3[[#This Row],[Gene names]:[Gene names]] = Table1[[Gene names]:[Gene names]])*1, 0))</f>
        <v>4.9499999999999997E-5</v>
      </c>
      <c r="K445" cm="1">
        <f t="array" ref="K445">INDEX(Table1[riBAQ 37], MATCH(1, (Table3[[#This Row],[Gene names]:[Gene names]] = Table1[[Gene names]:[Gene names]])*1, 0))</f>
        <v>4.32E-5</v>
      </c>
      <c r="L445" cm="1">
        <f t="array" ref="L445">INDEX(Table1[riBAQ 38], MATCH(1, (Table3[[#This Row],[Gene names]:[Gene names]] = Table1[[Gene names]:[Gene names]])*1, 0))</f>
        <v>3.9199999999999997E-5</v>
      </c>
      <c r="M445" cm="1">
        <f t="array" ref="M445">INDEX(Table1[riBAQ 39], MATCH(1, (Table3[[#This Row],[Gene names]:[Gene names]] = Table1[[Gene names]:[Gene names]])*1, 0))</f>
        <v>0</v>
      </c>
      <c r="N445" cm="1">
        <f t="array" ref="N445">INDEX(Table1[riBAQ 40], MATCH(1, (Table3[[#This Row],[Gene names]:[Gene names]] = Table1[[Gene names]:[Gene names]])*1, 0))</f>
        <v>3.9400000000000002E-5</v>
      </c>
      <c r="O445" cm="1">
        <f t="array" ref="O445">INDEX(Table1[riBAQ 41], MATCH(1, (Table3[[#This Row],[Gene names]:[Gene names]] = Table1[[Gene names]:[Gene names]])*1, 0))</f>
        <v>3.5800000000000003E-5</v>
      </c>
      <c r="P445" cm="1">
        <f t="array" ref="P445">INDEX(Table1[riBAQ 24], MATCH(1, (Table3[[#This Row],[Gene names]:[Gene names]] = Table1[[Gene names]:[Gene names]])*1, 0))</f>
        <v>7.8399999999999995E-5</v>
      </c>
      <c r="Q445" cm="1">
        <f t="array" ref="Q445">INDEX(Table1[riBAQ 25], MATCH(1, (Table3[[#This Row],[Gene names]:[Gene names]] = Table1[[Gene names]:[Gene names]])*1, 0))</f>
        <v>1.3673799999999999E-4</v>
      </c>
      <c r="R445" cm="1">
        <f t="array" ref="R445">INDEX(Table1[riBAQ 26], MATCH(1, (Table3[[#This Row],[Gene names]:[Gene names]] = Table1[[Gene names]:[Gene names]])*1, 0))</f>
        <v>1.14177E-4</v>
      </c>
      <c r="S445" cm="1">
        <f t="array" ref="S445">INDEX(Table1[riBAQ 42], MATCH(1, (Table3[[#This Row],[Gene names]:[Gene names]] = Table1[[Gene names]:[Gene names]])*1, 0))</f>
        <v>1.0161400000000001E-4</v>
      </c>
      <c r="T445" cm="1">
        <f t="array" ref="T445">INDEX(Table1[riBAQ 43], MATCH(1, (Table3[[#This Row],[Gene names]:[Gene names]] = Table1[[Gene names]:[Gene names]])*1, 0))</f>
        <v>1.4221200000000001E-4</v>
      </c>
    </row>
    <row r="446" spans="1:20" x14ac:dyDescent="0.25">
      <c r="A446" t="s">
        <v>1513</v>
      </c>
      <c r="B446" cm="1">
        <f t="array" ref="B446">INDEX(Table1[riBAQ 17], MATCH(1, (Table3[[#This Row],[Gene names]:[Gene names]] = Table1[[Gene names]:[Gene names]])*1, 0))</f>
        <v>1.5891899999999999E-4</v>
      </c>
      <c r="C446" cm="1">
        <f t="array" ref="C446">INDEX(Table1[riBAQ 18], MATCH(1, (Table3[[#This Row],[Gene names]:[Gene names]] = Table1[[Gene names]:[Gene names]])*1, 0))</f>
        <v>4.7700000000000001E-5</v>
      </c>
      <c r="D446" cm="1">
        <f t="array" ref="D446">INDEX(Table1[riBAQ 35], MATCH(1, (Table3[[#This Row],[Gene names]:[Gene names]] = Table1[[Gene names]:[Gene names]])*1, 0))</f>
        <v>6.2600000000000004E-5</v>
      </c>
      <c r="E446" cm="1">
        <f t="array" ref="E446">INDEX(Table1[riBAQ 36], MATCH(1, (Table3[[#This Row],[Gene names]:[Gene names]] = Table1[[Gene names]:[Gene names]])*1, 0))</f>
        <v>3.6900000000000002E-5</v>
      </c>
      <c r="F446" cm="1">
        <f t="array" ref="F446">INDEX(Table1[riBAQ 19], MATCH(1, (Table3[[#This Row],[Gene names]:[Gene names]] = Table1[[Gene names]:[Gene names]])*1, 0))</f>
        <v>1.9504599999999999E-4</v>
      </c>
      <c r="G446" cm="1">
        <f t="array" ref="G446">INDEX(Table1[riBAQ 20], MATCH(1, (Table3[[#This Row],[Gene names]:[Gene names]] = Table1[[Gene names]:[Gene names]])*1, 0))</f>
        <v>2.13675E-4</v>
      </c>
      <c r="H446" cm="1">
        <f t="array" ref="H446">INDEX(Table1[riBAQ 21], MATCH(1, (Table3[[#This Row],[Gene names]:[Gene names]] = Table1[[Gene names]:[Gene names]])*1, 0))</f>
        <v>2.1215399999999999E-4</v>
      </c>
      <c r="I446" cm="1">
        <f t="array" ref="I446">INDEX(Table1[riBAQ 22], MATCH(1, (Table3[[#This Row],[Gene names]:[Gene names]] = Table1[[Gene names]:[Gene names]])*1, 0))</f>
        <v>1.6275099999999999E-4</v>
      </c>
      <c r="J446" cm="1">
        <f t="array" ref="J446">INDEX(Table1[riBAQ 23], MATCH(1, (Table3[[#This Row],[Gene names]:[Gene names]] = Table1[[Gene names]:[Gene names]])*1, 0))</f>
        <v>1.3161600000000001E-4</v>
      </c>
      <c r="K446" cm="1">
        <f t="array" ref="K446">INDEX(Table1[riBAQ 37], MATCH(1, (Table3[[#This Row],[Gene names]:[Gene names]] = Table1[[Gene names]:[Gene names]])*1, 0))</f>
        <v>1.51624E-4</v>
      </c>
      <c r="L446" cm="1">
        <f t="array" ref="L446">INDEX(Table1[riBAQ 38], MATCH(1, (Table3[[#This Row],[Gene names]:[Gene names]] = Table1[[Gene names]:[Gene names]])*1, 0))</f>
        <v>1.2246800000000001E-4</v>
      </c>
      <c r="M446" cm="1">
        <f t="array" ref="M446">INDEX(Table1[riBAQ 39], MATCH(1, (Table3[[#This Row],[Gene names]:[Gene names]] = Table1[[Gene names]:[Gene names]])*1, 0))</f>
        <v>1.7999699999999999E-4</v>
      </c>
      <c r="N446" cm="1">
        <f t="array" ref="N446">INDEX(Table1[riBAQ 40], MATCH(1, (Table3[[#This Row],[Gene names]:[Gene names]] = Table1[[Gene names]:[Gene names]])*1, 0))</f>
        <v>6.3200000000000005E-5</v>
      </c>
      <c r="O446" cm="1">
        <f t="array" ref="O446">INDEX(Table1[riBAQ 41], MATCH(1, (Table3[[#This Row],[Gene names]:[Gene names]] = Table1[[Gene names]:[Gene names]])*1, 0))</f>
        <v>1.09197E-4</v>
      </c>
      <c r="P446" cm="1">
        <f t="array" ref="P446">INDEX(Table1[riBAQ 24], MATCH(1, (Table3[[#This Row],[Gene names]:[Gene names]] = Table1[[Gene names]:[Gene names]])*1, 0))</f>
        <v>2.3548500000000001E-4</v>
      </c>
      <c r="Q446" cm="1">
        <f t="array" ref="Q446">INDEX(Table1[riBAQ 25], MATCH(1, (Table3[[#This Row],[Gene names]:[Gene names]] = Table1[[Gene names]:[Gene names]])*1, 0))</f>
        <v>6.31837E-4</v>
      </c>
      <c r="R446" cm="1">
        <f t="array" ref="R446">INDEX(Table1[riBAQ 26], MATCH(1, (Table3[[#This Row],[Gene names]:[Gene names]] = Table1[[Gene names]:[Gene names]])*1, 0))</f>
        <v>3.94342E-4</v>
      </c>
      <c r="S446" cm="1">
        <f t="array" ref="S446">INDEX(Table1[riBAQ 42], MATCH(1, (Table3[[#This Row],[Gene names]:[Gene names]] = Table1[[Gene names]:[Gene names]])*1, 0))</f>
        <v>1.8089500000000001E-4</v>
      </c>
      <c r="T446" cm="1">
        <f t="array" ref="T446">INDEX(Table1[riBAQ 43], MATCH(1, (Table3[[#This Row],[Gene names]:[Gene names]] = Table1[[Gene names]:[Gene names]])*1, 0))</f>
        <v>6.4848100000000001E-4</v>
      </c>
    </row>
    <row r="447" spans="1:20" x14ac:dyDescent="0.25">
      <c r="A447" t="s">
        <v>627</v>
      </c>
      <c r="B447" cm="1">
        <f t="array" ref="B447">INDEX(Table1[riBAQ 17], MATCH(1, (Table3[[#This Row],[Gene names]:[Gene names]] = Table1[[Gene names]:[Gene names]])*1, 0))</f>
        <v>2.09E-5</v>
      </c>
      <c r="C447" cm="1">
        <f t="array" ref="C447">INDEX(Table1[riBAQ 18], MATCH(1, (Table3[[#This Row],[Gene names]:[Gene names]] = Table1[[Gene names]:[Gene names]])*1, 0))</f>
        <v>1.4E-5</v>
      </c>
      <c r="D447" cm="1">
        <f t="array" ref="D447">INDEX(Table1[riBAQ 35], MATCH(1, (Table3[[#This Row],[Gene names]:[Gene names]] = Table1[[Gene names]:[Gene names]])*1, 0))</f>
        <v>1.8899999999999999E-5</v>
      </c>
      <c r="E447" cm="1">
        <f t="array" ref="E447">INDEX(Table1[riBAQ 36], MATCH(1, (Table3[[#This Row],[Gene names]:[Gene names]] = Table1[[Gene names]:[Gene names]])*1, 0))</f>
        <v>1.63E-5</v>
      </c>
      <c r="F447" cm="1">
        <f t="array" ref="F447">INDEX(Table1[riBAQ 19], MATCH(1, (Table3[[#This Row],[Gene names]:[Gene names]] = Table1[[Gene names]:[Gene names]])*1, 0))</f>
        <v>1.8899999999999999E-5</v>
      </c>
      <c r="G447" cm="1">
        <f t="array" ref="G447">INDEX(Table1[riBAQ 20], MATCH(1, (Table3[[#This Row],[Gene names]:[Gene names]] = Table1[[Gene names]:[Gene names]])*1, 0))</f>
        <v>1.6799999999999998E-5</v>
      </c>
      <c r="H447" cm="1">
        <f t="array" ref="H447">INDEX(Table1[riBAQ 21], MATCH(1, (Table3[[#This Row],[Gene names]:[Gene names]] = Table1[[Gene names]:[Gene names]])*1, 0))</f>
        <v>2.6299999999999999E-5</v>
      </c>
      <c r="I447" cm="1">
        <f t="array" ref="I447">INDEX(Table1[riBAQ 22], MATCH(1, (Table3[[#This Row],[Gene names]:[Gene names]] = Table1[[Gene names]:[Gene names]])*1, 0))</f>
        <v>2.0299999999999999E-5</v>
      </c>
      <c r="J447" cm="1">
        <f t="array" ref="J447">INDEX(Table1[riBAQ 23], MATCH(1, (Table3[[#This Row],[Gene names]:[Gene names]] = Table1[[Gene names]:[Gene names]])*1, 0))</f>
        <v>2.0299999999999999E-5</v>
      </c>
      <c r="K447" cm="1">
        <f t="array" ref="K447">INDEX(Table1[riBAQ 37], MATCH(1, (Table3[[#This Row],[Gene names]:[Gene names]] = Table1[[Gene names]:[Gene names]])*1, 0))</f>
        <v>2.34E-5</v>
      </c>
      <c r="L447" cm="1">
        <f t="array" ref="L447">INDEX(Table1[riBAQ 38], MATCH(1, (Table3[[#This Row],[Gene names]:[Gene names]] = Table1[[Gene names]:[Gene names]])*1, 0))</f>
        <v>1.5299999999999999E-5</v>
      </c>
      <c r="M447" cm="1">
        <f t="array" ref="M447">INDEX(Table1[riBAQ 39], MATCH(1, (Table3[[#This Row],[Gene names]:[Gene names]] = Table1[[Gene names]:[Gene names]])*1, 0))</f>
        <v>2.3799999999999999E-5</v>
      </c>
      <c r="N447" cm="1">
        <f t="array" ref="N447">INDEX(Table1[riBAQ 40], MATCH(1, (Table3[[#This Row],[Gene names]:[Gene names]] = Table1[[Gene names]:[Gene names]])*1, 0))</f>
        <v>2.27E-5</v>
      </c>
      <c r="O447" cm="1">
        <f t="array" ref="O447">INDEX(Table1[riBAQ 41], MATCH(1, (Table3[[#This Row],[Gene names]:[Gene names]] = Table1[[Gene names]:[Gene names]])*1, 0))</f>
        <v>1.9700000000000001E-5</v>
      </c>
      <c r="P447" cm="1">
        <f t="array" ref="P447">INDEX(Table1[riBAQ 24], MATCH(1, (Table3[[#This Row],[Gene names]:[Gene names]] = Table1[[Gene names]:[Gene names]])*1, 0))</f>
        <v>3.68E-5</v>
      </c>
      <c r="Q447" cm="1">
        <f t="array" ref="Q447">INDEX(Table1[riBAQ 25], MATCH(1, (Table3[[#This Row],[Gene names]:[Gene names]] = Table1[[Gene names]:[Gene names]])*1, 0))</f>
        <v>4.3600000000000003E-5</v>
      </c>
      <c r="R447" cm="1">
        <f t="array" ref="R447">INDEX(Table1[riBAQ 26], MATCH(1, (Table3[[#This Row],[Gene names]:[Gene names]] = Table1[[Gene names]:[Gene names]])*1, 0))</f>
        <v>3.8300000000000003E-5</v>
      </c>
      <c r="S447" cm="1">
        <f t="array" ref="S447">INDEX(Table1[riBAQ 42], MATCH(1, (Table3[[#This Row],[Gene names]:[Gene names]] = Table1[[Gene names]:[Gene names]])*1, 0))</f>
        <v>4.9400000000000001E-5</v>
      </c>
      <c r="T447" cm="1">
        <f t="array" ref="T447">INDEX(Table1[riBAQ 43], MATCH(1, (Table3[[#This Row],[Gene names]:[Gene names]] = Table1[[Gene names]:[Gene names]])*1, 0))</f>
        <v>4.2599999999999999E-5</v>
      </c>
    </row>
    <row r="448" spans="1:20" x14ac:dyDescent="0.25">
      <c r="A448" t="s">
        <v>823</v>
      </c>
      <c r="B448" cm="1">
        <f t="array" ref="B448">INDEX(Table1[riBAQ 17], MATCH(1, (Table3[[#This Row],[Gene names]:[Gene names]] = Table1[[Gene names]:[Gene names]])*1, 0))</f>
        <v>1.48598E-4</v>
      </c>
      <c r="C448" cm="1">
        <f t="array" ref="C448">INDEX(Table1[riBAQ 18], MATCH(1, (Table3[[#This Row],[Gene names]:[Gene names]] = Table1[[Gene names]:[Gene names]])*1, 0))</f>
        <v>3.8000000000000002E-5</v>
      </c>
      <c r="D448" cm="1">
        <f t="array" ref="D448">INDEX(Table1[riBAQ 35], MATCH(1, (Table3[[#This Row],[Gene names]:[Gene names]] = Table1[[Gene names]:[Gene names]])*1, 0))</f>
        <v>6.8999999999999997E-5</v>
      </c>
      <c r="E448" cm="1">
        <f t="array" ref="E448">INDEX(Table1[riBAQ 36], MATCH(1, (Table3[[#This Row],[Gene names]:[Gene names]] = Table1[[Gene names]:[Gene names]])*1, 0))</f>
        <v>4.8199999999999999E-5</v>
      </c>
      <c r="F448" cm="1">
        <f t="array" ref="F448">INDEX(Table1[riBAQ 19], MATCH(1, (Table3[[#This Row],[Gene names]:[Gene names]] = Table1[[Gene names]:[Gene names]])*1, 0))</f>
        <v>8.7000000000000001E-5</v>
      </c>
      <c r="G448" cm="1">
        <f t="array" ref="G448">INDEX(Table1[riBAQ 20], MATCH(1, (Table3[[#This Row],[Gene names]:[Gene names]] = Table1[[Gene names]:[Gene names]])*1, 0))</f>
        <v>6.0900000000000003E-5</v>
      </c>
      <c r="H448" cm="1">
        <f t="array" ref="H448">INDEX(Table1[riBAQ 21], MATCH(1, (Table3[[#This Row],[Gene names]:[Gene names]] = Table1[[Gene names]:[Gene names]])*1, 0))</f>
        <v>9.2399999999999996E-5</v>
      </c>
      <c r="I448" cm="1">
        <f t="array" ref="I448">INDEX(Table1[riBAQ 22], MATCH(1, (Table3[[#This Row],[Gene names]:[Gene names]] = Table1[[Gene names]:[Gene names]])*1, 0))</f>
        <v>6.6299999999999999E-5</v>
      </c>
      <c r="J448" cm="1">
        <f t="array" ref="J448">INDEX(Table1[riBAQ 23], MATCH(1, (Table3[[#This Row],[Gene names]:[Gene names]] = Table1[[Gene names]:[Gene names]])*1, 0))</f>
        <v>1.20752E-4</v>
      </c>
      <c r="K448" cm="1">
        <f t="array" ref="K448">INDEX(Table1[riBAQ 37], MATCH(1, (Table3[[#This Row],[Gene names]:[Gene names]] = Table1[[Gene names]:[Gene names]])*1, 0))</f>
        <v>5.8199999999999998E-5</v>
      </c>
      <c r="L448" cm="1">
        <f t="array" ref="L448">INDEX(Table1[riBAQ 38], MATCH(1, (Table3[[#This Row],[Gene names]:[Gene names]] = Table1[[Gene names]:[Gene names]])*1, 0))</f>
        <v>4.5800000000000002E-5</v>
      </c>
      <c r="M448" cm="1">
        <f t="array" ref="M448">INDEX(Table1[riBAQ 39], MATCH(1, (Table3[[#This Row],[Gene names]:[Gene names]] = Table1[[Gene names]:[Gene names]])*1, 0))</f>
        <v>1.07112E-4</v>
      </c>
      <c r="N448" cm="1">
        <f t="array" ref="N448">INDEX(Table1[riBAQ 40], MATCH(1, (Table3[[#This Row],[Gene names]:[Gene names]] = Table1[[Gene names]:[Gene names]])*1, 0))</f>
        <v>1.4086599999999999E-4</v>
      </c>
      <c r="O448" cm="1">
        <f t="array" ref="O448">INDEX(Table1[riBAQ 41], MATCH(1, (Table3[[#This Row],[Gene names]:[Gene names]] = Table1[[Gene names]:[Gene names]])*1, 0))</f>
        <v>7.3399999999999995E-5</v>
      </c>
      <c r="P448" cm="1">
        <f t="array" ref="P448">INDEX(Table1[riBAQ 24], MATCH(1, (Table3[[#This Row],[Gene names]:[Gene names]] = Table1[[Gene names]:[Gene names]])*1, 0))</f>
        <v>1.45993E-4</v>
      </c>
      <c r="Q448" cm="1">
        <f t="array" ref="Q448">INDEX(Table1[riBAQ 25], MATCH(1, (Table3[[#This Row],[Gene names]:[Gene names]] = Table1[[Gene names]:[Gene names]])*1, 0))</f>
        <v>2.19349E-4</v>
      </c>
      <c r="R448" cm="1">
        <f t="array" ref="R448">INDEX(Table1[riBAQ 26], MATCH(1, (Table3[[#This Row],[Gene names]:[Gene names]] = Table1[[Gene names]:[Gene names]])*1, 0))</f>
        <v>1.70407E-4</v>
      </c>
      <c r="S448" cm="1">
        <f t="array" ref="S448">INDEX(Table1[riBAQ 42], MATCH(1, (Table3[[#This Row],[Gene names]:[Gene names]] = Table1[[Gene names]:[Gene names]])*1, 0))</f>
        <v>1.4464100000000001E-4</v>
      </c>
      <c r="T448" cm="1">
        <f t="array" ref="T448">INDEX(Table1[riBAQ 43], MATCH(1, (Table3[[#This Row],[Gene names]:[Gene names]] = Table1[[Gene names]:[Gene names]])*1, 0))</f>
        <v>3.3443399999999999E-4</v>
      </c>
    </row>
    <row r="449" spans="1:20" x14ac:dyDescent="0.25">
      <c r="A449" t="s">
        <v>295</v>
      </c>
      <c r="B449" cm="1">
        <f t="array" ref="B449">INDEX(Table1[riBAQ 17], MATCH(1, (Table3[[#This Row],[Gene names]:[Gene names]] = Table1[[Gene names]:[Gene names]])*1, 0))</f>
        <v>4.5554900000000003E-4</v>
      </c>
      <c r="C449" cm="1">
        <f t="array" ref="C449">INDEX(Table1[riBAQ 18], MATCH(1, (Table3[[#This Row],[Gene names]:[Gene names]] = Table1[[Gene names]:[Gene names]])*1, 0))</f>
        <v>4.1898E-4</v>
      </c>
      <c r="D449" cm="1">
        <f t="array" ref="D449">INDEX(Table1[riBAQ 35], MATCH(1, (Table3[[#This Row],[Gene names]:[Gene names]] = Table1[[Gene names]:[Gene names]])*1, 0))</f>
        <v>4.8961399999999998E-4</v>
      </c>
      <c r="E449" cm="1">
        <f t="array" ref="E449">INDEX(Table1[riBAQ 36], MATCH(1, (Table3[[#This Row],[Gene names]:[Gene names]] = Table1[[Gene names]:[Gene names]])*1, 0))</f>
        <v>4.2770200000000002E-4</v>
      </c>
      <c r="F449" cm="1">
        <f t="array" ref="F449">INDEX(Table1[riBAQ 19], MATCH(1, (Table3[[#This Row],[Gene names]:[Gene names]] = Table1[[Gene names]:[Gene names]])*1, 0))</f>
        <v>4.1489100000000002E-4</v>
      </c>
      <c r="G449" cm="1">
        <f t="array" ref="G449">INDEX(Table1[riBAQ 20], MATCH(1, (Table3[[#This Row],[Gene names]:[Gene names]] = Table1[[Gene names]:[Gene names]])*1, 0))</f>
        <v>3.5725200000000001E-4</v>
      </c>
      <c r="H449" cm="1">
        <f t="array" ref="H449">INDEX(Table1[riBAQ 21], MATCH(1, (Table3[[#This Row],[Gene names]:[Gene names]] = Table1[[Gene names]:[Gene names]])*1, 0))</f>
        <v>4.9583699999999995E-4</v>
      </c>
      <c r="I449" cm="1">
        <f t="array" ref="I449">INDEX(Table1[riBAQ 22], MATCH(1, (Table3[[#This Row],[Gene names]:[Gene names]] = Table1[[Gene names]:[Gene names]])*1, 0))</f>
        <v>4.0539599999999998E-4</v>
      </c>
      <c r="J449" cm="1">
        <f t="array" ref="J449">INDEX(Table1[riBAQ 23], MATCH(1, (Table3[[#This Row],[Gene names]:[Gene names]] = Table1[[Gene names]:[Gene names]])*1, 0))</f>
        <v>3.8070299999999998E-4</v>
      </c>
      <c r="K449" cm="1">
        <f t="array" ref="K449">INDEX(Table1[riBAQ 37], MATCH(1, (Table3[[#This Row],[Gene names]:[Gene names]] = Table1[[Gene names]:[Gene names]])*1, 0))</f>
        <v>4.1208500000000002E-4</v>
      </c>
      <c r="L449" cm="1">
        <f t="array" ref="L449">INDEX(Table1[riBAQ 38], MATCH(1, (Table3[[#This Row],[Gene names]:[Gene names]] = Table1[[Gene names]:[Gene names]])*1, 0))</f>
        <v>4.5027000000000001E-4</v>
      </c>
      <c r="M449" cm="1">
        <f t="array" ref="M449">INDEX(Table1[riBAQ 39], MATCH(1, (Table3[[#This Row],[Gene names]:[Gene names]] = Table1[[Gene names]:[Gene names]])*1, 0))</f>
        <v>3.5915300000000002E-4</v>
      </c>
      <c r="N449" cm="1">
        <f t="array" ref="N449">INDEX(Table1[riBAQ 40], MATCH(1, (Table3[[#This Row],[Gene names]:[Gene names]] = Table1[[Gene names]:[Gene names]])*1, 0))</f>
        <v>4.6434800000000001E-4</v>
      </c>
      <c r="O449" cm="1">
        <f t="array" ref="O449">INDEX(Table1[riBAQ 41], MATCH(1, (Table3[[#This Row],[Gene names]:[Gene names]] = Table1[[Gene names]:[Gene names]])*1, 0))</f>
        <v>4.38026E-4</v>
      </c>
      <c r="P449" cm="1">
        <f t="array" ref="P449">INDEX(Table1[riBAQ 24], MATCH(1, (Table3[[#This Row],[Gene names]:[Gene names]] = Table1[[Gene names]:[Gene names]])*1, 0))</f>
        <v>3.6456200000000002E-4</v>
      </c>
      <c r="Q449" cm="1">
        <f t="array" ref="Q449">INDEX(Table1[riBAQ 25], MATCH(1, (Table3[[#This Row],[Gene names]:[Gene names]] = Table1[[Gene names]:[Gene names]])*1, 0))</f>
        <v>3.3819900000000002E-4</v>
      </c>
      <c r="R449" cm="1">
        <f t="array" ref="R449">INDEX(Table1[riBAQ 26], MATCH(1, (Table3[[#This Row],[Gene names]:[Gene names]] = Table1[[Gene names]:[Gene names]])*1, 0))</f>
        <v>2.8636500000000001E-4</v>
      </c>
      <c r="S449" cm="1">
        <f t="array" ref="S449">INDEX(Table1[riBAQ 42], MATCH(1, (Table3[[#This Row],[Gene names]:[Gene names]] = Table1[[Gene names]:[Gene names]])*1, 0))</f>
        <v>3.5332899999999999E-4</v>
      </c>
      <c r="T449" cm="1">
        <f t="array" ref="T449">INDEX(Table1[riBAQ 43], MATCH(1, (Table3[[#This Row],[Gene names]:[Gene names]] = Table1[[Gene names]:[Gene names]])*1, 0))</f>
        <v>3.2384699999999999E-4</v>
      </c>
    </row>
    <row r="450" spans="1:20" x14ac:dyDescent="0.25">
      <c r="A450" t="s">
        <v>599</v>
      </c>
      <c r="B450" cm="1">
        <f t="array" ref="B450">INDEX(Table1[riBAQ 17], MATCH(1, (Table3[[#This Row],[Gene names]:[Gene names]] = Table1[[Gene names]:[Gene names]])*1, 0))</f>
        <v>7.1000000000000005E-5</v>
      </c>
      <c r="C450" cm="1">
        <f t="array" ref="C450">INDEX(Table1[riBAQ 18], MATCH(1, (Table3[[#This Row],[Gene names]:[Gene names]] = Table1[[Gene names]:[Gene names]])*1, 0))</f>
        <v>0</v>
      </c>
      <c r="D450" cm="1">
        <f t="array" ref="D450">INDEX(Table1[riBAQ 35], MATCH(1, (Table3[[#This Row],[Gene names]:[Gene names]] = Table1[[Gene names]:[Gene names]])*1, 0))</f>
        <v>6.1299999999999999E-5</v>
      </c>
      <c r="E450" cm="1">
        <f t="array" ref="E450">INDEX(Table1[riBAQ 36], MATCH(1, (Table3[[#This Row],[Gene names]:[Gene names]] = Table1[[Gene names]:[Gene names]])*1, 0))</f>
        <v>3.8000000000000002E-5</v>
      </c>
      <c r="F450" cm="1">
        <f t="array" ref="F450">INDEX(Table1[riBAQ 19], MATCH(1, (Table3[[#This Row],[Gene names]:[Gene names]] = Table1[[Gene names]:[Gene names]])*1, 0))</f>
        <v>3.6399999999999997E-5</v>
      </c>
      <c r="G450" cm="1">
        <f t="array" ref="G450">INDEX(Table1[riBAQ 20], MATCH(1, (Table3[[#This Row],[Gene names]:[Gene names]] = Table1[[Gene names]:[Gene names]])*1, 0))</f>
        <v>0</v>
      </c>
      <c r="H450" cm="1">
        <f t="array" ref="H450">INDEX(Table1[riBAQ 21], MATCH(1, (Table3[[#This Row],[Gene names]:[Gene names]] = Table1[[Gene names]:[Gene names]])*1, 0))</f>
        <v>7.1899999999999999E-5</v>
      </c>
      <c r="I450" cm="1">
        <f t="array" ref="I450">INDEX(Table1[riBAQ 22], MATCH(1, (Table3[[#This Row],[Gene names]:[Gene names]] = Table1[[Gene names]:[Gene names]])*1, 0))</f>
        <v>3.8300000000000003E-5</v>
      </c>
      <c r="J450" cm="1">
        <f t="array" ref="J450">INDEX(Table1[riBAQ 23], MATCH(1, (Table3[[#This Row],[Gene names]:[Gene names]] = Table1[[Gene names]:[Gene names]])*1, 0))</f>
        <v>6.4999999999999994E-5</v>
      </c>
      <c r="K450" cm="1">
        <f t="array" ref="K450">INDEX(Table1[riBAQ 37], MATCH(1, (Table3[[#This Row],[Gene names]:[Gene names]] = Table1[[Gene names]:[Gene names]])*1, 0))</f>
        <v>3.8999999999999999E-5</v>
      </c>
      <c r="L450" cm="1">
        <f t="array" ref="L450">INDEX(Table1[riBAQ 38], MATCH(1, (Table3[[#This Row],[Gene names]:[Gene names]] = Table1[[Gene names]:[Gene names]])*1, 0))</f>
        <v>3.6399999999999997E-5</v>
      </c>
      <c r="M450" cm="1">
        <f t="array" ref="M450">INDEX(Table1[riBAQ 39], MATCH(1, (Table3[[#This Row],[Gene names]:[Gene names]] = Table1[[Gene names]:[Gene names]])*1, 0))</f>
        <v>7.1000000000000005E-5</v>
      </c>
      <c r="N450" cm="1">
        <f t="array" ref="N450">INDEX(Table1[riBAQ 40], MATCH(1, (Table3[[#This Row],[Gene names]:[Gene names]] = Table1[[Gene names]:[Gene names]])*1, 0))</f>
        <v>9.6199999999999994E-5</v>
      </c>
      <c r="O450" cm="1">
        <f t="array" ref="O450">INDEX(Table1[riBAQ 41], MATCH(1, (Table3[[#This Row],[Gene names]:[Gene names]] = Table1[[Gene names]:[Gene names]])*1, 0))</f>
        <v>5.0800000000000002E-5</v>
      </c>
      <c r="P450" cm="1">
        <f t="array" ref="P450">INDEX(Table1[riBAQ 24], MATCH(1, (Table3[[#This Row],[Gene names]:[Gene names]] = Table1[[Gene names]:[Gene names]])*1, 0))</f>
        <v>1.10494E-4</v>
      </c>
      <c r="Q450" cm="1">
        <f t="array" ref="Q450">INDEX(Table1[riBAQ 25], MATCH(1, (Table3[[#This Row],[Gene names]:[Gene names]] = Table1[[Gene names]:[Gene names]])*1, 0))</f>
        <v>1.02737E-4</v>
      </c>
      <c r="R450" cm="1">
        <f t="array" ref="R450">INDEX(Table1[riBAQ 26], MATCH(1, (Table3[[#This Row],[Gene names]:[Gene names]] = Table1[[Gene names]:[Gene names]])*1, 0))</f>
        <v>8.5699999999999996E-5</v>
      </c>
      <c r="S450" cm="1">
        <f t="array" ref="S450">INDEX(Table1[riBAQ 42], MATCH(1, (Table3[[#This Row],[Gene names]:[Gene names]] = Table1[[Gene names]:[Gene names]])*1, 0))</f>
        <v>5.1E-5</v>
      </c>
      <c r="T450" cm="1">
        <f t="array" ref="T450">INDEX(Table1[riBAQ 43], MATCH(1, (Table3[[#This Row],[Gene names]:[Gene names]] = Table1[[Gene names]:[Gene names]])*1, 0))</f>
        <v>1.1717700000000001E-4</v>
      </c>
    </row>
    <row r="451" spans="1:20" x14ac:dyDescent="0.25">
      <c r="A451" t="s">
        <v>1604</v>
      </c>
      <c r="B451" cm="1">
        <f t="array" ref="B451">INDEX(Table1[riBAQ 17], MATCH(1, (Table3[[#This Row],[Gene names]:[Gene names]] = Table1[[Gene names]:[Gene names]])*1, 0))</f>
        <v>4.4900000000000002E-6</v>
      </c>
      <c r="C451" cm="1">
        <f t="array" ref="C451">INDEX(Table1[riBAQ 18], MATCH(1, (Table3[[#This Row],[Gene names]:[Gene names]] = Table1[[Gene names]:[Gene names]])*1, 0))</f>
        <v>4.87E-6</v>
      </c>
      <c r="D451" cm="1">
        <f t="array" ref="D451">INDEX(Table1[riBAQ 35], MATCH(1, (Table3[[#This Row],[Gene names]:[Gene names]] = Table1[[Gene names]:[Gene names]])*1, 0))</f>
        <v>3.5300000000000001E-6</v>
      </c>
      <c r="E451" cm="1">
        <f t="array" ref="E451">INDEX(Table1[riBAQ 36], MATCH(1, (Table3[[#This Row],[Gene names]:[Gene names]] = Table1[[Gene names]:[Gene names]])*1, 0))</f>
        <v>4.9100000000000004E-6</v>
      </c>
      <c r="F451" cm="1">
        <f t="array" ref="F451">INDEX(Table1[riBAQ 19], MATCH(1, (Table3[[#This Row],[Gene names]:[Gene names]] = Table1[[Gene names]:[Gene names]])*1, 0))</f>
        <v>5.7799999999999997E-6</v>
      </c>
      <c r="G451" cm="1">
        <f t="array" ref="G451">INDEX(Table1[riBAQ 20], MATCH(1, (Table3[[#This Row],[Gene names]:[Gene names]] = Table1[[Gene names]:[Gene names]])*1, 0))</f>
        <v>6.37E-6</v>
      </c>
      <c r="H451" cm="1">
        <f t="array" ref="H451">INDEX(Table1[riBAQ 21], MATCH(1, (Table3[[#This Row],[Gene names]:[Gene names]] = Table1[[Gene names]:[Gene names]])*1, 0))</f>
        <v>8.1200000000000002E-6</v>
      </c>
      <c r="I451" cm="1">
        <f t="array" ref="I451">INDEX(Table1[riBAQ 22], MATCH(1, (Table3[[#This Row],[Gene names]:[Gene names]] = Table1[[Gene names]:[Gene names]])*1, 0))</f>
        <v>5.7400000000000001E-6</v>
      </c>
      <c r="J451" cm="1">
        <f t="array" ref="J451">INDEX(Table1[riBAQ 23], MATCH(1, (Table3[[#This Row],[Gene names]:[Gene names]] = Table1[[Gene names]:[Gene names]])*1, 0))</f>
        <v>5.6899999999999997E-6</v>
      </c>
      <c r="K451" cm="1">
        <f t="array" ref="K451">INDEX(Table1[riBAQ 37], MATCH(1, (Table3[[#This Row],[Gene names]:[Gene names]] = Table1[[Gene names]:[Gene names]])*1, 0))</f>
        <v>3.8500000000000004E-6</v>
      </c>
      <c r="L451" cm="1">
        <f t="array" ref="L451">INDEX(Table1[riBAQ 38], MATCH(1, (Table3[[#This Row],[Gene names]:[Gene names]] = Table1[[Gene names]:[Gene names]])*1, 0))</f>
        <v>0</v>
      </c>
      <c r="M451" cm="1">
        <f t="array" ref="M451">INDEX(Table1[riBAQ 39], MATCH(1, (Table3[[#This Row],[Gene names]:[Gene names]] = Table1[[Gene names]:[Gene names]])*1, 0))</f>
        <v>0</v>
      </c>
      <c r="N451" cm="1">
        <f t="array" ref="N451">INDEX(Table1[riBAQ 40], MATCH(1, (Table3[[#This Row],[Gene names]:[Gene names]] = Table1[[Gene names]:[Gene names]])*1, 0))</f>
        <v>0</v>
      </c>
      <c r="O451" cm="1">
        <f t="array" ref="O451">INDEX(Table1[riBAQ 41], MATCH(1, (Table3[[#This Row],[Gene names]:[Gene names]] = Table1[[Gene names]:[Gene names]])*1, 0))</f>
        <v>4.1099999999999996E-6</v>
      </c>
      <c r="P451" cm="1">
        <f t="array" ref="P451">INDEX(Table1[riBAQ 24], MATCH(1, (Table3[[#This Row],[Gene names]:[Gene names]] = Table1[[Gene names]:[Gene names]])*1, 0))</f>
        <v>0</v>
      </c>
      <c r="Q451" cm="1">
        <f t="array" ref="Q451">INDEX(Table1[riBAQ 25], MATCH(1, (Table3[[#This Row],[Gene names]:[Gene names]] = Table1[[Gene names]:[Gene names]])*1, 0))</f>
        <v>1.1600000000000001E-5</v>
      </c>
      <c r="R451" cm="1">
        <f t="array" ref="R451">INDEX(Table1[riBAQ 26], MATCH(1, (Table3[[#This Row],[Gene names]:[Gene names]] = Table1[[Gene names]:[Gene names]])*1, 0))</f>
        <v>1.13E-5</v>
      </c>
      <c r="S451" cm="1">
        <f t="array" ref="S451">INDEX(Table1[riBAQ 42], MATCH(1, (Table3[[#This Row],[Gene names]:[Gene names]] = Table1[[Gene names]:[Gene names]])*1, 0))</f>
        <v>8.7800000000000006E-6</v>
      </c>
      <c r="T451" cm="1">
        <f t="array" ref="T451">INDEX(Table1[riBAQ 43], MATCH(1, (Table3[[#This Row],[Gene names]:[Gene names]] = Table1[[Gene names]:[Gene names]])*1, 0))</f>
        <v>8.6300000000000004E-6</v>
      </c>
    </row>
    <row r="452" spans="1:20" x14ac:dyDescent="0.25">
      <c r="A452" t="s">
        <v>588</v>
      </c>
      <c r="B452" cm="1">
        <f t="array" ref="B452">INDEX(Table1[riBAQ 17], MATCH(1, (Table3[[#This Row],[Gene names]:[Gene names]] = Table1[[Gene names]:[Gene names]])*1, 0))</f>
        <v>2.4499999999999999E-5</v>
      </c>
      <c r="C452" cm="1">
        <f t="array" ref="C452">INDEX(Table1[riBAQ 18], MATCH(1, (Table3[[#This Row],[Gene names]:[Gene names]] = Table1[[Gene names]:[Gene names]])*1, 0))</f>
        <v>3.5099999999999999E-5</v>
      </c>
      <c r="D452" cm="1">
        <f t="array" ref="D452">INDEX(Table1[riBAQ 35], MATCH(1, (Table3[[#This Row],[Gene names]:[Gene names]] = Table1[[Gene names]:[Gene names]])*1, 0))</f>
        <v>2.8099999999999999E-5</v>
      </c>
      <c r="E452" cm="1">
        <f t="array" ref="E452">INDEX(Table1[riBAQ 36], MATCH(1, (Table3[[#This Row],[Gene names]:[Gene names]] = Table1[[Gene names]:[Gene names]])*1, 0))</f>
        <v>2.8200000000000001E-5</v>
      </c>
      <c r="F452" cm="1">
        <f t="array" ref="F452">INDEX(Table1[riBAQ 19], MATCH(1, (Table3[[#This Row],[Gene names]:[Gene names]] = Table1[[Gene names]:[Gene names]])*1, 0))</f>
        <v>2.7100000000000001E-5</v>
      </c>
      <c r="G452" cm="1">
        <f t="array" ref="G452">INDEX(Table1[riBAQ 20], MATCH(1, (Table3[[#This Row],[Gene names]:[Gene names]] = Table1[[Gene names]:[Gene names]])*1, 0))</f>
        <v>2.12E-5</v>
      </c>
      <c r="H452" cm="1">
        <f t="array" ref="H452">INDEX(Table1[riBAQ 21], MATCH(1, (Table3[[#This Row],[Gene names]:[Gene names]] = Table1[[Gene names]:[Gene names]])*1, 0))</f>
        <v>1.45E-5</v>
      </c>
      <c r="I452" cm="1">
        <f t="array" ref="I452">INDEX(Table1[riBAQ 22], MATCH(1, (Table3[[#This Row],[Gene names]:[Gene names]] = Table1[[Gene names]:[Gene names]])*1, 0))</f>
        <v>2.0800000000000001E-5</v>
      </c>
      <c r="J452" cm="1">
        <f t="array" ref="J452">INDEX(Table1[riBAQ 23], MATCH(1, (Table3[[#This Row],[Gene names]:[Gene names]] = Table1[[Gene names]:[Gene names]])*1, 0))</f>
        <v>2.0699999999999998E-5</v>
      </c>
      <c r="K452" cm="1">
        <f t="array" ref="K452">INDEX(Table1[riBAQ 37], MATCH(1, (Table3[[#This Row],[Gene names]:[Gene names]] = Table1[[Gene names]:[Gene names]])*1, 0))</f>
        <v>1.7499999999999998E-5</v>
      </c>
      <c r="L452" cm="1">
        <f t="array" ref="L452">INDEX(Table1[riBAQ 38], MATCH(1, (Table3[[#This Row],[Gene names]:[Gene names]] = Table1[[Gene names]:[Gene names]])*1, 0))</f>
        <v>3.01E-5</v>
      </c>
      <c r="M452" cm="1">
        <f t="array" ref="M452">INDEX(Table1[riBAQ 39], MATCH(1, (Table3[[#This Row],[Gene names]:[Gene names]] = Table1[[Gene names]:[Gene names]])*1, 0))</f>
        <v>1.9000000000000001E-5</v>
      </c>
      <c r="N452" cm="1">
        <f t="array" ref="N452">INDEX(Table1[riBAQ 40], MATCH(1, (Table3[[#This Row],[Gene names]:[Gene names]] = Table1[[Gene names]:[Gene names]])*1, 0))</f>
        <v>2.9300000000000001E-5</v>
      </c>
      <c r="O452" cm="1">
        <f t="array" ref="O452">INDEX(Table1[riBAQ 41], MATCH(1, (Table3[[#This Row],[Gene names]:[Gene names]] = Table1[[Gene names]:[Gene names]])*1, 0))</f>
        <v>2.34E-5</v>
      </c>
      <c r="P452" cm="1">
        <f t="array" ref="P452">INDEX(Table1[riBAQ 24], MATCH(1, (Table3[[#This Row],[Gene names]:[Gene names]] = Table1[[Gene names]:[Gene names]])*1, 0))</f>
        <v>1.84E-5</v>
      </c>
      <c r="Q452" cm="1">
        <f t="array" ref="Q452">INDEX(Table1[riBAQ 25], MATCH(1, (Table3[[#This Row],[Gene names]:[Gene names]] = Table1[[Gene names]:[Gene names]])*1, 0))</f>
        <v>1.84E-5</v>
      </c>
      <c r="R452" cm="1">
        <f t="array" ref="R452">INDEX(Table1[riBAQ 26], MATCH(1, (Table3[[#This Row],[Gene names]:[Gene names]] = Table1[[Gene names]:[Gene names]])*1, 0))</f>
        <v>1.4800000000000001E-5</v>
      </c>
      <c r="S452" cm="1">
        <f t="array" ref="S452">INDEX(Table1[riBAQ 42], MATCH(1, (Table3[[#This Row],[Gene names]:[Gene names]] = Table1[[Gene names]:[Gene names]])*1, 0))</f>
        <v>1.08E-5</v>
      </c>
      <c r="T452" cm="1">
        <f t="array" ref="T452">INDEX(Table1[riBAQ 43], MATCH(1, (Table3[[#This Row],[Gene names]:[Gene names]] = Table1[[Gene names]:[Gene names]])*1, 0))</f>
        <v>1.29E-5</v>
      </c>
    </row>
    <row r="453" spans="1:20" x14ac:dyDescent="0.25">
      <c r="A453" t="s">
        <v>1195</v>
      </c>
      <c r="B453" cm="1">
        <f t="array" ref="B453">INDEX(Table1[riBAQ 17], MATCH(1, (Table3[[#This Row],[Gene names]:[Gene names]] = Table1[[Gene names]:[Gene names]])*1, 0))</f>
        <v>0</v>
      </c>
      <c r="C453" cm="1">
        <f t="array" ref="C453">INDEX(Table1[riBAQ 18], MATCH(1, (Table3[[#This Row],[Gene names]:[Gene names]] = Table1[[Gene names]:[Gene names]])*1, 0))</f>
        <v>0</v>
      </c>
      <c r="D453" cm="1">
        <f t="array" ref="D453">INDEX(Table1[riBAQ 35], MATCH(1, (Table3[[#This Row],[Gene names]:[Gene names]] = Table1[[Gene names]:[Gene names]])*1, 0))</f>
        <v>0</v>
      </c>
      <c r="E453" cm="1">
        <f t="array" ref="E453">INDEX(Table1[riBAQ 36], MATCH(1, (Table3[[#This Row],[Gene names]:[Gene names]] = Table1[[Gene names]:[Gene names]])*1, 0))</f>
        <v>0</v>
      </c>
      <c r="F453" cm="1">
        <f t="array" ref="F453">INDEX(Table1[riBAQ 19], MATCH(1, (Table3[[#This Row],[Gene names]:[Gene names]] = Table1[[Gene names]:[Gene names]])*1, 0))</f>
        <v>0</v>
      </c>
      <c r="G453" cm="1">
        <f t="array" ref="G453">INDEX(Table1[riBAQ 20], MATCH(1, (Table3[[#This Row],[Gene names]:[Gene names]] = Table1[[Gene names]:[Gene names]])*1, 0))</f>
        <v>0</v>
      </c>
      <c r="H453" cm="1">
        <f t="array" ref="H453">INDEX(Table1[riBAQ 21], MATCH(1, (Table3[[#This Row],[Gene names]:[Gene names]] = Table1[[Gene names]:[Gene names]])*1, 0))</f>
        <v>0</v>
      </c>
      <c r="I453" cm="1">
        <f t="array" ref="I453">INDEX(Table1[riBAQ 22], MATCH(1, (Table3[[#This Row],[Gene names]:[Gene names]] = Table1[[Gene names]:[Gene names]])*1, 0))</f>
        <v>1.7499999999999998E-5</v>
      </c>
      <c r="J453" cm="1">
        <f t="array" ref="J453">INDEX(Table1[riBAQ 23], MATCH(1, (Table3[[#This Row],[Gene names]:[Gene names]] = Table1[[Gene names]:[Gene names]])*1, 0))</f>
        <v>0</v>
      </c>
      <c r="K453" cm="1">
        <f t="array" ref="K453">INDEX(Table1[riBAQ 37], MATCH(1, (Table3[[#This Row],[Gene names]:[Gene names]] = Table1[[Gene names]:[Gene names]])*1, 0))</f>
        <v>0</v>
      </c>
      <c r="L453" cm="1">
        <f t="array" ref="L453">INDEX(Table1[riBAQ 38], MATCH(1, (Table3[[#This Row],[Gene names]:[Gene names]] = Table1[[Gene names]:[Gene names]])*1, 0))</f>
        <v>0</v>
      </c>
      <c r="M453" cm="1">
        <f t="array" ref="M453">INDEX(Table1[riBAQ 39], MATCH(1, (Table3[[#This Row],[Gene names]:[Gene names]] = Table1[[Gene names]:[Gene names]])*1, 0))</f>
        <v>1.6799999999999998E-5</v>
      </c>
      <c r="N453" cm="1">
        <f t="array" ref="N453">INDEX(Table1[riBAQ 40], MATCH(1, (Table3[[#This Row],[Gene names]:[Gene names]] = Table1[[Gene names]:[Gene names]])*1, 0))</f>
        <v>2.4700000000000001E-5</v>
      </c>
      <c r="O453" cm="1">
        <f t="array" ref="O453">INDEX(Table1[riBAQ 41], MATCH(1, (Table3[[#This Row],[Gene names]:[Gene names]] = Table1[[Gene names]:[Gene names]])*1, 0))</f>
        <v>8.0199999999999994E-6</v>
      </c>
      <c r="P453" cm="1">
        <f t="array" ref="P453">INDEX(Table1[riBAQ 24], MATCH(1, (Table3[[#This Row],[Gene names]:[Gene names]] = Table1[[Gene names]:[Gene names]])*1, 0))</f>
        <v>0</v>
      </c>
      <c r="Q453" cm="1">
        <f t="array" ref="Q453">INDEX(Table1[riBAQ 25], MATCH(1, (Table3[[#This Row],[Gene names]:[Gene names]] = Table1[[Gene names]:[Gene names]])*1, 0))</f>
        <v>2.8099999999999999E-5</v>
      </c>
      <c r="R453" cm="1">
        <f t="array" ref="R453">INDEX(Table1[riBAQ 26], MATCH(1, (Table3[[#This Row],[Gene names]:[Gene names]] = Table1[[Gene names]:[Gene names]])*1, 0))</f>
        <v>1.98E-5</v>
      </c>
      <c r="S453" cm="1">
        <f t="array" ref="S453">INDEX(Table1[riBAQ 42], MATCH(1, (Table3[[#This Row],[Gene names]:[Gene names]] = Table1[[Gene names]:[Gene names]])*1, 0))</f>
        <v>2.51E-5</v>
      </c>
      <c r="T453" cm="1">
        <f t="array" ref="T453">INDEX(Table1[riBAQ 43], MATCH(1, (Table3[[#This Row],[Gene names]:[Gene names]] = Table1[[Gene names]:[Gene names]])*1, 0))</f>
        <v>2.16E-5</v>
      </c>
    </row>
    <row r="454" spans="1:20" x14ac:dyDescent="0.25">
      <c r="A454" t="s">
        <v>351</v>
      </c>
      <c r="B454" cm="1">
        <f t="array" ref="B454">INDEX(Table1[riBAQ 17], MATCH(1, (Table3[[#This Row],[Gene names]:[Gene names]] = Table1[[Gene names]:[Gene names]])*1, 0))</f>
        <v>1.71077E-4</v>
      </c>
      <c r="C454" cm="1">
        <f t="array" ref="C454">INDEX(Table1[riBAQ 18], MATCH(1, (Table3[[#This Row],[Gene names]:[Gene names]] = Table1[[Gene names]:[Gene names]])*1, 0))</f>
        <v>1.7516E-4</v>
      </c>
      <c r="D454" cm="1">
        <f t="array" ref="D454">INDEX(Table1[riBAQ 35], MATCH(1, (Table3[[#This Row],[Gene names]:[Gene names]] = Table1[[Gene names]:[Gene names]])*1, 0))</f>
        <v>1.2998999999999999E-4</v>
      </c>
      <c r="E454" cm="1">
        <f t="array" ref="E454">INDEX(Table1[riBAQ 36], MATCH(1, (Table3[[#This Row],[Gene names]:[Gene names]] = Table1[[Gene names]:[Gene names]])*1, 0))</f>
        <v>1.28427E-4</v>
      </c>
      <c r="F454" cm="1">
        <f t="array" ref="F454">INDEX(Table1[riBAQ 19], MATCH(1, (Table3[[#This Row],[Gene names]:[Gene names]] = Table1[[Gene names]:[Gene names]])*1, 0))</f>
        <v>1.19714E-4</v>
      </c>
      <c r="G454" cm="1">
        <f t="array" ref="G454">INDEX(Table1[riBAQ 20], MATCH(1, (Table3[[#This Row],[Gene names]:[Gene names]] = Table1[[Gene names]:[Gene names]])*1, 0))</f>
        <v>2.32356E-4</v>
      </c>
      <c r="H454" cm="1">
        <f t="array" ref="H454">INDEX(Table1[riBAQ 21], MATCH(1, (Table3[[#This Row],[Gene names]:[Gene names]] = Table1[[Gene names]:[Gene names]])*1, 0))</f>
        <v>2.3182300000000001E-4</v>
      </c>
      <c r="I454" cm="1">
        <f t="array" ref="I454">INDEX(Table1[riBAQ 22], MATCH(1, (Table3[[#This Row],[Gene names]:[Gene names]] = Table1[[Gene names]:[Gene names]])*1, 0))</f>
        <v>1.9678799999999999E-4</v>
      </c>
      <c r="J454" cm="1">
        <f t="array" ref="J454">INDEX(Table1[riBAQ 23], MATCH(1, (Table3[[#This Row],[Gene names]:[Gene names]] = Table1[[Gene names]:[Gene names]])*1, 0))</f>
        <v>1.21859E-4</v>
      </c>
      <c r="K454" cm="1">
        <f t="array" ref="K454">INDEX(Table1[riBAQ 37], MATCH(1, (Table3[[#This Row],[Gene names]:[Gene names]] = Table1[[Gene names]:[Gene names]])*1, 0))</f>
        <v>1.51204E-4</v>
      </c>
      <c r="L454" cm="1">
        <f t="array" ref="L454">INDEX(Table1[riBAQ 38], MATCH(1, (Table3[[#This Row],[Gene names]:[Gene names]] = Table1[[Gene names]:[Gene names]])*1, 0))</f>
        <v>1.6535700000000001E-4</v>
      </c>
      <c r="M454" cm="1">
        <f t="array" ref="M454">INDEX(Table1[riBAQ 39], MATCH(1, (Table3[[#This Row],[Gene names]:[Gene names]] = Table1[[Gene names]:[Gene names]])*1, 0))</f>
        <v>6.7700000000000006E-5</v>
      </c>
      <c r="N454" cm="1">
        <f t="array" ref="N454">INDEX(Table1[riBAQ 40], MATCH(1, (Table3[[#This Row],[Gene names]:[Gene names]] = Table1[[Gene names]:[Gene names]])*1, 0))</f>
        <v>9.98E-5</v>
      </c>
      <c r="O454" cm="1">
        <f t="array" ref="O454">INDEX(Table1[riBAQ 41], MATCH(1, (Table3[[#This Row],[Gene names]:[Gene names]] = Table1[[Gene names]:[Gene names]])*1, 0))</f>
        <v>6.4300000000000004E-5</v>
      </c>
      <c r="P454" cm="1">
        <f t="array" ref="P454">INDEX(Table1[riBAQ 24], MATCH(1, (Table3[[#This Row],[Gene names]:[Gene names]] = Table1[[Gene names]:[Gene names]])*1, 0))</f>
        <v>1.32597E-4</v>
      </c>
      <c r="Q454" cm="1">
        <f t="array" ref="Q454">INDEX(Table1[riBAQ 25], MATCH(1, (Table3[[#This Row],[Gene names]:[Gene names]] = Table1[[Gene names]:[Gene names]])*1, 0))</f>
        <v>2.4662499999999999E-4</v>
      </c>
      <c r="R454" cm="1">
        <f t="array" ref="R454">INDEX(Table1[riBAQ 26], MATCH(1, (Table3[[#This Row],[Gene names]:[Gene names]] = Table1[[Gene names]:[Gene names]])*1, 0))</f>
        <v>1.46093E-4</v>
      </c>
      <c r="S454" cm="1">
        <f t="array" ref="S454">INDEX(Table1[riBAQ 42], MATCH(1, (Table3[[#This Row],[Gene names]:[Gene names]] = Table1[[Gene names]:[Gene names]])*1, 0))</f>
        <v>1.1075E-4</v>
      </c>
      <c r="T454" cm="1">
        <f t="array" ref="T454">INDEX(Table1[riBAQ 43], MATCH(1, (Table3[[#This Row],[Gene names]:[Gene names]] = Table1[[Gene names]:[Gene names]])*1, 0))</f>
        <v>3.6367700000000002E-4</v>
      </c>
    </row>
    <row r="455" spans="1:20" x14ac:dyDescent="0.25">
      <c r="A455" t="s">
        <v>109</v>
      </c>
      <c r="B455" cm="1">
        <f t="array" ref="B455">INDEX(Table1[riBAQ 17], MATCH(1, (Table3[[#This Row],[Gene names]:[Gene names]] = Table1[[Gene names]:[Gene names]])*1, 0))</f>
        <v>1.1432100000000001E-4</v>
      </c>
      <c r="C455" cm="1">
        <f t="array" ref="C455">INDEX(Table1[riBAQ 18], MATCH(1, (Table3[[#This Row],[Gene names]:[Gene names]] = Table1[[Gene names]:[Gene names]])*1, 0))</f>
        <v>0</v>
      </c>
      <c r="D455" cm="1">
        <f t="array" ref="D455">INDEX(Table1[riBAQ 35], MATCH(1, (Table3[[#This Row],[Gene names]:[Gene names]] = Table1[[Gene names]:[Gene names]])*1, 0))</f>
        <v>5.1600000000000001E-5</v>
      </c>
      <c r="E455" cm="1">
        <f t="array" ref="E455">INDEX(Table1[riBAQ 36], MATCH(1, (Table3[[#This Row],[Gene names]:[Gene names]] = Table1[[Gene names]:[Gene names]])*1, 0))</f>
        <v>3.3699999999999999E-5</v>
      </c>
      <c r="F455" cm="1">
        <f t="array" ref="F455">INDEX(Table1[riBAQ 19], MATCH(1, (Table3[[#This Row],[Gene names]:[Gene names]] = Table1[[Gene names]:[Gene names]])*1, 0))</f>
        <v>5.6700000000000003E-5</v>
      </c>
      <c r="G455" cm="1">
        <f t="array" ref="G455">INDEX(Table1[riBAQ 20], MATCH(1, (Table3[[#This Row],[Gene names]:[Gene names]] = Table1[[Gene names]:[Gene names]])*1, 0))</f>
        <v>2.83E-5</v>
      </c>
      <c r="H455" cm="1">
        <f t="array" ref="H455">INDEX(Table1[riBAQ 21], MATCH(1, (Table3[[#This Row],[Gene names]:[Gene names]] = Table1[[Gene names]:[Gene names]])*1, 0))</f>
        <v>9.4500000000000007E-5</v>
      </c>
      <c r="I455" cm="1">
        <f t="array" ref="I455">INDEX(Table1[riBAQ 22], MATCH(1, (Table3[[#This Row],[Gene names]:[Gene names]] = Table1[[Gene names]:[Gene names]])*1, 0))</f>
        <v>3.7799999999999997E-5</v>
      </c>
      <c r="J455" cm="1">
        <f t="array" ref="J455">INDEX(Table1[riBAQ 23], MATCH(1, (Table3[[#This Row],[Gene names]:[Gene names]] = Table1[[Gene names]:[Gene names]])*1, 0))</f>
        <v>4.8000000000000001E-5</v>
      </c>
      <c r="K455" cm="1">
        <f t="array" ref="K455">INDEX(Table1[riBAQ 37], MATCH(1, (Table3[[#This Row],[Gene names]:[Gene names]] = Table1[[Gene names]:[Gene names]])*1, 0))</f>
        <v>5.7099999999999999E-5</v>
      </c>
      <c r="L455" cm="1">
        <f t="array" ref="L455">INDEX(Table1[riBAQ 38], MATCH(1, (Table3[[#This Row],[Gene names]:[Gene names]] = Table1[[Gene names]:[Gene names]])*1, 0))</f>
        <v>4.4400000000000002E-5</v>
      </c>
      <c r="M455" cm="1">
        <f t="array" ref="M455">INDEX(Table1[riBAQ 39], MATCH(1, (Table3[[#This Row],[Gene names]:[Gene names]] = Table1[[Gene names]:[Gene names]])*1, 0))</f>
        <v>7.3999999999999996E-5</v>
      </c>
      <c r="N455" cm="1">
        <f t="array" ref="N455">INDEX(Table1[riBAQ 40], MATCH(1, (Table3[[#This Row],[Gene names]:[Gene names]] = Table1[[Gene names]:[Gene names]])*1, 0))</f>
        <v>7.9099999999999998E-5</v>
      </c>
      <c r="O455" cm="1">
        <f t="array" ref="O455">INDEX(Table1[riBAQ 41], MATCH(1, (Table3[[#This Row],[Gene names]:[Gene names]] = Table1[[Gene names]:[Gene names]])*1, 0))</f>
        <v>5.3100000000000003E-5</v>
      </c>
      <c r="P455" cm="1">
        <f t="array" ref="P455">INDEX(Table1[riBAQ 24], MATCH(1, (Table3[[#This Row],[Gene names]:[Gene names]] = Table1[[Gene names]:[Gene names]])*1, 0))</f>
        <v>8.5000000000000006E-5</v>
      </c>
      <c r="Q455" cm="1">
        <f t="array" ref="Q455">INDEX(Table1[riBAQ 25], MATCH(1, (Table3[[#This Row],[Gene names]:[Gene names]] = Table1[[Gene names]:[Gene names]])*1, 0))</f>
        <v>1.4132500000000001E-4</v>
      </c>
      <c r="R455" cm="1">
        <f t="array" ref="R455">INDEX(Table1[riBAQ 26], MATCH(1, (Table3[[#This Row],[Gene names]:[Gene names]] = Table1[[Gene names]:[Gene names]])*1, 0))</f>
        <v>1.3216399999999999E-4</v>
      </c>
      <c r="S455" cm="1">
        <f t="array" ref="S455">INDEX(Table1[riBAQ 42], MATCH(1, (Table3[[#This Row],[Gene names]:[Gene names]] = Table1[[Gene names]:[Gene names]])*1, 0))</f>
        <v>6.3600000000000001E-5</v>
      </c>
      <c r="T455" cm="1">
        <f t="array" ref="T455">INDEX(Table1[riBAQ 43], MATCH(1, (Table3[[#This Row],[Gene names]:[Gene names]] = Table1[[Gene names]:[Gene names]])*1, 0))</f>
        <v>1.7713700000000001E-4</v>
      </c>
    </row>
    <row r="456" spans="1:20" x14ac:dyDescent="0.25">
      <c r="A456" t="s">
        <v>873</v>
      </c>
      <c r="B456" cm="1">
        <f t="array" ref="B456">INDEX(Table1[riBAQ 17], MATCH(1, (Table3[[#This Row],[Gene names]:[Gene names]] = Table1[[Gene names]:[Gene names]])*1, 0))</f>
        <v>0</v>
      </c>
      <c r="C456" cm="1">
        <f t="array" ref="C456">INDEX(Table1[riBAQ 18], MATCH(1, (Table3[[#This Row],[Gene names]:[Gene names]] = Table1[[Gene names]:[Gene names]])*1, 0))</f>
        <v>0</v>
      </c>
      <c r="D456" cm="1">
        <f t="array" ref="D456">INDEX(Table1[riBAQ 35], MATCH(1, (Table3[[#This Row],[Gene names]:[Gene names]] = Table1[[Gene names]:[Gene names]])*1, 0))</f>
        <v>0</v>
      </c>
      <c r="E456" cm="1">
        <f t="array" ref="E456">INDEX(Table1[riBAQ 36], MATCH(1, (Table3[[#This Row],[Gene names]:[Gene names]] = Table1[[Gene names]:[Gene names]])*1, 0))</f>
        <v>0</v>
      </c>
      <c r="F456" cm="1">
        <f t="array" ref="F456">INDEX(Table1[riBAQ 19], MATCH(1, (Table3[[#This Row],[Gene names]:[Gene names]] = Table1[[Gene names]:[Gene names]])*1, 0))</f>
        <v>0</v>
      </c>
      <c r="G456" cm="1">
        <f t="array" ref="G456">INDEX(Table1[riBAQ 20], MATCH(1, (Table3[[#This Row],[Gene names]:[Gene names]] = Table1[[Gene names]:[Gene names]])*1, 0))</f>
        <v>0</v>
      </c>
      <c r="H456" cm="1">
        <f t="array" ref="H456">INDEX(Table1[riBAQ 21], MATCH(1, (Table3[[#This Row],[Gene names]:[Gene names]] = Table1[[Gene names]:[Gene names]])*1, 0))</f>
        <v>0</v>
      </c>
      <c r="I456" cm="1">
        <f t="array" ref="I456">INDEX(Table1[riBAQ 22], MATCH(1, (Table3[[#This Row],[Gene names]:[Gene names]] = Table1[[Gene names]:[Gene names]])*1, 0))</f>
        <v>0</v>
      </c>
      <c r="J456" cm="1">
        <f t="array" ref="J456">INDEX(Table1[riBAQ 23], MATCH(1, (Table3[[#This Row],[Gene names]:[Gene names]] = Table1[[Gene names]:[Gene names]])*1, 0))</f>
        <v>0</v>
      </c>
      <c r="K456" cm="1">
        <f t="array" ref="K456">INDEX(Table1[riBAQ 37], MATCH(1, (Table3[[#This Row],[Gene names]:[Gene names]] = Table1[[Gene names]:[Gene names]])*1, 0))</f>
        <v>1.42E-5</v>
      </c>
      <c r="L456" cm="1">
        <f t="array" ref="L456">INDEX(Table1[riBAQ 38], MATCH(1, (Table3[[#This Row],[Gene names]:[Gene names]] = Table1[[Gene names]:[Gene names]])*1, 0))</f>
        <v>0</v>
      </c>
      <c r="M456" cm="1">
        <f t="array" ref="M456">INDEX(Table1[riBAQ 39], MATCH(1, (Table3[[#This Row],[Gene names]:[Gene names]] = Table1[[Gene names]:[Gene names]])*1, 0))</f>
        <v>0</v>
      </c>
      <c r="N456" cm="1">
        <f t="array" ref="N456">INDEX(Table1[riBAQ 40], MATCH(1, (Table3[[#This Row],[Gene names]:[Gene names]] = Table1[[Gene names]:[Gene names]])*1, 0))</f>
        <v>0</v>
      </c>
      <c r="O456" cm="1">
        <f t="array" ref="O456">INDEX(Table1[riBAQ 41], MATCH(1, (Table3[[#This Row],[Gene names]:[Gene names]] = Table1[[Gene names]:[Gene names]])*1, 0))</f>
        <v>0</v>
      </c>
      <c r="P456" cm="1">
        <f t="array" ref="P456">INDEX(Table1[riBAQ 24], MATCH(1, (Table3[[#This Row],[Gene names]:[Gene names]] = Table1[[Gene names]:[Gene names]])*1, 0))</f>
        <v>2.4899999999999999E-5</v>
      </c>
      <c r="Q456" cm="1">
        <f t="array" ref="Q456">INDEX(Table1[riBAQ 25], MATCH(1, (Table3[[#This Row],[Gene names]:[Gene names]] = Table1[[Gene names]:[Gene names]])*1, 0))</f>
        <v>2.27E-5</v>
      </c>
      <c r="R456" cm="1">
        <f t="array" ref="R456">INDEX(Table1[riBAQ 26], MATCH(1, (Table3[[#This Row],[Gene names]:[Gene names]] = Table1[[Gene names]:[Gene names]])*1, 0))</f>
        <v>1.22E-5</v>
      </c>
      <c r="S456" cm="1">
        <f t="array" ref="S456">INDEX(Table1[riBAQ 42], MATCH(1, (Table3[[#This Row],[Gene names]:[Gene names]] = Table1[[Gene names]:[Gene names]])*1, 0))</f>
        <v>2.6299999999999999E-5</v>
      </c>
      <c r="T456" cm="1">
        <f t="array" ref="T456">INDEX(Table1[riBAQ 43], MATCH(1, (Table3[[#This Row],[Gene names]:[Gene names]] = Table1[[Gene names]:[Gene names]])*1, 0))</f>
        <v>1.9899999999999999E-5</v>
      </c>
    </row>
    <row r="457" spans="1:20" x14ac:dyDescent="0.25">
      <c r="A457" t="s">
        <v>1045</v>
      </c>
      <c r="B457" cm="1">
        <f t="array" ref="B457">INDEX(Table1[riBAQ 17], MATCH(1, (Table3[[#This Row],[Gene names]:[Gene names]] = Table1[[Gene names]:[Gene names]])*1, 0))</f>
        <v>1.59E-5</v>
      </c>
      <c r="C457" cm="1">
        <f t="array" ref="C457">INDEX(Table1[riBAQ 18], MATCH(1, (Table3[[#This Row],[Gene names]:[Gene names]] = Table1[[Gene names]:[Gene names]])*1, 0))</f>
        <v>2.5299999999999998E-5</v>
      </c>
      <c r="D457" cm="1">
        <f t="array" ref="D457">INDEX(Table1[riBAQ 35], MATCH(1, (Table3[[#This Row],[Gene names]:[Gene names]] = Table1[[Gene names]:[Gene names]])*1, 0))</f>
        <v>1.24E-5</v>
      </c>
      <c r="E457" cm="1">
        <f t="array" ref="E457">INDEX(Table1[riBAQ 36], MATCH(1, (Table3[[#This Row],[Gene names]:[Gene names]] = Table1[[Gene names]:[Gene names]])*1, 0))</f>
        <v>1.0200000000000001E-5</v>
      </c>
      <c r="F457" cm="1">
        <f t="array" ref="F457">INDEX(Table1[riBAQ 19], MATCH(1, (Table3[[#This Row],[Gene names]:[Gene names]] = Table1[[Gene names]:[Gene names]])*1, 0))</f>
        <v>1.2799999999999999E-5</v>
      </c>
      <c r="G457" cm="1">
        <f t="array" ref="G457">INDEX(Table1[riBAQ 20], MATCH(1, (Table3[[#This Row],[Gene names]:[Gene names]] = Table1[[Gene names]:[Gene names]])*1, 0))</f>
        <v>1.66E-5</v>
      </c>
      <c r="H457" cm="1">
        <f t="array" ref="H457">INDEX(Table1[riBAQ 21], MATCH(1, (Table3[[#This Row],[Gene names]:[Gene names]] = Table1[[Gene names]:[Gene names]])*1, 0))</f>
        <v>4.6600000000000001E-5</v>
      </c>
      <c r="I457" cm="1">
        <f t="array" ref="I457">INDEX(Table1[riBAQ 22], MATCH(1, (Table3[[#This Row],[Gene names]:[Gene names]] = Table1[[Gene names]:[Gene names]])*1, 0))</f>
        <v>1.6900000000000001E-5</v>
      </c>
      <c r="J457" cm="1">
        <f t="array" ref="J457">INDEX(Table1[riBAQ 23], MATCH(1, (Table3[[#This Row],[Gene names]:[Gene names]] = Table1[[Gene names]:[Gene names]])*1, 0))</f>
        <v>7.7999999999999999E-6</v>
      </c>
      <c r="K457" cm="1">
        <f t="array" ref="K457">INDEX(Table1[riBAQ 37], MATCH(1, (Table3[[#This Row],[Gene names]:[Gene names]] = Table1[[Gene names]:[Gene names]])*1, 0))</f>
        <v>1.42E-5</v>
      </c>
      <c r="L457" cm="1">
        <f t="array" ref="L457">INDEX(Table1[riBAQ 38], MATCH(1, (Table3[[#This Row],[Gene names]:[Gene names]] = Table1[[Gene names]:[Gene names]])*1, 0))</f>
        <v>1.33E-5</v>
      </c>
      <c r="M457" cm="1">
        <f t="array" ref="M457">INDEX(Table1[riBAQ 39], MATCH(1, (Table3[[#This Row],[Gene names]:[Gene names]] = Table1[[Gene names]:[Gene names]])*1, 0))</f>
        <v>1.3699999999999999E-5</v>
      </c>
      <c r="N457" cm="1">
        <f t="array" ref="N457">INDEX(Table1[riBAQ 40], MATCH(1, (Table3[[#This Row],[Gene names]:[Gene names]] = Table1[[Gene names]:[Gene names]])*1, 0))</f>
        <v>1.6399999999999999E-5</v>
      </c>
      <c r="O457" cm="1">
        <f t="array" ref="O457">INDEX(Table1[riBAQ 41], MATCH(1, (Table3[[#This Row],[Gene names]:[Gene names]] = Table1[[Gene names]:[Gene names]])*1, 0))</f>
        <v>9.9399999999999997E-6</v>
      </c>
      <c r="P457" cm="1">
        <f t="array" ref="P457">INDEX(Table1[riBAQ 24], MATCH(1, (Table3[[#This Row],[Gene names]:[Gene names]] = Table1[[Gene names]:[Gene names]])*1, 0))</f>
        <v>2.58E-5</v>
      </c>
      <c r="Q457" cm="1">
        <f t="array" ref="Q457">INDEX(Table1[riBAQ 25], MATCH(1, (Table3[[#This Row],[Gene names]:[Gene names]] = Table1[[Gene names]:[Gene names]])*1, 0))</f>
        <v>2.8200000000000001E-5</v>
      </c>
      <c r="R457" cm="1">
        <f t="array" ref="R457">INDEX(Table1[riBAQ 26], MATCH(1, (Table3[[#This Row],[Gene names]:[Gene names]] = Table1[[Gene names]:[Gene names]])*1, 0))</f>
        <v>4.5800000000000002E-5</v>
      </c>
      <c r="S457" cm="1">
        <f t="array" ref="S457">INDEX(Table1[riBAQ 42], MATCH(1, (Table3[[#This Row],[Gene names]:[Gene names]] = Table1[[Gene names]:[Gene names]])*1, 0))</f>
        <v>2.5199999999999999E-5</v>
      </c>
      <c r="T457" cm="1">
        <f t="array" ref="T457">INDEX(Table1[riBAQ 43], MATCH(1, (Table3[[#This Row],[Gene names]:[Gene names]] = Table1[[Gene names]:[Gene names]])*1, 0))</f>
        <v>4.0299999999999997E-5</v>
      </c>
    </row>
    <row r="458" spans="1:20" x14ac:dyDescent="0.25">
      <c r="A458" t="s">
        <v>875</v>
      </c>
      <c r="B458" cm="1">
        <f t="array" ref="B458">INDEX(Table1[riBAQ 17], MATCH(1, (Table3[[#This Row],[Gene names]:[Gene names]] = Table1[[Gene names]:[Gene names]])*1, 0))</f>
        <v>4.1699999999999997E-5</v>
      </c>
      <c r="C458" cm="1">
        <f t="array" ref="C458">INDEX(Table1[riBAQ 18], MATCH(1, (Table3[[#This Row],[Gene names]:[Gene names]] = Table1[[Gene names]:[Gene names]])*1, 0))</f>
        <v>3.2199999999999997E-5</v>
      </c>
      <c r="D458" cm="1">
        <f t="array" ref="D458">INDEX(Table1[riBAQ 35], MATCH(1, (Table3[[#This Row],[Gene names]:[Gene names]] = Table1[[Gene names]:[Gene names]])*1, 0))</f>
        <v>1.8099999999999999E-5</v>
      </c>
      <c r="E458" cm="1">
        <f t="array" ref="E458">INDEX(Table1[riBAQ 36], MATCH(1, (Table3[[#This Row],[Gene names]:[Gene names]] = Table1[[Gene names]:[Gene names]])*1, 0))</f>
        <v>1.9599999999999999E-5</v>
      </c>
      <c r="F458" cm="1">
        <f t="array" ref="F458">INDEX(Table1[riBAQ 19], MATCH(1, (Table3[[#This Row],[Gene names]:[Gene names]] = Table1[[Gene names]:[Gene names]])*1, 0))</f>
        <v>7.1199999999999996E-5</v>
      </c>
      <c r="G458" cm="1">
        <f t="array" ref="G458">INDEX(Table1[riBAQ 20], MATCH(1, (Table3[[#This Row],[Gene names]:[Gene names]] = Table1[[Gene names]:[Gene names]])*1, 0))</f>
        <v>4.3099999999999997E-5</v>
      </c>
      <c r="H458" cm="1">
        <f t="array" ref="H458">INDEX(Table1[riBAQ 21], MATCH(1, (Table3[[#This Row],[Gene names]:[Gene names]] = Table1[[Gene names]:[Gene names]])*1, 0))</f>
        <v>1.2846999999999999E-4</v>
      </c>
      <c r="I458" cm="1">
        <f t="array" ref="I458">INDEX(Table1[riBAQ 22], MATCH(1, (Table3[[#This Row],[Gene names]:[Gene names]] = Table1[[Gene names]:[Gene names]])*1, 0))</f>
        <v>5.0599999999999997E-5</v>
      </c>
      <c r="J458" cm="1">
        <f t="array" ref="J458">INDEX(Table1[riBAQ 23], MATCH(1, (Table3[[#This Row],[Gene names]:[Gene names]] = Table1[[Gene names]:[Gene names]])*1, 0))</f>
        <v>7.6199999999999995E-5</v>
      </c>
      <c r="K458" cm="1">
        <f t="array" ref="K458">INDEX(Table1[riBAQ 37], MATCH(1, (Table3[[#This Row],[Gene names]:[Gene names]] = Table1[[Gene names]:[Gene names]])*1, 0))</f>
        <v>6.0999999999999999E-5</v>
      </c>
      <c r="L458" cm="1">
        <f t="array" ref="L458">INDEX(Table1[riBAQ 38], MATCH(1, (Table3[[#This Row],[Gene names]:[Gene names]] = Table1[[Gene names]:[Gene names]])*1, 0))</f>
        <v>4.2299999999999998E-5</v>
      </c>
      <c r="M458" cm="1">
        <f t="array" ref="M458">INDEX(Table1[riBAQ 39], MATCH(1, (Table3[[#This Row],[Gene names]:[Gene names]] = Table1[[Gene names]:[Gene names]])*1, 0))</f>
        <v>7.9900000000000004E-5</v>
      </c>
      <c r="N458" cm="1">
        <f t="array" ref="N458">INDEX(Table1[riBAQ 40], MATCH(1, (Table3[[#This Row],[Gene names]:[Gene names]] = Table1[[Gene names]:[Gene names]])*1, 0))</f>
        <v>6.1699999999999995E-5</v>
      </c>
      <c r="O458" cm="1">
        <f t="array" ref="O458">INDEX(Table1[riBAQ 41], MATCH(1, (Table3[[#This Row],[Gene names]:[Gene names]] = Table1[[Gene names]:[Gene names]])*1, 0))</f>
        <v>6.7100000000000005E-5</v>
      </c>
      <c r="P458" cm="1">
        <f t="array" ref="P458">INDEX(Table1[riBAQ 24], MATCH(1, (Table3[[#This Row],[Gene names]:[Gene names]] = Table1[[Gene names]:[Gene names]])*1, 0))</f>
        <v>1.2430199999999999E-4</v>
      </c>
      <c r="Q458" cm="1">
        <f t="array" ref="Q458">INDEX(Table1[riBAQ 25], MATCH(1, (Table3[[#This Row],[Gene names]:[Gene names]] = Table1[[Gene names]:[Gene names]])*1, 0))</f>
        <v>1.7757800000000001E-4</v>
      </c>
      <c r="R458" cm="1">
        <f t="array" ref="R458">INDEX(Table1[riBAQ 26], MATCH(1, (Table3[[#This Row],[Gene names]:[Gene names]] = Table1[[Gene names]:[Gene names]])*1, 0))</f>
        <v>2.63723E-4</v>
      </c>
      <c r="S458" cm="1">
        <f t="array" ref="S458">INDEX(Table1[riBAQ 42], MATCH(1, (Table3[[#This Row],[Gene names]:[Gene names]] = Table1[[Gene names]:[Gene names]])*1, 0))</f>
        <v>2.2566400000000001E-4</v>
      </c>
      <c r="T458" cm="1">
        <f t="array" ref="T458">INDEX(Table1[riBAQ 43], MATCH(1, (Table3[[#This Row],[Gene names]:[Gene names]] = Table1[[Gene names]:[Gene names]])*1, 0))</f>
        <v>1.8703200000000001E-4</v>
      </c>
    </row>
    <row r="459" spans="1:20" x14ac:dyDescent="0.25">
      <c r="A459" t="s">
        <v>1429</v>
      </c>
      <c r="B459" cm="1">
        <f t="array" ref="B459">INDEX(Table1[riBAQ 17], MATCH(1, (Table3[[#This Row],[Gene names]:[Gene names]] = Table1[[Gene names]:[Gene names]])*1, 0))</f>
        <v>0</v>
      </c>
      <c r="C459" cm="1">
        <f t="array" ref="C459">INDEX(Table1[riBAQ 18], MATCH(1, (Table3[[#This Row],[Gene names]:[Gene names]] = Table1[[Gene names]:[Gene names]])*1, 0))</f>
        <v>0</v>
      </c>
      <c r="D459" cm="1">
        <f t="array" ref="D459">INDEX(Table1[riBAQ 35], MATCH(1, (Table3[[#This Row],[Gene names]:[Gene names]] = Table1[[Gene names]:[Gene names]])*1, 0))</f>
        <v>0</v>
      </c>
      <c r="E459" cm="1">
        <f t="array" ref="E459">INDEX(Table1[riBAQ 36], MATCH(1, (Table3[[#This Row],[Gene names]:[Gene names]] = Table1[[Gene names]:[Gene names]])*1, 0))</f>
        <v>0</v>
      </c>
      <c r="F459" cm="1">
        <f t="array" ref="F459">INDEX(Table1[riBAQ 19], MATCH(1, (Table3[[#This Row],[Gene names]:[Gene names]] = Table1[[Gene names]:[Gene names]])*1, 0))</f>
        <v>0</v>
      </c>
      <c r="G459" cm="1">
        <f t="array" ref="G459">INDEX(Table1[riBAQ 20], MATCH(1, (Table3[[#This Row],[Gene names]:[Gene names]] = Table1[[Gene names]:[Gene names]])*1, 0))</f>
        <v>0</v>
      </c>
      <c r="H459" cm="1">
        <f t="array" ref="H459">INDEX(Table1[riBAQ 21], MATCH(1, (Table3[[#This Row],[Gene names]:[Gene names]] = Table1[[Gene names]:[Gene names]])*1, 0))</f>
        <v>0</v>
      </c>
      <c r="I459" cm="1">
        <f t="array" ref="I459">INDEX(Table1[riBAQ 22], MATCH(1, (Table3[[#This Row],[Gene names]:[Gene names]] = Table1[[Gene names]:[Gene names]])*1, 0))</f>
        <v>0</v>
      </c>
      <c r="J459" cm="1">
        <f t="array" ref="J459">INDEX(Table1[riBAQ 23], MATCH(1, (Table3[[#This Row],[Gene names]:[Gene names]] = Table1[[Gene names]:[Gene names]])*1, 0))</f>
        <v>0</v>
      </c>
      <c r="K459" cm="1">
        <f t="array" ref="K459">INDEX(Table1[riBAQ 37], MATCH(1, (Table3[[#This Row],[Gene names]:[Gene names]] = Table1[[Gene names]:[Gene names]])*1, 0))</f>
        <v>0</v>
      </c>
      <c r="L459" cm="1">
        <f t="array" ref="L459">INDEX(Table1[riBAQ 38], MATCH(1, (Table3[[#This Row],[Gene names]:[Gene names]] = Table1[[Gene names]:[Gene names]])*1, 0))</f>
        <v>0</v>
      </c>
      <c r="M459" cm="1">
        <f t="array" ref="M459">INDEX(Table1[riBAQ 39], MATCH(1, (Table3[[#This Row],[Gene names]:[Gene names]] = Table1[[Gene names]:[Gene names]])*1, 0))</f>
        <v>0</v>
      </c>
      <c r="N459" cm="1">
        <f t="array" ref="N459">INDEX(Table1[riBAQ 40], MATCH(1, (Table3[[#This Row],[Gene names]:[Gene names]] = Table1[[Gene names]:[Gene names]])*1, 0))</f>
        <v>0</v>
      </c>
      <c r="O459" cm="1">
        <f t="array" ref="O459">INDEX(Table1[riBAQ 41], MATCH(1, (Table3[[#This Row],[Gene names]:[Gene names]] = Table1[[Gene names]:[Gene names]])*1, 0))</f>
        <v>0</v>
      </c>
      <c r="P459" cm="1">
        <f t="array" ref="P459">INDEX(Table1[riBAQ 24], MATCH(1, (Table3[[#This Row],[Gene names]:[Gene names]] = Table1[[Gene names]:[Gene names]])*1, 0))</f>
        <v>0</v>
      </c>
      <c r="Q459" cm="1">
        <f t="array" ref="Q459">INDEX(Table1[riBAQ 25], MATCH(1, (Table3[[#This Row],[Gene names]:[Gene names]] = Table1[[Gene names]:[Gene names]])*1, 0))</f>
        <v>8.2199999999999992E-6</v>
      </c>
      <c r="R459" cm="1">
        <f t="array" ref="R459">INDEX(Table1[riBAQ 26], MATCH(1, (Table3[[#This Row],[Gene names]:[Gene names]] = Table1[[Gene names]:[Gene names]])*1, 0))</f>
        <v>1.42E-5</v>
      </c>
      <c r="S459" cm="1">
        <f t="array" ref="S459">INDEX(Table1[riBAQ 42], MATCH(1, (Table3[[#This Row],[Gene names]:[Gene names]] = Table1[[Gene names]:[Gene names]])*1, 0))</f>
        <v>2.2500000000000001E-5</v>
      </c>
      <c r="T459" cm="1">
        <f t="array" ref="T459">INDEX(Table1[riBAQ 43], MATCH(1, (Table3[[#This Row],[Gene names]:[Gene names]] = Table1[[Gene names]:[Gene names]])*1, 0))</f>
        <v>1.33E-5</v>
      </c>
    </row>
    <row r="460" spans="1:20" x14ac:dyDescent="0.25">
      <c r="A460" t="s">
        <v>575</v>
      </c>
      <c r="B460" cm="1">
        <f t="array" ref="B460">INDEX(Table1[riBAQ 17], MATCH(1, (Table3[[#This Row],[Gene names]:[Gene names]] = Table1[[Gene names]:[Gene names]])*1, 0))</f>
        <v>1.0064E-4</v>
      </c>
      <c r="C460" cm="1">
        <f t="array" ref="C460">INDEX(Table1[riBAQ 18], MATCH(1, (Table3[[#This Row],[Gene names]:[Gene names]] = Table1[[Gene names]:[Gene names]])*1, 0))</f>
        <v>2.8099999999999999E-5</v>
      </c>
      <c r="D460" cm="1">
        <f t="array" ref="D460">INDEX(Table1[riBAQ 35], MATCH(1, (Table3[[#This Row],[Gene names]:[Gene names]] = Table1[[Gene names]:[Gene names]])*1, 0))</f>
        <v>3.01E-5</v>
      </c>
      <c r="E460" cm="1">
        <f t="array" ref="E460">INDEX(Table1[riBAQ 36], MATCH(1, (Table3[[#This Row],[Gene names]:[Gene names]] = Table1[[Gene names]:[Gene names]])*1, 0))</f>
        <v>3.7799999999999997E-5</v>
      </c>
      <c r="F460" cm="1">
        <f t="array" ref="F460">INDEX(Table1[riBAQ 19], MATCH(1, (Table3[[#This Row],[Gene names]:[Gene names]] = Table1[[Gene names]:[Gene names]])*1, 0))</f>
        <v>2.8718400000000001E-4</v>
      </c>
      <c r="G460" cm="1">
        <f t="array" ref="G460">INDEX(Table1[riBAQ 20], MATCH(1, (Table3[[#This Row],[Gene names]:[Gene names]] = Table1[[Gene names]:[Gene names]])*1, 0))</f>
        <v>1.3154E-4</v>
      </c>
      <c r="H460" cm="1">
        <f t="array" ref="H460">INDEX(Table1[riBAQ 21], MATCH(1, (Table3[[#This Row],[Gene names]:[Gene names]] = Table1[[Gene names]:[Gene names]])*1, 0))</f>
        <v>2.36438E-4</v>
      </c>
      <c r="I460" cm="1">
        <f t="array" ref="I460">INDEX(Table1[riBAQ 22], MATCH(1, (Table3[[#This Row],[Gene names]:[Gene names]] = Table1[[Gene names]:[Gene names]])*1, 0))</f>
        <v>1.67305E-4</v>
      </c>
      <c r="J460" cm="1">
        <f t="array" ref="J460">INDEX(Table1[riBAQ 23], MATCH(1, (Table3[[#This Row],[Gene names]:[Gene names]] = Table1[[Gene names]:[Gene names]])*1, 0))</f>
        <v>2.05484E-4</v>
      </c>
      <c r="K460" cm="1">
        <f t="array" ref="K460">INDEX(Table1[riBAQ 37], MATCH(1, (Table3[[#This Row],[Gene names]:[Gene names]] = Table1[[Gene names]:[Gene names]])*1, 0))</f>
        <v>9.2200000000000005E-5</v>
      </c>
      <c r="L460" cm="1">
        <f t="array" ref="L460">INDEX(Table1[riBAQ 38], MATCH(1, (Table3[[#This Row],[Gene names]:[Gene names]] = Table1[[Gene names]:[Gene names]])*1, 0))</f>
        <v>1.69817E-4</v>
      </c>
      <c r="M460" cm="1">
        <f t="array" ref="M460">INDEX(Table1[riBAQ 39], MATCH(1, (Table3[[#This Row],[Gene names]:[Gene names]] = Table1[[Gene names]:[Gene names]])*1, 0))</f>
        <v>1.2317900000000001E-4</v>
      </c>
      <c r="N460" cm="1">
        <f t="array" ref="N460">INDEX(Table1[riBAQ 40], MATCH(1, (Table3[[#This Row],[Gene names]:[Gene names]] = Table1[[Gene names]:[Gene names]])*1, 0))</f>
        <v>1.2750700000000001E-4</v>
      </c>
      <c r="O460" cm="1">
        <f t="array" ref="O460">INDEX(Table1[riBAQ 41], MATCH(1, (Table3[[#This Row],[Gene names]:[Gene names]] = Table1[[Gene names]:[Gene names]])*1, 0))</f>
        <v>1.2667700000000001E-4</v>
      </c>
      <c r="P460" cm="1">
        <f t="array" ref="P460">INDEX(Table1[riBAQ 24], MATCH(1, (Table3[[#This Row],[Gene names]:[Gene names]] = Table1[[Gene names]:[Gene names]])*1, 0))</f>
        <v>2.48836E-4</v>
      </c>
      <c r="Q460" cm="1">
        <f t="array" ref="Q460">INDEX(Table1[riBAQ 25], MATCH(1, (Table3[[#This Row],[Gene names]:[Gene names]] = Table1[[Gene names]:[Gene names]])*1, 0))</f>
        <v>1.106082E-3</v>
      </c>
      <c r="R460" cm="1">
        <f t="array" ref="R460">INDEX(Table1[riBAQ 26], MATCH(1, (Table3[[#This Row],[Gene names]:[Gene names]] = Table1[[Gene names]:[Gene names]])*1, 0))</f>
        <v>8.8077999999999995E-4</v>
      </c>
      <c r="S460" cm="1">
        <f t="array" ref="S460">INDEX(Table1[riBAQ 42], MATCH(1, (Table3[[#This Row],[Gene names]:[Gene names]] = Table1[[Gene names]:[Gene names]])*1, 0))</f>
        <v>1.545945E-3</v>
      </c>
      <c r="T460" cm="1">
        <f t="array" ref="T460">INDEX(Table1[riBAQ 43], MATCH(1, (Table3[[#This Row],[Gene names]:[Gene names]] = Table1[[Gene names]:[Gene names]])*1, 0))</f>
        <v>9.8848699999999992E-4</v>
      </c>
    </row>
    <row r="461" spans="1:20" x14ac:dyDescent="0.25">
      <c r="A461" t="s">
        <v>872</v>
      </c>
      <c r="B461" cm="1">
        <f t="array" ref="B461">INDEX(Table1[riBAQ 17], MATCH(1, (Table3[[#This Row],[Gene names]:[Gene names]] = Table1[[Gene names]:[Gene names]])*1, 0))</f>
        <v>0</v>
      </c>
      <c r="C461" cm="1">
        <f t="array" ref="C461">INDEX(Table1[riBAQ 18], MATCH(1, (Table3[[#This Row],[Gene names]:[Gene names]] = Table1[[Gene names]:[Gene names]])*1, 0))</f>
        <v>0</v>
      </c>
      <c r="D461" cm="1">
        <f t="array" ref="D461">INDEX(Table1[riBAQ 35], MATCH(1, (Table3[[#This Row],[Gene names]:[Gene names]] = Table1[[Gene names]:[Gene names]])*1, 0))</f>
        <v>0</v>
      </c>
      <c r="E461" cm="1">
        <f t="array" ref="E461">INDEX(Table1[riBAQ 36], MATCH(1, (Table3[[#This Row],[Gene names]:[Gene names]] = Table1[[Gene names]:[Gene names]])*1, 0))</f>
        <v>0</v>
      </c>
      <c r="F461" cm="1">
        <f t="array" ref="F461">INDEX(Table1[riBAQ 19], MATCH(1, (Table3[[#This Row],[Gene names]:[Gene names]] = Table1[[Gene names]:[Gene names]])*1, 0))</f>
        <v>1.8600000000000001E-5</v>
      </c>
      <c r="G461" cm="1">
        <f t="array" ref="G461">INDEX(Table1[riBAQ 20], MATCH(1, (Table3[[#This Row],[Gene names]:[Gene names]] = Table1[[Gene names]:[Gene names]])*1, 0))</f>
        <v>0</v>
      </c>
      <c r="H461" cm="1">
        <f t="array" ref="H461">INDEX(Table1[riBAQ 21], MATCH(1, (Table3[[#This Row],[Gene names]:[Gene names]] = Table1[[Gene names]:[Gene names]])*1, 0))</f>
        <v>0</v>
      </c>
      <c r="I461" cm="1">
        <f t="array" ref="I461">INDEX(Table1[riBAQ 22], MATCH(1, (Table3[[#This Row],[Gene names]:[Gene names]] = Table1[[Gene names]:[Gene names]])*1, 0))</f>
        <v>0</v>
      </c>
      <c r="J461" cm="1">
        <f t="array" ref="J461">INDEX(Table1[riBAQ 23], MATCH(1, (Table3[[#This Row],[Gene names]:[Gene names]] = Table1[[Gene names]:[Gene names]])*1, 0))</f>
        <v>7.5100000000000001E-6</v>
      </c>
      <c r="K461" cm="1">
        <f t="array" ref="K461">INDEX(Table1[riBAQ 37], MATCH(1, (Table3[[#This Row],[Gene names]:[Gene names]] = Table1[[Gene names]:[Gene names]])*1, 0))</f>
        <v>1.1800000000000001E-5</v>
      </c>
      <c r="L461" cm="1">
        <f t="array" ref="L461">INDEX(Table1[riBAQ 38], MATCH(1, (Table3[[#This Row],[Gene names]:[Gene names]] = Table1[[Gene names]:[Gene names]])*1, 0))</f>
        <v>0</v>
      </c>
      <c r="M461" cm="1">
        <f t="array" ref="M461">INDEX(Table1[riBAQ 39], MATCH(1, (Table3[[#This Row],[Gene names]:[Gene names]] = Table1[[Gene names]:[Gene names]])*1, 0))</f>
        <v>0</v>
      </c>
      <c r="N461" cm="1">
        <f t="array" ref="N461">INDEX(Table1[riBAQ 40], MATCH(1, (Table3[[#This Row],[Gene names]:[Gene names]] = Table1[[Gene names]:[Gene names]])*1, 0))</f>
        <v>9.3100000000000006E-6</v>
      </c>
      <c r="O461" cm="1">
        <f t="array" ref="O461">INDEX(Table1[riBAQ 41], MATCH(1, (Table3[[#This Row],[Gene names]:[Gene names]] = Table1[[Gene names]:[Gene names]])*1, 0))</f>
        <v>0</v>
      </c>
      <c r="P461" cm="1">
        <f t="array" ref="P461">INDEX(Table1[riBAQ 24], MATCH(1, (Table3[[#This Row],[Gene names]:[Gene names]] = Table1[[Gene names]:[Gene names]])*1, 0))</f>
        <v>2.8500000000000002E-5</v>
      </c>
      <c r="Q461" cm="1">
        <f t="array" ref="Q461">INDEX(Table1[riBAQ 25], MATCH(1, (Table3[[#This Row],[Gene names]:[Gene names]] = Table1[[Gene names]:[Gene names]])*1, 0))</f>
        <v>4.3000000000000002E-5</v>
      </c>
      <c r="R461" cm="1">
        <f t="array" ref="R461">INDEX(Table1[riBAQ 26], MATCH(1, (Table3[[#This Row],[Gene names]:[Gene names]] = Table1[[Gene names]:[Gene names]])*1, 0))</f>
        <v>5.6799999999999998E-5</v>
      </c>
      <c r="S461" cm="1">
        <f t="array" ref="S461">INDEX(Table1[riBAQ 42], MATCH(1, (Table3[[#This Row],[Gene names]:[Gene names]] = Table1[[Gene names]:[Gene names]])*1, 0))</f>
        <v>5.5999999999999999E-5</v>
      </c>
      <c r="T461" cm="1">
        <f t="array" ref="T461">INDEX(Table1[riBAQ 43], MATCH(1, (Table3[[#This Row],[Gene names]:[Gene names]] = Table1[[Gene names]:[Gene names]])*1, 0))</f>
        <v>4.57E-5</v>
      </c>
    </row>
    <row r="462" spans="1:20" x14ac:dyDescent="0.25">
      <c r="A462" t="s">
        <v>361</v>
      </c>
      <c r="B462" cm="1">
        <f t="array" ref="B462">INDEX(Table1[riBAQ 17], MATCH(1, (Table3[[#This Row],[Gene names]:[Gene names]] = Table1[[Gene names]:[Gene names]])*1, 0))</f>
        <v>6.8999999999999997E-5</v>
      </c>
      <c r="C462" cm="1">
        <f t="array" ref="C462">INDEX(Table1[riBAQ 18], MATCH(1, (Table3[[#This Row],[Gene names]:[Gene names]] = Table1[[Gene names]:[Gene names]])*1, 0))</f>
        <v>4.2400000000000001E-5</v>
      </c>
      <c r="D462" cm="1">
        <f t="array" ref="D462">INDEX(Table1[riBAQ 35], MATCH(1, (Table3[[#This Row],[Gene names]:[Gene names]] = Table1[[Gene names]:[Gene names]])*1, 0))</f>
        <v>6.8999999999999997E-5</v>
      </c>
      <c r="E462" cm="1">
        <f t="array" ref="E462">INDEX(Table1[riBAQ 36], MATCH(1, (Table3[[#This Row],[Gene names]:[Gene names]] = Table1[[Gene names]:[Gene names]])*1, 0))</f>
        <v>6.3499999999999999E-5</v>
      </c>
      <c r="F462" cm="1">
        <f t="array" ref="F462">INDEX(Table1[riBAQ 19], MATCH(1, (Table3[[#This Row],[Gene names]:[Gene names]] = Table1[[Gene names]:[Gene names]])*1, 0))</f>
        <v>1.0133599999999999E-4</v>
      </c>
      <c r="G462" cm="1">
        <f t="array" ref="G462">INDEX(Table1[riBAQ 20], MATCH(1, (Table3[[#This Row],[Gene names]:[Gene names]] = Table1[[Gene names]:[Gene names]])*1, 0))</f>
        <v>7.3399999999999995E-5</v>
      </c>
      <c r="H462" cm="1">
        <f t="array" ref="H462">INDEX(Table1[riBAQ 21], MATCH(1, (Table3[[#This Row],[Gene names]:[Gene names]] = Table1[[Gene names]:[Gene names]])*1, 0))</f>
        <v>6.6500000000000004E-5</v>
      </c>
      <c r="I462" cm="1">
        <f t="array" ref="I462">INDEX(Table1[riBAQ 22], MATCH(1, (Table3[[#This Row],[Gene names]:[Gene names]] = Table1[[Gene names]:[Gene names]])*1, 0))</f>
        <v>9.6299999999999996E-5</v>
      </c>
      <c r="J462" cm="1">
        <f t="array" ref="J462">INDEX(Table1[riBAQ 23], MATCH(1, (Table3[[#This Row],[Gene names]:[Gene names]] = Table1[[Gene names]:[Gene names]])*1, 0))</f>
        <v>7.5099999999999996E-5</v>
      </c>
      <c r="K462" cm="1">
        <f t="array" ref="K462">INDEX(Table1[riBAQ 37], MATCH(1, (Table3[[#This Row],[Gene names]:[Gene names]] = Table1[[Gene names]:[Gene names]])*1, 0))</f>
        <v>8.7399999999999997E-5</v>
      </c>
      <c r="L462" cm="1">
        <f t="array" ref="L462">INDEX(Table1[riBAQ 38], MATCH(1, (Table3[[#This Row],[Gene names]:[Gene names]] = Table1[[Gene names]:[Gene names]])*1, 0))</f>
        <v>9.1600000000000004E-5</v>
      </c>
      <c r="M462" cm="1">
        <f t="array" ref="M462">INDEX(Table1[riBAQ 39], MATCH(1, (Table3[[#This Row],[Gene names]:[Gene names]] = Table1[[Gene names]:[Gene names]])*1, 0))</f>
        <v>7.4499999999999995E-5</v>
      </c>
      <c r="N462" cm="1">
        <f t="array" ref="N462">INDEX(Table1[riBAQ 40], MATCH(1, (Table3[[#This Row],[Gene names]:[Gene names]] = Table1[[Gene names]:[Gene names]])*1, 0))</f>
        <v>8.3399999999999994E-5</v>
      </c>
      <c r="O462" cm="1">
        <f t="array" ref="O462">INDEX(Table1[riBAQ 41], MATCH(1, (Table3[[#This Row],[Gene names]:[Gene names]] = Table1[[Gene names]:[Gene names]])*1, 0))</f>
        <v>7.0900000000000002E-5</v>
      </c>
      <c r="P462" cm="1">
        <f t="array" ref="P462">INDEX(Table1[riBAQ 24], MATCH(1, (Table3[[#This Row],[Gene names]:[Gene names]] = Table1[[Gene names]:[Gene names]])*1, 0))</f>
        <v>1.2744399999999999E-4</v>
      </c>
      <c r="Q462" cm="1">
        <f t="array" ref="Q462">INDEX(Table1[riBAQ 25], MATCH(1, (Table3[[#This Row],[Gene names]:[Gene names]] = Table1[[Gene names]:[Gene names]])*1, 0))</f>
        <v>1.4653800000000001E-4</v>
      </c>
      <c r="R462" cm="1">
        <f t="array" ref="R462">INDEX(Table1[riBAQ 26], MATCH(1, (Table3[[#This Row],[Gene names]:[Gene names]] = Table1[[Gene names]:[Gene names]])*1, 0))</f>
        <v>9.0199999999999997E-5</v>
      </c>
      <c r="S462" cm="1">
        <f t="array" ref="S462">INDEX(Table1[riBAQ 42], MATCH(1, (Table3[[#This Row],[Gene names]:[Gene names]] = Table1[[Gene names]:[Gene names]])*1, 0))</f>
        <v>1.4075700000000001E-4</v>
      </c>
      <c r="T462" cm="1">
        <f t="array" ref="T462">INDEX(Table1[riBAQ 43], MATCH(1, (Table3[[#This Row],[Gene names]:[Gene names]] = Table1[[Gene names]:[Gene names]])*1, 0))</f>
        <v>1.2386299999999999E-4</v>
      </c>
    </row>
    <row r="463" spans="1:20" x14ac:dyDescent="0.25">
      <c r="A463" t="s">
        <v>871</v>
      </c>
      <c r="B463" cm="1">
        <f t="array" ref="B463">INDEX(Table1[riBAQ 17], MATCH(1, (Table3[[#This Row],[Gene names]:[Gene names]] = Table1[[Gene names]:[Gene names]])*1, 0))</f>
        <v>9.73E-6</v>
      </c>
      <c r="C463" cm="1">
        <f t="array" ref="C463">INDEX(Table1[riBAQ 18], MATCH(1, (Table3[[#This Row],[Gene names]:[Gene names]] = Table1[[Gene names]:[Gene names]])*1, 0))</f>
        <v>0</v>
      </c>
      <c r="D463" cm="1">
        <f t="array" ref="D463">INDEX(Table1[riBAQ 35], MATCH(1, (Table3[[#This Row],[Gene names]:[Gene names]] = Table1[[Gene names]:[Gene names]])*1, 0))</f>
        <v>0</v>
      </c>
      <c r="E463" cm="1">
        <f t="array" ref="E463">INDEX(Table1[riBAQ 36], MATCH(1, (Table3[[#This Row],[Gene names]:[Gene names]] = Table1[[Gene names]:[Gene names]])*1, 0))</f>
        <v>0</v>
      </c>
      <c r="F463" cm="1">
        <f t="array" ref="F463">INDEX(Table1[riBAQ 19], MATCH(1, (Table3[[#This Row],[Gene names]:[Gene names]] = Table1[[Gene names]:[Gene names]])*1, 0))</f>
        <v>1.6699999999999999E-5</v>
      </c>
      <c r="G463" cm="1">
        <f t="array" ref="G463">INDEX(Table1[riBAQ 20], MATCH(1, (Table3[[#This Row],[Gene names]:[Gene names]] = Table1[[Gene names]:[Gene names]])*1, 0))</f>
        <v>3.3800000000000002E-5</v>
      </c>
      <c r="H463" cm="1">
        <f t="array" ref="H463">INDEX(Table1[riBAQ 21], MATCH(1, (Table3[[#This Row],[Gene names]:[Gene names]] = Table1[[Gene names]:[Gene names]])*1, 0))</f>
        <v>1.5999999999999999E-5</v>
      </c>
      <c r="I463" cm="1">
        <f t="array" ref="I463">INDEX(Table1[riBAQ 22], MATCH(1, (Table3[[#This Row],[Gene names]:[Gene names]] = Table1[[Gene names]:[Gene names]])*1, 0))</f>
        <v>2.8099999999999999E-5</v>
      </c>
      <c r="J463" cm="1">
        <f t="array" ref="J463">INDEX(Table1[riBAQ 23], MATCH(1, (Table3[[#This Row],[Gene names]:[Gene names]] = Table1[[Gene names]:[Gene names]])*1, 0))</f>
        <v>2.7500000000000001E-5</v>
      </c>
      <c r="K463" cm="1">
        <f t="array" ref="K463">INDEX(Table1[riBAQ 37], MATCH(1, (Table3[[#This Row],[Gene names]:[Gene names]] = Table1[[Gene names]:[Gene names]])*1, 0))</f>
        <v>8.1699999999999997E-6</v>
      </c>
      <c r="L463" cm="1">
        <f t="array" ref="L463">INDEX(Table1[riBAQ 38], MATCH(1, (Table3[[#This Row],[Gene names]:[Gene names]] = Table1[[Gene names]:[Gene names]])*1, 0))</f>
        <v>4.49E-5</v>
      </c>
      <c r="M463" cm="1">
        <f t="array" ref="M463">INDEX(Table1[riBAQ 39], MATCH(1, (Table3[[#This Row],[Gene names]:[Gene names]] = Table1[[Gene names]:[Gene names]])*1, 0))</f>
        <v>3.4E-5</v>
      </c>
      <c r="N463" cm="1">
        <f t="array" ref="N463">INDEX(Table1[riBAQ 40], MATCH(1, (Table3[[#This Row],[Gene names]:[Gene names]] = Table1[[Gene names]:[Gene names]])*1, 0))</f>
        <v>2.16E-5</v>
      </c>
      <c r="O463" cm="1">
        <f t="array" ref="O463">INDEX(Table1[riBAQ 41], MATCH(1, (Table3[[#This Row],[Gene names]:[Gene names]] = Table1[[Gene names]:[Gene names]])*1, 0))</f>
        <v>2.0000000000000002E-5</v>
      </c>
      <c r="P463" cm="1">
        <f t="array" ref="P463">INDEX(Table1[riBAQ 24], MATCH(1, (Table3[[#This Row],[Gene names]:[Gene names]] = Table1[[Gene names]:[Gene names]])*1, 0))</f>
        <v>5.38E-5</v>
      </c>
      <c r="Q463" cm="1">
        <f t="array" ref="Q463">INDEX(Table1[riBAQ 25], MATCH(1, (Table3[[#This Row],[Gene names]:[Gene names]] = Table1[[Gene names]:[Gene names]])*1, 0))</f>
        <v>1.4635000000000001E-4</v>
      </c>
      <c r="R463" cm="1">
        <f t="array" ref="R463">INDEX(Table1[riBAQ 26], MATCH(1, (Table3[[#This Row],[Gene names]:[Gene names]] = Table1[[Gene names]:[Gene names]])*1, 0))</f>
        <v>1.9900500000000001E-4</v>
      </c>
      <c r="S463" cm="1">
        <f t="array" ref="S463">INDEX(Table1[riBAQ 42], MATCH(1, (Table3[[#This Row],[Gene names]:[Gene names]] = Table1[[Gene names]:[Gene names]])*1, 0))</f>
        <v>1.4825E-4</v>
      </c>
      <c r="T463" cm="1">
        <f t="array" ref="T463">INDEX(Table1[riBAQ 43], MATCH(1, (Table3[[#This Row],[Gene names]:[Gene names]] = Table1[[Gene names]:[Gene names]])*1, 0))</f>
        <v>1.5023200000000001E-4</v>
      </c>
    </row>
    <row r="464" spans="1:20" x14ac:dyDescent="0.25">
      <c r="A464" t="s">
        <v>1042</v>
      </c>
      <c r="B464" cm="1">
        <f t="array" ref="B464">INDEX(Table1[riBAQ 17], MATCH(1, (Table3[[#This Row],[Gene names]:[Gene names]] = Table1[[Gene names]:[Gene names]])*1, 0))</f>
        <v>7.43E-6</v>
      </c>
      <c r="C464" cm="1">
        <f t="array" ref="C464">INDEX(Table1[riBAQ 18], MATCH(1, (Table3[[#This Row],[Gene names]:[Gene names]] = Table1[[Gene names]:[Gene names]])*1, 0))</f>
        <v>0</v>
      </c>
      <c r="D464" cm="1">
        <f t="array" ref="D464">INDEX(Table1[riBAQ 35], MATCH(1, (Table3[[#This Row],[Gene names]:[Gene names]] = Table1[[Gene names]:[Gene names]])*1, 0))</f>
        <v>0</v>
      </c>
      <c r="E464" cm="1">
        <f t="array" ref="E464">INDEX(Table1[riBAQ 36], MATCH(1, (Table3[[#This Row],[Gene names]:[Gene names]] = Table1[[Gene names]:[Gene names]])*1, 0))</f>
        <v>0</v>
      </c>
      <c r="F464" cm="1">
        <f t="array" ref="F464">INDEX(Table1[riBAQ 19], MATCH(1, (Table3[[#This Row],[Gene names]:[Gene names]] = Table1[[Gene names]:[Gene names]])*1, 0))</f>
        <v>1.5500000000000001E-5</v>
      </c>
      <c r="G464" cm="1">
        <f t="array" ref="G464">INDEX(Table1[riBAQ 20], MATCH(1, (Table3[[#This Row],[Gene names]:[Gene names]] = Table1[[Gene names]:[Gene names]])*1, 0))</f>
        <v>1.8499999999999999E-5</v>
      </c>
      <c r="H464" cm="1">
        <f t="array" ref="H464">INDEX(Table1[riBAQ 21], MATCH(1, (Table3[[#This Row],[Gene names]:[Gene names]] = Table1[[Gene names]:[Gene names]])*1, 0))</f>
        <v>2.3E-5</v>
      </c>
      <c r="I464" cm="1">
        <f t="array" ref="I464">INDEX(Table1[riBAQ 22], MATCH(1, (Table3[[#This Row],[Gene names]:[Gene names]] = Table1[[Gene names]:[Gene names]])*1, 0))</f>
        <v>8.3699999999999995E-6</v>
      </c>
      <c r="J464" cm="1">
        <f t="array" ref="J464">INDEX(Table1[riBAQ 23], MATCH(1, (Table3[[#This Row],[Gene names]:[Gene names]] = Table1[[Gene names]:[Gene names]])*1, 0))</f>
        <v>1.04E-5</v>
      </c>
      <c r="K464" cm="1">
        <f t="array" ref="K464">INDEX(Table1[riBAQ 37], MATCH(1, (Table3[[#This Row],[Gene names]:[Gene names]] = Table1[[Gene names]:[Gene names]])*1, 0))</f>
        <v>4.7299999999999998E-5</v>
      </c>
      <c r="L464" cm="1">
        <f t="array" ref="L464">INDEX(Table1[riBAQ 38], MATCH(1, (Table3[[#This Row],[Gene names]:[Gene names]] = Table1[[Gene names]:[Gene names]])*1, 0))</f>
        <v>1.9899999999999999E-5</v>
      </c>
      <c r="M464" cm="1">
        <f t="array" ref="M464">INDEX(Table1[riBAQ 39], MATCH(1, (Table3[[#This Row],[Gene names]:[Gene names]] = Table1[[Gene names]:[Gene names]])*1, 0))</f>
        <v>1.0200000000000001E-5</v>
      </c>
      <c r="N464" cm="1">
        <f t="array" ref="N464">INDEX(Table1[riBAQ 40], MATCH(1, (Table3[[#This Row],[Gene names]:[Gene names]] = Table1[[Gene names]:[Gene names]])*1, 0))</f>
        <v>0</v>
      </c>
      <c r="O464" cm="1">
        <f t="array" ref="O464">INDEX(Table1[riBAQ 41], MATCH(1, (Table3[[#This Row],[Gene names]:[Gene names]] = Table1[[Gene names]:[Gene names]])*1, 0))</f>
        <v>6.9E-6</v>
      </c>
      <c r="P464" cm="1">
        <f t="array" ref="P464">INDEX(Table1[riBAQ 24], MATCH(1, (Table3[[#This Row],[Gene names]:[Gene names]] = Table1[[Gene names]:[Gene names]])*1, 0))</f>
        <v>1.43E-5</v>
      </c>
      <c r="Q464" cm="1">
        <f t="array" ref="Q464">INDEX(Table1[riBAQ 25], MATCH(1, (Table3[[#This Row],[Gene names]:[Gene names]] = Table1[[Gene names]:[Gene names]])*1, 0))</f>
        <v>3.54E-5</v>
      </c>
      <c r="R464" cm="1">
        <f t="array" ref="R464">INDEX(Table1[riBAQ 26], MATCH(1, (Table3[[#This Row],[Gene names]:[Gene names]] = Table1[[Gene names]:[Gene names]])*1, 0))</f>
        <v>2.0299999999999999E-5</v>
      </c>
      <c r="S464" cm="1">
        <f t="array" ref="S464">INDEX(Table1[riBAQ 42], MATCH(1, (Table3[[#This Row],[Gene names]:[Gene names]] = Table1[[Gene names]:[Gene names]])*1, 0))</f>
        <v>4.1900000000000002E-5</v>
      </c>
      <c r="T464" cm="1">
        <f t="array" ref="T464">INDEX(Table1[riBAQ 43], MATCH(1, (Table3[[#This Row],[Gene names]:[Gene names]] = Table1[[Gene names]:[Gene names]])*1, 0))</f>
        <v>4.0299999999999997E-5</v>
      </c>
    </row>
    <row r="465" spans="1:20" x14ac:dyDescent="0.25">
      <c r="A465" t="s">
        <v>260</v>
      </c>
      <c r="B465" cm="1">
        <f t="array" ref="B465">INDEX(Table1[riBAQ 17], MATCH(1, (Table3[[#This Row],[Gene names]:[Gene names]] = Table1[[Gene names]:[Gene names]])*1, 0))</f>
        <v>4.1600000000000002E-5</v>
      </c>
      <c r="C465" cm="1">
        <f t="array" ref="C465">INDEX(Table1[riBAQ 18], MATCH(1, (Table3[[#This Row],[Gene names]:[Gene names]] = Table1[[Gene names]:[Gene names]])*1, 0))</f>
        <v>3.9400000000000002E-5</v>
      </c>
      <c r="D465" cm="1">
        <f t="array" ref="D465">INDEX(Table1[riBAQ 35], MATCH(1, (Table3[[#This Row],[Gene names]:[Gene names]] = Table1[[Gene names]:[Gene names]])*1, 0))</f>
        <v>5.8600000000000001E-5</v>
      </c>
      <c r="E465" cm="1">
        <f t="array" ref="E465">INDEX(Table1[riBAQ 36], MATCH(1, (Table3[[#This Row],[Gene names]:[Gene names]] = Table1[[Gene names]:[Gene names]])*1, 0))</f>
        <v>4.6E-5</v>
      </c>
      <c r="F465" cm="1">
        <f t="array" ref="F465">INDEX(Table1[riBAQ 19], MATCH(1, (Table3[[#This Row],[Gene names]:[Gene names]] = Table1[[Gene names]:[Gene names]])*1, 0))</f>
        <v>5.1999999999999997E-5</v>
      </c>
      <c r="G465" cm="1">
        <f t="array" ref="G465">INDEX(Table1[riBAQ 20], MATCH(1, (Table3[[#This Row],[Gene names]:[Gene names]] = Table1[[Gene names]:[Gene names]])*1, 0))</f>
        <v>2.4300000000000001E-5</v>
      </c>
      <c r="H465" cm="1">
        <f t="array" ref="H465">INDEX(Table1[riBAQ 21], MATCH(1, (Table3[[#This Row],[Gene names]:[Gene names]] = Table1[[Gene names]:[Gene names]])*1, 0))</f>
        <v>3.2299999999999999E-5</v>
      </c>
      <c r="I465" cm="1">
        <f t="array" ref="I465">INDEX(Table1[riBAQ 22], MATCH(1, (Table3[[#This Row],[Gene names]:[Gene names]] = Table1[[Gene names]:[Gene names]])*1, 0))</f>
        <v>4.07E-5</v>
      </c>
      <c r="J465" cm="1">
        <f t="array" ref="J465">INDEX(Table1[riBAQ 23], MATCH(1, (Table3[[#This Row],[Gene names]:[Gene names]] = Table1[[Gene names]:[Gene names]])*1, 0))</f>
        <v>4.6799999999999999E-5</v>
      </c>
      <c r="K465" cm="1">
        <f t="array" ref="K465">INDEX(Table1[riBAQ 37], MATCH(1, (Table3[[#This Row],[Gene names]:[Gene names]] = Table1[[Gene names]:[Gene names]])*1, 0))</f>
        <v>4.4499999999999997E-5</v>
      </c>
      <c r="L465" cm="1">
        <f t="array" ref="L465">INDEX(Table1[riBAQ 38], MATCH(1, (Table3[[#This Row],[Gene names]:[Gene names]] = Table1[[Gene names]:[Gene names]])*1, 0))</f>
        <v>4.2799999999999997E-5</v>
      </c>
      <c r="M465" cm="1">
        <f t="array" ref="M465">INDEX(Table1[riBAQ 39], MATCH(1, (Table3[[#This Row],[Gene names]:[Gene names]] = Table1[[Gene names]:[Gene names]])*1, 0))</f>
        <v>5.9700000000000001E-5</v>
      </c>
      <c r="N465" cm="1">
        <f t="array" ref="N465">INDEX(Table1[riBAQ 40], MATCH(1, (Table3[[#This Row],[Gene names]:[Gene names]] = Table1[[Gene names]:[Gene names]])*1, 0))</f>
        <v>3.4700000000000003E-5</v>
      </c>
      <c r="O465" cm="1">
        <f t="array" ref="O465">INDEX(Table1[riBAQ 41], MATCH(1, (Table3[[#This Row],[Gene names]:[Gene names]] = Table1[[Gene names]:[Gene names]])*1, 0))</f>
        <v>6.69E-5</v>
      </c>
      <c r="P465" cm="1">
        <f t="array" ref="P465">INDEX(Table1[riBAQ 24], MATCH(1, (Table3[[#This Row],[Gene names]:[Gene names]] = Table1[[Gene names]:[Gene names]])*1, 0))</f>
        <v>3.6300000000000001E-5</v>
      </c>
      <c r="Q465" cm="1">
        <f t="array" ref="Q465">INDEX(Table1[riBAQ 25], MATCH(1, (Table3[[#This Row],[Gene names]:[Gene names]] = Table1[[Gene names]:[Gene names]])*1, 0))</f>
        <v>6.3200000000000005E-5</v>
      </c>
      <c r="R465" cm="1">
        <f t="array" ref="R465">INDEX(Table1[riBAQ 26], MATCH(1, (Table3[[#This Row],[Gene names]:[Gene names]] = Table1[[Gene names]:[Gene names]])*1, 0))</f>
        <v>5.4700000000000001E-5</v>
      </c>
      <c r="S465" cm="1">
        <f t="array" ref="S465">INDEX(Table1[riBAQ 42], MATCH(1, (Table3[[#This Row],[Gene names]:[Gene names]] = Table1[[Gene names]:[Gene names]])*1, 0))</f>
        <v>6.2500000000000001E-5</v>
      </c>
      <c r="T465" cm="1">
        <f t="array" ref="T465">INDEX(Table1[riBAQ 43], MATCH(1, (Table3[[#This Row],[Gene names]:[Gene names]] = Table1[[Gene names]:[Gene names]])*1, 0))</f>
        <v>1.0024199999999999E-4</v>
      </c>
    </row>
    <row r="466" spans="1:20" x14ac:dyDescent="0.25">
      <c r="A466" t="s">
        <v>435</v>
      </c>
      <c r="B466" cm="1">
        <f t="array" ref="B466">INDEX(Table1[riBAQ 17], MATCH(1, (Table3[[#This Row],[Gene names]:[Gene names]] = Table1[[Gene names]:[Gene names]])*1, 0))</f>
        <v>0</v>
      </c>
      <c r="C466" cm="1">
        <f t="array" ref="C466">INDEX(Table1[riBAQ 18], MATCH(1, (Table3[[#This Row],[Gene names]:[Gene names]] = Table1[[Gene names]:[Gene names]])*1, 0))</f>
        <v>0</v>
      </c>
      <c r="D466" cm="1">
        <f t="array" ref="D466">INDEX(Table1[riBAQ 35], MATCH(1, (Table3[[#This Row],[Gene names]:[Gene names]] = Table1[[Gene names]:[Gene names]])*1, 0))</f>
        <v>0</v>
      </c>
      <c r="E466" cm="1">
        <f t="array" ref="E466">INDEX(Table1[riBAQ 36], MATCH(1, (Table3[[#This Row],[Gene names]:[Gene names]] = Table1[[Gene names]:[Gene names]])*1, 0))</f>
        <v>0</v>
      </c>
      <c r="F466" cm="1">
        <f t="array" ref="F466">INDEX(Table1[riBAQ 19], MATCH(1, (Table3[[#This Row],[Gene names]:[Gene names]] = Table1[[Gene names]:[Gene names]])*1, 0))</f>
        <v>0</v>
      </c>
      <c r="G466" cm="1">
        <f t="array" ref="G466">INDEX(Table1[riBAQ 20], MATCH(1, (Table3[[#This Row],[Gene names]:[Gene names]] = Table1[[Gene names]:[Gene names]])*1, 0))</f>
        <v>0</v>
      </c>
      <c r="H466" cm="1">
        <f t="array" ref="H466">INDEX(Table1[riBAQ 21], MATCH(1, (Table3[[#This Row],[Gene names]:[Gene names]] = Table1[[Gene names]:[Gene names]])*1, 0))</f>
        <v>0</v>
      </c>
      <c r="I466" cm="1">
        <f t="array" ref="I466">INDEX(Table1[riBAQ 22], MATCH(1, (Table3[[#This Row],[Gene names]:[Gene names]] = Table1[[Gene names]:[Gene names]])*1, 0))</f>
        <v>0</v>
      </c>
      <c r="J466" cm="1">
        <f t="array" ref="J466">INDEX(Table1[riBAQ 23], MATCH(1, (Table3[[#This Row],[Gene names]:[Gene names]] = Table1[[Gene names]:[Gene names]])*1, 0))</f>
        <v>0</v>
      </c>
      <c r="K466" cm="1">
        <f t="array" ref="K466">INDEX(Table1[riBAQ 37], MATCH(1, (Table3[[#This Row],[Gene names]:[Gene names]] = Table1[[Gene names]:[Gene names]])*1, 0))</f>
        <v>0</v>
      </c>
      <c r="L466" cm="1">
        <f t="array" ref="L466">INDEX(Table1[riBAQ 38], MATCH(1, (Table3[[#This Row],[Gene names]:[Gene names]] = Table1[[Gene names]:[Gene names]])*1, 0))</f>
        <v>4.8600000000000001E-6</v>
      </c>
      <c r="M466" cm="1">
        <f t="array" ref="M466">INDEX(Table1[riBAQ 39], MATCH(1, (Table3[[#This Row],[Gene names]:[Gene names]] = Table1[[Gene names]:[Gene names]])*1, 0))</f>
        <v>0</v>
      </c>
      <c r="N466" cm="1">
        <f t="array" ref="N466">INDEX(Table1[riBAQ 40], MATCH(1, (Table3[[#This Row],[Gene names]:[Gene names]] = Table1[[Gene names]:[Gene names]])*1, 0))</f>
        <v>6.8600000000000004E-6</v>
      </c>
      <c r="O466" cm="1">
        <f t="array" ref="O466">INDEX(Table1[riBAQ 41], MATCH(1, (Table3[[#This Row],[Gene names]:[Gene names]] = Table1[[Gene names]:[Gene names]])*1, 0))</f>
        <v>0</v>
      </c>
      <c r="P466" cm="1">
        <f t="array" ref="P466">INDEX(Table1[riBAQ 24], MATCH(1, (Table3[[#This Row],[Gene names]:[Gene names]] = Table1[[Gene names]:[Gene names]])*1, 0))</f>
        <v>1.29E-5</v>
      </c>
      <c r="Q466" cm="1">
        <f t="array" ref="Q466">INDEX(Table1[riBAQ 25], MATCH(1, (Table3[[#This Row],[Gene names]:[Gene names]] = Table1[[Gene names]:[Gene names]])*1, 0))</f>
        <v>1.1800000000000001E-5</v>
      </c>
      <c r="R466" cm="1">
        <f t="array" ref="R466">INDEX(Table1[riBAQ 26], MATCH(1, (Table3[[#This Row],[Gene names]:[Gene names]] = Table1[[Gene names]:[Gene names]])*1, 0))</f>
        <v>2.1800000000000001E-5</v>
      </c>
      <c r="S466" cm="1">
        <f t="array" ref="S466">INDEX(Table1[riBAQ 42], MATCH(1, (Table3[[#This Row],[Gene names]:[Gene names]] = Table1[[Gene names]:[Gene names]])*1, 0))</f>
        <v>9.8300000000000008E-6</v>
      </c>
      <c r="T466" cm="1">
        <f t="array" ref="T466">INDEX(Table1[riBAQ 43], MATCH(1, (Table3[[#This Row],[Gene names]:[Gene names]] = Table1[[Gene names]:[Gene names]])*1, 0))</f>
        <v>1.38E-5</v>
      </c>
    </row>
    <row r="467" spans="1:20" x14ac:dyDescent="0.25">
      <c r="A467" t="s">
        <v>666</v>
      </c>
      <c r="B467" cm="1">
        <f t="array" ref="B467">INDEX(Table1[riBAQ 17], MATCH(1, (Table3[[#This Row],[Gene names]:[Gene names]] = Table1[[Gene names]:[Gene names]])*1, 0))</f>
        <v>0</v>
      </c>
      <c r="C467" cm="1">
        <f t="array" ref="C467">INDEX(Table1[riBAQ 18], MATCH(1, (Table3[[#This Row],[Gene names]:[Gene names]] = Table1[[Gene names]:[Gene names]])*1, 0))</f>
        <v>0</v>
      </c>
      <c r="D467" cm="1">
        <f t="array" ref="D467">INDEX(Table1[riBAQ 35], MATCH(1, (Table3[[#This Row],[Gene names]:[Gene names]] = Table1[[Gene names]:[Gene names]])*1, 0))</f>
        <v>0</v>
      </c>
      <c r="E467" cm="1">
        <f t="array" ref="E467">INDEX(Table1[riBAQ 36], MATCH(1, (Table3[[#This Row],[Gene names]:[Gene names]] = Table1[[Gene names]:[Gene names]])*1, 0))</f>
        <v>0</v>
      </c>
      <c r="F467" cm="1">
        <f t="array" ref="F467">INDEX(Table1[riBAQ 19], MATCH(1, (Table3[[#This Row],[Gene names]:[Gene names]] = Table1[[Gene names]:[Gene names]])*1, 0))</f>
        <v>0</v>
      </c>
      <c r="G467" cm="1">
        <f t="array" ref="G467">INDEX(Table1[riBAQ 20], MATCH(1, (Table3[[#This Row],[Gene names]:[Gene names]] = Table1[[Gene names]:[Gene names]])*1, 0))</f>
        <v>0</v>
      </c>
      <c r="H467" cm="1">
        <f t="array" ref="H467">INDEX(Table1[riBAQ 21], MATCH(1, (Table3[[#This Row],[Gene names]:[Gene names]] = Table1[[Gene names]:[Gene names]])*1, 0))</f>
        <v>0</v>
      </c>
      <c r="I467" cm="1">
        <f t="array" ref="I467">INDEX(Table1[riBAQ 22], MATCH(1, (Table3[[#This Row],[Gene names]:[Gene names]] = Table1[[Gene names]:[Gene names]])*1, 0))</f>
        <v>0</v>
      </c>
      <c r="J467" cm="1">
        <f t="array" ref="J467">INDEX(Table1[riBAQ 23], MATCH(1, (Table3[[#This Row],[Gene names]:[Gene names]] = Table1[[Gene names]:[Gene names]])*1, 0))</f>
        <v>0</v>
      </c>
      <c r="K467" cm="1">
        <f t="array" ref="K467">INDEX(Table1[riBAQ 37], MATCH(1, (Table3[[#This Row],[Gene names]:[Gene names]] = Table1[[Gene names]:[Gene names]])*1, 0))</f>
        <v>0</v>
      </c>
      <c r="L467" cm="1">
        <f t="array" ref="L467">INDEX(Table1[riBAQ 38], MATCH(1, (Table3[[#This Row],[Gene names]:[Gene names]] = Table1[[Gene names]:[Gene names]])*1, 0))</f>
        <v>0</v>
      </c>
      <c r="M467" cm="1">
        <f t="array" ref="M467">INDEX(Table1[riBAQ 39], MATCH(1, (Table3[[#This Row],[Gene names]:[Gene names]] = Table1[[Gene names]:[Gene names]])*1, 0))</f>
        <v>0</v>
      </c>
      <c r="N467" cm="1">
        <f t="array" ref="N467">INDEX(Table1[riBAQ 40], MATCH(1, (Table3[[#This Row],[Gene names]:[Gene names]] = Table1[[Gene names]:[Gene names]])*1, 0))</f>
        <v>0</v>
      </c>
      <c r="O467" cm="1">
        <f t="array" ref="O467">INDEX(Table1[riBAQ 41], MATCH(1, (Table3[[#This Row],[Gene names]:[Gene names]] = Table1[[Gene names]:[Gene names]])*1, 0))</f>
        <v>0</v>
      </c>
      <c r="P467" cm="1">
        <f t="array" ref="P467">INDEX(Table1[riBAQ 24], MATCH(1, (Table3[[#This Row],[Gene names]:[Gene names]] = Table1[[Gene names]:[Gene names]])*1, 0))</f>
        <v>0</v>
      </c>
      <c r="Q467" cm="1">
        <f t="array" ref="Q467">INDEX(Table1[riBAQ 25], MATCH(1, (Table3[[#This Row],[Gene names]:[Gene names]] = Table1[[Gene names]:[Gene names]])*1, 0))</f>
        <v>2.2500000000000001E-5</v>
      </c>
      <c r="R467" cm="1">
        <f t="array" ref="R467">INDEX(Table1[riBAQ 26], MATCH(1, (Table3[[#This Row],[Gene names]:[Gene names]] = Table1[[Gene names]:[Gene names]])*1, 0))</f>
        <v>2.8099999999999999E-5</v>
      </c>
      <c r="S467" cm="1">
        <f t="array" ref="S467">INDEX(Table1[riBAQ 42], MATCH(1, (Table3[[#This Row],[Gene names]:[Gene names]] = Table1[[Gene names]:[Gene names]])*1, 0))</f>
        <v>2.5400000000000001E-5</v>
      </c>
      <c r="T467" cm="1">
        <f t="array" ref="T467">INDEX(Table1[riBAQ 43], MATCH(1, (Table3[[#This Row],[Gene names]:[Gene names]] = Table1[[Gene names]:[Gene names]])*1, 0))</f>
        <v>2.3099999999999999E-5</v>
      </c>
    </row>
    <row r="468" spans="1:20" x14ac:dyDescent="0.25">
      <c r="A468" t="s">
        <v>688</v>
      </c>
      <c r="B468" cm="1">
        <f t="array" ref="B468">INDEX(Table1[riBAQ 17], MATCH(1, (Table3[[#This Row],[Gene names]:[Gene names]] = Table1[[Gene names]:[Gene names]])*1, 0))</f>
        <v>7.3801599999999998E-4</v>
      </c>
      <c r="C468" cm="1">
        <f t="array" ref="C468">INDEX(Table1[riBAQ 18], MATCH(1, (Table3[[#This Row],[Gene names]:[Gene names]] = Table1[[Gene names]:[Gene names]])*1, 0))</f>
        <v>4.8228700000000003E-4</v>
      </c>
      <c r="D468" cm="1">
        <f t="array" ref="D468">INDEX(Table1[riBAQ 35], MATCH(1, (Table3[[#This Row],[Gene names]:[Gene names]] = Table1[[Gene names]:[Gene names]])*1, 0))</f>
        <v>3.9155700000000001E-4</v>
      </c>
      <c r="E468" cm="1">
        <f t="array" ref="E468">INDEX(Table1[riBAQ 36], MATCH(1, (Table3[[#This Row],[Gene names]:[Gene names]] = Table1[[Gene names]:[Gene names]])*1, 0))</f>
        <v>7.3382799999999995E-4</v>
      </c>
      <c r="F468" cm="1">
        <f t="array" ref="F468">INDEX(Table1[riBAQ 19], MATCH(1, (Table3[[#This Row],[Gene names]:[Gene names]] = Table1[[Gene names]:[Gene names]])*1, 0))</f>
        <v>6.4591699999999998E-4</v>
      </c>
      <c r="G468" cm="1">
        <f t="array" ref="G468">INDEX(Table1[riBAQ 20], MATCH(1, (Table3[[#This Row],[Gene names]:[Gene names]] = Table1[[Gene names]:[Gene names]])*1, 0))</f>
        <v>7.8158700000000004E-4</v>
      </c>
      <c r="H468" cm="1">
        <f t="array" ref="H468">INDEX(Table1[riBAQ 21], MATCH(1, (Table3[[#This Row],[Gene names]:[Gene names]] = Table1[[Gene names]:[Gene names]])*1, 0))</f>
        <v>6.3313699999999998E-4</v>
      </c>
      <c r="I468" cm="1">
        <f t="array" ref="I468">INDEX(Table1[riBAQ 22], MATCH(1, (Table3[[#This Row],[Gene names]:[Gene names]] = Table1[[Gene names]:[Gene names]])*1, 0))</f>
        <v>5.8043600000000004E-4</v>
      </c>
      <c r="J468" cm="1">
        <f t="array" ref="J468">INDEX(Table1[riBAQ 23], MATCH(1, (Table3[[#This Row],[Gene names]:[Gene names]] = Table1[[Gene names]:[Gene names]])*1, 0))</f>
        <v>9.3274700000000005E-4</v>
      </c>
      <c r="K468" cm="1">
        <f t="array" ref="K468">INDEX(Table1[riBAQ 37], MATCH(1, (Table3[[#This Row],[Gene names]:[Gene names]] = Table1[[Gene names]:[Gene names]])*1, 0))</f>
        <v>3.89887E-4</v>
      </c>
      <c r="L468" cm="1">
        <f t="array" ref="L468">INDEX(Table1[riBAQ 38], MATCH(1, (Table3[[#This Row],[Gene names]:[Gene names]] = Table1[[Gene names]:[Gene names]])*1, 0))</f>
        <v>4.22509E-4</v>
      </c>
      <c r="M468" cm="1">
        <f t="array" ref="M468">INDEX(Table1[riBAQ 39], MATCH(1, (Table3[[#This Row],[Gene names]:[Gene names]] = Table1[[Gene names]:[Gene names]])*1, 0))</f>
        <v>1.2143290000000001E-3</v>
      </c>
      <c r="N468" cm="1">
        <f t="array" ref="N468">INDEX(Table1[riBAQ 40], MATCH(1, (Table3[[#This Row],[Gene names]:[Gene names]] = Table1[[Gene names]:[Gene names]])*1, 0))</f>
        <v>5.94646E-4</v>
      </c>
      <c r="O468" cm="1">
        <f t="array" ref="O468">INDEX(Table1[riBAQ 41], MATCH(1, (Table3[[#This Row],[Gene names]:[Gene names]] = Table1[[Gene names]:[Gene names]])*1, 0))</f>
        <v>5.1034699999999997E-4</v>
      </c>
      <c r="P468" cm="1">
        <f t="array" ref="P468">INDEX(Table1[riBAQ 24], MATCH(1, (Table3[[#This Row],[Gene names]:[Gene names]] = Table1[[Gene names]:[Gene names]])*1, 0))</f>
        <v>9.9747000000000008E-4</v>
      </c>
      <c r="Q468" cm="1">
        <f t="array" ref="Q468">INDEX(Table1[riBAQ 25], MATCH(1, (Table3[[#This Row],[Gene names]:[Gene names]] = Table1[[Gene names]:[Gene names]])*1, 0))</f>
        <v>2.4766570000000002E-3</v>
      </c>
      <c r="R468" cm="1">
        <f t="array" ref="R468">INDEX(Table1[riBAQ 26], MATCH(1, (Table3[[#This Row],[Gene names]:[Gene names]] = Table1[[Gene names]:[Gene names]])*1, 0))</f>
        <v>1.990913E-3</v>
      </c>
      <c r="S468" cm="1">
        <f t="array" ref="S468">INDEX(Table1[riBAQ 42], MATCH(1, (Table3[[#This Row],[Gene names]:[Gene names]] = Table1[[Gene names]:[Gene names]])*1, 0))</f>
        <v>1.921098E-3</v>
      </c>
      <c r="T468" cm="1">
        <f t="array" ref="T468">INDEX(Table1[riBAQ 43], MATCH(1, (Table3[[#This Row],[Gene names]:[Gene names]] = Table1[[Gene names]:[Gene names]])*1, 0))</f>
        <v>2.5992290000000002E-3</v>
      </c>
    </row>
    <row r="469" spans="1:20" x14ac:dyDescent="0.25">
      <c r="A469" t="s">
        <v>849</v>
      </c>
      <c r="B469" cm="1">
        <f t="array" ref="B469">INDEX(Table1[riBAQ 17], MATCH(1, (Table3[[#This Row],[Gene names]:[Gene names]] = Table1[[Gene names]:[Gene names]])*1, 0))</f>
        <v>1.33E-5</v>
      </c>
      <c r="C469" cm="1">
        <f t="array" ref="C469">INDEX(Table1[riBAQ 18], MATCH(1, (Table3[[#This Row],[Gene names]:[Gene names]] = Table1[[Gene names]:[Gene names]])*1, 0))</f>
        <v>1.27E-5</v>
      </c>
      <c r="D469" cm="1">
        <f t="array" ref="D469">INDEX(Table1[riBAQ 35], MATCH(1, (Table3[[#This Row],[Gene names]:[Gene names]] = Table1[[Gene names]:[Gene names]])*1, 0))</f>
        <v>1.49E-5</v>
      </c>
      <c r="E469" cm="1">
        <f t="array" ref="E469">INDEX(Table1[riBAQ 36], MATCH(1, (Table3[[#This Row],[Gene names]:[Gene names]] = Table1[[Gene names]:[Gene names]])*1, 0))</f>
        <v>4.2599999999999999E-6</v>
      </c>
      <c r="F469" cm="1">
        <f t="array" ref="F469">INDEX(Table1[riBAQ 19], MATCH(1, (Table3[[#This Row],[Gene names]:[Gene names]] = Table1[[Gene names]:[Gene names]])*1, 0))</f>
        <v>1.4E-5</v>
      </c>
      <c r="G469" cm="1">
        <f t="array" ref="G469">INDEX(Table1[riBAQ 20], MATCH(1, (Table3[[#This Row],[Gene names]:[Gene names]] = Table1[[Gene names]:[Gene names]])*1, 0))</f>
        <v>2.8E-5</v>
      </c>
      <c r="H469" cm="1">
        <f t="array" ref="H469">INDEX(Table1[riBAQ 21], MATCH(1, (Table3[[#This Row],[Gene names]:[Gene names]] = Table1[[Gene names]:[Gene names]])*1, 0))</f>
        <v>1.36E-5</v>
      </c>
      <c r="I469" cm="1">
        <f t="array" ref="I469">INDEX(Table1[riBAQ 22], MATCH(1, (Table3[[#This Row],[Gene names]:[Gene names]] = Table1[[Gene names]:[Gene names]])*1, 0))</f>
        <v>1.4E-5</v>
      </c>
      <c r="J469" cm="1">
        <f t="array" ref="J469">INDEX(Table1[riBAQ 23], MATCH(1, (Table3[[#This Row],[Gene names]:[Gene names]] = Table1[[Gene names]:[Gene names]])*1, 0))</f>
        <v>1.84E-5</v>
      </c>
      <c r="K469" cm="1">
        <f t="array" ref="K469">INDEX(Table1[riBAQ 37], MATCH(1, (Table3[[#This Row],[Gene names]:[Gene names]] = Table1[[Gene names]:[Gene names]])*1, 0))</f>
        <v>1.0699999999999999E-5</v>
      </c>
      <c r="L469" cm="1">
        <f t="array" ref="L469">INDEX(Table1[riBAQ 38], MATCH(1, (Table3[[#This Row],[Gene names]:[Gene names]] = Table1[[Gene names]:[Gene names]])*1, 0))</f>
        <v>2.9E-5</v>
      </c>
      <c r="M469" cm="1">
        <f t="array" ref="M469">INDEX(Table1[riBAQ 39], MATCH(1, (Table3[[#This Row],[Gene names]:[Gene names]] = Table1[[Gene names]:[Gene names]])*1, 0))</f>
        <v>1.91E-5</v>
      </c>
      <c r="N469" cm="1">
        <f t="array" ref="N469">INDEX(Table1[riBAQ 40], MATCH(1, (Table3[[#This Row],[Gene names]:[Gene names]] = Table1[[Gene names]:[Gene names]])*1, 0))</f>
        <v>2.2900000000000001E-5</v>
      </c>
      <c r="O469" cm="1">
        <f t="array" ref="O469">INDEX(Table1[riBAQ 41], MATCH(1, (Table3[[#This Row],[Gene names]:[Gene names]] = Table1[[Gene names]:[Gene names]])*1, 0))</f>
        <v>1.03E-5</v>
      </c>
      <c r="P469" cm="1">
        <f t="array" ref="P469">INDEX(Table1[riBAQ 24], MATCH(1, (Table3[[#This Row],[Gene names]:[Gene names]] = Table1[[Gene names]:[Gene names]])*1, 0))</f>
        <v>2.9200000000000002E-5</v>
      </c>
      <c r="Q469" cm="1">
        <f t="array" ref="Q469">INDEX(Table1[riBAQ 25], MATCH(1, (Table3[[#This Row],[Gene names]:[Gene names]] = Table1[[Gene names]:[Gene names]])*1, 0))</f>
        <v>1.10994E-4</v>
      </c>
      <c r="R469" cm="1">
        <f t="array" ref="R469">INDEX(Table1[riBAQ 26], MATCH(1, (Table3[[#This Row],[Gene names]:[Gene names]] = Table1[[Gene names]:[Gene names]])*1, 0))</f>
        <v>5.0800000000000002E-5</v>
      </c>
      <c r="S469" cm="1">
        <f t="array" ref="S469">INDEX(Table1[riBAQ 42], MATCH(1, (Table3[[#This Row],[Gene names]:[Gene names]] = Table1[[Gene names]:[Gene names]])*1, 0))</f>
        <v>6.8700000000000003E-5</v>
      </c>
      <c r="T469" cm="1">
        <f t="array" ref="T469">INDEX(Table1[riBAQ 43], MATCH(1, (Table3[[#This Row],[Gene names]:[Gene names]] = Table1[[Gene names]:[Gene names]])*1, 0))</f>
        <v>9.9900000000000002E-5</v>
      </c>
    </row>
    <row r="470" spans="1:20" x14ac:dyDescent="0.25">
      <c r="A470" t="s">
        <v>1617</v>
      </c>
      <c r="B470" cm="1">
        <f t="array" ref="B470">INDEX(Table1[riBAQ 17], MATCH(1, (Table3[[#This Row],[Gene names]:[Gene names]] = Table1[[Gene names]:[Gene names]])*1, 0))</f>
        <v>0</v>
      </c>
      <c r="C470" cm="1">
        <f t="array" ref="C470">INDEX(Table1[riBAQ 18], MATCH(1, (Table3[[#This Row],[Gene names]:[Gene names]] = Table1[[Gene names]:[Gene names]])*1, 0))</f>
        <v>0</v>
      </c>
      <c r="D470" cm="1">
        <f t="array" ref="D470">INDEX(Table1[riBAQ 35], MATCH(1, (Table3[[#This Row],[Gene names]:[Gene names]] = Table1[[Gene names]:[Gene names]])*1, 0))</f>
        <v>0</v>
      </c>
      <c r="E470" cm="1">
        <f t="array" ref="E470">INDEX(Table1[riBAQ 36], MATCH(1, (Table3[[#This Row],[Gene names]:[Gene names]] = Table1[[Gene names]:[Gene names]])*1, 0))</f>
        <v>0</v>
      </c>
      <c r="F470" cm="1">
        <f t="array" ref="F470">INDEX(Table1[riBAQ 19], MATCH(1, (Table3[[#This Row],[Gene names]:[Gene names]] = Table1[[Gene names]:[Gene names]])*1, 0))</f>
        <v>0</v>
      </c>
      <c r="G470" cm="1">
        <f t="array" ref="G470">INDEX(Table1[riBAQ 20], MATCH(1, (Table3[[#This Row],[Gene names]:[Gene names]] = Table1[[Gene names]:[Gene names]])*1, 0))</f>
        <v>0</v>
      </c>
      <c r="H470" cm="1">
        <f t="array" ref="H470">INDEX(Table1[riBAQ 21], MATCH(1, (Table3[[#This Row],[Gene names]:[Gene names]] = Table1[[Gene names]:[Gene names]])*1, 0))</f>
        <v>0</v>
      </c>
      <c r="I470" cm="1">
        <f t="array" ref="I470">INDEX(Table1[riBAQ 22], MATCH(1, (Table3[[#This Row],[Gene names]:[Gene names]] = Table1[[Gene names]:[Gene names]])*1, 0))</f>
        <v>0</v>
      </c>
      <c r="J470" cm="1">
        <f t="array" ref="J470">INDEX(Table1[riBAQ 23], MATCH(1, (Table3[[#This Row],[Gene names]:[Gene names]] = Table1[[Gene names]:[Gene names]])*1, 0))</f>
        <v>0</v>
      </c>
      <c r="K470" cm="1">
        <f t="array" ref="K470">INDEX(Table1[riBAQ 37], MATCH(1, (Table3[[#This Row],[Gene names]:[Gene names]] = Table1[[Gene names]:[Gene names]])*1, 0))</f>
        <v>0</v>
      </c>
      <c r="L470" cm="1">
        <f t="array" ref="L470">INDEX(Table1[riBAQ 38], MATCH(1, (Table3[[#This Row],[Gene names]:[Gene names]] = Table1[[Gene names]:[Gene names]])*1, 0))</f>
        <v>0</v>
      </c>
      <c r="M470" cm="1">
        <f t="array" ref="M470">INDEX(Table1[riBAQ 39], MATCH(1, (Table3[[#This Row],[Gene names]:[Gene names]] = Table1[[Gene names]:[Gene names]])*1, 0))</f>
        <v>0</v>
      </c>
      <c r="N470" cm="1">
        <f t="array" ref="N470">INDEX(Table1[riBAQ 40], MATCH(1, (Table3[[#This Row],[Gene names]:[Gene names]] = Table1[[Gene names]:[Gene names]])*1, 0))</f>
        <v>0</v>
      </c>
      <c r="O470" cm="1">
        <f t="array" ref="O470">INDEX(Table1[riBAQ 41], MATCH(1, (Table3[[#This Row],[Gene names]:[Gene names]] = Table1[[Gene names]:[Gene names]])*1, 0))</f>
        <v>0</v>
      </c>
      <c r="P470" cm="1">
        <f t="array" ref="P470">INDEX(Table1[riBAQ 24], MATCH(1, (Table3[[#This Row],[Gene names]:[Gene names]] = Table1[[Gene names]:[Gene names]])*1, 0))</f>
        <v>2.1500000000000001E-5</v>
      </c>
      <c r="Q470" cm="1">
        <f t="array" ref="Q470">INDEX(Table1[riBAQ 25], MATCH(1, (Table3[[#This Row],[Gene names]:[Gene names]] = Table1[[Gene names]:[Gene names]])*1, 0))</f>
        <v>7.7100000000000004E-5</v>
      </c>
      <c r="R470" cm="1">
        <f t="array" ref="R470">INDEX(Table1[riBAQ 26], MATCH(1, (Table3[[#This Row],[Gene names]:[Gene names]] = Table1[[Gene names]:[Gene names]])*1, 0))</f>
        <v>2.2099999999999998E-5</v>
      </c>
      <c r="S470" cm="1">
        <f t="array" ref="S470">INDEX(Table1[riBAQ 42], MATCH(1, (Table3[[#This Row],[Gene names]:[Gene names]] = Table1[[Gene names]:[Gene names]])*1, 0))</f>
        <v>1.11E-5</v>
      </c>
      <c r="T470" cm="1">
        <f t="array" ref="T470">INDEX(Table1[riBAQ 43], MATCH(1, (Table3[[#This Row],[Gene names]:[Gene names]] = Table1[[Gene names]:[Gene names]])*1, 0))</f>
        <v>5.8799999999999996E-6</v>
      </c>
    </row>
    <row r="471" spans="1:20" x14ac:dyDescent="0.25">
      <c r="A471" t="s">
        <v>649</v>
      </c>
      <c r="B471" cm="1">
        <f t="array" ref="B471">INDEX(Table1[riBAQ 17], MATCH(1, (Table3[[#This Row],[Gene names]:[Gene names]] = Table1[[Gene names]:[Gene names]])*1, 0))</f>
        <v>0</v>
      </c>
      <c r="C471" cm="1">
        <f t="array" ref="C471">INDEX(Table1[riBAQ 18], MATCH(1, (Table3[[#This Row],[Gene names]:[Gene names]] = Table1[[Gene names]:[Gene names]])*1, 0))</f>
        <v>0</v>
      </c>
      <c r="D471" cm="1">
        <f t="array" ref="D471">INDEX(Table1[riBAQ 35], MATCH(1, (Table3[[#This Row],[Gene names]:[Gene names]] = Table1[[Gene names]:[Gene names]])*1, 0))</f>
        <v>0</v>
      </c>
      <c r="E471" cm="1">
        <f t="array" ref="E471">INDEX(Table1[riBAQ 36], MATCH(1, (Table3[[#This Row],[Gene names]:[Gene names]] = Table1[[Gene names]:[Gene names]])*1, 0))</f>
        <v>0</v>
      </c>
      <c r="F471" cm="1">
        <f t="array" ref="F471">INDEX(Table1[riBAQ 19], MATCH(1, (Table3[[#This Row],[Gene names]:[Gene names]] = Table1[[Gene names]:[Gene names]])*1, 0))</f>
        <v>0</v>
      </c>
      <c r="G471" cm="1">
        <f t="array" ref="G471">INDEX(Table1[riBAQ 20], MATCH(1, (Table3[[#This Row],[Gene names]:[Gene names]] = Table1[[Gene names]:[Gene names]])*1, 0))</f>
        <v>2.0800000000000001E-5</v>
      </c>
      <c r="H471" cm="1">
        <f t="array" ref="H471">INDEX(Table1[riBAQ 21], MATCH(1, (Table3[[#This Row],[Gene names]:[Gene names]] = Table1[[Gene names]:[Gene names]])*1, 0))</f>
        <v>0</v>
      </c>
      <c r="I471" cm="1">
        <f t="array" ref="I471">INDEX(Table1[riBAQ 22], MATCH(1, (Table3[[#This Row],[Gene names]:[Gene names]] = Table1[[Gene names]:[Gene names]])*1, 0))</f>
        <v>3.0000000000000001E-5</v>
      </c>
      <c r="J471" cm="1">
        <f t="array" ref="J471">INDEX(Table1[riBAQ 23], MATCH(1, (Table3[[#This Row],[Gene names]:[Gene names]] = Table1[[Gene names]:[Gene names]])*1, 0))</f>
        <v>1.66E-5</v>
      </c>
      <c r="K471" cm="1">
        <f t="array" ref="K471">INDEX(Table1[riBAQ 37], MATCH(1, (Table3[[#This Row],[Gene names]:[Gene names]] = Table1[[Gene names]:[Gene names]])*1, 0))</f>
        <v>1.9400000000000001E-5</v>
      </c>
      <c r="L471" cm="1">
        <f t="array" ref="L471">INDEX(Table1[riBAQ 38], MATCH(1, (Table3[[#This Row],[Gene names]:[Gene names]] = Table1[[Gene names]:[Gene names]])*1, 0))</f>
        <v>2.3799999999999999E-5</v>
      </c>
      <c r="M471" cm="1">
        <f t="array" ref="M471">INDEX(Table1[riBAQ 39], MATCH(1, (Table3[[#This Row],[Gene names]:[Gene names]] = Table1[[Gene names]:[Gene names]])*1, 0))</f>
        <v>0</v>
      </c>
      <c r="N471" cm="1">
        <f t="array" ref="N471">INDEX(Table1[riBAQ 40], MATCH(1, (Table3[[#This Row],[Gene names]:[Gene names]] = Table1[[Gene names]:[Gene names]])*1, 0))</f>
        <v>0</v>
      </c>
      <c r="O471" cm="1">
        <f t="array" ref="O471">INDEX(Table1[riBAQ 41], MATCH(1, (Table3[[#This Row],[Gene names]:[Gene names]] = Table1[[Gene names]:[Gene names]])*1, 0))</f>
        <v>0</v>
      </c>
      <c r="P471" cm="1">
        <f t="array" ref="P471">INDEX(Table1[riBAQ 24], MATCH(1, (Table3[[#This Row],[Gene names]:[Gene names]] = Table1[[Gene names]:[Gene names]])*1, 0))</f>
        <v>3.1699999999999998E-5</v>
      </c>
      <c r="Q471" cm="1">
        <f t="array" ref="Q471">INDEX(Table1[riBAQ 25], MATCH(1, (Table3[[#This Row],[Gene names]:[Gene names]] = Table1[[Gene names]:[Gene names]])*1, 0))</f>
        <v>2.05E-5</v>
      </c>
      <c r="R471" cm="1">
        <f t="array" ref="R471">INDEX(Table1[riBAQ 26], MATCH(1, (Table3[[#This Row],[Gene names]:[Gene names]] = Table1[[Gene names]:[Gene names]])*1, 0))</f>
        <v>4.0299999999999997E-5</v>
      </c>
      <c r="S471" cm="1">
        <f t="array" ref="S471">INDEX(Table1[riBAQ 42], MATCH(1, (Table3[[#This Row],[Gene names]:[Gene names]] = Table1[[Gene names]:[Gene names]])*1, 0))</f>
        <v>2.55E-5</v>
      </c>
      <c r="T471" cm="1">
        <f t="array" ref="T471">INDEX(Table1[riBAQ 43], MATCH(1, (Table3[[#This Row],[Gene names]:[Gene names]] = Table1[[Gene names]:[Gene names]])*1, 0))</f>
        <v>2.9600000000000001E-5</v>
      </c>
    </row>
    <row r="472" spans="1:20" x14ac:dyDescent="0.25">
      <c r="A472" t="s">
        <v>293</v>
      </c>
      <c r="B472" cm="1">
        <f t="array" ref="B472">INDEX(Table1[riBAQ 17], MATCH(1, (Table3[[#This Row],[Gene names]:[Gene names]] = Table1[[Gene names]:[Gene names]])*1, 0))</f>
        <v>0</v>
      </c>
      <c r="C472" cm="1">
        <f t="array" ref="C472">INDEX(Table1[riBAQ 18], MATCH(1, (Table3[[#This Row],[Gene names]:[Gene names]] = Table1[[Gene names]:[Gene names]])*1, 0))</f>
        <v>0</v>
      </c>
      <c r="D472" cm="1">
        <f t="array" ref="D472">INDEX(Table1[riBAQ 35], MATCH(1, (Table3[[#This Row],[Gene names]:[Gene names]] = Table1[[Gene names]:[Gene names]])*1, 0))</f>
        <v>0</v>
      </c>
      <c r="E472" cm="1">
        <f t="array" ref="E472">INDEX(Table1[riBAQ 36], MATCH(1, (Table3[[#This Row],[Gene names]:[Gene names]] = Table1[[Gene names]:[Gene names]])*1, 0))</f>
        <v>0</v>
      </c>
      <c r="F472" cm="1">
        <f t="array" ref="F472">INDEX(Table1[riBAQ 19], MATCH(1, (Table3[[#This Row],[Gene names]:[Gene names]] = Table1[[Gene names]:[Gene names]])*1, 0))</f>
        <v>6.6600000000000006E-5</v>
      </c>
      <c r="G472" cm="1">
        <f t="array" ref="G472">INDEX(Table1[riBAQ 20], MATCH(1, (Table3[[#This Row],[Gene names]:[Gene names]] = Table1[[Gene names]:[Gene names]])*1, 0))</f>
        <v>9.9099999999999996E-5</v>
      </c>
      <c r="H472" cm="1">
        <f t="array" ref="H472">INDEX(Table1[riBAQ 21], MATCH(1, (Table3[[#This Row],[Gene names]:[Gene names]] = Table1[[Gene names]:[Gene names]])*1, 0))</f>
        <v>0</v>
      </c>
      <c r="I472" cm="1">
        <f t="array" ref="I472">INDEX(Table1[riBAQ 22], MATCH(1, (Table3[[#This Row],[Gene names]:[Gene names]] = Table1[[Gene names]:[Gene names]])*1, 0))</f>
        <v>9.98E-5</v>
      </c>
      <c r="J472" cm="1">
        <f t="array" ref="J472">INDEX(Table1[riBAQ 23], MATCH(1, (Table3[[#This Row],[Gene names]:[Gene names]] = Table1[[Gene names]:[Gene names]])*1, 0))</f>
        <v>5.0399999999999999E-5</v>
      </c>
      <c r="K472" cm="1">
        <f t="array" ref="K472">INDEX(Table1[riBAQ 37], MATCH(1, (Table3[[#This Row],[Gene names]:[Gene names]] = Table1[[Gene names]:[Gene names]])*1, 0))</f>
        <v>0</v>
      </c>
      <c r="L472" cm="1">
        <f t="array" ref="L472">INDEX(Table1[riBAQ 38], MATCH(1, (Table3[[#This Row],[Gene names]:[Gene names]] = Table1[[Gene names]:[Gene names]])*1, 0))</f>
        <v>3.2400000000000001E-5</v>
      </c>
      <c r="M472" cm="1">
        <f t="array" ref="M472">INDEX(Table1[riBAQ 39], MATCH(1, (Table3[[#This Row],[Gene names]:[Gene names]] = Table1[[Gene names]:[Gene names]])*1, 0))</f>
        <v>0</v>
      </c>
      <c r="N472" cm="1">
        <f t="array" ref="N472">INDEX(Table1[riBAQ 40], MATCH(1, (Table3[[#This Row],[Gene names]:[Gene names]] = Table1[[Gene names]:[Gene names]])*1, 0))</f>
        <v>7.86E-5</v>
      </c>
      <c r="O472" cm="1">
        <f t="array" ref="O472">INDEX(Table1[riBAQ 41], MATCH(1, (Table3[[#This Row],[Gene names]:[Gene names]] = Table1[[Gene names]:[Gene names]])*1, 0))</f>
        <v>5.0000000000000002E-5</v>
      </c>
      <c r="P472" cm="1">
        <f t="array" ref="P472">INDEX(Table1[riBAQ 24], MATCH(1, (Table3[[#This Row],[Gene names]:[Gene names]] = Table1[[Gene names]:[Gene names]])*1, 0))</f>
        <v>1.5923099999999999E-4</v>
      </c>
      <c r="Q472" cm="1">
        <f t="array" ref="Q472">INDEX(Table1[riBAQ 25], MATCH(1, (Table3[[#This Row],[Gene names]:[Gene names]] = Table1[[Gene names]:[Gene names]])*1, 0))</f>
        <v>9.0868399999999999E-4</v>
      </c>
      <c r="R472" cm="1">
        <f t="array" ref="R472">INDEX(Table1[riBAQ 26], MATCH(1, (Table3[[#This Row],[Gene names]:[Gene names]] = Table1[[Gene names]:[Gene names]])*1, 0))</f>
        <v>6.7186600000000002E-4</v>
      </c>
      <c r="S472" cm="1">
        <f t="array" ref="S472">INDEX(Table1[riBAQ 42], MATCH(1, (Table3[[#This Row],[Gene names]:[Gene names]] = Table1[[Gene names]:[Gene names]])*1, 0))</f>
        <v>1.6441100000000001E-3</v>
      </c>
      <c r="T472" cm="1">
        <f t="array" ref="T472">INDEX(Table1[riBAQ 43], MATCH(1, (Table3[[#This Row],[Gene names]:[Gene names]] = Table1[[Gene names]:[Gene names]])*1, 0))</f>
        <v>9.3860799999999996E-4</v>
      </c>
    </row>
    <row r="473" spans="1:20" x14ac:dyDescent="0.25">
      <c r="A473" t="s">
        <v>819</v>
      </c>
      <c r="B473" cm="1">
        <f t="array" ref="B473">INDEX(Table1[riBAQ 17], MATCH(1, (Table3[[#This Row],[Gene names]:[Gene names]] = Table1[[Gene names]:[Gene names]])*1, 0))</f>
        <v>2.87452E-4</v>
      </c>
      <c r="C473" cm="1">
        <f t="array" ref="C473">INDEX(Table1[riBAQ 18], MATCH(1, (Table3[[#This Row],[Gene names]:[Gene names]] = Table1[[Gene names]:[Gene names]])*1, 0))</f>
        <v>2.4602100000000002E-4</v>
      </c>
      <c r="D473" cm="1">
        <f t="array" ref="D473">INDEX(Table1[riBAQ 35], MATCH(1, (Table3[[#This Row],[Gene names]:[Gene names]] = Table1[[Gene names]:[Gene names]])*1, 0))</f>
        <v>3.0897299999999998E-4</v>
      </c>
      <c r="E473" cm="1">
        <f t="array" ref="E473">INDEX(Table1[riBAQ 36], MATCH(1, (Table3[[#This Row],[Gene names]:[Gene names]] = Table1[[Gene names]:[Gene names]])*1, 0))</f>
        <v>2.8567399999999998E-4</v>
      </c>
      <c r="F473" cm="1">
        <f t="array" ref="F473">INDEX(Table1[riBAQ 19], MATCH(1, (Table3[[#This Row],[Gene names]:[Gene names]] = Table1[[Gene names]:[Gene names]])*1, 0))</f>
        <v>2.6754399999999998E-4</v>
      </c>
      <c r="G473" cm="1">
        <f t="array" ref="G473">INDEX(Table1[riBAQ 20], MATCH(1, (Table3[[#This Row],[Gene names]:[Gene names]] = Table1[[Gene names]:[Gene names]])*1, 0))</f>
        <v>2.10311E-4</v>
      </c>
      <c r="H473" cm="1">
        <f t="array" ref="H473">INDEX(Table1[riBAQ 21], MATCH(1, (Table3[[#This Row],[Gene names]:[Gene names]] = Table1[[Gene names]:[Gene names]])*1, 0))</f>
        <v>1.84756E-4</v>
      </c>
      <c r="I473" cm="1">
        <f t="array" ref="I473">INDEX(Table1[riBAQ 22], MATCH(1, (Table3[[#This Row],[Gene names]:[Gene names]] = Table1[[Gene names]:[Gene names]])*1, 0))</f>
        <v>2.80425E-4</v>
      </c>
      <c r="J473" cm="1">
        <f t="array" ref="J473">INDEX(Table1[riBAQ 23], MATCH(1, (Table3[[#This Row],[Gene names]:[Gene names]] = Table1[[Gene names]:[Gene names]])*1, 0))</f>
        <v>2.6637299999999998E-4</v>
      </c>
      <c r="K473" cm="1">
        <f t="array" ref="K473">INDEX(Table1[riBAQ 37], MATCH(1, (Table3[[#This Row],[Gene names]:[Gene names]] = Table1[[Gene names]:[Gene names]])*1, 0))</f>
        <v>2.6946099999999997E-4</v>
      </c>
      <c r="L473" cm="1">
        <f t="array" ref="L473">INDEX(Table1[riBAQ 38], MATCH(1, (Table3[[#This Row],[Gene names]:[Gene names]] = Table1[[Gene names]:[Gene names]])*1, 0))</f>
        <v>2.4684499999999999E-4</v>
      </c>
      <c r="M473" cm="1">
        <f t="array" ref="M473">INDEX(Table1[riBAQ 39], MATCH(1, (Table3[[#This Row],[Gene names]:[Gene names]] = Table1[[Gene names]:[Gene names]])*1, 0))</f>
        <v>2.5002899999999997E-4</v>
      </c>
      <c r="N473" cm="1">
        <f t="array" ref="N473">INDEX(Table1[riBAQ 40], MATCH(1, (Table3[[#This Row],[Gene names]:[Gene names]] = Table1[[Gene names]:[Gene names]])*1, 0))</f>
        <v>2.26942E-4</v>
      </c>
      <c r="O473" cm="1">
        <f t="array" ref="O473">INDEX(Table1[riBAQ 41], MATCH(1, (Table3[[#This Row],[Gene names]:[Gene names]] = Table1[[Gene names]:[Gene names]])*1, 0))</f>
        <v>2.5691100000000002E-4</v>
      </c>
      <c r="P473" cm="1">
        <f t="array" ref="P473">INDEX(Table1[riBAQ 24], MATCH(1, (Table3[[#This Row],[Gene names]:[Gene names]] = Table1[[Gene names]:[Gene names]])*1, 0))</f>
        <v>2.26677E-4</v>
      </c>
      <c r="Q473" cm="1">
        <f t="array" ref="Q473">INDEX(Table1[riBAQ 25], MATCH(1, (Table3[[#This Row],[Gene names]:[Gene names]] = Table1[[Gene names]:[Gene names]])*1, 0))</f>
        <v>1.23903E-4</v>
      </c>
      <c r="R473" cm="1">
        <f t="array" ref="R473">INDEX(Table1[riBAQ 26], MATCH(1, (Table3[[#This Row],[Gene names]:[Gene names]] = Table1[[Gene names]:[Gene names]])*1, 0))</f>
        <v>1.60085E-4</v>
      </c>
      <c r="S473" cm="1">
        <f t="array" ref="S473">INDEX(Table1[riBAQ 42], MATCH(1, (Table3[[#This Row],[Gene names]:[Gene names]] = Table1[[Gene names]:[Gene names]])*1, 0))</f>
        <v>1.12008E-4</v>
      </c>
      <c r="T473" cm="1">
        <f t="array" ref="T473">INDEX(Table1[riBAQ 43], MATCH(1, (Table3[[#This Row],[Gene names]:[Gene names]] = Table1[[Gene names]:[Gene names]])*1, 0))</f>
        <v>1.4576899999999999E-4</v>
      </c>
    </row>
    <row r="474" spans="1:20" x14ac:dyDescent="0.25">
      <c r="A474" t="s">
        <v>253</v>
      </c>
      <c r="B474" cm="1">
        <f t="array" ref="B474">INDEX(Table1[riBAQ 17], MATCH(1, (Table3[[#This Row],[Gene names]:[Gene names]] = Table1[[Gene names]:[Gene names]])*1, 0))</f>
        <v>9.3399999999999993E-5</v>
      </c>
      <c r="C474" cm="1">
        <f t="array" ref="C474">INDEX(Table1[riBAQ 18], MATCH(1, (Table3[[#This Row],[Gene names]:[Gene names]] = Table1[[Gene names]:[Gene names]])*1, 0))</f>
        <v>0</v>
      </c>
      <c r="D474" cm="1">
        <f t="array" ref="D474">INDEX(Table1[riBAQ 35], MATCH(1, (Table3[[#This Row],[Gene names]:[Gene names]] = Table1[[Gene names]:[Gene names]])*1, 0))</f>
        <v>0</v>
      </c>
      <c r="E474" cm="1">
        <f t="array" ref="E474">INDEX(Table1[riBAQ 36], MATCH(1, (Table3[[#This Row],[Gene names]:[Gene names]] = Table1[[Gene names]:[Gene names]])*1, 0))</f>
        <v>0</v>
      </c>
      <c r="F474" cm="1">
        <f t="array" ref="F474">INDEX(Table1[riBAQ 19], MATCH(1, (Table3[[#This Row],[Gene names]:[Gene names]] = Table1[[Gene names]:[Gene names]])*1, 0))</f>
        <v>1.0175699999999999E-4</v>
      </c>
      <c r="G474" cm="1">
        <f t="array" ref="G474">INDEX(Table1[riBAQ 20], MATCH(1, (Table3[[#This Row],[Gene names]:[Gene names]] = Table1[[Gene names]:[Gene names]])*1, 0))</f>
        <v>0</v>
      </c>
      <c r="H474" cm="1">
        <f t="array" ref="H474">INDEX(Table1[riBAQ 21], MATCH(1, (Table3[[#This Row],[Gene names]:[Gene names]] = Table1[[Gene names]:[Gene names]])*1, 0))</f>
        <v>1.3898799999999999E-4</v>
      </c>
      <c r="I474" cm="1">
        <f t="array" ref="I474">INDEX(Table1[riBAQ 22], MATCH(1, (Table3[[#This Row],[Gene names]:[Gene names]] = Table1[[Gene names]:[Gene names]])*1, 0))</f>
        <v>9.8200000000000002E-5</v>
      </c>
      <c r="J474" cm="1">
        <f t="array" ref="J474">INDEX(Table1[riBAQ 23], MATCH(1, (Table3[[#This Row],[Gene names]:[Gene names]] = Table1[[Gene names]:[Gene names]])*1, 0))</f>
        <v>8.8700000000000001E-5</v>
      </c>
      <c r="K474" cm="1">
        <f t="array" ref="K474">INDEX(Table1[riBAQ 37], MATCH(1, (Table3[[#This Row],[Gene names]:[Gene names]] = Table1[[Gene names]:[Gene names]])*1, 0))</f>
        <v>0</v>
      </c>
      <c r="L474" cm="1">
        <f t="array" ref="L474">INDEX(Table1[riBAQ 38], MATCH(1, (Table3[[#This Row],[Gene names]:[Gene names]] = Table1[[Gene names]:[Gene names]])*1, 0))</f>
        <v>0</v>
      </c>
      <c r="M474" cm="1">
        <f t="array" ref="M474">INDEX(Table1[riBAQ 39], MATCH(1, (Table3[[#This Row],[Gene names]:[Gene names]] = Table1[[Gene names]:[Gene names]])*1, 0))</f>
        <v>8.3700000000000002E-5</v>
      </c>
      <c r="N474" cm="1">
        <f t="array" ref="N474">INDEX(Table1[riBAQ 40], MATCH(1, (Table3[[#This Row],[Gene names]:[Gene names]] = Table1[[Gene names]:[Gene names]])*1, 0))</f>
        <v>1.2776000000000001E-4</v>
      </c>
      <c r="O474" cm="1">
        <f t="array" ref="O474">INDEX(Table1[riBAQ 41], MATCH(1, (Table3[[#This Row],[Gene names]:[Gene names]] = Table1[[Gene names]:[Gene names]])*1, 0))</f>
        <v>0</v>
      </c>
      <c r="P474" cm="1">
        <f t="array" ref="P474">INDEX(Table1[riBAQ 24], MATCH(1, (Table3[[#This Row],[Gene names]:[Gene names]] = Table1[[Gene names]:[Gene names]])*1, 0))</f>
        <v>1.5217400000000001E-4</v>
      </c>
      <c r="Q474" cm="1">
        <f t="array" ref="Q474">INDEX(Table1[riBAQ 25], MATCH(1, (Table3[[#This Row],[Gene names]:[Gene names]] = Table1[[Gene names]:[Gene names]])*1, 0))</f>
        <v>2.8944000000000002E-4</v>
      </c>
      <c r="R474" cm="1">
        <f t="array" ref="R474">INDEX(Table1[riBAQ 26], MATCH(1, (Table3[[#This Row],[Gene names]:[Gene names]] = Table1[[Gene names]:[Gene names]])*1, 0))</f>
        <v>1.92516E-4</v>
      </c>
      <c r="S474" cm="1">
        <f t="array" ref="S474">INDEX(Table1[riBAQ 42], MATCH(1, (Table3[[#This Row],[Gene names]:[Gene names]] = Table1[[Gene names]:[Gene names]])*1, 0))</f>
        <v>1.4791000000000001E-4</v>
      </c>
      <c r="T474" cm="1">
        <f t="array" ref="T474">INDEX(Table1[riBAQ 43], MATCH(1, (Table3[[#This Row],[Gene names]:[Gene names]] = Table1[[Gene names]:[Gene names]])*1, 0))</f>
        <v>4.6641199999999998E-4</v>
      </c>
    </row>
    <row r="475" spans="1:20" x14ac:dyDescent="0.25">
      <c r="A475" t="s">
        <v>292</v>
      </c>
      <c r="B475" cm="1">
        <f t="array" ref="B475">INDEX(Table1[riBAQ 17], MATCH(1, (Table3[[#This Row],[Gene names]:[Gene names]] = Table1[[Gene names]:[Gene names]])*1, 0))</f>
        <v>1.50722E-4</v>
      </c>
      <c r="C475" cm="1">
        <f t="array" ref="C475">INDEX(Table1[riBAQ 18], MATCH(1, (Table3[[#This Row],[Gene names]:[Gene names]] = Table1[[Gene names]:[Gene names]])*1, 0))</f>
        <v>1.78464E-4</v>
      </c>
      <c r="D475" cm="1">
        <f t="array" ref="D475">INDEX(Table1[riBAQ 35], MATCH(1, (Table3[[#This Row],[Gene names]:[Gene names]] = Table1[[Gene names]:[Gene names]])*1, 0))</f>
        <v>1.5281E-4</v>
      </c>
      <c r="E475" cm="1">
        <f t="array" ref="E475">INDEX(Table1[riBAQ 36], MATCH(1, (Table3[[#This Row],[Gene names]:[Gene names]] = Table1[[Gene names]:[Gene names]])*1, 0))</f>
        <v>1.2322200000000001E-4</v>
      </c>
      <c r="F475" cm="1">
        <f t="array" ref="F475">INDEX(Table1[riBAQ 19], MATCH(1, (Table3[[#This Row],[Gene names]:[Gene names]] = Table1[[Gene names]:[Gene names]])*1, 0))</f>
        <v>1.9137399999999999E-4</v>
      </c>
      <c r="G475" cm="1">
        <f t="array" ref="G475">INDEX(Table1[riBAQ 20], MATCH(1, (Table3[[#This Row],[Gene names]:[Gene names]] = Table1[[Gene names]:[Gene names]])*1, 0))</f>
        <v>1.72373E-4</v>
      </c>
      <c r="H475" cm="1">
        <f t="array" ref="H475">INDEX(Table1[riBAQ 21], MATCH(1, (Table3[[#This Row],[Gene names]:[Gene names]] = Table1[[Gene names]:[Gene names]])*1, 0))</f>
        <v>1.16173E-4</v>
      </c>
      <c r="I475" cm="1">
        <f t="array" ref="I475">INDEX(Table1[riBAQ 22], MATCH(1, (Table3[[#This Row],[Gene names]:[Gene names]] = Table1[[Gene names]:[Gene names]])*1, 0))</f>
        <v>1.8719E-4</v>
      </c>
      <c r="J475" cm="1">
        <f t="array" ref="J475">INDEX(Table1[riBAQ 23], MATCH(1, (Table3[[#This Row],[Gene names]:[Gene names]] = Table1[[Gene names]:[Gene names]])*1, 0))</f>
        <v>2.09991E-4</v>
      </c>
      <c r="K475" cm="1">
        <f t="array" ref="K475">INDEX(Table1[riBAQ 37], MATCH(1, (Table3[[#This Row],[Gene names]:[Gene names]] = Table1[[Gene names]:[Gene names]])*1, 0))</f>
        <v>1.9384099999999999E-4</v>
      </c>
      <c r="L475" cm="1">
        <f t="array" ref="L475">INDEX(Table1[riBAQ 38], MATCH(1, (Table3[[#This Row],[Gene names]:[Gene names]] = Table1[[Gene names]:[Gene names]])*1, 0))</f>
        <v>2.1777499999999999E-4</v>
      </c>
      <c r="M475" cm="1">
        <f t="array" ref="M475">INDEX(Table1[riBAQ 39], MATCH(1, (Table3[[#This Row],[Gene names]:[Gene names]] = Table1[[Gene names]:[Gene names]])*1, 0))</f>
        <v>1.4317900000000001E-4</v>
      </c>
      <c r="N475" cm="1">
        <f t="array" ref="N475">INDEX(Table1[riBAQ 40], MATCH(1, (Table3[[#This Row],[Gene names]:[Gene names]] = Table1[[Gene names]:[Gene names]])*1, 0))</f>
        <v>2.6657599999999998E-4</v>
      </c>
      <c r="O475" cm="1">
        <f t="array" ref="O475">INDEX(Table1[riBAQ 41], MATCH(1, (Table3[[#This Row],[Gene names]:[Gene names]] = Table1[[Gene names]:[Gene names]])*1, 0))</f>
        <v>1.6196099999999999E-4</v>
      </c>
      <c r="P475" cm="1">
        <f t="array" ref="P475">INDEX(Table1[riBAQ 24], MATCH(1, (Table3[[#This Row],[Gene names]:[Gene names]] = Table1[[Gene names]:[Gene names]])*1, 0))</f>
        <v>2.4131599999999999E-4</v>
      </c>
      <c r="Q475" cm="1">
        <f t="array" ref="Q475">INDEX(Table1[riBAQ 25], MATCH(1, (Table3[[#This Row],[Gene names]:[Gene names]] = Table1[[Gene names]:[Gene names]])*1, 0))</f>
        <v>4.1308499999999999E-4</v>
      </c>
      <c r="R475" cm="1">
        <f t="array" ref="R475">INDEX(Table1[riBAQ 26], MATCH(1, (Table3[[#This Row],[Gene names]:[Gene names]] = Table1[[Gene names]:[Gene names]])*1, 0))</f>
        <v>4.3496000000000002E-4</v>
      </c>
      <c r="S475" cm="1">
        <f t="array" ref="S475">INDEX(Table1[riBAQ 42], MATCH(1, (Table3[[#This Row],[Gene names]:[Gene names]] = Table1[[Gene names]:[Gene names]])*1, 0))</f>
        <v>4.7794999999999999E-4</v>
      </c>
      <c r="T475" cm="1">
        <f t="array" ref="T475">INDEX(Table1[riBAQ 43], MATCH(1, (Table3[[#This Row],[Gene names]:[Gene names]] = Table1[[Gene names]:[Gene names]])*1, 0))</f>
        <v>4.6629700000000001E-4</v>
      </c>
    </row>
    <row r="476" spans="1:20" x14ac:dyDescent="0.25">
      <c r="A476" t="s">
        <v>290</v>
      </c>
      <c r="B476" cm="1">
        <f t="array" ref="B476">INDEX(Table1[riBAQ 17], MATCH(1, (Table3[[#This Row],[Gene names]:[Gene names]] = Table1[[Gene names]:[Gene names]])*1, 0))</f>
        <v>2.5400000000000001E-5</v>
      </c>
      <c r="C476" cm="1">
        <f t="array" ref="C476">INDEX(Table1[riBAQ 18], MATCH(1, (Table3[[#This Row],[Gene names]:[Gene names]] = Table1[[Gene names]:[Gene names]])*1, 0))</f>
        <v>2.7399999999999999E-5</v>
      </c>
      <c r="D476" cm="1">
        <f t="array" ref="D476">INDEX(Table1[riBAQ 35], MATCH(1, (Table3[[#This Row],[Gene names]:[Gene names]] = Table1[[Gene names]:[Gene names]])*1, 0))</f>
        <v>2.1500000000000001E-5</v>
      </c>
      <c r="E476" cm="1">
        <f t="array" ref="E476">INDEX(Table1[riBAQ 36], MATCH(1, (Table3[[#This Row],[Gene names]:[Gene names]] = Table1[[Gene names]:[Gene names]])*1, 0))</f>
        <v>2.5999999999999998E-5</v>
      </c>
      <c r="F476" cm="1">
        <f t="array" ref="F476">INDEX(Table1[riBAQ 19], MATCH(1, (Table3[[#This Row],[Gene names]:[Gene names]] = Table1[[Gene names]:[Gene names]])*1, 0))</f>
        <v>3.7100000000000001E-5</v>
      </c>
      <c r="G476" cm="1">
        <f t="array" ref="G476">INDEX(Table1[riBAQ 20], MATCH(1, (Table3[[#This Row],[Gene names]:[Gene names]] = Table1[[Gene names]:[Gene names]])*1, 0))</f>
        <v>4.2799999999999997E-5</v>
      </c>
      <c r="H476" cm="1">
        <f t="array" ref="H476">INDEX(Table1[riBAQ 21], MATCH(1, (Table3[[#This Row],[Gene names]:[Gene names]] = Table1[[Gene names]:[Gene names]])*1, 0))</f>
        <v>4.21E-5</v>
      </c>
      <c r="I476" cm="1">
        <f t="array" ref="I476">INDEX(Table1[riBAQ 22], MATCH(1, (Table3[[#This Row],[Gene names]:[Gene names]] = Table1[[Gene names]:[Gene names]])*1, 0))</f>
        <v>3.96E-5</v>
      </c>
      <c r="J476" cm="1">
        <f t="array" ref="J476">INDEX(Table1[riBAQ 23], MATCH(1, (Table3[[#This Row],[Gene names]:[Gene names]] = Table1[[Gene names]:[Gene names]])*1, 0))</f>
        <v>5.7500000000000002E-5</v>
      </c>
      <c r="K476" cm="1">
        <f t="array" ref="K476">INDEX(Table1[riBAQ 37], MATCH(1, (Table3[[#This Row],[Gene names]:[Gene names]] = Table1[[Gene names]:[Gene names]])*1, 0))</f>
        <v>4.0500000000000002E-5</v>
      </c>
      <c r="L476" cm="1">
        <f t="array" ref="L476">INDEX(Table1[riBAQ 38], MATCH(1, (Table3[[#This Row],[Gene names]:[Gene names]] = Table1[[Gene names]:[Gene names]])*1, 0))</f>
        <v>4.88E-5</v>
      </c>
      <c r="M476" cm="1">
        <f t="array" ref="M476">INDEX(Table1[riBAQ 39], MATCH(1, (Table3[[#This Row],[Gene names]:[Gene names]] = Table1[[Gene names]:[Gene names]])*1, 0))</f>
        <v>4.3000000000000002E-5</v>
      </c>
      <c r="N476" cm="1">
        <f t="array" ref="N476">INDEX(Table1[riBAQ 40], MATCH(1, (Table3[[#This Row],[Gene names]:[Gene names]] = Table1[[Gene names]:[Gene names]])*1, 0))</f>
        <v>3.5099999999999999E-5</v>
      </c>
      <c r="O476" cm="1">
        <f t="array" ref="O476">INDEX(Table1[riBAQ 41], MATCH(1, (Table3[[#This Row],[Gene names]:[Gene names]] = Table1[[Gene names]:[Gene names]])*1, 0))</f>
        <v>3.04E-5</v>
      </c>
      <c r="P476" cm="1">
        <f t="array" ref="P476">INDEX(Table1[riBAQ 24], MATCH(1, (Table3[[#This Row],[Gene names]:[Gene names]] = Table1[[Gene names]:[Gene names]])*1, 0))</f>
        <v>8.9699999999999998E-5</v>
      </c>
      <c r="Q476" cm="1">
        <f t="array" ref="Q476">INDEX(Table1[riBAQ 25], MATCH(1, (Table3[[#This Row],[Gene names]:[Gene names]] = Table1[[Gene names]:[Gene names]])*1, 0))</f>
        <v>1.38596E-4</v>
      </c>
      <c r="R476" cm="1">
        <f t="array" ref="R476">INDEX(Table1[riBAQ 26], MATCH(1, (Table3[[#This Row],[Gene names]:[Gene names]] = Table1[[Gene names]:[Gene names]])*1, 0))</f>
        <v>1.9279799999999999E-4</v>
      </c>
      <c r="S476" cm="1">
        <f t="array" ref="S476">INDEX(Table1[riBAQ 42], MATCH(1, (Table3[[#This Row],[Gene names]:[Gene names]] = Table1[[Gene names]:[Gene names]])*1, 0))</f>
        <v>1.5284700000000001E-4</v>
      </c>
      <c r="T476" cm="1">
        <f t="array" ref="T476">INDEX(Table1[riBAQ 43], MATCH(1, (Table3[[#This Row],[Gene names]:[Gene names]] = Table1[[Gene names]:[Gene names]])*1, 0))</f>
        <v>1.15105E-4</v>
      </c>
    </row>
    <row r="477" spans="1:20" x14ac:dyDescent="0.25">
      <c r="A477" t="s">
        <v>1427</v>
      </c>
      <c r="B477" cm="1">
        <f t="array" ref="B477">INDEX(Table1[riBAQ 17], MATCH(1, (Table3[[#This Row],[Gene names]:[Gene names]] = Table1[[Gene names]:[Gene names]])*1, 0))</f>
        <v>1.39061E-4</v>
      </c>
      <c r="C477" cm="1">
        <f t="array" ref="C477">INDEX(Table1[riBAQ 18], MATCH(1, (Table3[[#This Row],[Gene names]:[Gene names]] = Table1[[Gene names]:[Gene names]])*1, 0))</f>
        <v>9.0199999999999997E-5</v>
      </c>
      <c r="D477" cm="1">
        <f t="array" ref="D477">INDEX(Table1[riBAQ 35], MATCH(1, (Table3[[#This Row],[Gene names]:[Gene names]] = Table1[[Gene names]:[Gene names]])*1, 0))</f>
        <v>6.3499999999999999E-5</v>
      </c>
      <c r="E477" cm="1">
        <f t="array" ref="E477">INDEX(Table1[riBAQ 36], MATCH(1, (Table3[[#This Row],[Gene names]:[Gene names]] = Table1[[Gene names]:[Gene names]])*1, 0))</f>
        <v>3.5099999999999999E-5</v>
      </c>
      <c r="F477" cm="1">
        <f t="array" ref="F477">INDEX(Table1[riBAQ 19], MATCH(1, (Table3[[#This Row],[Gene names]:[Gene names]] = Table1[[Gene names]:[Gene names]])*1, 0))</f>
        <v>1.6233299999999999E-4</v>
      </c>
      <c r="G477" cm="1">
        <f t="array" ref="G477">INDEX(Table1[riBAQ 20], MATCH(1, (Table3[[#This Row],[Gene names]:[Gene names]] = Table1[[Gene names]:[Gene names]])*1, 0))</f>
        <v>1.9857300000000001E-4</v>
      </c>
      <c r="H477" cm="1">
        <f t="array" ref="H477">INDEX(Table1[riBAQ 21], MATCH(1, (Table3[[#This Row],[Gene names]:[Gene names]] = Table1[[Gene names]:[Gene names]])*1, 0))</f>
        <v>1.52137E-4</v>
      </c>
      <c r="I477" cm="1">
        <f t="array" ref="I477">INDEX(Table1[riBAQ 22], MATCH(1, (Table3[[#This Row],[Gene names]:[Gene names]] = Table1[[Gene names]:[Gene names]])*1, 0))</f>
        <v>1.3092900000000001E-4</v>
      </c>
      <c r="J477" cm="1">
        <f t="array" ref="J477">INDEX(Table1[riBAQ 23], MATCH(1, (Table3[[#This Row],[Gene names]:[Gene names]] = Table1[[Gene names]:[Gene names]])*1, 0))</f>
        <v>1.7678600000000001E-4</v>
      </c>
      <c r="K477" cm="1">
        <f t="array" ref="K477">INDEX(Table1[riBAQ 37], MATCH(1, (Table3[[#This Row],[Gene names]:[Gene names]] = Table1[[Gene names]:[Gene names]])*1, 0))</f>
        <v>8.9900000000000003E-5</v>
      </c>
      <c r="L477" cm="1">
        <f t="array" ref="L477">INDEX(Table1[riBAQ 38], MATCH(1, (Table3[[#This Row],[Gene names]:[Gene names]] = Table1[[Gene names]:[Gene names]])*1, 0))</f>
        <v>1.2032999999999999E-4</v>
      </c>
      <c r="M477" cm="1">
        <f t="array" ref="M477">INDEX(Table1[riBAQ 39], MATCH(1, (Table3[[#This Row],[Gene names]:[Gene names]] = Table1[[Gene names]:[Gene names]])*1, 0))</f>
        <v>2.1232900000000001E-4</v>
      </c>
      <c r="N477" cm="1">
        <f t="array" ref="N477">INDEX(Table1[riBAQ 40], MATCH(1, (Table3[[#This Row],[Gene names]:[Gene names]] = Table1[[Gene names]:[Gene names]])*1, 0))</f>
        <v>1.8905199999999999E-4</v>
      </c>
      <c r="O477" cm="1">
        <f t="array" ref="O477">INDEX(Table1[riBAQ 41], MATCH(1, (Table3[[#This Row],[Gene names]:[Gene names]] = Table1[[Gene names]:[Gene names]])*1, 0))</f>
        <v>1.6551200000000001E-4</v>
      </c>
      <c r="P477" cm="1">
        <f t="array" ref="P477">INDEX(Table1[riBAQ 24], MATCH(1, (Table3[[#This Row],[Gene names]:[Gene names]] = Table1[[Gene names]:[Gene names]])*1, 0))</f>
        <v>2.4368299999999999E-4</v>
      </c>
      <c r="Q477" cm="1">
        <f t="array" ref="Q477">INDEX(Table1[riBAQ 25], MATCH(1, (Table3[[#This Row],[Gene names]:[Gene names]] = Table1[[Gene names]:[Gene names]])*1, 0))</f>
        <v>3.7059799999999998E-4</v>
      </c>
      <c r="R477" cm="1">
        <f t="array" ref="R477">INDEX(Table1[riBAQ 26], MATCH(1, (Table3[[#This Row],[Gene names]:[Gene names]] = Table1[[Gene names]:[Gene names]])*1, 0))</f>
        <v>3.7315100000000001E-4</v>
      </c>
      <c r="S477" cm="1">
        <f t="array" ref="S477">INDEX(Table1[riBAQ 42], MATCH(1, (Table3[[#This Row],[Gene names]:[Gene names]] = Table1[[Gene names]:[Gene names]])*1, 0))</f>
        <v>4.0921799999999998E-4</v>
      </c>
      <c r="T477" cm="1">
        <f t="array" ref="T477">INDEX(Table1[riBAQ 43], MATCH(1, (Table3[[#This Row],[Gene names]:[Gene names]] = Table1[[Gene names]:[Gene names]])*1, 0))</f>
        <v>4.50042E-4</v>
      </c>
    </row>
    <row r="478" spans="1:20" x14ac:dyDescent="0.25">
      <c r="A478" t="s">
        <v>288</v>
      </c>
      <c r="B478" cm="1">
        <f t="array" ref="B478">INDEX(Table1[riBAQ 17], MATCH(1, (Table3[[#This Row],[Gene names]:[Gene names]] = Table1[[Gene names]:[Gene names]])*1, 0))</f>
        <v>5.7500000000000002E-5</v>
      </c>
      <c r="C478" cm="1">
        <f t="array" ref="C478">INDEX(Table1[riBAQ 18], MATCH(1, (Table3[[#This Row],[Gene names]:[Gene names]] = Table1[[Gene names]:[Gene names]])*1, 0))</f>
        <v>6.0699999999999998E-5</v>
      </c>
      <c r="D478" cm="1">
        <f t="array" ref="D478">INDEX(Table1[riBAQ 35], MATCH(1, (Table3[[#This Row],[Gene names]:[Gene names]] = Table1[[Gene names]:[Gene names]])*1, 0))</f>
        <v>7.6000000000000004E-5</v>
      </c>
      <c r="E478" cm="1">
        <f t="array" ref="E478">INDEX(Table1[riBAQ 36], MATCH(1, (Table3[[#This Row],[Gene names]:[Gene names]] = Table1[[Gene names]:[Gene names]])*1, 0))</f>
        <v>6.9200000000000002E-5</v>
      </c>
      <c r="F478" cm="1">
        <f t="array" ref="F478">INDEX(Table1[riBAQ 19], MATCH(1, (Table3[[#This Row],[Gene names]:[Gene names]] = Table1[[Gene names]:[Gene names]])*1, 0))</f>
        <v>1.2437599999999999E-4</v>
      </c>
      <c r="G478" cm="1">
        <f t="array" ref="G478">INDEX(Table1[riBAQ 20], MATCH(1, (Table3[[#This Row],[Gene names]:[Gene names]] = Table1[[Gene names]:[Gene names]])*1, 0))</f>
        <v>9.0799999999999998E-5</v>
      </c>
      <c r="H478" cm="1">
        <f t="array" ref="H478">INDEX(Table1[riBAQ 21], MATCH(1, (Table3[[#This Row],[Gene names]:[Gene names]] = Table1[[Gene names]:[Gene names]])*1, 0))</f>
        <v>8.1100000000000006E-5</v>
      </c>
      <c r="I478" cm="1">
        <f t="array" ref="I478">INDEX(Table1[riBAQ 22], MATCH(1, (Table3[[#This Row],[Gene names]:[Gene names]] = Table1[[Gene names]:[Gene names]])*1, 0))</f>
        <v>1.5499099999999999E-4</v>
      </c>
      <c r="J478" cm="1">
        <f t="array" ref="J478">INDEX(Table1[riBAQ 23], MATCH(1, (Table3[[#This Row],[Gene names]:[Gene names]] = Table1[[Gene names]:[Gene names]])*1, 0))</f>
        <v>1.04893E-4</v>
      </c>
      <c r="K478" cm="1">
        <f t="array" ref="K478">INDEX(Table1[riBAQ 37], MATCH(1, (Table3[[#This Row],[Gene names]:[Gene names]] = Table1[[Gene names]:[Gene names]])*1, 0))</f>
        <v>1.08022E-4</v>
      </c>
      <c r="L478" cm="1">
        <f t="array" ref="L478">INDEX(Table1[riBAQ 38], MATCH(1, (Table3[[#This Row],[Gene names]:[Gene names]] = Table1[[Gene names]:[Gene names]])*1, 0))</f>
        <v>1.01341E-4</v>
      </c>
      <c r="M478" cm="1">
        <f t="array" ref="M478">INDEX(Table1[riBAQ 39], MATCH(1, (Table3[[#This Row],[Gene names]:[Gene names]] = Table1[[Gene names]:[Gene names]])*1, 0))</f>
        <v>1.0265899999999999E-4</v>
      </c>
      <c r="N478" cm="1">
        <f t="array" ref="N478">INDEX(Table1[riBAQ 40], MATCH(1, (Table3[[#This Row],[Gene names]:[Gene names]] = Table1[[Gene names]:[Gene names]])*1, 0))</f>
        <v>2.01683E-4</v>
      </c>
      <c r="O478" cm="1">
        <f t="array" ref="O478">INDEX(Table1[riBAQ 41], MATCH(1, (Table3[[#This Row],[Gene names]:[Gene names]] = Table1[[Gene names]:[Gene names]])*1, 0))</f>
        <v>8.8200000000000003E-5</v>
      </c>
      <c r="P478" cm="1">
        <f t="array" ref="P478">INDEX(Table1[riBAQ 24], MATCH(1, (Table3[[#This Row],[Gene names]:[Gene names]] = Table1[[Gene names]:[Gene names]])*1, 0))</f>
        <v>2.11444E-4</v>
      </c>
      <c r="Q478" cm="1">
        <f t="array" ref="Q478">INDEX(Table1[riBAQ 25], MATCH(1, (Table3[[#This Row],[Gene names]:[Gene names]] = Table1[[Gene names]:[Gene names]])*1, 0))</f>
        <v>1.2970599999999999E-4</v>
      </c>
      <c r="R478" cm="1">
        <f t="array" ref="R478">INDEX(Table1[riBAQ 26], MATCH(1, (Table3[[#This Row],[Gene names]:[Gene names]] = Table1[[Gene names]:[Gene names]])*1, 0))</f>
        <v>4.9027000000000001E-4</v>
      </c>
      <c r="S478" cm="1">
        <f t="array" ref="S478">INDEX(Table1[riBAQ 42], MATCH(1, (Table3[[#This Row],[Gene names]:[Gene names]] = Table1[[Gene names]:[Gene names]])*1, 0))</f>
        <v>3.4120100000000002E-4</v>
      </c>
      <c r="T478" cm="1">
        <f t="array" ref="T478">INDEX(Table1[riBAQ 43], MATCH(1, (Table3[[#This Row],[Gene names]:[Gene names]] = Table1[[Gene names]:[Gene names]])*1, 0))</f>
        <v>4.2675500000000002E-4</v>
      </c>
    </row>
    <row r="479" spans="1:20" x14ac:dyDescent="0.25">
      <c r="A479" t="s">
        <v>1354</v>
      </c>
      <c r="B479" cm="1">
        <f t="array" ref="B479">INDEX(Table1[riBAQ 17], MATCH(1, (Table3[[#This Row],[Gene names]:[Gene names]] = Table1[[Gene names]:[Gene names]])*1, 0))</f>
        <v>3.1999999999999999E-5</v>
      </c>
      <c r="C479" cm="1">
        <f t="array" ref="C479">INDEX(Table1[riBAQ 18], MATCH(1, (Table3[[#This Row],[Gene names]:[Gene names]] = Table1[[Gene names]:[Gene names]])*1, 0))</f>
        <v>4.7700000000000001E-5</v>
      </c>
      <c r="D479" cm="1">
        <f t="array" ref="D479">INDEX(Table1[riBAQ 35], MATCH(1, (Table3[[#This Row],[Gene names]:[Gene names]] = Table1[[Gene names]:[Gene names]])*1, 0))</f>
        <v>5.5500000000000001E-5</v>
      </c>
      <c r="E479" cm="1">
        <f t="array" ref="E479">INDEX(Table1[riBAQ 36], MATCH(1, (Table3[[#This Row],[Gene names]:[Gene names]] = Table1[[Gene names]:[Gene names]])*1, 0))</f>
        <v>4.8900000000000003E-5</v>
      </c>
      <c r="F479" cm="1">
        <f t="array" ref="F479">INDEX(Table1[riBAQ 19], MATCH(1, (Table3[[#This Row],[Gene names]:[Gene names]] = Table1[[Gene names]:[Gene names]])*1, 0))</f>
        <v>7.3899999999999994E-5</v>
      </c>
      <c r="G479" cm="1">
        <f t="array" ref="G479">INDEX(Table1[riBAQ 20], MATCH(1, (Table3[[#This Row],[Gene names]:[Gene names]] = Table1[[Gene names]:[Gene names]])*1, 0))</f>
        <v>5.8499999999999999E-5</v>
      </c>
      <c r="H479" cm="1">
        <f t="array" ref="H479">INDEX(Table1[riBAQ 21], MATCH(1, (Table3[[#This Row],[Gene names]:[Gene names]] = Table1[[Gene names]:[Gene names]])*1, 0))</f>
        <v>2.34E-5</v>
      </c>
      <c r="I479" cm="1">
        <f t="array" ref="I479">INDEX(Table1[riBAQ 22], MATCH(1, (Table3[[#This Row],[Gene names]:[Gene names]] = Table1[[Gene names]:[Gene names]])*1, 0))</f>
        <v>7.3899999999999994E-5</v>
      </c>
      <c r="J479" cm="1">
        <f t="array" ref="J479">INDEX(Table1[riBAQ 23], MATCH(1, (Table3[[#This Row],[Gene names]:[Gene names]] = Table1[[Gene names]:[Gene names]])*1, 0))</f>
        <v>7.6699999999999994E-5</v>
      </c>
      <c r="K479" cm="1">
        <f t="array" ref="K479">INDEX(Table1[riBAQ 37], MATCH(1, (Table3[[#This Row],[Gene names]:[Gene names]] = Table1[[Gene names]:[Gene names]])*1, 0))</f>
        <v>8.8900000000000006E-5</v>
      </c>
      <c r="L479" cm="1">
        <f t="array" ref="L479">INDEX(Table1[riBAQ 38], MATCH(1, (Table3[[#This Row],[Gene names]:[Gene names]] = Table1[[Gene names]:[Gene names]])*1, 0))</f>
        <v>7.6699999999999994E-5</v>
      </c>
      <c r="M479" cm="1">
        <f t="array" ref="M479">INDEX(Table1[riBAQ 39], MATCH(1, (Table3[[#This Row],[Gene names]:[Gene names]] = Table1[[Gene names]:[Gene names]])*1, 0))</f>
        <v>6.3700000000000003E-5</v>
      </c>
      <c r="N479" cm="1">
        <f t="array" ref="N479">INDEX(Table1[riBAQ 40], MATCH(1, (Table3[[#This Row],[Gene names]:[Gene names]] = Table1[[Gene names]:[Gene names]])*1, 0))</f>
        <v>7.2299999999999996E-5</v>
      </c>
      <c r="O479" cm="1">
        <f t="array" ref="O479">INDEX(Table1[riBAQ 41], MATCH(1, (Table3[[#This Row],[Gene names]:[Gene names]] = Table1[[Gene names]:[Gene names]])*1, 0))</f>
        <v>1.00552E-4</v>
      </c>
      <c r="P479" cm="1">
        <f t="array" ref="P479">INDEX(Table1[riBAQ 24], MATCH(1, (Table3[[#This Row],[Gene names]:[Gene names]] = Table1[[Gene names]:[Gene names]])*1, 0))</f>
        <v>9.7299999999999993E-5</v>
      </c>
      <c r="Q479" cm="1">
        <f t="array" ref="Q479">INDEX(Table1[riBAQ 25], MATCH(1, (Table3[[#This Row],[Gene names]:[Gene names]] = Table1[[Gene names]:[Gene names]])*1, 0))</f>
        <v>1.0822E-4</v>
      </c>
      <c r="R479" cm="1">
        <f t="array" ref="R479">INDEX(Table1[riBAQ 26], MATCH(1, (Table3[[#This Row],[Gene names]:[Gene names]] = Table1[[Gene names]:[Gene names]])*1, 0))</f>
        <v>8.8800000000000004E-5</v>
      </c>
      <c r="S479" cm="1">
        <f t="array" ref="S479">INDEX(Table1[riBAQ 42], MATCH(1, (Table3[[#This Row],[Gene names]:[Gene names]] = Table1[[Gene names]:[Gene names]])*1, 0))</f>
        <v>1.44177E-4</v>
      </c>
      <c r="T479" cm="1">
        <f t="array" ref="T479">INDEX(Table1[riBAQ 43], MATCH(1, (Table3[[#This Row],[Gene names]:[Gene names]] = Table1[[Gene names]:[Gene names]])*1, 0))</f>
        <v>9.5699999999999995E-5</v>
      </c>
    </row>
    <row r="480" spans="1:20" x14ac:dyDescent="0.25">
      <c r="A480" t="s">
        <v>896</v>
      </c>
      <c r="B480" cm="1">
        <f t="array" ref="B480">INDEX(Table1[riBAQ 17], MATCH(1, (Table3[[#This Row],[Gene names]:[Gene names]] = Table1[[Gene names]:[Gene names]])*1, 0))</f>
        <v>0</v>
      </c>
      <c r="C480" cm="1">
        <f t="array" ref="C480">INDEX(Table1[riBAQ 18], MATCH(1, (Table3[[#This Row],[Gene names]:[Gene names]] = Table1[[Gene names]:[Gene names]])*1, 0))</f>
        <v>0</v>
      </c>
      <c r="D480" cm="1">
        <f t="array" ref="D480">INDEX(Table1[riBAQ 35], MATCH(1, (Table3[[#This Row],[Gene names]:[Gene names]] = Table1[[Gene names]:[Gene names]])*1, 0))</f>
        <v>0</v>
      </c>
      <c r="E480" cm="1">
        <f t="array" ref="E480">INDEX(Table1[riBAQ 36], MATCH(1, (Table3[[#This Row],[Gene names]:[Gene names]] = Table1[[Gene names]:[Gene names]])*1, 0))</f>
        <v>0</v>
      </c>
      <c r="F480" cm="1">
        <f t="array" ref="F480">INDEX(Table1[riBAQ 19], MATCH(1, (Table3[[#This Row],[Gene names]:[Gene names]] = Table1[[Gene names]:[Gene names]])*1, 0))</f>
        <v>1.5400000000000002E-5</v>
      </c>
      <c r="G480" cm="1">
        <f t="array" ref="G480">INDEX(Table1[riBAQ 20], MATCH(1, (Table3[[#This Row],[Gene names]:[Gene names]] = Table1[[Gene names]:[Gene names]])*1, 0))</f>
        <v>1.1E-5</v>
      </c>
      <c r="H480" cm="1">
        <f t="array" ref="H480">INDEX(Table1[riBAQ 21], MATCH(1, (Table3[[#This Row],[Gene names]:[Gene names]] = Table1[[Gene names]:[Gene names]])*1, 0))</f>
        <v>0</v>
      </c>
      <c r="I480" cm="1">
        <f t="array" ref="I480">INDEX(Table1[riBAQ 22], MATCH(1, (Table3[[#This Row],[Gene names]:[Gene names]] = Table1[[Gene names]:[Gene names]])*1, 0))</f>
        <v>2.65E-5</v>
      </c>
      <c r="J480" cm="1">
        <f t="array" ref="J480">INDEX(Table1[riBAQ 23], MATCH(1, (Table3[[#This Row],[Gene names]:[Gene names]] = Table1[[Gene names]:[Gene names]])*1, 0))</f>
        <v>0</v>
      </c>
      <c r="K480" cm="1">
        <f t="array" ref="K480">INDEX(Table1[riBAQ 37], MATCH(1, (Table3[[#This Row],[Gene names]:[Gene names]] = Table1[[Gene names]:[Gene names]])*1, 0))</f>
        <v>0</v>
      </c>
      <c r="L480" cm="1">
        <f t="array" ref="L480">INDEX(Table1[riBAQ 38], MATCH(1, (Table3[[#This Row],[Gene names]:[Gene names]] = Table1[[Gene names]:[Gene names]])*1, 0))</f>
        <v>0</v>
      </c>
      <c r="M480" cm="1">
        <f t="array" ref="M480">INDEX(Table1[riBAQ 39], MATCH(1, (Table3[[#This Row],[Gene names]:[Gene names]] = Table1[[Gene names]:[Gene names]])*1, 0))</f>
        <v>0</v>
      </c>
      <c r="N480" cm="1">
        <f t="array" ref="N480">INDEX(Table1[riBAQ 40], MATCH(1, (Table3[[#This Row],[Gene names]:[Gene names]] = Table1[[Gene names]:[Gene names]])*1, 0))</f>
        <v>0</v>
      </c>
      <c r="O480" cm="1">
        <f t="array" ref="O480">INDEX(Table1[riBAQ 41], MATCH(1, (Table3[[#This Row],[Gene names]:[Gene names]] = Table1[[Gene names]:[Gene names]])*1, 0))</f>
        <v>0</v>
      </c>
      <c r="P480" cm="1">
        <f t="array" ref="P480">INDEX(Table1[riBAQ 24], MATCH(1, (Table3[[#This Row],[Gene names]:[Gene names]] = Table1[[Gene names]:[Gene names]])*1, 0))</f>
        <v>0</v>
      </c>
      <c r="Q480" cm="1">
        <f t="array" ref="Q480">INDEX(Table1[riBAQ 25], MATCH(1, (Table3[[#This Row],[Gene names]:[Gene names]] = Table1[[Gene names]:[Gene names]])*1, 0))</f>
        <v>2.5599999999999999E-5</v>
      </c>
      <c r="R480" cm="1">
        <f t="array" ref="R480">INDEX(Table1[riBAQ 26], MATCH(1, (Table3[[#This Row],[Gene names]:[Gene names]] = Table1[[Gene names]:[Gene names]])*1, 0))</f>
        <v>2.5599999999999999E-5</v>
      </c>
      <c r="S480" cm="1">
        <f t="array" ref="S480">INDEX(Table1[riBAQ 42], MATCH(1, (Table3[[#This Row],[Gene names]:[Gene names]] = Table1[[Gene names]:[Gene names]])*1, 0))</f>
        <v>3.0499999999999999E-5</v>
      </c>
      <c r="T480" cm="1">
        <f t="array" ref="T480">INDEX(Table1[riBAQ 43], MATCH(1, (Table3[[#This Row],[Gene names]:[Gene names]] = Table1[[Gene names]:[Gene names]])*1, 0))</f>
        <v>2.8600000000000001E-5</v>
      </c>
    </row>
    <row r="481" spans="1:20" x14ac:dyDescent="0.25">
      <c r="A481" t="s">
        <v>1126</v>
      </c>
      <c r="B481" cm="1">
        <f t="array" ref="B481">INDEX(Table1[riBAQ 17], MATCH(1, (Table3[[#This Row],[Gene names]:[Gene names]] = Table1[[Gene names]:[Gene names]])*1, 0))</f>
        <v>1.1199999999999999E-5</v>
      </c>
      <c r="C481" cm="1">
        <f t="array" ref="C481">INDEX(Table1[riBAQ 18], MATCH(1, (Table3[[#This Row],[Gene names]:[Gene names]] = Table1[[Gene names]:[Gene names]])*1, 0))</f>
        <v>1.5500000000000001E-5</v>
      </c>
      <c r="D481" cm="1">
        <f t="array" ref="D481">INDEX(Table1[riBAQ 35], MATCH(1, (Table3[[#This Row],[Gene names]:[Gene names]] = Table1[[Gene names]:[Gene names]])*1, 0))</f>
        <v>1.36E-5</v>
      </c>
      <c r="E481" cm="1">
        <f t="array" ref="E481">INDEX(Table1[riBAQ 36], MATCH(1, (Table3[[#This Row],[Gene names]:[Gene names]] = Table1[[Gene names]:[Gene names]])*1, 0))</f>
        <v>0</v>
      </c>
      <c r="F481" cm="1">
        <f t="array" ref="F481">INDEX(Table1[riBAQ 19], MATCH(1, (Table3[[#This Row],[Gene names]:[Gene names]] = Table1[[Gene names]:[Gene names]])*1, 0))</f>
        <v>1.9899999999999999E-5</v>
      </c>
      <c r="G481" cm="1">
        <f t="array" ref="G481">INDEX(Table1[riBAQ 20], MATCH(1, (Table3[[#This Row],[Gene names]:[Gene names]] = Table1[[Gene names]:[Gene names]])*1, 0))</f>
        <v>2.34E-5</v>
      </c>
      <c r="H481" cm="1">
        <f t="array" ref="H481">INDEX(Table1[riBAQ 21], MATCH(1, (Table3[[#This Row],[Gene names]:[Gene names]] = Table1[[Gene names]:[Gene names]])*1, 0))</f>
        <v>0</v>
      </c>
      <c r="I481" cm="1">
        <f t="array" ref="I481">INDEX(Table1[riBAQ 22], MATCH(1, (Table3[[#This Row],[Gene names]:[Gene names]] = Table1[[Gene names]:[Gene names]])*1, 0))</f>
        <v>2.16E-5</v>
      </c>
      <c r="J481" cm="1">
        <f t="array" ref="J481">INDEX(Table1[riBAQ 23], MATCH(1, (Table3[[#This Row],[Gene names]:[Gene names]] = Table1[[Gene names]:[Gene names]])*1, 0))</f>
        <v>1.7600000000000001E-5</v>
      </c>
      <c r="K481" cm="1">
        <f t="array" ref="K481">INDEX(Table1[riBAQ 37], MATCH(1, (Table3[[#This Row],[Gene names]:[Gene names]] = Table1[[Gene names]:[Gene names]])*1, 0))</f>
        <v>2.5899999999999999E-5</v>
      </c>
      <c r="L481" cm="1">
        <f t="array" ref="L481">INDEX(Table1[riBAQ 38], MATCH(1, (Table3[[#This Row],[Gene names]:[Gene names]] = Table1[[Gene names]:[Gene names]])*1, 0))</f>
        <v>2.1699999999999999E-5</v>
      </c>
      <c r="M481" cm="1">
        <f t="array" ref="M481">INDEX(Table1[riBAQ 39], MATCH(1, (Table3[[#This Row],[Gene names]:[Gene names]] = Table1[[Gene names]:[Gene names]])*1, 0))</f>
        <v>0</v>
      </c>
      <c r="N481" cm="1">
        <f t="array" ref="N481">INDEX(Table1[riBAQ 40], MATCH(1, (Table3[[#This Row],[Gene names]:[Gene names]] = Table1[[Gene names]:[Gene names]])*1, 0))</f>
        <v>2.2500000000000001E-5</v>
      </c>
      <c r="O481" cm="1">
        <f t="array" ref="O481">INDEX(Table1[riBAQ 41], MATCH(1, (Table3[[#This Row],[Gene names]:[Gene names]] = Table1[[Gene names]:[Gene names]])*1, 0))</f>
        <v>0</v>
      </c>
      <c r="P481" cm="1">
        <f t="array" ref="P481">INDEX(Table1[riBAQ 24], MATCH(1, (Table3[[#This Row],[Gene names]:[Gene names]] = Table1[[Gene names]:[Gene names]])*1, 0))</f>
        <v>0</v>
      </c>
      <c r="Q481" cm="1">
        <f t="array" ref="Q481">INDEX(Table1[riBAQ 25], MATCH(1, (Table3[[#This Row],[Gene names]:[Gene names]] = Table1[[Gene names]:[Gene names]])*1, 0))</f>
        <v>3.8699999999999999E-5</v>
      </c>
      <c r="R481" cm="1">
        <f t="array" ref="R481">INDEX(Table1[riBAQ 26], MATCH(1, (Table3[[#This Row],[Gene names]:[Gene names]] = Table1[[Gene names]:[Gene names]])*1, 0))</f>
        <v>2.72E-5</v>
      </c>
      <c r="S481" cm="1">
        <f t="array" ref="S481">INDEX(Table1[riBAQ 42], MATCH(1, (Table3[[#This Row],[Gene names]:[Gene names]] = Table1[[Gene names]:[Gene names]])*1, 0))</f>
        <v>4.32E-5</v>
      </c>
      <c r="T481" cm="1">
        <f t="array" ref="T481">INDEX(Table1[riBAQ 43], MATCH(1, (Table3[[#This Row],[Gene names]:[Gene names]] = Table1[[Gene names]:[Gene names]])*1, 0))</f>
        <v>4.6300000000000001E-5</v>
      </c>
    </row>
    <row r="482" spans="1:20" x14ac:dyDescent="0.25">
      <c r="A482" t="s">
        <v>317</v>
      </c>
      <c r="B482" cm="1">
        <f t="array" ref="B482">INDEX(Table1[riBAQ 17], MATCH(1, (Table3[[#This Row],[Gene names]:[Gene names]] = Table1[[Gene names]:[Gene names]])*1, 0))</f>
        <v>0</v>
      </c>
      <c r="C482" cm="1">
        <f t="array" ref="C482">INDEX(Table1[riBAQ 18], MATCH(1, (Table3[[#This Row],[Gene names]:[Gene names]] = Table1[[Gene names]:[Gene names]])*1, 0))</f>
        <v>0</v>
      </c>
      <c r="D482" cm="1">
        <f t="array" ref="D482">INDEX(Table1[riBAQ 35], MATCH(1, (Table3[[#This Row],[Gene names]:[Gene names]] = Table1[[Gene names]:[Gene names]])*1, 0))</f>
        <v>0</v>
      </c>
      <c r="E482" cm="1">
        <f t="array" ref="E482">INDEX(Table1[riBAQ 36], MATCH(1, (Table3[[#This Row],[Gene names]:[Gene names]] = Table1[[Gene names]:[Gene names]])*1, 0))</f>
        <v>0</v>
      </c>
      <c r="F482" cm="1">
        <f t="array" ref="F482">INDEX(Table1[riBAQ 19], MATCH(1, (Table3[[#This Row],[Gene names]:[Gene names]] = Table1[[Gene names]:[Gene names]])*1, 0))</f>
        <v>0</v>
      </c>
      <c r="G482" cm="1">
        <f t="array" ref="G482">INDEX(Table1[riBAQ 20], MATCH(1, (Table3[[#This Row],[Gene names]:[Gene names]] = Table1[[Gene names]:[Gene names]])*1, 0))</f>
        <v>0</v>
      </c>
      <c r="H482" cm="1">
        <f t="array" ref="H482">INDEX(Table1[riBAQ 21], MATCH(1, (Table3[[#This Row],[Gene names]:[Gene names]] = Table1[[Gene names]:[Gene names]])*1, 0))</f>
        <v>0</v>
      </c>
      <c r="I482" cm="1">
        <f t="array" ref="I482">INDEX(Table1[riBAQ 22], MATCH(1, (Table3[[#This Row],[Gene names]:[Gene names]] = Table1[[Gene names]:[Gene names]])*1, 0))</f>
        <v>4.0399999999999999E-5</v>
      </c>
      <c r="J482" cm="1">
        <f t="array" ref="J482">INDEX(Table1[riBAQ 23], MATCH(1, (Table3[[#This Row],[Gene names]:[Gene names]] = Table1[[Gene names]:[Gene names]])*1, 0))</f>
        <v>0</v>
      </c>
      <c r="K482" cm="1">
        <f t="array" ref="K482">INDEX(Table1[riBAQ 37], MATCH(1, (Table3[[#This Row],[Gene names]:[Gene names]] = Table1[[Gene names]:[Gene names]])*1, 0))</f>
        <v>0</v>
      </c>
      <c r="L482" cm="1">
        <f t="array" ref="L482">INDEX(Table1[riBAQ 38], MATCH(1, (Table3[[#This Row],[Gene names]:[Gene names]] = Table1[[Gene names]:[Gene names]])*1, 0))</f>
        <v>0</v>
      </c>
      <c r="M482" cm="1">
        <f t="array" ref="M482">INDEX(Table1[riBAQ 39], MATCH(1, (Table3[[#This Row],[Gene names]:[Gene names]] = Table1[[Gene names]:[Gene names]])*1, 0))</f>
        <v>0</v>
      </c>
      <c r="N482" cm="1">
        <f t="array" ref="N482">INDEX(Table1[riBAQ 40], MATCH(1, (Table3[[#This Row],[Gene names]:[Gene names]] = Table1[[Gene names]:[Gene names]])*1, 0))</f>
        <v>0</v>
      </c>
      <c r="O482" cm="1">
        <f t="array" ref="O482">INDEX(Table1[riBAQ 41], MATCH(1, (Table3[[#This Row],[Gene names]:[Gene names]] = Table1[[Gene names]:[Gene names]])*1, 0))</f>
        <v>0</v>
      </c>
      <c r="P482" cm="1">
        <f t="array" ref="P482">INDEX(Table1[riBAQ 24], MATCH(1, (Table3[[#This Row],[Gene names]:[Gene names]] = Table1[[Gene names]:[Gene names]])*1, 0))</f>
        <v>4.4100000000000001E-5</v>
      </c>
      <c r="Q482" cm="1">
        <f t="array" ref="Q482">INDEX(Table1[riBAQ 25], MATCH(1, (Table3[[#This Row],[Gene names]:[Gene names]] = Table1[[Gene names]:[Gene names]])*1, 0))</f>
        <v>8.6700000000000007E-5</v>
      </c>
      <c r="R482" cm="1">
        <f t="array" ref="R482">INDEX(Table1[riBAQ 26], MATCH(1, (Table3[[#This Row],[Gene names]:[Gene names]] = Table1[[Gene names]:[Gene names]])*1, 0))</f>
        <v>7.1600000000000006E-5</v>
      </c>
      <c r="S482" cm="1">
        <f t="array" ref="S482">INDEX(Table1[riBAQ 42], MATCH(1, (Table3[[#This Row],[Gene names]:[Gene names]] = Table1[[Gene names]:[Gene names]])*1, 0))</f>
        <v>4.6600000000000001E-5</v>
      </c>
      <c r="T482" cm="1">
        <f t="array" ref="T482">INDEX(Table1[riBAQ 43], MATCH(1, (Table3[[#This Row],[Gene names]:[Gene names]] = Table1[[Gene names]:[Gene names]])*1, 0))</f>
        <v>3.1699999999999998E-5</v>
      </c>
    </row>
    <row r="483" spans="1:20" x14ac:dyDescent="0.25">
      <c r="A483" t="s">
        <v>316</v>
      </c>
      <c r="B483" cm="1">
        <f t="array" ref="B483">INDEX(Table1[riBAQ 17], MATCH(1, (Table3[[#This Row],[Gene names]:[Gene names]] = Table1[[Gene names]:[Gene names]])*1, 0))</f>
        <v>0</v>
      </c>
      <c r="C483" cm="1">
        <f t="array" ref="C483">INDEX(Table1[riBAQ 18], MATCH(1, (Table3[[#This Row],[Gene names]:[Gene names]] = Table1[[Gene names]:[Gene names]])*1, 0))</f>
        <v>0</v>
      </c>
      <c r="D483" cm="1">
        <f t="array" ref="D483">INDEX(Table1[riBAQ 35], MATCH(1, (Table3[[#This Row],[Gene names]:[Gene names]] = Table1[[Gene names]:[Gene names]])*1, 0))</f>
        <v>0</v>
      </c>
      <c r="E483" cm="1">
        <f t="array" ref="E483">INDEX(Table1[riBAQ 36], MATCH(1, (Table3[[#This Row],[Gene names]:[Gene names]] = Table1[[Gene names]:[Gene names]])*1, 0))</f>
        <v>0</v>
      </c>
      <c r="F483" cm="1">
        <f t="array" ref="F483">INDEX(Table1[riBAQ 19], MATCH(1, (Table3[[#This Row],[Gene names]:[Gene names]] = Table1[[Gene names]:[Gene names]])*1, 0))</f>
        <v>0</v>
      </c>
      <c r="G483" cm="1">
        <f t="array" ref="G483">INDEX(Table1[riBAQ 20], MATCH(1, (Table3[[#This Row],[Gene names]:[Gene names]] = Table1[[Gene names]:[Gene names]])*1, 0))</f>
        <v>0</v>
      </c>
      <c r="H483" cm="1">
        <f t="array" ref="H483">INDEX(Table1[riBAQ 21], MATCH(1, (Table3[[#This Row],[Gene names]:[Gene names]] = Table1[[Gene names]:[Gene names]])*1, 0))</f>
        <v>0</v>
      </c>
      <c r="I483" cm="1">
        <f t="array" ref="I483">INDEX(Table1[riBAQ 22], MATCH(1, (Table3[[#This Row],[Gene names]:[Gene names]] = Table1[[Gene names]:[Gene names]])*1, 0))</f>
        <v>0</v>
      </c>
      <c r="J483" cm="1">
        <f t="array" ref="J483">INDEX(Table1[riBAQ 23], MATCH(1, (Table3[[#This Row],[Gene names]:[Gene names]] = Table1[[Gene names]:[Gene names]])*1, 0))</f>
        <v>0</v>
      </c>
      <c r="K483" cm="1">
        <f t="array" ref="K483">INDEX(Table1[riBAQ 37], MATCH(1, (Table3[[#This Row],[Gene names]:[Gene names]] = Table1[[Gene names]:[Gene names]])*1, 0))</f>
        <v>0</v>
      </c>
      <c r="L483" cm="1">
        <f t="array" ref="L483">INDEX(Table1[riBAQ 38], MATCH(1, (Table3[[#This Row],[Gene names]:[Gene names]] = Table1[[Gene names]:[Gene names]])*1, 0))</f>
        <v>0</v>
      </c>
      <c r="M483" cm="1">
        <f t="array" ref="M483">INDEX(Table1[riBAQ 39], MATCH(1, (Table3[[#This Row],[Gene names]:[Gene names]] = Table1[[Gene names]:[Gene names]])*1, 0))</f>
        <v>0</v>
      </c>
      <c r="N483" cm="1">
        <f t="array" ref="N483">INDEX(Table1[riBAQ 40], MATCH(1, (Table3[[#This Row],[Gene names]:[Gene names]] = Table1[[Gene names]:[Gene names]])*1, 0))</f>
        <v>0</v>
      </c>
      <c r="O483" cm="1">
        <f t="array" ref="O483">INDEX(Table1[riBAQ 41], MATCH(1, (Table3[[#This Row],[Gene names]:[Gene names]] = Table1[[Gene names]:[Gene names]])*1, 0))</f>
        <v>0</v>
      </c>
      <c r="P483" cm="1">
        <f t="array" ref="P483">INDEX(Table1[riBAQ 24], MATCH(1, (Table3[[#This Row],[Gene names]:[Gene names]] = Table1[[Gene names]:[Gene names]])*1, 0))</f>
        <v>0</v>
      </c>
      <c r="Q483" cm="1">
        <f t="array" ref="Q483">INDEX(Table1[riBAQ 25], MATCH(1, (Table3[[#This Row],[Gene names]:[Gene names]] = Table1[[Gene names]:[Gene names]])*1, 0))</f>
        <v>1.03E-5</v>
      </c>
      <c r="R483" cm="1">
        <f t="array" ref="R483">INDEX(Table1[riBAQ 26], MATCH(1, (Table3[[#This Row],[Gene names]:[Gene names]] = Table1[[Gene names]:[Gene names]])*1, 0))</f>
        <v>1.1600000000000001E-5</v>
      </c>
      <c r="S483" cm="1">
        <f t="array" ref="S483">INDEX(Table1[riBAQ 42], MATCH(1, (Table3[[#This Row],[Gene names]:[Gene names]] = Table1[[Gene names]:[Gene names]])*1, 0))</f>
        <v>7.0099999999999998E-6</v>
      </c>
      <c r="T483" cm="1">
        <f t="array" ref="T483">INDEX(Table1[riBAQ 43], MATCH(1, (Table3[[#This Row],[Gene names]:[Gene names]] = Table1[[Gene names]:[Gene names]])*1, 0))</f>
        <v>1.0499999999999999E-5</v>
      </c>
    </row>
    <row r="484" spans="1:20" x14ac:dyDescent="0.25">
      <c r="A484" t="s">
        <v>331</v>
      </c>
      <c r="B484" cm="1">
        <f t="array" ref="B484">INDEX(Table1[riBAQ 17], MATCH(1, (Table3[[#This Row],[Gene names]:[Gene names]] = Table1[[Gene names]:[Gene names]])*1, 0))</f>
        <v>1.4359299999999999E-4</v>
      </c>
      <c r="C484" cm="1">
        <f t="array" ref="C484">INDEX(Table1[riBAQ 18], MATCH(1, (Table3[[#This Row],[Gene names]:[Gene names]] = Table1[[Gene names]:[Gene names]])*1, 0))</f>
        <v>1.64418E-4</v>
      </c>
      <c r="D484" cm="1">
        <f t="array" ref="D484">INDEX(Table1[riBAQ 35], MATCH(1, (Table3[[#This Row],[Gene names]:[Gene names]] = Table1[[Gene names]:[Gene names]])*1, 0))</f>
        <v>1.1691700000000001E-4</v>
      </c>
      <c r="E484" cm="1">
        <f t="array" ref="E484">INDEX(Table1[riBAQ 36], MATCH(1, (Table3[[#This Row],[Gene names]:[Gene names]] = Table1[[Gene names]:[Gene names]])*1, 0))</f>
        <v>1.10083E-4</v>
      </c>
      <c r="F484" cm="1">
        <f t="array" ref="F484">INDEX(Table1[riBAQ 19], MATCH(1, (Table3[[#This Row],[Gene names]:[Gene names]] = Table1[[Gene names]:[Gene names]])*1, 0))</f>
        <v>9.3700000000000001E-5</v>
      </c>
      <c r="G484" cm="1">
        <f t="array" ref="G484">INDEX(Table1[riBAQ 20], MATCH(1, (Table3[[#This Row],[Gene names]:[Gene names]] = Table1[[Gene names]:[Gene names]])*1, 0))</f>
        <v>1.3697500000000001E-4</v>
      </c>
      <c r="H484" cm="1">
        <f t="array" ref="H484">INDEX(Table1[riBAQ 21], MATCH(1, (Table3[[#This Row],[Gene names]:[Gene names]] = Table1[[Gene names]:[Gene names]])*1, 0))</f>
        <v>1.57637E-4</v>
      </c>
      <c r="I484" cm="1">
        <f t="array" ref="I484">INDEX(Table1[riBAQ 22], MATCH(1, (Table3[[#This Row],[Gene names]:[Gene names]] = Table1[[Gene names]:[Gene names]])*1, 0))</f>
        <v>1.8938200000000001E-4</v>
      </c>
      <c r="J484" cm="1">
        <f t="array" ref="J484">INDEX(Table1[riBAQ 23], MATCH(1, (Table3[[#This Row],[Gene names]:[Gene names]] = Table1[[Gene names]:[Gene names]])*1, 0))</f>
        <v>1.75062E-4</v>
      </c>
      <c r="K484" cm="1">
        <f t="array" ref="K484">INDEX(Table1[riBAQ 37], MATCH(1, (Table3[[#This Row],[Gene names]:[Gene names]] = Table1[[Gene names]:[Gene names]])*1, 0))</f>
        <v>1.0367899999999999E-4</v>
      </c>
      <c r="L484" cm="1">
        <f t="array" ref="L484">INDEX(Table1[riBAQ 38], MATCH(1, (Table3[[#This Row],[Gene names]:[Gene names]] = Table1[[Gene names]:[Gene names]])*1, 0))</f>
        <v>1.2913900000000001E-4</v>
      </c>
      <c r="M484" cm="1">
        <f t="array" ref="M484">INDEX(Table1[riBAQ 39], MATCH(1, (Table3[[#This Row],[Gene names]:[Gene names]] = Table1[[Gene names]:[Gene names]])*1, 0))</f>
        <v>9.5299999999999999E-5</v>
      </c>
      <c r="N484" cm="1">
        <f t="array" ref="N484">INDEX(Table1[riBAQ 40], MATCH(1, (Table3[[#This Row],[Gene names]:[Gene names]] = Table1[[Gene names]:[Gene names]])*1, 0))</f>
        <v>1.5070599999999999E-4</v>
      </c>
      <c r="O484" cm="1">
        <f t="array" ref="O484">INDEX(Table1[riBAQ 41], MATCH(1, (Table3[[#This Row],[Gene names]:[Gene names]] = Table1[[Gene names]:[Gene names]])*1, 0))</f>
        <v>1.30758E-4</v>
      </c>
      <c r="P484" cm="1">
        <f t="array" ref="P484">INDEX(Table1[riBAQ 24], MATCH(1, (Table3[[#This Row],[Gene names]:[Gene names]] = Table1[[Gene names]:[Gene names]])*1, 0))</f>
        <v>1.8563400000000001E-4</v>
      </c>
      <c r="Q484" cm="1">
        <f t="array" ref="Q484">INDEX(Table1[riBAQ 25], MATCH(1, (Table3[[#This Row],[Gene names]:[Gene names]] = Table1[[Gene names]:[Gene names]])*1, 0))</f>
        <v>2.43012E-4</v>
      </c>
      <c r="R484" cm="1">
        <f t="array" ref="R484">INDEX(Table1[riBAQ 26], MATCH(1, (Table3[[#This Row],[Gene names]:[Gene names]] = Table1[[Gene names]:[Gene names]])*1, 0))</f>
        <v>3.2681000000000002E-4</v>
      </c>
      <c r="S484" cm="1">
        <f t="array" ref="S484">INDEX(Table1[riBAQ 42], MATCH(1, (Table3[[#This Row],[Gene names]:[Gene names]] = Table1[[Gene names]:[Gene names]])*1, 0))</f>
        <v>1.8074899999999999E-4</v>
      </c>
      <c r="T484" cm="1">
        <f t="array" ref="T484">INDEX(Table1[riBAQ 43], MATCH(1, (Table3[[#This Row],[Gene names]:[Gene names]] = Table1[[Gene names]:[Gene names]])*1, 0))</f>
        <v>2.8574600000000003E-4</v>
      </c>
    </row>
    <row r="485" spans="1:20" x14ac:dyDescent="0.25">
      <c r="A485" t="s">
        <v>838</v>
      </c>
      <c r="B485" cm="1">
        <f t="array" ref="B485">INDEX(Table1[riBAQ 17], MATCH(1, (Table3[[#This Row],[Gene names]:[Gene names]] = Table1[[Gene names]:[Gene names]])*1, 0))</f>
        <v>0</v>
      </c>
      <c r="C485" cm="1">
        <f t="array" ref="C485">INDEX(Table1[riBAQ 18], MATCH(1, (Table3[[#This Row],[Gene names]:[Gene names]] = Table1[[Gene names]:[Gene names]])*1, 0))</f>
        <v>0</v>
      </c>
      <c r="D485" cm="1">
        <f t="array" ref="D485">INDEX(Table1[riBAQ 35], MATCH(1, (Table3[[#This Row],[Gene names]:[Gene names]] = Table1[[Gene names]:[Gene names]])*1, 0))</f>
        <v>1.9199999999999999E-5</v>
      </c>
      <c r="E485" cm="1">
        <f t="array" ref="E485">INDEX(Table1[riBAQ 36], MATCH(1, (Table3[[#This Row],[Gene names]:[Gene names]] = Table1[[Gene names]:[Gene names]])*1, 0))</f>
        <v>4.1399999999999997E-5</v>
      </c>
      <c r="F485" cm="1">
        <f t="array" ref="F485">INDEX(Table1[riBAQ 19], MATCH(1, (Table3[[#This Row],[Gene names]:[Gene names]] = Table1[[Gene names]:[Gene names]])*1, 0))</f>
        <v>0</v>
      </c>
      <c r="G485" cm="1">
        <f t="array" ref="G485">INDEX(Table1[riBAQ 20], MATCH(1, (Table3[[#This Row],[Gene names]:[Gene names]] = Table1[[Gene names]:[Gene names]])*1, 0))</f>
        <v>0</v>
      </c>
      <c r="H485" cm="1">
        <f t="array" ref="H485">INDEX(Table1[riBAQ 21], MATCH(1, (Table3[[#This Row],[Gene names]:[Gene names]] = Table1[[Gene names]:[Gene names]])*1, 0))</f>
        <v>3.6199999999999999E-5</v>
      </c>
      <c r="I485" cm="1">
        <f t="array" ref="I485">INDEX(Table1[riBAQ 22], MATCH(1, (Table3[[#This Row],[Gene names]:[Gene names]] = Table1[[Gene names]:[Gene names]])*1, 0))</f>
        <v>0</v>
      </c>
      <c r="J485" cm="1">
        <f t="array" ref="J485">INDEX(Table1[riBAQ 23], MATCH(1, (Table3[[#This Row],[Gene names]:[Gene names]] = Table1[[Gene names]:[Gene names]])*1, 0))</f>
        <v>0</v>
      </c>
      <c r="K485" cm="1">
        <f t="array" ref="K485">INDEX(Table1[riBAQ 37], MATCH(1, (Table3[[#This Row],[Gene names]:[Gene names]] = Table1[[Gene names]:[Gene names]])*1, 0))</f>
        <v>0</v>
      </c>
      <c r="L485" cm="1">
        <f t="array" ref="L485">INDEX(Table1[riBAQ 38], MATCH(1, (Table3[[#This Row],[Gene names]:[Gene names]] = Table1[[Gene names]:[Gene names]])*1, 0))</f>
        <v>0</v>
      </c>
      <c r="M485" cm="1">
        <f t="array" ref="M485">INDEX(Table1[riBAQ 39], MATCH(1, (Table3[[#This Row],[Gene names]:[Gene names]] = Table1[[Gene names]:[Gene names]])*1, 0))</f>
        <v>0</v>
      </c>
      <c r="N485" cm="1">
        <f t="array" ref="N485">INDEX(Table1[riBAQ 40], MATCH(1, (Table3[[#This Row],[Gene names]:[Gene names]] = Table1[[Gene names]:[Gene names]])*1, 0))</f>
        <v>0</v>
      </c>
      <c r="O485" cm="1">
        <f t="array" ref="O485">INDEX(Table1[riBAQ 41], MATCH(1, (Table3[[#This Row],[Gene names]:[Gene names]] = Table1[[Gene names]:[Gene names]])*1, 0))</f>
        <v>2.0800000000000001E-5</v>
      </c>
      <c r="P485" cm="1">
        <f t="array" ref="P485">INDEX(Table1[riBAQ 24], MATCH(1, (Table3[[#This Row],[Gene names]:[Gene names]] = Table1[[Gene names]:[Gene names]])*1, 0))</f>
        <v>0</v>
      </c>
      <c r="Q485" cm="1">
        <f t="array" ref="Q485">INDEX(Table1[riBAQ 25], MATCH(1, (Table3[[#This Row],[Gene names]:[Gene names]] = Table1[[Gene names]:[Gene names]])*1, 0))</f>
        <v>4.2899999999999999E-5</v>
      </c>
      <c r="R485" cm="1">
        <f t="array" ref="R485">INDEX(Table1[riBAQ 26], MATCH(1, (Table3[[#This Row],[Gene names]:[Gene names]] = Table1[[Gene names]:[Gene names]])*1, 0))</f>
        <v>3.0199999999999999E-5</v>
      </c>
      <c r="S485" cm="1">
        <f t="array" ref="S485">INDEX(Table1[riBAQ 42], MATCH(1, (Table3[[#This Row],[Gene names]:[Gene names]] = Table1[[Gene names]:[Gene names]])*1, 0))</f>
        <v>2.02E-5</v>
      </c>
      <c r="T485" cm="1">
        <f t="array" ref="T485">INDEX(Table1[riBAQ 43], MATCH(1, (Table3[[#This Row],[Gene names]:[Gene names]] = Table1[[Gene names]:[Gene names]])*1, 0))</f>
        <v>1.14925E-4</v>
      </c>
    </row>
    <row r="486" spans="1:20" x14ac:dyDescent="0.25">
      <c r="A486" t="s">
        <v>621</v>
      </c>
      <c r="B486" cm="1">
        <f t="array" ref="B486">INDEX(Table1[riBAQ 17], MATCH(1, (Table3[[#This Row],[Gene names]:[Gene names]] = Table1[[Gene names]:[Gene names]])*1, 0))</f>
        <v>5.2899999999999998E-5</v>
      </c>
      <c r="C486" cm="1">
        <f t="array" ref="C486">INDEX(Table1[riBAQ 18], MATCH(1, (Table3[[#This Row],[Gene names]:[Gene names]] = Table1[[Gene names]:[Gene names]])*1, 0))</f>
        <v>8.7700000000000007E-6</v>
      </c>
      <c r="D486" cm="1">
        <f t="array" ref="D486">INDEX(Table1[riBAQ 35], MATCH(1, (Table3[[#This Row],[Gene names]:[Gene names]] = Table1[[Gene names]:[Gene names]])*1, 0))</f>
        <v>1.43E-5</v>
      </c>
      <c r="E486" cm="1">
        <f t="array" ref="E486">INDEX(Table1[riBAQ 36], MATCH(1, (Table3[[#This Row],[Gene names]:[Gene names]] = Table1[[Gene names]:[Gene names]])*1, 0))</f>
        <v>3.5300000000000001E-6</v>
      </c>
      <c r="F486" cm="1">
        <f t="array" ref="F486">INDEX(Table1[riBAQ 19], MATCH(1, (Table3[[#This Row],[Gene names]:[Gene names]] = Table1[[Gene names]:[Gene names]])*1, 0))</f>
        <v>1.09126E-4</v>
      </c>
      <c r="G486" cm="1">
        <f t="array" ref="G486">INDEX(Table1[riBAQ 20], MATCH(1, (Table3[[#This Row],[Gene names]:[Gene names]] = Table1[[Gene names]:[Gene names]])*1, 0))</f>
        <v>2.1674899999999999E-4</v>
      </c>
      <c r="H486" cm="1">
        <f t="array" ref="H486">INDEX(Table1[riBAQ 21], MATCH(1, (Table3[[#This Row],[Gene names]:[Gene names]] = Table1[[Gene names]:[Gene names]])*1, 0))</f>
        <v>5.4799999999999997E-5</v>
      </c>
      <c r="I486" cm="1">
        <f t="array" ref="I486">INDEX(Table1[riBAQ 22], MATCH(1, (Table3[[#This Row],[Gene names]:[Gene names]] = Table1[[Gene names]:[Gene names]])*1, 0))</f>
        <v>5.9299999999999998E-5</v>
      </c>
      <c r="J486" cm="1">
        <f t="array" ref="J486">INDEX(Table1[riBAQ 23], MATCH(1, (Table3[[#This Row],[Gene names]:[Gene names]] = Table1[[Gene names]:[Gene names]])*1, 0))</f>
        <v>2.1268200000000001E-4</v>
      </c>
      <c r="K486" cm="1">
        <f t="array" ref="K486">INDEX(Table1[riBAQ 37], MATCH(1, (Table3[[#This Row],[Gene names]:[Gene names]] = Table1[[Gene names]:[Gene names]])*1, 0))</f>
        <v>4.0569500000000002E-4</v>
      </c>
      <c r="L486" cm="1">
        <f t="array" ref="L486">INDEX(Table1[riBAQ 38], MATCH(1, (Table3[[#This Row],[Gene names]:[Gene names]] = Table1[[Gene names]:[Gene names]])*1, 0))</f>
        <v>3.9400000000000002E-5</v>
      </c>
      <c r="M486" cm="1">
        <f t="array" ref="M486">INDEX(Table1[riBAQ 39], MATCH(1, (Table3[[#This Row],[Gene names]:[Gene names]] = Table1[[Gene names]:[Gene names]])*1, 0))</f>
        <v>8.9599999999999996E-5</v>
      </c>
      <c r="N486" cm="1">
        <f t="array" ref="N486">INDEX(Table1[riBAQ 40], MATCH(1, (Table3[[#This Row],[Gene names]:[Gene names]] = Table1[[Gene names]:[Gene names]])*1, 0))</f>
        <v>3.3599999999999997E-5</v>
      </c>
      <c r="O486" cm="1">
        <f t="array" ref="O486">INDEX(Table1[riBAQ 41], MATCH(1, (Table3[[#This Row],[Gene names]:[Gene names]] = Table1[[Gene names]:[Gene names]])*1, 0))</f>
        <v>1.41302E-4</v>
      </c>
      <c r="P486" cm="1">
        <f t="array" ref="P486">INDEX(Table1[riBAQ 24], MATCH(1, (Table3[[#This Row],[Gene names]:[Gene names]] = Table1[[Gene names]:[Gene names]])*1, 0))</f>
        <v>1.68887E-4</v>
      </c>
      <c r="Q486" cm="1">
        <f t="array" ref="Q486">INDEX(Table1[riBAQ 25], MATCH(1, (Table3[[#This Row],[Gene names]:[Gene names]] = Table1[[Gene names]:[Gene names]])*1, 0))</f>
        <v>7.5224099999999996E-4</v>
      </c>
      <c r="R486" cm="1">
        <f t="array" ref="R486">INDEX(Table1[riBAQ 26], MATCH(1, (Table3[[#This Row],[Gene names]:[Gene names]] = Table1[[Gene names]:[Gene names]])*1, 0))</f>
        <v>2.2321400000000001E-4</v>
      </c>
      <c r="S486" cm="1">
        <f t="array" ref="S486">INDEX(Table1[riBAQ 42], MATCH(1, (Table3[[#This Row],[Gene names]:[Gene names]] = Table1[[Gene names]:[Gene names]])*1, 0))</f>
        <v>6.3969899999999998E-4</v>
      </c>
      <c r="T486" cm="1">
        <f t="array" ref="T486">INDEX(Table1[riBAQ 43], MATCH(1, (Table3[[#This Row],[Gene names]:[Gene names]] = Table1[[Gene names]:[Gene names]])*1, 0))</f>
        <v>4.3730400000000001E-4</v>
      </c>
    </row>
    <row r="487" spans="1:20" x14ac:dyDescent="0.25">
      <c r="A487" t="s">
        <v>401</v>
      </c>
      <c r="B487" cm="1">
        <f t="array" ref="B487">INDEX(Table1[riBAQ 17], MATCH(1, (Table3[[#This Row],[Gene names]:[Gene names]] = Table1[[Gene names]:[Gene names]])*1, 0))</f>
        <v>1.88E-5</v>
      </c>
      <c r="C487" cm="1">
        <f t="array" ref="C487">INDEX(Table1[riBAQ 18], MATCH(1, (Table3[[#This Row],[Gene names]:[Gene names]] = Table1[[Gene names]:[Gene names]])*1, 0))</f>
        <v>8.2300000000000008E-6</v>
      </c>
      <c r="D487" cm="1">
        <f t="array" ref="D487">INDEX(Table1[riBAQ 35], MATCH(1, (Table3[[#This Row],[Gene names]:[Gene names]] = Table1[[Gene names]:[Gene names]])*1, 0))</f>
        <v>0</v>
      </c>
      <c r="E487" cm="1">
        <f t="array" ref="E487">INDEX(Table1[riBAQ 36], MATCH(1, (Table3[[#This Row],[Gene names]:[Gene names]] = Table1[[Gene names]:[Gene names]])*1, 0))</f>
        <v>0</v>
      </c>
      <c r="F487" cm="1">
        <f t="array" ref="F487">INDEX(Table1[riBAQ 19], MATCH(1, (Table3[[#This Row],[Gene names]:[Gene names]] = Table1[[Gene names]:[Gene names]])*1, 0))</f>
        <v>4.8699999999999998E-5</v>
      </c>
      <c r="G487" cm="1">
        <f t="array" ref="G487">INDEX(Table1[riBAQ 20], MATCH(1, (Table3[[#This Row],[Gene names]:[Gene names]] = Table1[[Gene names]:[Gene names]])*1, 0))</f>
        <v>8.1199999999999995E-5</v>
      </c>
      <c r="H487" cm="1">
        <f t="array" ref="H487">INDEX(Table1[riBAQ 21], MATCH(1, (Table3[[#This Row],[Gene names]:[Gene names]] = Table1[[Gene names]:[Gene names]])*1, 0))</f>
        <v>2.3900000000000002E-5</v>
      </c>
      <c r="I487" cm="1">
        <f t="array" ref="I487">INDEX(Table1[riBAQ 22], MATCH(1, (Table3[[#This Row],[Gene names]:[Gene names]] = Table1[[Gene names]:[Gene names]])*1, 0))</f>
        <v>6.7600000000000003E-5</v>
      </c>
      <c r="J487" cm="1">
        <f t="array" ref="J487">INDEX(Table1[riBAQ 23], MATCH(1, (Table3[[#This Row],[Gene names]:[Gene names]] = Table1[[Gene names]:[Gene names]])*1, 0))</f>
        <v>6.8499999999999998E-5</v>
      </c>
      <c r="K487" cm="1">
        <f t="array" ref="K487">INDEX(Table1[riBAQ 37], MATCH(1, (Table3[[#This Row],[Gene names]:[Gene names]] = Table1[[Gene names]:[Gene names]])*1, 0))</f>
        <v>2.1999999999999999E-5</v>
      </c>
      <c r="L487" cm="1">
        <f t="array" ref="L487">INDEX(Table1[riBAQ 38], MATCH(1, (Table3[[#This Row],[Gene names]:[Gene names]] = Table1[[Gene names]:[Gene names]])*1, 0))</f>
        <v>3.8699999999999999E-5</v>
      </c>
      <c r="M487" cm="1">
        <f t="array" ref="M487">INDEX(Table1[riBAQ 39], MATCH(1, (Table3[[#This Row],[Gene names]:[Gene names]] = Table1[[Gene names]:[Gene names]])*1, 0))</f>
        <v>3.2799999999999998E-5</v>
      </c>
      <c r="N487" cm="1">
        <f t="array" ref="N487">INDEX(Table1[riBAQ 40], MATCH(1, (Table3[[#This Row],[Gene names]:[Gene names]] = Table1[[Gene names]:[Gene names]])*1, 0))</f>
        <v>6.1500000000000004E-5</v>
      </c>
      <c r="O487" cm="1">
        <f t="array" ref="O487">INDEX(Table1[riBAQ 41], MATCH(1, (Table3[[#This Row],[Gene names]:[Gene names]] = Table1[[Gene names]:[Gene names]])*1, 0))</f>
        <v>2.9E-5</v>
      </c>
      <c r="P487" cm="1">
        <f t="array" ref="P487">INDEX(Table1[riBAQ 24], MATCH(1, (Table3[[#This Row],[Gene names]:[Gene names]] = Table1[[Gene names]:[Gene names]])*1, 0))</f>
        <v>1.98488E-4</v>
      </c>
      <c r="Q487" cm="1">
        <f t="array" ref="Q487">INDEX(Table1[riBAQ 25], MATCH(1, (Table3[[#This Row],[Gene names]:[Gene names]] = Table1[[Gene names]:[Gene names]])*1, 0))</f>
        <v>5.2745600000000004E-4</v>
      </c>
      <c r="R487" cm="1">
        <f t="array" ref="R487">INDEX(Table1[riBAQ 26], MATCH(1, (Table3[[#This Row],[Gene names]:[Gene names]] = Table1[[Gene names]:[Gene names]])*1, 0))</f>
        <v>5.2555199999999999E-4</v>
      </c>
      <c r="S487" cm="1">
        <f t="array" ref="S487">INDEX(Table1[riBAQ 42], MATCH(1, (Table3[[#This Row],[Gene names]:[Gene names]] = Table1[[Gene names]:[Gene names]])*1, 0))</f>
        <v>3.2787199999999999E-4</v>
      </c>
      <c r="T487" cm="1">
        <f t="array" ref="T487">INDEX(Table1[riBAQ 43], MATCH(1, (Table3[[#This Row],[Gene names]:[Gene names]] = Table1[[Gene names]:[Gene names]])*1, 0))</f>
        <v>3.78952E-4</v>
      </c>
    </row>
    <row r="488" spans="1:20" x14ac:dyDescent="0.25">
      <c r="A488" t="s">
        <v>685</v>
      </c>
      <c r="B488" cm="1">
        <f t="array" ref="B488">INDEX(Table1[riBAQ 17], MATCH(1, (Table3[[#This Row],[Gene names]:[Gene names]] = Table1[[Gene names]:[Gene names]])*1, 0))</f>
        <v>9.8300000000000004E-5</v>
      </c>
      <c r="C488" cm="1">
        <f t="array" ref="C488">INDEX(Table1[riBAQ 18], MATCH(1, (Table3[[#This Row],[Gene names]:[Gene names]] = Table1[[Gene names]:[Gene names]])*1, 0))</f>
        <v>2.5400000000000001E-5</v>
      </c>
      <c r="D488" cm="1">
        <f t="array" ref="D488">INDEX(Table1[riBAQ 35], MATCH(1, (Table3[[#This Row],[Gene names]:[Gene names]] = Table1[[Gene names]:[Gene names]])*1, 0))</f>
        <v>3.6999999999999998E-5</v>
      </c>
      <c r="E488" cm="1">
        <f t="array" ref="E488">INDEX(Table1[riBAQ 36], MATCH(1, (Table3[[#This Row],[Gene names]:[Gene names]] = Table1[[Gene names]:[Gene names]])*1, 0))</f>
        <v>3.5899999999999998E-5</v>
      </c>
      <c r="F488" cm="1">
        <f t="array" ref="F488">INDEX(Table1[riBAQ 19], MATCH(1, (Table3[[#This Row],[Gene names]:[Gene names]] = Table1[[Gene names]:[Gene names]])*1, 0))</f>
        <v>4.3099999999999997E-5</v>
      </c>
      <c r="G488" cm="1">
        <f t="array" ref="G488">INDEX(Table1[riBAQ 20], MATCH(1, (Table3[[#This Row],[Gene names]:[Gene names]] = Table1[[Gene names]:[Gene names]])*1, 0))</f>
        <v>5.7500000000000002E-5</v>
      </c>
      <c r="H488" cm="1">
        <f t="array" ref="H488">INDEX(Table1[riBAQ 21], MATCH(1, (Table3[[#This Row],[Gene names]:[Gene names]] = Table1[[Gene names]:[Gene names]])*1, 0))</f>
        <v>5.5099999999999998E-5</v>
      </c>
      <c r="I488" cm="1">
        <f t="array" ref="I488">INDEX(Table1[riBAQ 22], MATCH(1, (Table3[[#This Row],[Gene names]:[Gene names]] = Table1[[Gene names]:[Gene names]])*1, 0))</f>
        <v>2.51E-5</v>
      </c>
      <c r="J488" cm="1">
        <f t="array" ref="J488">INDEX(Table1[riBAQ 23], MATCH(1, (Table3[[#This Row],[Gene names]:[Gene names]] = Table1[[Gene names]:[Gene names]])*1, 0))</f>
        <v>9.0299999999999999E-5</v>
      </c>
      <c r="K488" cm="1">
        <f t="array" ref="K488">INDEX(Table1[riBAQ 37], MATCH(1, (Table3[[#This Row],[Gene names]:[Gene names]] = Table1[[Gene names]:[Gene names]])*1, 0))</f>
        <v>6.7399999999999998E-5</v>
      </c>
      <c r="L488" cm="1">
        <f t="array" ref="L488">INDEX(Table1[riBAQ 38], MATCH(1, (Table3[[#This Row],[Gene names]:[Gene names]] = Table1[[Gene names]:[Gene names]])*1, 0))</f>
        <v>3.8899999999999997E-5</v>
      </c>
      <c r="M488" cm="1">
        <f t="array" ref="M488">INDEX(Table1[riBAQ 39], MATCH(1, (Table3[[#This Row],[Gene names]:[Gene names]] = Table1[[Gene names]:[Gene names]])*1, 0))</f>
        <v>5.6799999999999998E-5</v>
      </c>
      <c r="N488" cm="1">
        <f t="array" ref="N488">INDEX(Table1[riBAQ 40], MATCH(1, (Table3[[#This Row],[Gene names]:[Gene names]] = Table1[[Gene names]:[Gene names]])*1, 0))</f>
        <v>4.0099999999999999E-5</v>
      </c>
      <c r="O488" cm="1">
        <f t="array" ref="O488">INDEX(Table1[riBAQ 41], MATCH(1, (Table3[[#This Row],[Gene names]:[Gene names]] = Table1[[Gene names]:[Gene names]])*1, 0))</f>
        <v>5.7800000000000002E-5</v>
      </c>
      <c r="P488" cm="1">
        <f t="array" ref="P488">INDEX(Table1[riBAQ 24], MATCH(1, (Table3[[#This Row],[Gene names]:[Gene names]] = Table1[[Gene names]:[Gene names]])*1, 0))</f>
        <v>1.5014E-4</v>
      </c>
      <c r="Q488" cm="1">
        <f t="array" ref="Q488">INDEX(Table1[riBAQ 25], MATCH(1, (Table3[[#This Row],[Gene names]:[Gene names]] = Table1[[Gene names]:[Gene names]])*1, 0))</f>
        <v>2.4378099999999999E-4</v>
      </c>
      <c r="R488" cm="1">
        <f t="array" ref="R488">INDEX(Table1[riBAQ 26], MATCH(1, (Table3[[#This Row],[Gene names]:[Gene names]] = Table1[[Gene names]:[Gene names]])*1, 0))</f>
        <v>1.7714E-4</v>
      </c>
      <c r="S488" cm="1">
        <f t="array" ref="S488">INDEX(Table1[riBAQ 42], MATCH(1, (Table3[[#This Row],[Gene names]:[Gene names]] = Table1[[Gene names]:[Gene names]])*1, 0))</f>
        <v>1.52366E-4</v>
      </c>
      <c r="T488" cm="1">
        <f t="array" ref="T488">INDEX(Table1[riBAQ 43], MATCH(1, (Table3[[#This Row],[Gene names]:[Gene names]] = Table1[[Gene names]:[Gene names]])*1, 0))</f>
        <v>1.4929599999999999E-4</v>
      </c>
    </row>
    <row r="489" spans="1:20" x14ac:dyDescent="0.25">
      <c r="A489" t="s">
        <v>544</v>
      </c>
      <c r="B489" cm="1">
        <f t="array" ref="B489">INDEX(Table1[riBAQ 17], MATCH(1, (Table3[[#This Row],[Gene names]:[Gene names]] = Table1[[Gene names]:[Gene names]])*1, 0))</f>
        <v>0</v>
      </c>
      <c r="C489" cm="1">
        <f t="array" ref="C489">INDEX(Table1[riBAQ 18], MATCH(1, (Table3[[#This Row],[Gene names]:[Gene names]] = Table1[[Gene names]:[Gene names]])*1, 0))</f>
        <v>0</v>
      </c>
      <c r="D489" cm="1">
        <f t="array" ref="D489">INDEX(Table1[riBAQ 35], MATCH(1, (Table3[[#This Row],[Gene names]:[Gene names]] = Table1[[Gene names]:[Gene names]])*1, 0))</f>
        <v>0</v>
      </c>
      <c r="E489" cm="1">
        <f t="array" ref="E489">INDEX(Table1[riBAQ 36], MATCH(1, (Table3[[#This Row],[Gene names]:[Gene names]] = Table1[[Gene names]:[Gene names]])*1, 0))</f>
        <v>0</v>
      </c>
      <c r="F489" cm="1">
        <f t="array" ref="F489">INDEX(Table1[riBAQ 19], MATCH(1, (Table3[[#This Row],[Gene names]:[Gene names]] = Table1[[Gene names]:[Gene names]])*1, 0))</f>
        <v>0</v>
      </c>
      <c r="G489" cm="1">
        <f t="array" ref="G489">INDEX(Table1[riBAQ 20], MATCH(1, (Table3[[#This Row],[Gene names]:[Gene names]] = Table1[[Gene names]:[Gene names]])*1, 0))</f>
        <v>0</v>
      </c>
      <c r="H489" cm="1">
        <f t="array" ref="H489">INDEX(Table1[riBAQ 21], MATCH(1, (Table3[[#This Row],[Gene names]:[Gene names]] = Table1[[Gene names]:[Gene names]])*1, 0))</f>
        <v>0</v>
      </c>
      <c r="I489" cm="1">
        <f t="array" ref="I489">INDEX(Table1[riBAQ 22], MATCH(1, (Table3[[#This Row],[Gene names]:[Gene names]] = Table1[[Gene names]:[Gene names]])*1, 0))</f>
        <v>0</v>
      </c>
      <c r="J489" cm="1">
        <f t="array" ref="J489">INDEX(Table1[riBAQ 23], MATCH(1, (Table3[[#This Row],[Gene names]:[Gene names]] = Table1[[Gene names]:[Gene names]])*1, 0))</f>
        <v>0</v>
      </c>
      <c r="K489" cm="1">
        <f t="array" ref="K489">INDEX(Table1[riBAQ 37], MATCH(1, (Table3[[#This Row],[Gene names]:[Gene names]] = Table1[[Gene names]:[Gene names]])*1, 0))</f>
        <v>0</v>
      </c>
      <c r="L489" cm="1">
        <f t="array" ref="L489">INDEX(Table1[riBAQ 38], MATCH(1, (Table3[[#This Row],[Gene names]:[Gene names]] = Table1[[Gene names]:[Gene names]])*1, 0))</f>
        <v>0</v>
      </c>
      <c r="M489" cm="1">
        <f t="array" ref="M489">INDEX(Table1[riBAQ 39], MATCH(1, (Table3[[#This Row],[Gene names]:[Gene names]] = Table1[[Gene names]:[Gene names]])*1, 0))</f>
        <v>0</v>
      </c>
      <c r="N489" cm="1">
        <f t="array" ref="N489">INDEX(Table1[riBAQ 40], MATCH(1, (Table3[[#This Row],[Gene names]:[Gene names]] = Table1[[Gene names]:[Gene names]])*1, 0))</f>
        <v>0</v>
      </c>
      <c r="O489" cm="1">
        <f t="array" ref="O489">INDEX(Table1[riBAQ 41], MATCH(1, (Table3[[#This Row],[Gene names]:[Gene names]] = Table1[[Gene names]:[Gene names]])*1, 0))</f>
        <v>0</v>
      </c>
      <c r="P489" cm="1">
        <f t="array" ref="P489">INDEX(Table1[riBAQ 24], MATCH(1, (Table3[[#This Row],[Gene names]:[Gene names]] = Table1[[Gene names]:[Gene names]])*1, 0))</f>
        <v>5.8799999999999996E-6</v>
      </c>
      <c r="Q489" cm="1">
        <f t="array" ref="Q489">INDEX(Table1[riBAQ 25], MATCH(1, (Table3[[#This Row],[Gene names]:[Gene names]] = Table1[[Gene names]:[Gene names]])*1, 0))</f>
        <v>2.97E-5</v>
      </c>
      <c r="R489" cm="1">
        <f t="array" ref="R489">INDEX(Table1[riBAQ 26], MATCH(1, (Table3[[#This Row],[Gene names]:[Gene names]] = Table1[[Gene names]:[Gene names]])*1, 0))</f>
        <v>1.9000000000000001E-5</v>
      </c>
      <c r="S489" cm="1">
        <f t="array" ref="S489">INDEX(Table1[riBAQ 42], MATCH(1, (Table3[[#This Row],[Gene names]:[Gene names]] = Table1[[Gene names]:[Gene names]])*1, 0))</f>
        <v>1.9400000000000001E-5</v>
      </c>
      <c r="T489" cm="1">
        <f t="array" ref="T489">INDEX(Table1[riBAQ 43], MATCH(1, (Table3[[#This Row],[Gene names]:[Gene names]] = Table1[[Gene names]:[Gene names]])*1, 0))</f>
        <v>2.23E-5</v>
      </c>
    </row>
    <row r="490" spans="1:20" x14ac:dyDescent="0.25">
      <c r="A490" t="s">
        <v>28</v>
      </c>
      <c r="B490" cm="1">
        <f t="array" ref="B490">INDEX(Table1[riBAQ 17], MATCH(1, (Table3[[#This Row],[Gene names]:[Gene names]] = Table1[[Gene names]:[Gene names]])*1, 0))</f>
        <v>3.3000000000000003E-5</v>
      </c>
      <c r="C490" cm="1">
        <f t="array" ref="C490">INDEX(Table1[riBAQ 18], MATCH(1, (Table3[[#This Row],[Gene names]:[Gene names]] = Table1[[Gene names]:[Gene names]])*1, 0))</f>
        <v>0</v>
      </c>
      <c r="D490" cm="1">
        <f t="array" ref="D490">INDEX(Table1[riBAQ 35], MATCH(1, (Table3[[#This Row],[Gene names]:[Gene names]] = Table1[[Gene names]:[Gene names]])*1, 0))</f>
        <v>8.3999999999999992E-6</v>
      </c>
      <c r="E490" cm="1">
        <f t="array" ref="E490">INDEX(Table1[riBAQ 36], MATCH(1, (Table3[[#This Row],[Gene names]:[Gene names]] = Table1[[Gene names]:[Gene names]])*1, 0))</f>
        <v>0</v>
      </c>
      <c r="F490" cm="1">
        <f t="array" ref="F490">INDEX(Table1[riBAQ 19], MATCH(1, (Table3[[#This Row],[Gene names]:[Gene names]] = Table1[[Gene names]:[Gene names]])*1, 0))</f>
        <v>0</v>
      </c>
      <c r="G490" cm="1">
        <f t="array" ref="G490">INDEX(Table1[riBAQ 20], MATCH(1, (Table3[[#This Row],[Gene names]:[Gene names]] = Table1[[Gene names]:[Gene names]])*1, 0))</f>
        <v>0</v>
      </c>
      <c r="H490" cm="1">
        <f t="array" ref="H490">INDEX(Table1[riBAQ 21], MATCH(1, (Table3[[#This Row],[Gene names]:[Gene names]] = Table1[[Gene names]:[Gene names]])*1, 0))</f>
        <v>0</v>
      </c>
      <c r="I490" cm="1">
        <f t="array" ref="I490">INDEX(Table1[riBAQ 22], MATCH(1, (Table3[[#This Row],[Gene names]:[Gene names]] = Table1[[Gene names]:[Gene names]])*1, 0))</f>
        <v>0</v>
      </c>
      <c r="J490" cm="1">
        <f t="array" ref="J490">INDEX(Table1[riBAQ 23], MATCH(1, (Table3[[#This Row],[Gene names]:[Gene names]] = Table1[[Gene names]:[Gene names]])*1, 0))</f>
        <v>1.7399999999999999E-5</v>
      </c>
      <c r="K490" cm="1">
        <f t="array" ref="K490">INDEX(Table1[riBAQ 37], MATCH(1, (Table3[[#This Row],[Gene names]:[Gene names]] = Table1[[Gene names]:[Gene names]])*1, 0))</f>
        <v>1.11E-5</v>
      </c>
      <c r="L490" cm="1">
        <f t="array" ref="L490">INDEX(Table1[riBAQ 38], MATCH(1, (Table3[[#This Row],[Gene names]:[Gene names]] = Table1[[Gene names]:[Gene names]])*1, 0))</f>
        <v>0</v>
      </c>
      <c r="M490" cm="1">
        <f t="array" ref="M490">INDEX(Table1[riBAQ 39], MATCH(1, (Table3[[#This Row],[Gene names]:[Gene names]] = Table1[[Gene names]:[Gene names]])*1, 0))</f>
        <v>1.4E-5</v>
      </c>
      <c r="N490" cm="1">
        <f t="array" ref="N490">INDEX(Table1[riBAQ 40], MATCH(1, (Table3[[#This Row],[Gene names]:[Gene names]] = Table1[[Gene names]:[Gene names]])*1, 0))</f>
        <v>2.44E-5</v>
      </c>
      <c r="O490" cm="1">
        <f t="array" ref="O490">INDEX(Table1[riBAQ 41], MATCH(1, (Table3[[#This Row],[Gene names]:[Gene names]] = Table1[[Gene names]:[Gene names]])*1, 0))</f>
        <v>0</v>
      </c>
      <c r="P490" cm="1">
        <f t="array" ref="P490">INDEX(Table1[riBAQ 24], MATCH(1, (Table3[[#This Row],[Gene names]:[Gene names]] = Table1[[Gene names]:[Gene names]])*1, 0))</f>
        <v>3.54E-5</v>
      </c>
      <c r="Q490" cm="1">
        <f t="array" ref="Q490">INDEX(Table1[riBAQ 25], MATCH(1, (Table3[[#This Row],[Gene names]:[Gene names]] = Table1[[Gene names]:[Gene names]])*1, 0))</f>
        <v>0</v>
      </c>
      <c r="R490" cm="1">
        <f t="array" ref="R490">INDEX(Table1[riBAQ 26], MATCH(1, (Table3[[#This Row],[Gene names]:[Gene names]] = Table1[[Gene names]:[Gene names]])*1, 0))</f>
        <v>6.1500000000000004E-5</v>
      </c>
      <c r="S490" cm="1">
        <f t="array" ref="S490">INDEX(Table1[riBAQ 42], MATCH(1, (Table3[[#This Row],[Gene names]:[Gene names]] = Table1[[Gene names]:[Gene names]])*1, 0))</f>
        <v>3.65E-5</v>
      </c>
      <c r="T490" cm="1">
        <f t="array" ref="T490">INDEX(Table1[riBAQ 43], MATCH(1, (Table3[[#This Row],[Gene names]:[Gene names]] = Table1[[Gene names]:[Gene names]])*1, 0))</f>
        <v>7.9099999999999998E-5</v>
      </c>
    </row>
    <row r="491" spans="1:20" x14ac:dyDescent="0.25">
      <c r="A491" t="s">
        <v>835</v>
      </c>
      <c r="B491" cm="1">
        <f t="array" ref="B491">INDEX(Table1[riBAQ 17], MATCH(1, (Table3[[#This Row],[Gene names]:[Gene names]] = Table1[[Gene names]:[Gene names]])*1, 0))</f>
        <v>8.3499999999999997E-5</v>
      </c>
      <c r="C491" cm="1">
        <f t="array" ref="C491">INDEX(Table1[riBAQ 18], MATCH(1, (Table3[[#This Row],[Gene names]:[Gene names]] = Table1[[Gene names]:[Gene names]])*1, 0))</f>
        <v>7.8300000000000006E-5</v>
      </c>
      <c r="D491" cm="1">
        <f t="array" ref="D491">INDEX(Table1[riBAQ 35], MATCH(1, (Table3[[#This Row],[Gene names]:[Gene names]] = Table1[[Gene names]:[Gene names]])*1, 0))</f>
        <v>9.3499999999999996E-5</v>
      </c>
      <c r="E491" cm="1">
        <f t="array" ref="E491">INDEX(Table1[riBAQ 36], MATCH(1, (Table3[[#This Row],[Gene names]:[Gene names]] = Table1[[Gene names]:[Gene names]])*1, 0))</f>
        <v>8.1799999999999996E-5</v>
      </c>
      <c r="F491" cm="1">
        <f t="array" ref="F491">INDEX(Table1[riBAQ 19], MATCH(1, (Table3[[#This Row],[Gene names]:[Gene names]] = Table1[[Gene names]:[Gene names]])*1, 0))</f>
        <v>7.6899999999999999E-5</v>
      </c>
      <c r="G491" cm="1">
        <f t="array" ref="G491">INDEX(Table1[riBAQ 20], MATCH(1, (Table3[[#This Row],[Gene names]:[Gene names]] = Table1[[Gene names]:[Gene names]])*1, 0))</f>
        <v>8.0000000000000007E-5</v>
      </c>
      <c r="H491" cm="1">
        <f t="array" ref="H491">INDEX(Table1[riBAQ 21], MATCH(1, (Table3[[#This Row],[Gene names]:[Gene names]] = Table1[[Gene names]:[Gene names]])*1, 0))</f>
        <v>5.6700000000000003E-5</v>
      </c>
      <c r="I491" cm="1">
        <f t="array" ref="I491">INDEX(Table1[riBAQ 22], MATCH(1, (Table3[[#This Row],[Gene names]:[Gene names]] = Table1[[Gene names]:[Gene names]])*1, 0))</f>
        <v>1.06685E-4</v>
      </c>
      <c r="J491" cm="1">
        <f t="array" ref="J491">INDEX(Table1[riBAQ 23], MATCH(1, (Table3[[#This Row],[Gene names]:[Gene names]] = Table1[[Gene names]:[Gene names]])*1, 0))</f>
        <v>8.8599999999999999E-5</v>
      </c>
      <c r="K491" cm="1">
        <f t="array" ref="K491">INDEX(Table1[riBAQ 37], MATCH(1, (Table3[[#This Row],[Gene names]:[Gene names]] = Table1[[Gene names]:[Gene names]])*1, 0))</f>
        <v>8.5900000000000001E-5</v>
      </c>
      <c r="L491" cm="1">
        <f t="array" ref="L491">INDEX(Table1[riBAQ 38], MATCH(1, (Table3[[#This Row],[Gene names]:[Gene names]] = Table1[[Gene names]:[Gene names]])*1, 0))</f>
        <v>7.75E-5</v>
      </c>
      <c r="M491" cm="1">
        <f t="array" ref="M491">INDEX(Table1[riBAQ 39], MATCH(1, (Table3[[#This Row],[Gene names]:[Gene names]] = Table1[[Gene names]:[Gene names]])*1, 0))</f>
        <v>8.3200000000000003E-5</v>
      </c>
      <c r="N491" cm="1">
        <f t="array" ref="N491">INDEX(Table1[riBAQ 40], MATCH(1, (Table3[[#This Row],[Gene names]:[Gene names]] = Table1[[Gene names]:[Gene names]])*1, 0))</f>
        <v>1.0764000000000001E-4</v>
      </c>
      <c r="O491" cm="1">
        <f t="array" ref="O491">INDEX(Table1[riBAQ 41], MATCH(1, (Table3[[#This Row],[Gene names]:[Gene names]] = Table1[[Gene names]:[Gene names]])*1, 0))</f>
        <v>9.7700000000000003E-5</v>
      </c>
      <c r="P491" cm="1">
        <f t="array" ref="P491">INDEX(Table1[riBAQ 24], MATCH(1, (Table3[[#This Row],[Gene names]:[Gene names]] = Table1[[Gene names]:[Gene names]])*1, 0))</f>
        <v>1.24907E-4</v>
      </c>
      <c r="Q491" cm="1">
        <f t="array" ref="Q491">INDEX(Table1[riBAQ 25], MATCH(1, (Table3[[#This Row],[Gene names]:[Gene names]] = Table1[[Gene names]:[Gene names]])*1, 0))</f>
        <v>1.2083600000000001E-4</v>
      </c>
      <c r="R491" cm="1">
        <f t="array" ref="R491">INDEX(Table1[riBAQ 26], MATCH(1, (Table3[[#This Row],[Gene names]:[Gene names]] = Table1[[Gene names]:[Gene names]])*1, 0))</f>
        <v>1.6889699999999999E-4</v>
      </c>
      <c r="S491" cm="1">
        <f t="array" ref="S491">INDEX(Table1[riBAQ 42], MATCH(1, (Table3[[#This Row],[Gene names]:[Gene names]] = Table1[[Gene names]:[Gene names]])*1, 0))</f>
        <v>1.14845E-4</v>
      </c>
      <c r="T491" cm="1">
        <f t="array" ref="T491">INDEX(Table1[riBAQ 43], MATCH(1, (Table3[[#This Row],[Gene names]:[Gene names]] = Table1[[Gene names]:[Gene names]])*1, 0))</f>
        <v>1.7976900000000001E-4</v>
      </c>
    </row>
    <row r="492" spans="1:20" x14ac:dyDescent="0.25">
      <c r="A492" t="s">
        <v>1023</v>
      </c>
      <c r="B492" cm="1">
        <f t="array" ref="B492">INDEX(Table1[riBAQ 17], MATCH(1, (Table3[[#This Row],[Gene names]:[Gene names]] = Table1[[Gene names]:[Gene names]])*1, 0))</f>
        <v>2.09E-5</v>
      </c>
      <c r="C492" cm="1">
        <f t="array" ref="C492">INDEX(Table1[riBAQ 18], MATCH(1, (Table3[[#This Row],[Gene names]:[Gene names]] = Table1[[Gene names]:[Gene names]])*1, 0))</f>
        <v>0</v>
      </c>
      <c r="D492" cm="1">
        <f t="array" ref="D492">INDEX(Table1[riBAQ 35], MATCH(1, (Table3[[#This Row],[Gene names]:[Gene names]] = Table1[[Gene names]:[Gene names]])*1, 0))</f>
        <v>0</v>
      </c>
      <c r="E492" cm="1">
        <f t="array" ref="E492">INDEX(Table1[riBAQ 36], MATCH(1, (Table3[[#This Row],[Gene names]:[Gene names]] = Table1[[Gene names]:[Gene names]])*1, 0))</f>
        <v>0</v>
      </c>
      <c r="F492" cm="1">
        <f t="array" ref="F492">INDEX(Table1[riBAQ 19], MATCH(1, (Table3[[#This Row],[Gene names]:[Gene names]] = Table1[[Gene names]:[Gene names]])*1, 0))</f>
        <v>0</v>
      </c>
      <c r="G492" cm="1">
        <f t="array" ref="G492">INDEX(Table1[riBAQ 20], MATCH(1, (Table3[[#This Row],[Gene names]:[Gene names]] = Table1[[Gene names]:[Gene names]])*1, 0))</f>
        <v>0</v>
      </c>
      <c r="H492" cm="1">
        <f t="array" ref="H492">INDEX(Table1[riBAQ 21], MATCH(1, (Table3[[#This Row],[Gene names]:[Gene names]] = Table1[[Gene names]:[Gene names]])*1, 0))</f>
        <v>0</v>
      </c>
      <c r="I492" cm="1">
        <f t="array" ref="I492">INDEX(Table1[riBAQ 22], MATCH(1, (Table3[[#This Row],[Gene names]:[Gene names]] = Table1[[Gene names]:[Gene names]])*1, 0))</f>
        <v>0</v>
      </c>
      <c r="J492" cm="1">
        <f t="array" ref="J492">INDEX(Table1[riBAQ 23], MATCH(1, (Table3[[#This Row],[Gene names]:[Gene names]] = Table1[[Gene names]:[Gene names]])*1, 0))</f>
        <v>0</v>
      </c>
      <c r="K492" cm="1">
        <f t="array" ref="K492">INDEX(Table1[riBAQ 37], MATCH(1, (Table3[[#This Row],[Gene names]:[Gene names]] = Table1[[Gene names]:[Gene names]])*1, 0))</f>
        <v>0</v>
      </c>
      <c r="L492" cm="1">
        <f t="array" ref="L492">INDEX(Table1[riBAQ 38], MATCH(1, (Table3[[#This Row],[Gene names]:[Gene names]] = Table1[[Gene names]:[Gene names]])*1, 0))</f>
        <v>0</v>
      </c>
      <c r="M492" cm="1">
        <f t="array" ref="M492">INDEX(Table1[riBAQ 39], MATCH(1, (Table3[[#This Row],[Gene names]:[Gene names]] = Table1[[Gene names]:[Gene names]])*1, 0))</f>
        <v>0</v>
      </c>
      <c r="N492" cm="1">
        <f t="array" ref="N492">INDEX(Table1[riBAQ 40], MATCH(1, (Table3[[#This Row],[Gene names]:[Gene names]] = Table1[[Gene names]:[Gene names]])*1, 0))</f>
        <v>4.6400000000000003E-5</v>
      </c>
      <c r="O492" cm="1">
        <f t="array" ref="O492">INDEX(Table1[riBAQ 41], MATCH(1, (Table3[[#This Row],[Gene names]:[Gene names]] = Table1[[Gene names]:[Gene names]])*1, 0))</f>
        <v>3.2400000000000001E-5</v>
      </c>
      <c r="P492" cm="1">
        <f t="array" ref="P492">INDEX(Table1[riBAQ 24], MATCH(1, (Table3[[#This Row],[Gene names]:[Gene names]] = Table1[[Gene names]:[Gene names]])*1, 0))</f>
        <v>3.8999999999999999E-5</v>
      </c>
      <c r="Q492" cm="1">
        <f t="array" ref="Q492">INDEX(Table1[riBAQ 25], MATCH(1, (Table3[[#This Row],[Gene names]:[Gene names]] = Table1[[Gene names]:[Gene names]])*1, 0))</f>
        <v>3.8099999999999998E-5</v>
      </c>
      <c r="R492" cm="1">
        <f t="array" ref="R492">INDEX(Table1[riBAQ 26], MATCH(1, (Table3[[#This Row],[Gene names]:[Gene names]] = Table1[[Gene names]:[Gene names]])*1, 0))</f>
        <v>3.93E-5</v>
      </c>
      <c r="S492" cm="1">
        <f t="array" ref="S492">INDEX(Table1[riBAQ 42], MATCH(1, (Table3[[#This Row],[Gene names]:[Gene names]] = Table1[[Gene names]:[Gene names]])*1, 0))</f>
        <v>5.9500000000000003E-5</v>
      </c>
      <c r="T492" cm="1">
        <f t="array" ref="T492">INDEX(Table1[riBAQ 43], MATCH(1, (Table3[[#This Row],[Gene names]:[Gene names]] = Table1[[Gene names]:[Gene names]])*1, 0))</f>
        <v>5.13E-5</v>
      </c>
    </row>
    <row r="493" spans="1:20" x14ac:dyDescent="0.25">
      <c r="A493" t="s">
        <v>1034</v>
      </c>
      <c r="B493" cm="1">
        <f t="array" ref="B493">INDEX(Table1[riBAQ 17], MATCH(1, (Table3[[#This Row],[Gene names]:[Gene names]] = Table1[[Gene names]:[Gene names]])*1, 0))</f>
        <v>7.6299999999999998E-6</v>
      </c>
      <c r="C493" cm="1">
        <f t="array" ref="C493">INDEX(Table1[riBAQ 18], MATCH(1, (Table3[[#This Row],[Gene names]:[Gene names]] = Table1[[Gene names]:[Gene names]])*1, 0))</f>
        <v>0</v>
      </c>
      <c r="D493" cm="1">
        <f t="array" ref="D493">INDEX(Table1[riBAQ 35], MATCH(1, (Table3[[#This Row],[Gene names]:[Gene names]] = Table1[[Gene names]:[Gene names]])*1, 0))</f>
        <v>4.1200000000000004E-6</v>
      </c>
      <c r="E493" cm="1">
        <f t="array" ref="E493">INDEX(Table1[riBAQ 36], MATCH(1, (Table3[[#This Row],[Gene names]:[Gene names]] = Table1[[Gene names]:[Gene names]])*1, 0))</f>
        <v>4.7099999999999998E-6</v>
      </c>
      <c r="F493" cm="1">
        <f t="array" ref="F493">INDEX(Table1[riBAQ 19], MATCH(1, (Table3[[#This Row],[Gene names]:[Gene names]] = Table1[[Gene names]:[Gene names]])*1, 0))</f>
        <v>0</v>
      </c>
      <c r="G493" cm="1">
        <f t="array" ref="G493">INDEX(Table1[riBAQ 20], MATCH(1, (Table3[[#This Row],[Gene names]:[Gene names]] = Table1[[Gene names]:[Gene names]])*1, 0))</f>
        <v>2.4199999999999999E-5</v>
      </c>
      <c r="H493" cm="1">
        <f t="array" ref="H493">INDEX(Table1[riBAQ 21], MATCH(1, (Table3[[#This Row],[Gene names]:[Gene names]] = Table1[[Gene names]:[Gene names]])*1, 0))</f>
        <v>2.23E-5</v>
      </c>
      <c r="I493" cm="1">
        <f t="array" ref="I493">INDEX(Table1[riBAQ 22], MATCH(1, (Table3[[#This Row],[Gene names]:[Gene names]] = Table1[[Gene names]:[Gene names]])*1, 0))</f>
        <v>0</v>
      </c>
      <c r="J493" cm="1">
        <f t="array" ref="J493">INDEX(Table1[riBAQ 23], MATCH(1, (Table3[[#This Row],[Gene names]:[Gene names]] = Table1[[Gene names]:[Gene names]])*1, 0))</f>
        <v>7.4699999999999996E-6</v>
      </c>
      <c r="K493" cm="1">
        <f t="array" ref="K493">INDEX(Table1[riBAQ 37], MATCH(1, (Table3[[#This Row],[Gene names]:[Gene names]] = Table1[[Gene names]:[Gene names]])*1, 0))</f>
        <v>6.3700000000000003E-5</v>
      </c>
      <c r="L493" cm="1">
        <f t="array" ref="L493">INDEX(Table1[riBAQ 38], MATCH(1, (Table3[[#This Row],[Gene names]:[Gene names]] = Table1[[Gene names]:[Gene names]])*1, 0))</f>
        <v>4.87E-6</v>
      </c>
      <c r="M493" cm="1">
        <f t="array" ref="M493">INDEX(Table1[riBAQ 39], MATCH(1, (Table3[[#This Row],[Gene names]:[Gene names]] = Table1[[Gene names]:[Gene names]])*1, 0))</f>
        <v>0</v>
      </c>
      <c r="N493" cm="1">
        <f t="array" ref="N493">INDEX(Table1[riBAQ 40], MATCH(1, (Table3[[#This Row],[Gene names]:[Gene names]] = Table1[[Gene names]:[Gene names]])*1, 0))</f>
        <v>2.4099999999999998E-6</v>
      </c>
      <c r="O493" cm="1">
        <f t="array" ref="O493">INDEX(Table1[riBAQ 41], MATCH(1, (Table3[[#This Row],[Gene names]:[Gene names]] = Table1[[Gene names]:[Gene names]])*1, 0))</f>
        <v>3.6600000000000001E-6</v>
      </c>
      <c r="P493" cm="1">
        <f t="array" ref="P493">INDEX(Table1[riBAQ 24], MATCH(1, (Table3[[#This Row],[Gene names]:[Gene names]] = Table1[[Gene names]:[Gene names]])*1, 0))</f>
        <v>2.4899999999999999E-5</v>
      </c>
      <c r="Q493" cm="1">
        <f t="array" ref="Q493">INDEX(Table1[riBAQ 25], MATCH(1, (Table3[[#This Row],[Gene names]:[Gene names]] = Table1[[Gene names]:[Gene names]])*1, 0))</f>
        <v>5.9899999999999999E-5</v>
      </c>
      <c r="R493" cm="1">
        <f t="array" ref="R493">INDEX(Table1[riBAQ 26], MATCH(1, (Table3[[#This Row],[Gene names]:[Gene names]] = Table1[[Gene names]:[Gene names]])*1, 0))</f>
        <v>1.88E-5</v>
      </c>
      <c r="S493" cm="1">
        <f t="array" ref="S493">INDEX(Table1[riBAQ 42], MATCH(1, (Table3[[#This Row],[Gene names]:[Gene names]] = Table1[[Gene names]:[Gene names]])*1, 0))</f>
        <v>6.05E-5</v>
      </c>
      <c r="T493" cm="1">
        <f t="array" ref="T493">INDEX(Table1[riBAQ 43], MATCH(1, (Table3[[#This Row],[Gene names]:[Gene names]] = Table1[[Gene names]:[Gene names]])*1, 0))</f>
        <v>6.9999999999999994E-5</v>
      </c>
    </row>
    <row r="494" spans="1:20" x14ac:dyDescent="0.25">
      <c r="A494" t="s">
        <v>837</v>
      </c>
      <c r="B494" cm="1">
        <f t="array" ref="B494">INDEX(Table1[riBAQ 17], MATCH(1, (Table3[[#This Row],[Gene names]:[Gene names]] = Table1[[Gene names]:[Gene names]])*1, 0))</f>
        <v>4.9799999999999998E-5</v>
      </c>
      <c r="C494" cm="1">
        <f t="array" ref="C494">INDEX(Table1[riBAQ 18], MATCH(1, (Table3[[#This Row],[Gene names]:[Gene names]] = Table1[[Gene names]:[Gene names]])*1, 0))</f>
        <v>4.0500000000000002E-5</v>
      </c>
      <c r="D494" cm="1">
        <f t="array" ref="D494">INDEX(Table1[riBAQ 35], MATCH(1, (Table3[[#This Row],[Gene names]:[Gene names]] = Table1[[Gene names]:[Gene names]])*1, 0))</f>
        <v>5.6199999999999997E-5</v>
      </c>
      <c r="E494" cm="1">
        <f t="array" ref="E494">INDEX(Table1[riBAQ 36], MATCH(1, (Table3[[#This Row],[Gene names]:[Gene names]] = Table1[[Gene names]:[Gene names]])*1, 0))</f>
        <v>1.17571E-4</v>
      </c>
      <c r="F494" cm="1">
        <f t="array" ref="F494">INDEX(Table1[riBAQ 19], MATCH(1, (Table3[[#This Row],[Gene names]:[Gene names]] = Table1[[Gene names]:[Gene names]])*1, 0))</f>
        <v>5.4400000000000001E-5</v>
      </c>
      <c r="G494" cm="1">
        <f t="array" ref="G494">INDEX(Table1[riBAQ 20], MATCH(1, (Table3[[#This Row],[Gene names]:[Gene names]] = Table1[[Gene names]:[Gene names]])*1, 0))</f>
        <v>4.8099999999999997E-5</v>
      </c>
      <c r="H494" cm="1">
        <f t="array" ref="H494">INDEX(Table1[riBAQ 21], MATCH(1, (Table3[[#This Row],[Gene names]:[Gene names]] = Table1[[Gene names]:[Gene names]])*1, 0))</f>
        <v>1.16387E-4</v>
      </c>
      <c r="I494" cm="1">
        <f t="array" ref="I494">INDEX(Table1[riBAQ 22], MATCH(1, (Table3[[#This Row],[Gene names]:[Gene names]] = Table1[[Gene names]:[Gene names]])*1, 0))</f>
        <v>4.2799999999999997E-5</v>
      </c>
      <c r="J494" cm="1">
        <f t="array" ref="J494">INDEX(Table1[riBAQ 23], MATCH(1, (Table3[[#This Row],[Gene names]:[Gene names]] = Table1[[Gene names]:[Gene names]])*1, 0))</f>
        <v>7.2600000000000003E-5</v>
      </c>
      <c r="K494" cm="1">
        <f t="array" ref="K494">INDEX(Table1[riBAQ 37], MATCH(1, (Table3[[#This Row],[Gene names]:[Gene names]] = Table1[[Gene names]:[Gene names]])*1, 0))</f>
        <v>4.2400000000000001E-5</v>
      </c>
      <c r="L494" cm="1">
        <f t="array" ref="L494">INDEX(Table1[riBAQ 38], MATCH(1, (Table3[[#This Row],[Gene names]:[Gene names]] = Table1[[Gene names]:[Gene names]])*1, 0))</f>
        <v>3.0300000000000001E-5</v>
      </c>
      <c r="M494" cm="1">
        <f t="array" ref="M494">INDEX(Table1[riBAQ 39], MATCH(1, (Table3[[#This Row],[Gene names]:[Gene names]] = Table1[[Gene names]:[Gene names]])*1, 0))</f>
        <v>2.5999999999999998E-5</v>
      </c>
      <c r="N494" cm="1">
        <f t="array" ref="N494">INDEX(Table1[riBAQ 40], MATCH(1, (Table3[[#This Row],[Gene names]:[Gene names]] = Table1[[Gene names]:[Gene names]])*1, 0))</f>
        <v>3.7700000000000002E-5</v>
      </c>
      <c r="O494" cm="1">
        <f t="array" ref="O494">INDEX(Table1[riBAQ 41], MATCH(1, (Table3[[#This Row],[Gene names]:[Gene names]] = Table1[[Gene names]:[Gene names]])*1, 0))</f>
        <v>6.4999999999999994E-5</v>
      </c>
      <c r="P494" cm="1">
        <f t="array" ref="P494">INDEX(Table1[riBAQ 24], MATCH(1, (Table3[[#This Row],[Gene names]:[Gene names]] = Table1[[Gene names]:[Gene names]])*1, 0))</f>
        <v>8.4300000000000003E-5</v>
      </c>
      <c r="Q494" cm="1">
        <f t="array" ref="Q494">INDEX(Table1[riBAQ 25], MATCH(1, (Table3[[#This Row],[Gene names]:[Gene names]] = Table1[[Gene names]:[Gene names]])*1, 0))</f>
        <v>1.11358E-4</v>
      </c>
      <c r="R494" cm="1">
        <f t="array" ref="R494">INDEX(Table1[riBAQ 26], MATCH(1, (Table3[[#This Row],[Gene names]:[Gene names]] = Table1[[Gene names]:[Gene names]])*1, 0))</f>
        <v>7.1899999999999999E-5</v>
      </c>
      <c r="S494" cm="1">
        <f t="array" ref="S494">INDEX(Table1[riBAQ 42], MATCH(1, (Table3[[#This Row],[Gene names]:[Gene names]] = Table1[[Gene names]:[Gene names]])*1, 0))</f>
        <v>7.2600000000000003E-5</v>
      </c>
      <c r="T494" cm="1">
        <f t="array" ref="T494">INDEX(Table1[riBAQ 43], MATCH(1, (Table3[[#This Row],[Gene names]:[Gene names]] = Table1[[Gene names]:[Gene names]])*1, 0))</f>
        <v>2.08507E-4</v>
      </c>
    </row>
    <row r="495" spans="1:20" x14ac:dyDescent="0.25">
      <c r="A495" t="s">
        <v>836</v>
      </c>
      <c r="B495" cm="1">
        <f t="array" ref="B495">INDEX(Table1[riBAQ 17], MATCH(1, (Table3[[#This Row],[Gene names]:[Gene names]] = Table1[[Gene names]:[Gene names]])*1, 0))</f>
        <v>1.7942199999999999E-4</v>
      </c>
      <c r="C495" cm="1">
        <f t="array" ref="C495">INDEX(Table1[riBAQ 18], MATCH(1, (Table3[[#This Row],[Gene names]:[Gene names]] = Table1[[Gene names]:[Gene names]])*1, 0))</f>
        <v>1.6242200000000001E-4</v>
      </c>
      <c r="D495" cm="1">
        <f t="array" ref="D495">INDEX(Table1[riBAQ 35], MATCH(1, (Table3[[#This Row],[Gene names]:[Gene names]] = Table1[[Gene names]:[Gene names]])*1, 0))</f>
        <v>2.5618100000000002E-4</v>
      </c>
      <c r="E495" cm="1">
        <f t="array" ref="E495">INDEX(Table1[riBAQ 36], MATCH(1, (Table3[[#This Row],[Gene names]:[Gene names]] = Table1[[Gene names]:[Gene names]])*1, 0))</f>
        <v>2.52613E-4</v>
      </c>
      <c r="F495" cm="1">
        <f t="array" ref="F495">INDEX(Table1[riBAQ 19], MATCH(1, (Table3[[#This Row],[Gene names]:[Gene names]] = Table1[[Gene names]:[Gene names]])*1, 0))</f>
        <v>2.4339699999999999E-4</v>
      </c>
      <c r="G495" cm="1">
        <f t="array" ref="G495">INDEX(Table1[riBAQ 20], MATCH(1, (Table3[[#This Row],[Gene names]:[Gene names]] = Table1[[Gene names]:[Gene names]])*1, 0))</f>
        <v>2.4378799999999999E-4</v>
      </c>
      <c r="H495" cm="1">
        <f t="array" ref="H495">INDEX(Table1[riBAQ 21], MATCH(1, (Table3[[#This Row],[Gene names]:[Gene names]] = Table1[[Gene names]:[Gene names]])*1, 0))</f>
        <v>4.0601800000000001E-4</v>
      </c>
      <c r="I495" cm="1">
        <f t="array" ref="I495">INDEX(Table1[riBAQ 22], MATCH(1, (Table3[[#This Row],[Gene names]:[Gene names]] = Table1[[Gene names]:[Gene names]])*1, 0))</f>
        <v>2.4817399999999999E-4</v>
      </c>
      <c r="J495" cm="1">
        <f t="array" ref="J495">INDEX(Table1[riBAQ 23], MATCH(1, (Table3[[#This Row],[Gene names]:[Gene names]] = Table1[[Gene names]:[Gene names]])*1, 0))</f>
        <v>2.6318400000000002E-4</v>
      </c>
      <c r="K495" cm="1">
        <f t="array" ref="K495">INDEX(Table1[riBAQ 37], MATCH(1, (Table3[[#This Row],[Gene names]:[Gene names]] = Table1[[Gene names]:[Gene names]])*1, 0))</f>
        <v>2.9923900000000003E-4</v>
      </c>
      <c r="L495" cm="1">
        <f t="array" ref="L495">INDEX(Table1[riBAQ 38], MATCH(1, (Table3[[#This Row],[Gene names]:[Gene names]] = Table1[[Gene names]:[Gene names]])*1, 0))</f>
        <v>2.0819999999999999E-4</v>
      </c>
      <c r="M495" cm="1">
        <f t="array" ref="M495">INDEX(Table1[riBAQ 39], MATCH(1, (Table3[[#This Row],[Gene names]:[Gene names]] = Table1[[Gene names]:[Gene names]])*1, 0))</f>
        <v>1.78369E-4</v>
      </c>
      <c r="N495" cm="1">
        <f t="array" ref="N495">INDEX(Table1[riBAQ 40], MATCH(1, (Table3[[#This Row],[Gene names]:[Gene names]] = Table1[[Gene names]:[Gene names]])*1, 0))</f>
        <v>2.0250800000000001E-4</v>
      </c>
      <c r="O495" cm="1">
        <f t="array" ref="O495">INDEX(Table1[riBAQ 41], MATCH(1, (Table3[[#This Row],[Gene names]:[Gene names]] = Table1[[Gene names]:[Gene names]])*1, 0))</f>
        <v>2.1582099999999999E-4</v>
      </c>
      <c r="P495" cm="1">
        <f t="array" ref="P495">INDEX(Table1[riBAQ 24], MATCH(1, (Table3[[#This Row],[Gene names]:[Gene names]] = Table1[[Gene names]:[Gene names]])*1, 0))</f>
        <v>2.4170600000000001E-4</v>
      </c>
      <c r="Q495" cm="1">
        <f t="array" ref="Q495">INDEX(Table1[riBAQ 25], MATCH(1, (Table3[[#This Row],[Gene names]:[Gene names]] = Table1[[Gene names]:[Gene names]])*1, 0))</f>
        <v>4.3459899999999998E-4</v>
      </c>
      <c r="R495" cm="1">
        <f t="array" ref="R495">INDEX(Table1[riBAQ 26], MATCH(1, (Table3[[#This Row],[Gene names]:[Gene names]] = Table1[[Gene names]:[Gene names]])*1, 0))</f>
        <v>4.32631E-4</v>
      </c>
      <c r="S495" cm="1">
        <f t="array" ref="S495">INDEX(Table1[riBAQ 42], MATCH(1, (Table3[[#This Row],[Gene names]:[Gene names]] = Table1[[Gene names]:[Gene names]])*1, 0))</f>
        <v>2.6579899999999999E-4</v>
      </c>
      <c r="T495" cm="1">
        <f t="array" ref="T495">INDEX(Table1[riBAQ 43], MATCH(1, (Table3[[#This Row],[Gene names]:[Gene names]] = Table1[[Gene names]:[Gene names]])*1, 0))</f>
        <v>7.3415500000000001E-4</v>
      </c>
    </row>
    <row r="496" spans="1:20" x14ac:dyDescent="0.25">
      <c r="A496" t="s">
        <v>1377</v>
      </c>
      <c r="B496" cm="1">
        <f t="array" ref="B496">INDEX(Table1[riBAQ 17], MATCH(1, (Table3[[#This Row],[Gene names]:[Gene names]] = Table1[[Gene names]:[Gene names]])*1, 0))</f>
        <v>3.1666099999999998E-4</v>
      </c>
      <c r="C496" cm="1">
        <f t="array" ref="C496">INDEX(Table1[riBAQ 18], MATCH(1, (Table3[[#This Row],[Gene names]:[Gene names]] = Table1[[Gene names]:[Gene names]])*1, 0))</f>
        <v>3.2153900000000003E-4</v>
      </c>
      <c r="D496" cm="1">
        <f t="array" ref="D496">INDEX(Table1[riBAQ 35], MATCH(1, (Table3[[#This Row],[Gene names]:[Gene names]] = Table1[[Gene names]:[Gene names]])*1, 0))</f>
        <v>3.6586300000000002E-4</v>
      </c>
      <c r="E496" cm="1">
        <f t="array" ref="E496">INDEX(Table1[riBAQ 36], MATCH(1, (Table3[[#This Row],[Gene names]:[Gene names]] = Table1[[Gene names]:[Gene names]])*1, 0))</f>
        <v>3.5735500000000001E-4</v>
      </c>
      <c r="F496" cm="1">
        <f t="array" ref="F496">INDEX(Table1[riBAQ 19], MATCH(1, (Table3[[#This Row],[Gene names]:[Gene names]] = Table1[[Gene names]:[Gene names]])*1, 0))</f>
        <v>3.6911499999999999E-4</v>
      </c>
      <c r="G496" cm="1">
        <f t="array" ref="G496">INDEX(Table1[riBAQ 20], MATCH(1, (Table3[[#This Row],[Gene names]:[Gene names]] = Table1[[Gene names]:[Gene names]])*1, 0))</f>
        <v>2.6226199999999998E-4</v>
      </c>
      <c r="H496" cm="1">
        <f t="array" ref="H496">INDEX(Table1[riBAQ 21], MATCH(1, (Table3[[#This Row],[Gene names]:[Gene names]] = Table1[[Gene names]:[Gene names]])*1, 0))</f>
        <v>2.65383E-4</v>
      </c>
      <c r="I496" cm="1">
        <f t="array" ref="I496">INDEX(Table1[riBAQ 22], MATCH(1, (Table3[[#This Row],[Gene names]:[Gene names]] = Table1[[Gene names]:[Gene names]])*1, 0))</f>
        <v>4.9053499999999995E-4</v>
      </c>
      <c r="J496" cm="1">
        <f t="array" ref="J496">INDEX(Table1[riBAQ 23], MATCH(1, (Table3[[#This Row],[Gene names]:[Gene names]] = Table1[[Gene names]:[Gene names]])*1, 0))</f>
        <v>3.9024900000000001E-4</v>
      </c>
      <c r="K496" cm="1">
        <f t="array" ref="K496">INDEX(Table1[riBAQ 37], MATCH(1, (Table3[[#This Row],[Gene names]:[Gene names]] = Table1[[Gene names]:[Gene names]])*1, 0))</f>
        <v>3.3722299999999999E-4</v>
      </c>
      <c r="L496" cm="1">
        <f t="array" ref="L496">INDEX(Table1[riBAQ 38], MATCH(1, (Table3[[#This Row],[Gene names]:[Gene names]] = Table1[[Gene names]:[Gene names]])*1, 0))</f>
        <v>3.3174799999999998E-4</v>
      </c>
      <c r="M496" cm="1">
        <f t="array" ref="M496">INDEX(Table1[riBAQ 39], MATCH(1, (Table3[[#This Row],[Gene names]:[Gene names]] = Table1[[Gene names]:[Gene names]])*1, 0))</f>
        <v>3.7157100000000001E-4</v>
      </c>
      <c r="N496" cm="1">
        <f t="array" ref="N496">INDEX(Table1[riBAQ 40], MATCH(1, (Table3[[#This Row],[Gene names]:[Gene names]] = Table1[[Gene names]:[Gene names]])*1, 0))</f>
        <v>3.5199299999999999E-4</v>
      </c>
      <c r="O496" cm="1">
        <f t="array" ref="O496">INDEX(Table1[riBAQ 41], MATCH(1, (Table3[[#This Row],[Gene names]:[Gene names]] = Table1[[Gene names]:[Gene names]])*1, 0))</f>
        <v>3.2271600000000002E-4</v>
      </c>
      <c r="P496" cm="1">
        <f t="array" ref="P496">INDEX(Table1[riBAQ 24], MATCH(1, (Table3[[#This Row],[Gene names]:[Gene names]] = Table1[[Gene names]:[Gene names]])*1, 0))</f>
        <v>3.66867E-4</v>
      </c>
      <c r="Q496" cm="1">
        <f t="array" ref="Q496">INDEX(Table1[riBAQ 25], MATCH(1, (Table3[[#This Row],[Gene names]:[Gene names]] = Table1[[Gene names]:[Gene names]])*1, 0))</f>
        <v>5.2672199999999998E-4</v>
      </c>
      <c r="R496" cm="1">
        <f t="array" ref="R496">INDEX(Table1[riBAQ 26], MATCH(1, (Table3[[#This Row],[Gene names]:[Gene names]] = Table1[[Gene names]:[Gene names]])*1, 0))</f>
        <v>2.9007399999999997E-4</v>
      </c>
      <c r="S496" cm="1">
        <f t="array" ref="S496">INDEX(Table1[riBAQ 42], MATCH(1, (Table3[[#This Row],[Gene names]:[Gene names]] = Table1[[Gene names]:[Gene names]])*1, 0))</f>
        <v>4.0272499999999999E-4</v>
      </c>
      <c r="T496" cm="1">
        <f t="array" ref="T496">INDEX(Table1[riBAQ 43], MATCH(1, (Table3[[#This Row],[Gene names]:[Gene names]] = Table1[[Gene names]:[Gene names]])*1, 0))</f>
        <v>8.6692200000000001E-4</v>
      </c>
    </row>
    <row r="497" spans="1:20" x14ac:dyDescent="0.25">
      <c r="A497" t="s">
        <v>280</v>
      </c>
      <c r="B497" cm="1">
        <f t="array" ref="B497">INDEX(Table1[riBAQ 17], MATCH(1, (Table3[[#This Row],[Gene names]:[Gene names]] = Table1[[Gene names]:[Gene names]])*1, 0))</f>
        <v>9.1600000000000004E-5</v>
      </c>
      <c r="C497" cm="1">
        <f t="array" ref="C497">INDEX(Table1[riBAQ 18], MATCH(1, (Table3[[#This Row],[Gene names]:[Gene names]] = Table1[[Gene names]:[Gene names]])*1, 0))</f>
        <v>5.7599999999999997E-5</v>
      </c>
      <c r="D497" cm="1">
        <f t="array" ref="D497">INDEX(Table1[riBAQ 35], MATCH(1, (Table3[[#This Row],[Gene names]:[Gene names]] = Table1[[Gene names]:[Gene names]])*1, 0))</f>
        <v>1.0870999999999999E-4</v>
      </c>
      <c r="E497" cm="1">
        <f t="array" ref="E497">INDEX(Table1[riBAQ 36], MATCH(1, (Table3[[#This Row],[Gene names]:[Gene names]] = Table1[[Gene names]:[Gene names]])*1, 0))</f>
        <v>6.7199999999999994E-5</v>
      </c>
      <c r="F497" cm="1">
        <f t="array" ref="F497">INDEX(Table1[riBAQ 19], MATCH(1, (Table3[[#This Row],[Gene names]:[Gene names]] = Table1[[Gene names]:[Gene names]])*1, 0))</f>
        <v>6.7500000000000001E-5</v>
      </c>
      <c r="G497" cm="1">
        <f t="array" ref="G497">INDEX(Table1[riBAQ 20], MATCH(1, (Table3[[#This Row],[Gene names]:[Gene names]] = Table1[[Gene names]:[Gene names]])*1, 0))</f>
        <v>7.3300000000000006E-5</v>
      </c>
      <c r="H497" cm="1">
        <f t="array" ref="H497">INDEX(Table1[riBAQ 21], MATCH(1, (Table3[[#This Row],[Gene names]:[Gene names]] = Table1[[Gene names]:[Gene names]])*1, 0))</f>
        <v>9.2200000000000005E-5</v>
      </c>
      <c r="I497" cm="1">
        <f t="array" ref="I497">INDEX(Table1[riBAQ 22], MATCH(1, (Table3[[#This Row],[Gene names]:[Gene names]] = Table1[[Gene names]:[Gene names]])*1, 0))</f>
        <v>8.2000000000000001E-5</v>
      </c>
      <c r="J497" cm="1">
        <f t="array" ref="J497">INDEX(Table1[riBAQ 23], MATCH(1, (Table3[[#This Row],[Gene names]:[Gene names]] = Table1[[Gene names]:[Gene names]])*1, 0))</f>
        <v>8.42E-5</v>
      </c>
      <c r="K497" cm="1">
        <f t="array" ref="K497">INDEX(Table1[riBAQ 37], MATCH(1, (Table3[[#This Row],[Gene names]:[Gene names]] = Table1[[Gene names]:[Gene names]])*1, 0))</f>
        <v>7.47E-5</v>
      </c>
      <c r="L497" cm="1">
        <f t="array" ref="L497">INDEX(Table1[riBAQ 38], MATCH(1, (Table3[[#This Row],[Gene names]:[Gene names]] = Table1[[Gene names]:[Gene names]])*1, 0))</f>
        <v>9.5099999999999994E-5</v>
      </c>
      <c r="M497" cm="1">
        <f t="array" ref="M497">INDEX(Table1[riBAQ 39], MATCH(1, (Table3[[#This Row],[Gene names]:[Gene names]] = Table1[[Gene names]:[Gene names]])*1, 0))</f>
        <v>7.2899999999999997E-5</v>
      </c>
      <c r="N497" cm="1">
        <f t="array" ref="N497">INDEX(Table1[riBAQ 40], MATCH(1, (Table3[[#This Row],[Gene names]:[Gene names]] = Table1[[Gene names]:[Gene names]])*1, 0))</f>
        <v>9.1500000000000001E-5</v>
      </c>
      <c r="O497" cm="1">
        <f t="array" ref="O497">INDEX(Table1[riBAQ 41], MATCH(1, (Table3[[#This Row],[Gene names]:[Gene names]] = Table1[[Gene names]:[Gene names]])*1, 0))</f>
        <v>7.7200000000000006E-5</v>
      </c>
      <c r="P497" cm="1">
        <f t="array" ref="P497">INDEX(Table1[riBAQ 24], MATCH(1, (Table3[[#This Row],[Gene names]:[Gene names]] = Table1[[Gene names]:[Gene names]])*1, 0))</f>
        <v>5.52E-5</v>
      </c>
      <c r="Q497" cm="1">
        <f t="array" ref="Q497">INDEX(Table1[riBAQ 25], MATCH(1, (Table3[[#This Row],[Gene names]:[Gene names]] = Table1[[Gene names]:[Gene names]])*1, 0))</f>
        <v>9.7800000000000006E-5</v>
      </c>
      <c r="R497" cm="1">
        <f t="array" ref="R497">INDEX(Table1[riBAQ 26], MATCH(1, (Table3[[#This Row],[Gene names]:[Gene names]] = Table1[[Gene names]:[Gene names]])*1, 0))</f>
        <v>6.0058799999999999E-4</v>
      </c>
      <c r="S497" cm="1">
        <f t="array" ref="S497">INDEX(Table1[riBAQ 42], MATCH(1, (Table3[[#This Row],[Gene names]:[Gene names]] = Table1[[Gene names]:[Gene names]])*1, 0))</f>
        <v>9.2700000000000004E-5</v>
      </c>
      <c r="T497" cm="1">
        <f t="array" ref="T497">INDEX(Table1[riBAQ 43], MATCH(1, (Table3[[#This Row],[Gene names]:[Gene names]] = Table1[[Gene names]:[Gene names]])*1, 0))</f>
        <v>1.13424E-4</v>
      </c>
    </row>
    <row r="498" spans="1:20" x14ac:dyDescent="0.25">
      <c r="A498" t="s">
        <v>1112</v>
      </c>
      <c r="B498" cm="1">
        <f t="array" ref="B498">INDEX(Table1[riBAQ 17], MATCH(1, (Table3[[#This Row],[Gene names]:[Gene names]] = Table1[[Gene names]:[Gene names]])*1, 0))</f>
        <v>0</v>
      </c>
      <c r="C498" cm="1">
        <f t="array" ref="C498">INDEX(Table1[riBAQ 18], MATCH(1, (Table3[[#This Row],[Gene names]:[Gene names]] = Table1[[Gene names]:[Gene names]])*1, 0))</f>
        <v>0</v>
      </c>
      <c r="D498" cm="1">
        <f t="array" ref="D498">INDEX(Table1[riBAQ 35], MATCH(1, (Table3[[#This Row],[Gene names]:[Gene names]] = Table1[[Gene names]:[Gene names]])*1, 0))</f>
        <v>0</v>
      </c>
      <c r="E498" cm="1">
        <f t="array" ref="E498">INDEX(Table1[riBAQ 36], MATCH(1, (Table3[[#This Row],[Gene names]:[Gene names]] = Table1[[Gene names]:[Gene names]])*1, 0))</f>
        <v>0</v>
      </c>
      <c r="F498" cm="1">
        <f t="array" ref="F498">INDEX(Table1[riBAQ 19], MATCH(1, (Table3[[#This Row],[Gene names]:[Gene names]] = Table1[[Gene names]:[Gene names]])*1, 0))</f>
        <v>0</v>
      </c>
      <c r="G498" cm="1">
        <f t="array" ref="G498">INDEX(Table1[riBAQ 20], MATCH(1, (Table3[[#This Row],[Gene names]:[Gene names]] = Table1[[Gene names]:[Gene names]])*1, 0))</f>
        <v>1.1E-5</v>
      </c>
      <c r="H498" cm="1">
        <f t="array" ref="H498">INDEX(Table1[riBAQ 21], MATCH(1, (Table3[[#This Row],[Gene names]:[Gene names]] = Table1[[Gene names]:[Gene names]])*1, 0))</f>
        <v>0</v>
      </c>
      <c r="I498" cm="1">
        <f t="array" ref="I498">INDEX(Table1[riBAQ 22], MATCH(1, (Table3[[#This Row],[Gene names]:[Gene names]] = Table1[[Gene names]:[Gene names]])*1, 0))</f>
        <v>0</v>
      </c>
      <c r="J498" cm="1">
        <f t="array" ref="J498">INDEX(Table1[riBAQ 23], MATCH(1, (Table3[[#This Row],[Gene names]:[Gene names]] = Table1[[Gene names]:[Gene names]])*1, 0))</f>
        <v>1.0499999999999999E-5</v>
      </c>
      <c r="K498" cm="1">
        <f t="array" ref="K498">INDEX(Table1[riBAQ 37], MATCH(1, (Table3[[#This Row],[Gene names]:[Gene names]] = Table1[[Gene names]:[Gene names]])*1, 0))</f>
        <v>7.5000000000000002E-6</v>
      </c>
      <c r="L498" cm="1">
        <f t="array" ref="L498">INDEX(Table1[riBAQ 38], MATCH(1, (Table3[[#This Row],[Gene names]:[Gene names]] = Table1[[Gene names]:[Gene names]])*1, 0))</f>
        <v>0</v>
      </c>
      <c r="M498" cm="1">
        <f t="array" ref="M498">INDEX(Table1[riBAQ 39], MATCH(1, (Table3[[#This Row],[Gene names]:[Gene names]] = Table1[[Gene names]:[Gene names]])*1, 0))</f>
        <v>1.5699999999999999E-5</v>
      </c>
      <c r="N498" cm="1">
        <f t="array" ref="N498">INDEX(Table1[riBAQ 40], MATCH(1, (Table3[[#This Row],[Gene names]:[Gene names]] = Table1[[Gene names]:[Gene names]])*1, 0))</f>
        <v>0</v>
      </c>
      <c r="O498" cm="1">
        <f t="array" ref="O498">INDEX(Table1[riBAQ 41], MATCH(1, (Table3[[#This Row],[Gene names]:[Gene names]] = Table1[[Gene names]:[Gene names]])*1, 0))</f>
        <v>0</v>
      </c>
      <c r="P498" cm="1">
        <f t="array" ref="P498">INDEX(Table1[riBAQ 24], MATCH(1, (Table3[[#This Row],[Gene names]:[Gene names]] = Table1[[Gene names]:[Gene names]])*1, 0))</f>
        <v>1.6699999999999999E-5</v>
      </c>
      <c r="Q498" cm="1">
        <f t="array" ref="Q498">INDEX(Table1[riBAQ 25], MATCH(1, (Table3[[#This Row],[Gene names]:[Gene names]] = Table1[[Gene names]:[Gene names]])*1, 0))</f>
        <v>3.1999999999999999E-5</v>
      </c>
      <c r="R498" cm="1">
        <f t="array" ref="R498">INDEX(Table1[riBAQ 26], MATCH(1, (Table3[[#This Row],[Gene names]:[Gene names]] = Table1[[Gene names]:[Gene names]])*1, 0))</f>
        <v>2.94E-5</v>
      </c>
      <c r="S498" cm="1">
        <f t="array" ref="S498">INDEX(Table1[riBAQ 42], MATCH(1, (Table3[[#This Row],[Gene names]:[Gene names]] = Table1[[Gene names]:[Gene names]])*1, 0))</f>
        <v>1.8099999999999999E-5</v>
      </c>
      <c r="T498" cm="1">
        <f t="array" ref="T498">INDEX(Table1[riBAQ 43], MATCH(1, (Table3[[#This Row],[Gene names]:[Gene names]] = Table1[[Gene names]:[Gene names]])*1, 0))</f>
        <v>3.9199999999999997E-5</v>
      </c>
    </row>
    <row r="499" spans="1:20" x14ac:dyDescent="0.25">
      <c r="A499" t="s">
        <v>874</v>
      </c>
      <c r="B499" cm="1">
        <f t="array" ref="B499">INDEX(Table1[riBAQ 17], MATCH(1, (Table3[[#This Row],[Gene names]:[Gene names]] = Table1[[Gene names]:[Gene names]])*1, 0))</f>
        <v>2.8200000000000001E-5</v>
      </c>
      <c r="C499" cm="1">
        <f t="array" ref="C499">INDEX(Table1[riBAQ 18], MATCH(1, (Table3[[#This Row],[Gene names]:[Gene names]] = Table1[[Gene names]:[Gene names]])*1, 0))</f>
        <v>1.8499999999999999E-5</v>
      </c>
      <c r="D499" cm="1">
        <f t="array" ref="D499">INDEX(Table1[riBAQ 35], MATCH(1, (Table3[[#This Row],[Gene names]:[Gene names]] = Table1[[Gene names]:[Gene names]])*1, 0))</f>
        <v>1.6699999999999999E-5</v>
      </c>
      <c r="E499" cm="1">
        <f t="array" ref="E499">INDEX(Table1[riBAQ 36], MATCH(1, (Table3[[#This Row],[Gene names]:[Gene names]] = Table1[[Gene names]:[Gene names]])*1, 0))</f>
        <v>1.73E-5</v>
      </c>
      <c r="F499" cm="1">
        <f t="array" ref="F499">INDEX(Table1[riBAQ 19], MATCH(1, (Table3[[#This Row],[Gene names]:[Gene names]] = Table1[[Gene names]:[Gene names]])*1, 0))</f>
        <v>2.7900000000000001E-5</v>
      </c>
      <c r="G499" cm="1">
        <f t="array" ref="G499">INDEX(Table1[riBAQ 20], MATCH(1, (Table3[[#This Row],[Gene names]:[Gene names]] = Table1[[Gene names]:[Gene names]])*1, 0))</f>
        <v>2.2399999999999999E-5</v>
      </c>
      <c r="H499" cm="1">
        <f t="array" ref="H499">INDEX(Table1[riBAQ 21], MATCH(1, (Table3[[#This Row],[Gene names]:[Gene names]] = Table1[[Gene names]:[Gene names]])*1, 0))</f>
        <v>4.5399999999999999E-5</v>
      </c>
      <c r="I499" cm="1">
        <f t="array" ref="I499">INDEX(Table1[riBAQ 22], MATCH(1, (Table3[[#This Row],[Gene names]:[Gene names]] = Table1[[Gene names]:[Gene names]])*1, 0))</f>
        <v>3.0199999999999999E-5</v>
      </c>
      <c r="J499" cm="1">
        <f t="array" ref="J499">INDEX(Table1[riBAQ 23], MATCH(1, (Table3[[#This Row],[Gene names]:[Gene names]] = Table1[[Gene names]:[Gene names]])*1, 0))</f>
        <v>4.5899999999999998E-5</v>
      </c>
      <c r="K499" cm="1">
        <f t="array" ref="K499">INDEX(Table1[riBAQ 37], MATCH(1, (Table3[[#This Row],[Gene names]:[Gene names]] = Table1[[Gene names]:[Gene names]])*1, 0))</f>
        <v>2.83E-5</v>
      </c>
      <c r="L499" cm="1">
        <f t="array" ref="L499">INDEX(Table1[riBAQ 38], MATCH(1, (Table3[[#This Row],[Gene names]:[Gene names]] = Table1[[Gene names]:[Gene names]])*1, 0))</f>
        <v>2.9600000000000001E-5</v>
      </c>
      <c r="M499" cm="1">
        <f t="array" ref="M499">INDEX(Table1[riBAQ 39], MATCH(1, (Table3[[#This Row],[Gene names]:[Gene names]] = Table1[[Gene names]:[Gene names]])*1, 0))</f>
        <v>3.0300000000000001E-5</v>
      </c>
      <c r="N499" cm="1">
        <f t="array" ref="N499">INDEX(Table1[riBAQ 40], MATCH(1, (Table3[[#This Row],[Gene names]:[Gene names]] = Table1[[Gene names]:[Gene names]])*1, 0))</f>
        <v>3.68E-5</v>
      </c>
      <c r="O499" cm="1">
        <f t="array" ref="O499">INDEX(Table1[riBAQ 41], MATCH(1, (Table3[[#This Row],[Gene names]:[Gene names]] = Table1[[Gene names]:[Gene names]])*1, 0))</f>
        <v>2.7500000000000001E-5</v>
      </c>
      <c r="P499" cm="1">
        <f t="array" ref="P499">INDEX(Table1[riBAQ 24], MATCH(1, (Table3[[#This Row],[Gene names]:[Gene names]] = Table1[[Gene names]:[Gene names]])*1, 0))</f>
        <v>5.4700000000000001E-5</v>
      </c>
      <c r="Q499" cm="1">
        <f t="array" ref="Q499">INDEX(Table1[riBAQ 25], MATCH(1, (Table3[[#This Row],[Gene names]:[Gene names]] = Table1[[Gene names]:[Gene names]])*1, 0))</f>
        <v>8.7700000000000004E-5</v>
      </c>
      <c r="R499" cm="1">
        <f t="array" ref="R499">INDEX(Table1[riBAQ 26], MATCH(1, (Table3[[#This Row],[Gene names]:[Gene names]] = Table1[[Gene names]:[Gene names]])*1, 0))</f>
        <v>1.27892E-4</v>
      </c>
      <c r="S499" cm="1">
        <f t="array" ref="S499">INDEX(Table1[riBAQ 42], MATCH(1, (Table3[[#This Row],[Gene names]:[Gene names]] = Table1[[Gene names]:[Gene names]])*1, 0))</f>
        <v>6.7600000000000003E-5</v>
      </c>
      <c r="T499" cm="1">
        <f t="array" ref="T499">INDEX(Table1[riBAQ 43], MATCH(1, (Table3[[#This Row],[Gene names]:[Gene names]] = Table1[[Gene names]:[Gene names]])*1, 0))</f>
        <v>8.03E-5</v>
      </c>
    </row>
    <row r="500" spans="1:20" x14ac:dyDescent="0.25">
      <c r="A500" t="s">
        <v>339</v>
      </c>
      <c r="B500" cm="1">
        <f t="array" ref="B500">INDEX(Table1[riBAQ 17], MATCH(1, (Table3[[#This Row],[Gene names]:[Gene names]] = Table1[[Gene names]:[Gene names]])*1, 0))</f>
        <v>0</v>
      </c>
      <c r="C500" cm="1">
        <f t="array" ref="C500">INDEX(Table1[riBAQ 18], MATCH(1, (Table3[[#This Row],[Gene names]:[Gene names]] = Table1[[Gene names]:[Gene names]])*1, 0))</f>
        <v>0</v>
      </c>
      <c r="D500" cm="1">
        <f t="array" ref="D500">INDEX(Table1[riBAQ 35], MATCH(1, (Table3[[#This Row],[Gene names]:[Gene names]] = Table1[[Gene names]:[Gene names]])*1, 0))</f>
        <v>0</v>
      </c>
      <c r="E500" cm="1">
        <f t="array" ref="E500">INDEX(Table1[riBAQ 36], MATCH(1, (Table3[[#This Row],[Gene names]:[Gene names]] = Table1[[Gene names]:[Gene names]])*1, 0))</f>
        <v>0</v>
      </c>
      <c r="F500" cm="1">
        <f t="array" ref="F500">INDEX(Table1[riBAQ 19], MATCH(1, (Table3[[#This Row],[Gene names]:[Gene names]] = Table1[[Gene names]:[Gene names]])*1, 0))</f>
        <v>0</v>
      </c>
      <c r="G500" cm="1">
        <f t="array" ref="G500">INDEX(Table1[riBAQ 20], MATCH(1, (Table3[[#This Row],[Gene names]:[Gene names]] = Table1[[Gene names]:[Gene names]])*1, 0))</f>
        <v>0</v>
      </c>
      <c r="H500" cm="1">
        <f t="array" ref="H500">INDEX(Table1[riBAQ 21], MATCH(1, (Table3[[#This Row],[Gene names]:[Gene names]] = Table1[[Gene names]:[Gene names]])*1, 0))</f>
        <v>0</v>
      </c>
      <c r="I500" cm="1">
        <f t="array" ref="I500">INDEX(Table1[riBAQ 22], MATCH(1, (Table3[[#This Row],[Gene names]:[Gene names]] = Table1[[Gene names]:[Gene names]])*1, 0))</f>
        <v>0</v>
      </c>
      <c r="J500" cm="1">
        <f t="array" ref="J500">INDEX(Table1[riBAQ 23], MATCH(1, (Table3[[#This Row],[Gene names]:[Gene names]] = Table1[[Gene names]:[Gene names]])*1, 0))</f>
        <v>0</v>
      </c>
      <c r="K500" cm="1">
        <f t="array" ref="K500">INDEX(Table1[riBAQ 37], MATCH(1, (Table3[[#This Row],[Gene names]:[Gene names]] = Table1[[Gene names]:[Gene names]])*1, 0))</f>
        <v>0</v>
      </c>
      <c r="L500" cm="1">
        <f t="array" ref="L500">INDEX(Table1[riBAQ 38], MATCH(1, (Table3[[#This Row],[Gene names]:[Gene names]] = Table1[[Gene names]:[Gene names]])*1, 0))</f>
        <v>0</v>
      </c>
      <c r="M500" cm="1">
        <f t="array" ref="M500">INDEX(Table1[riBAQ 39], MATCH(1, (Table3[[#This Row],[Gene names]:[Gene names]] = Table1[[Gene names]:[Gene names]])*1, 0))</f>
        <v>0</v>
      </c>
      <c r="N500" cm="1">
        <f t="array" ref="N500">INDEX(Table1[riBAQ 40], MATCH(1, (Table3[[#This Row],[Gene names]:[Gene names]] = Table1[[Gene names]:[Gene names]])*1, 0))</f>
        <v>0</v>
      </c>
      <c r="O500" cm="1">
        <f t="array" ref="O500">INDEX(Table1[riBAQ 41], MATCH(1, (Table3[[#This Row],[Gene names]:[Gene names]] = Table1[[Gene names]:[Gene names]])*1, 0))</f>
        <v>0</v>
      </c>
      <c r="P500" cm="1">
        <f t="array" ref="P500">INDEX(Table1[riBAQ 24], MATCH(1, (Table3[[#This Row],[Gene names]:[Gene names]] = Table1[[Gene names]:[Gene names]])*1, 0))</f>
        <v>0</v>
      </c>
      <c r="Q500" cm="1">
        <f t="array" ref="Q500">INDEX(Table1[riBAQ 25], MATCH(1, (Table3[[#This Row],[Gene names]:[Gene names]] = Table1[[Gene names]:[Gene names]])*1, 0))</f>
        <v>2.1500000000000001E-5</v>
      </c>
      <c r="R500" cm="1">
        <f t="array" ref="R500">INDEX(Table1[riBAQ 26], MATCH(1, (Table3[[#This Row],[Gene names]:[Gene names]] = Table1[[Gene names]:[Gene names]])*1, 0))</f>
        <v>8.9400000000000008E-6</v>
      </c>
      <c r="S500" cm="1">
        <f t="array" ref="S500">INDEX(Table1[riBAQ 42], MATCH(1, (Table3[[#This Row],[Gene names]:[Gene names]] = Table1[[Gene names]:[Gene names]])*1, 0))</f>
        <v>9.3000000000000007E-6</v>
      </c>
      <c r="T500" cm="1">
        <f t="array" ref="T500">INDEX(Table1[riBAQ 43], MATCH(1, (Table3[[#This Row],[Gene names]:[Gene names]] = Table1[[Gene names]:[Gene names]])*1, 0))</f>
        <v>4.6400000000000003E-5</v>
      </c>
    </row>
    <row r="501" spans="1:20" x14ac:dyDescent="0.25">
      <c r="A501" t="s">
        <v>1262</v>
      </c>
      <c r="B501" cm="1">
        <f t="array" ref="B501">INDEX(Table1[riBAQ 17], MATCH(1, (Table3[[#This Row],[Gene names]:[Gene names]] = Table1[[Gene names]:[Gene names]])*1, 0))</f>
        <v>5.8900000000000002E-5</v>
      </c>
      <c r="C501" cm="1">
        <f t="array" ref="C501">INDEX(Table1[riBAQ 18], MATCH(1, (Table3[[#This Row],[Gene names]:[Gene names]] = Table1[[Gene names]:[Gene names]])*1, 0))</f>
        <v>3.7499999999999997E-5</v>
      </c>
      <c r="D501" cm="1">
        <f t="array" ref="D501">INDEX(Table1[riBAQ 35], MATCH(1, (Table3[[#This Row],[Gene names]:[Gene names]] = Table1[[Gene names]:[Gene names]])*1, 0))</f>
        <v>4.1199999999999999E-5</v>
      </c>
      <c r="E501" cm="1">
        <f t="array" ref="E501">INDEX(Table1[riBAQ 36], MATCH(1, (Table3[[#This Row],[Gene names]:[Gene names]] = Table1[[Gene names]:[Gene names]])*1, 0))</f>
        <v>3.8500000000000001E-5</v>
      </c>
      <c r="F501" cm="1">
        <f t="array" ref="F501">INDEX(Table1[riBAQ 19], MATCH(1, (Table3[[#This Row],[Gene names]:[Gene names]] = Table1[[Gene names]:[Gene names]])*1, 0))</f>
        <v>4.9400000000000001E-5</v>
      </c>
      <c r="G501" cm="1">
        <f t="array" ref="G501">INDEX(Table1[riBAQ 20], MATCH(1, (Table3[[#This Row],[Gene names]:[Gene names]] = Table1[[Gene names]:[Gene names]])*1, 0))</f>
        <v>5.3600000000000002E-5</v>
      </c>
      <c r="H501" cm="1">
        <f t="array" ref="H501">INDEX(Table1[riBAQ 21], MATCH(1, (Table3[[#This Row],[Gene names]:[Gene names]] = Table1[[Gene names]:[Gene names]])*1, 0))</f>
        <v>6.1299999999999999E-5</v>
      </c>
      <c r="I501" cm="1">
        <f t="array" ref="I501">INDEX(Table1[riBAQ 22], MATCH(1, (Table3[[#This Row],[Gene names]:[Gene names]] = Table1[[Gene names]:[Gene names]])*1, 0))</f>
        <v>5.2800000000000003E-5</v>
      </c>
      <c r="J501" cm="1">
        <f t="array" ref="J501">INDEX(Table1[riBAQ 23], MATCH(1, (Table3[[#This Row],[Gene names]:[Gene names]] = Table1[[Gene names]:[Gene names]])*1, 0))</f>
        <v>8.4400000000000005E-5</v>
      </c>
      <c r="K501" cm="1">
        <f t="array" ref="K501">INDEX(Table1[riBAQ 37], MATCH(1, (Table3[[#This Row],[Gene names]:[Gene names]] = Table1[[Gene names]:[Gene names]])*1, 0))</f>
        <v>3.4499999999999998E-5</v>
      </c>
      <c r="L501" cm="1">
        <f t="array" ref="L501">INDEX(Table1[riBAQ 38], MATCH(1, (Table3[[#This Row],[Gene names]:[Gene names]] = Table1[[Gene names]:[Gene names]])*1, 0))</f>
        <v>5.1799999999999999E-5</v>
      </c>
      <c r="M501" cm="1">
        <f t="array" ref="M501">INDEX(Table1[riBAQ 39], MATCH(1, (Table3[[#This Row],[Gene names]:[Gene names]] = Table1[[Gene names]:[Gene names]])*1, 0))</f>
        <v>8.8900000000000006E-5</v>
      </c>
      <c r="N501" cm="1">
        <f t="array" ref="N501">INDEX(Table1[riBAQ 40], MATCH(1, (Table3[[#This Row],[Gene names]:[Gene names]] = Table1[[Gene names]:[Gene names]])*1, 0))</f>
        <v>6.58E-5</v>
      </c>
      <c r="O501" cm="1">
        <f t="array" ref="O501">INDEX(Table1[riBAQ 41], MATCH(1, (Table3[[#This Row],[Gene names]:[Gene names]] = Table1[[Gene names]:[Gene names]])*1, 0))</f>
        <v>8.8800000000000004E-5</v>
      </c>
      <c r="P501" cm="1">
        <f t="array" ref="P501">INDEX(Table1[riBAQ 24], MATCH(1, (Table3[[#This Row],[Gene names]:[Gene names]] = Table1[[Gene names]:[Gene names]])*1, 0))</f>
        <v>1.1113200000000001E-4</v>
      </c>
      <c r="Q501" cm="1">
        <f t="array" ref="Q501">INDEX(Table1[riBAQ 25], MATCH(1, (Table3[[#This Row],[Gene names]:[Gene names]] = Table1[[Gene names]:[Gene names]])*1, 0))</f>
        <v>1.9027599999999999E-4</v>
      </c>
      <c r="R501" cm="1">
        <f t="array" ref="R501">INDEX(Table1[riBAQ 26], MATCH(1, (Table3[[#This Row],[Gene names]:[Gene names]] = Table1[[Gene names]:[Gene names]])*1, 0))</f>
        <v>1.3025100000000001E-4</v>
      </c>
      <c r="S501" cm="1">
        <f t="array" ref="S501">INDEX(Table1[riBAQ 42], MATCH(1, (Table3[[#This Row],[Gene names]:[Gene names]] = Table1[[Gene names]:[Gene names]])*1, 0))</f>
        <v>1.98631E-4</v>
      </c>
      <c r="T501" cm="1">
        <f t="array" ref="T501">INDEX(Table1[riBAQ 43], MATCH(1, (Table3[[#This Row],[Gene names]:[Gene names]] = Table1[[Gene names]:[Gene names]])*1, 0))</f>
        <v>2.19075E-4</v>
      </c>
    </row>
    <row r="502" spans="1:20" x14ac:dyDescent="0.25">
      <c r="A502" t="s">
        <v>431</v>
      </c>
      <c r="B502" cm="1">
        <f t="array" ref="B502">INDEX(Table1[riBAQ 17], MATCH(1, (Table3[[#This Row],[Gene names]:[Gene names]] = Table1[[Gene names]:[Gene names]])*1, 0))</f>
        <v>4.1346800000000001E-4</v>
      </c>
      <c r="C502" cm="1">
        <f t="array" ref="C502">INDEX(Table1[riBAQ 18], MATCH(1, (Table3[[#This Row],[Gene names]:[Gene names]] = Table1[[Gene names]:[Gene names]])*1, 0))</f>
        <v>8.0532100000000001E-4</v>
      </c>
      <c r="D502" cm="1">
        <f t="array" ref="D502">INDEX(Table1[riBAQ 35], MATCH(1, (Table3[[#This Row],[Gene names]:[Gene names]] = Table1[[Gene names]:[Gene names]])*1, 0))</f>
        <v>5.85054E-4</v>
      </c>
      <c r="E502" cm="1">
        <f t="array" ref="E502">INDEX(Table1[riBAQ 36], MATCH(1, (Table3[[#This Row],[Gene names]:[Gene names]] = Table1[[Gene names]:[Gene names]])*1, 0))</f>
        <v>5.8451E-4</v>
      </c>
      <c r="F502" cm="1">
        <f t="array" ref="F502">INDEX(Table1[riBAQ 19], MATCH(1, (Table3[[#This Row],[Gene names]:[Gene names]] = Table1[[Gene names]:[Gene names]])*1, 0))</f>
        <v>8.3630100000000001E-4</v>
      </c>
      <c r="G502" cm="1">
        <f t="array" ref="G502">INDEX(Table1[riBAQ 20], MATCH(1, (Table3[[#This Row],[Gene names]:[Gene names]] = Table1[[Gene names]:[Gene names]])*1, 0))</f>
        <v>8.6986799999999999E-4</v>
      </c>
      <c r="H502" cm="1">
        <f t="array" ref="H502">INDEX(Table1[riBAQ 21], MATCH(1, (Table3[[#This Row],[Gene names]:[Gene names]] = Table1[[Gene names]:[Gene names]])*1, 0))</f>
        <v>7.97195E-4</v>
      </c>
      <c r="I502" cm="1">
        <f t="array" ref="I502">INDEX(Table1[riBAQ 22], MATCH(1, (Table3[[#This Row],[Gene names]:[Gene names]] = Table1[[Gene names]:[Gene names]])*1, 0))</f>
        <v>1.057936E-3</v>
      </c>
      <c r="J502" cm="1">
        <f t="array" ref="J502">INDEX(Table1[riBAQ 23], MATCH(1, (Table3[[#This Row],[Gene names]:[Gene names]] = Table1[[Gene names]:[Gene names]])*1, 0))</f>
        <v>8.4563900000000003E-4</v>
      </c>
      <c r="K502" cm="1">
        <f t="array" ref="K502">INDEX(Table1[riBAQ 37], MATCH(1, (Table3[[#This Row],[Gene names]:[Gene names]] = Table1[[Gene names]:[Gene names]])*1, 0))</f>
        <v>6.2280500000000004E-4</v>
      </c>
      <c r="L502" cm="1">
        <f t="array" ref="L502">INDEX(Table1[riBAQ 38], MATCH(1, (Table3[[#This Row],[Gene names]:[Gene names]] = Table1[[Gene names]:[Gene names]])*1, 0))</f>
        <v>9.3769199999999995E-4</v>
      </c>
      <c r="M502" cm="1">
        <f t="array" ref="M502">INDEX(Table1[riBAQ 39], MATCH(1, (Table3[[#This Row],[Gene names]:[Gene names]] = Table1[[Gene names]:[Gene names]])*1, 0))</f>
        <v>9.2432199999999999E-4</v>
      </c>
      <c r="N502" cm="1">
        <f t="array" ref="N502">INDEX(Table1[riBAQ 40], MATCH(1, (Table3[[#This Row],[Gene names]:[Gene names]] = Table1[[Gene names]:[Gene names]])*1, 0))</f>
        <v>1.1940970000000001E-3</v>
      </c>
      <c r="O502" cm="1">
        <f t="array" ref="O502">INDEX(Table1[riBAQ 41], MATCH(1, (Table3[[#This Row],[Gene names]:[Gene names]] = Table1[[Gene names]:[Gene names]])*1, 0))</f>
        <v>8.2041600000000003E-4</v>
      </c>
      <c r="P502" cm="1">
        <f t="array" ref="P502">INDEX(Table1[riBAQ 24], MATCH(1, (Table3[[#This Row],[Gene names]:[Gene names]] = Table1[[Gene names]:[Gene names]])*1, 0))</f>
        <v>1.1926249999999999E-3</v>
      </c>
      <c r="Q502" cm="1">
        <f t="array" ref="Q502">INDEX(Table1[riBAQ 25], MATCH(1, (Table3[[#This Row],[Gene names]:[Gene names]] = Table1[[Gene names]:[Gene names]])*1, 0))</f>
        <v>1.464295E-3</v>
      </c>
      <c r="R502" cm="1">
        <f t="array" ref="R502">INDEX(Table1[riBAQ 26], MATCH(1, (Table3[[#This Row],[Gene names]:[Gene names]] = Table1[[Gene names]:[Gene names]])*1, 0))</f>
        <v>2.1087459999999999E-3</v>
      </c>
      <c r="S502" cm="1">
        <f t="array" ref="S502">INDEX(Table1[riBAQ 42], MATCH(1, (Table3[[#This Row],[Gene names]:[Gene names]] = Table1[[Gene names]:[Gene names]])*1, 0))</f>
        <v>1.843098E-3</v>
      </c>
      <c r="T502" cm="1">
        <f t="array" ref="T502">INDEX(Table1[riBAQ 43], MATCH(1, (Table3[[#This Row],[Gene names]:[Gene names]] = Table1[[Gene names]:[Gene names]])*1, 0))</f>
        <v>1.2455470000000001E-3</v>
      </c>
    </row>
    <row r="503" spans="1:20" x14ac:dyDescent="0.25">
      <c r="A503" t="s">
        <v>684</v>
      </c>
      <c r="B503" cm="1">
        <f t="array" ref="B503">INDEX(Table1[riBAQ 17], MATCH(1, (Table3[[#This Row],[Gene names]:[Gene names]] = Table1[[Gene names]:[Gene names]])*1, 0))</f>
        <v>0</v>
      </c>
      <c r="C503" cm="1">
        <f t="array" ref="C503">INDEX(Table1[riBAQ 18], MATCH(1, (Table3[[#This Row],[Gene names]:[Gene names]] = Table1[[Gene names]:[Gene names]])*1, 0))</f>
        <v>0</v>
      </c>
      <c r="D503" cm="1">
        <f t="array" ref="D503">INDEX(Table1[riBAQ 35], MATCH(1, (Table3[[#This Row],[Gene names]:[Gene names]] = Table1[[Gene names]:[Gene names]])*1, 0))</f>
        <v>0</v>
      </c>
      <c r="E503" cm="1">
        <f t="array" ref="E503">INDEX(Table1[riBAQ 36], MATCH(1, (Table3[[#This Row],[Gene names]:[Gene names]] = Table1[[Gene names]:[Gene names]])*1, 0))</f>
        <v>0</v>
      </c>
      <c r="F503" cm="1">
        <f t="array" ref="F503">INDEX(Table1[riBAQ 19], MATCH(1, (Table3[[#This Row],[Gene names]:[Gene names]] = Table1[[Gene names]:[Gene names]])*1, 0))</f>
        <v>0</v>
      </c>
      <c r="G503" cm="1">
        <f t="array" ref="G503">INDEX(Table1[riBAQ 20], MATCH(1, (Table3[[#This Row],[Gene names]:[Gene names]] = Table1[[Gene names]:[Gene names]])*1, 0))</f>
        <v>0</v>
      </c>
      <c r="H503" cm="1">
        <f t="array" ref="H503">INDEX(Table1[riBAQ 21], MATCH(1, (Table3[[#This Row],[Gene names]:[Gene names]] = Table1[[Gene names]:[Gene names]])*1, 0))</f>
        <v>0</v>
      </c>
      <c r="I503" cm="1">
        <f t="array" ref="I503">INDEX(Table1[riBAQ 22], MATCH(1, (Table3[[#This Row],[Gene names]:[Gene names]] = Table1[[Gene names]:[Gene names]])*1, 0))</f>
        <v>0</v>
      </c>
      <c r="J503" cm="1">
        <f t="array" ref="J503">INDEX(Table1[riBAQ 23], MATCH(1, (Table3[[#This Row],[Gene names]:[Gene names]] = Table1[[Gene names]:[Gene names]])*1, 0))</f>
        <v>0</v>
      </c>
      <c r="K503" cm="1">
        <f t="array" ref="K503">INDEX(Table1[riBAQ 37], MATCH(1, (Table3[[#This Row],[Gene names]:[Gene names]] = Table1[[Gene names]:[Gene names]])*1, 0))</f>
        <v>0</v>
      </c>
      <c r="L503" cm="1">
        <f t="array" ref="L503">INDEX(Table1[riBAQ 38], MATCH(1, (Table3[[#This Row],[Gene names]:[Gene names]] = Table1[[Gene names]:[Gene names]])*1, 0))</f>
        <v>0</v>
      </c>
      <c r="M503" cm="1">
        <f t="array" ref="M503">INDEX(Table1[riBAQ 39], MATCH(1, (Table3[[#This Row],[Gene names]:[Gene names]] = Table1[[Gene names]:[Gene names]])*1, 0))</f>
        <v>0</v>
      </c>
      <c r="N503" cm="1">
        <f t="array" ref="N503">INDEX(Table1[riBAQ 40], MATCH(1, (Table3[[#This Row],[Gene names]:[Gene names]] = Table1[[Gene names]:[Gene names]])*1, 0))</f>
        <v>0</v>
      </c>
      <c r="O503" cm="1">
        <f t="array" ref="O503">INDEX(Table1[riBAQ 41], MATCH(1, (Table3[[#This Row],[Gene names]:[Gene names]] = Table1[[Gene names]:[Gene names]])*1, 0))</f>
        <v>0</v>
      </c>
      <c r="P503" cm="1">
        <f t="array" ref="P503">INDEX(Table1[riBAQ 24], MATCH(1, (Table3[[#This Row],[Gene names]:[Gene names]] = Table1[[Gene names]:[Gene names]])*1, 0))</f>
        <v>2.48E-5</v>
      </c>
      <c r="Q503" cm="1">
        <f t="array" ref="Q503">INDEX(Table1[riBAQ 25], MATCH(1, (Table3[[#This Row],[Gene names]:[Gene names]] = Table1[[Gene names]:[Gene names]])*1, 0))</f>
        <v>3.2799999999999998E-5</v>
      </c>
      <c r="R503" cm="1">
        <f t="array" ref="R503">INDEX(Table1[riBAQ 26], MATCH(1, (Table3[[#This Row],[Gene names]:[Gene names]] = Table1[[Gene names]:[Gene names]])*1, 0))</f>
        <v>3.18E-5</v>
      </c>
      <c r="S503" cm="1">
        <f t="array" ref="S503">INDEX(Table1[riBAQ 42], MATCH(1, (Table3[[#This Row],[Gene names]:[Gene names]] = Table1[[Gene names]:[Gene names]])*1, 0))</f>
        <v>2.3600000000000001E-5</v>
      </c>
      <c r="T503" cm="1">
        <f t="array" ref="T503">INDEX(Table1[riBAQ 43], MATCH(1, (Table3[[#This Row],[Gene names]:[Gene names]] = Table1[[Gene names]:[Gene names]])*1, 0))</f>
        <v>2.34E-5</v>
      </c>
    </row>
    <row r="504" spans="1:20" x14ac:dyDescent="0.25">
      <c r="A504" t="s">
        <v>1514</v>
      </c>
      <c r="B504" cm="1">
        <f t="array" ref="B504">INDEX(Table1[riBAQ 17], MATCH(1, (Table3[[#This Row],[Gene names]:[Gene names]] = Table1[[Gene names]:[Gene names]])*1, 0))</f>
        <v>3.4600000000000001E-5</v>
      </c>
      <c r="C504" cm="1">
        <f t="array" ref="C504">INDEX(Table1[riBAQ 18], MATCH(1, (Table3[[#This Row],[Gene names]:[Gene names]] = Table1[[Gene names]:[Gene names]])*1, 0))</f>
        <v>3.6199999999999999E-5</v>
      </c>
      <c r="D504" cm="1">
        <f t="array" ref="D504">INDEX(Table1[riBAQ 35], MATCH(1, (Table3[[#This Row],[Gene names]:[Gene names]] = Table1[[Gene names]:[Gene names]])*1, 0))</f>
        <v>3.0700000000000001E-5</v>
      </c>
      <c r="E504" cm="1">
        <f t="array" ref="E504">INDEX(Table1[riBAQ 36], MATCH(1, (Table3[[#This Row],[Gene names]:[Gene names]] = Table1[[Gene names]:[Gene names]])*1, 0))</f>
        <v>3.5200000000000002E-5</v>
      </c>
      <c r="F504" cm="1">
        <f t="array" ref="F504">INDEX(Table1[riBAQ 19], MATCH(1, (Table3[[#This Row],[Gene names]:[Gene names]] = Table1[[Gene names]:[Gene names]])*1, 0))</f>
        <v>6.58E-5</v>
      </c>
      <c r="G504" cm="1">
        <f t="array" ref="G504">INDEX(Table1[riBAQ 20], MATCH(1, (Table3[[#This Row],[Gene names]:[Gene names]] = Table1[[Gene names]:[Gene names]])*1, 0))</f>
        <v>6.9499999999999995E-5</v>
      </c>
      <c r="H504" cm="1">
        <f t="array" ref="H504">INDEX(Table1[riBAQ 21], MATCH(1, (Table3[[#This Row],[Gene names]:[Gene names]] = Table1[[Gene names]:[Gene names]])*1, 0))</f>
        <v>7.9300000000000003E-5</v>
      </c>
      <c r="I504" cm="1">
        <f t="array" ref="I504">INDEX(Table1[riBAQ 22], MATCH(1, (Table3[[#This Row],[Gene names]:[Gene names]] = Table1[[Gene names]:[Gene names]])*1, 0))</f>
        <v>4.4299999999999999E-5</v>
      </c>
      <c r="J504" cm="1">
        <f t="array" ref="J504">INDEX(Table1[riBAQ 23], MATCH(1, (Table3[[#This Row],[Gene names]:[Gene names]] = Table1[[Gene names]:[Gene names]])*1, 0))</f>
        <v>4.74E-5</v>
      </c>
      <c r="K504" cm="1">
        <f t="array" ref="K504">INDEX(Table1[riBAQ 37], MATCH(1, (Table3[[#This Row],[Gene names]:[Gene names]] = Table1[[Gene names]:[Gene names]])*1, 0))</f>
        <v>6.6299999999999999E-5</v>
      </c>
      <c r="L504" cm="1">
        <f t="array" ref="L504">INDEX(Table1[riBAQ 38], MATCH(1, (Table3[[#This Row],[Gene names]:[Gene names]] = Table1[[Gene names]:[Gene names]])*1, 0))</f>
        <v>5.8600000000000001E-5</v>
      </c>
      <c r="M504" cm="1">
        <f t="array" ref="M504">INDEX(Table1[riBAQ 39], MATCH(1, (Table3[[#This Row],[Gene names]:[Gene names]] = Table1[[Gene names]:[Gene names]])*1, 0))</f>
        <v>3.7599999999999999E-5</v>
      </c>
      <c r="N504" cm="1">
        <f t="array" ref="N504">INDEX(Table1[riBAQ 40], MATCH(1, (Table3[[#This Row],[Gene names]:[Gene names]] = Table1[[Gene names]:[Gene names]])*1, 0))</f>
        <v>3.5599999999999998E-5</v>
      </c>
      <c r="O504" cm="1">
        <f t="array" ref="O504">INDEX(Table1[riBAQ 41], MATCH(1, (Table3[[#This Row],[Gene names]:[Gene names]] = Table1[[Gene names]:[Gene names]])*1, 0))</f>
        <v>0</v>
      </c>
      <c r="P504" cm="1">
        <f t="array" ref="P504">INDEX(Table1[riBAQ 24], MATCH(1, (Table3[[#This Row],[Gene names]:[Gene names]] = Table1[[Gene names]:[Gene names]])*1, 0))</f>
        <v>8.3900000000000006E-5</v>
      </c>
      <c r="Q504" cm="1">
        <f t="array" ref="Q504">INDEX(Table1[riBAQ 25], MATCH(1, (Table3[[#This Row],[Gene names]:[Gene names]] = Table1[[Gene names]:[Gene names]])*1, 0))</f>
        <v>1.50113E-4</v>
      </c>
      <c r="R504" cm="1">
        <f t="array" ref="R504">INDEX(Table1[riBAQ 26], MATCH(1, (Table3[[#This Row],[Gene names]:[Gene names]] = Table1[[Gene names]:[Gene names]])*1, 0))</f>
        <v>1.5108299999999999E-4</v>
      </c>
      <c r="S504" cm="1">
        <f t="array" ref="S504">INDEX(Table1[riBAQ 42], MATCH(1, (Table3[[#This Row],[Gene names]:[Gene names]] = Table1[[Gene names]:[Gene names]])*1, 0))</f>
        <v>1.51051E-4</v>
      </c>
      <c r="T504" cm="1">
        <f t="array" ref="T504">INDEX(Table1[riBAQ 43], MATCH(1, (Table3[[#This Row],[Gene names]:[Gene names]] = Table1[[Gene names]:[Gene names]])*1, 0))</f>
        <v>2.0070600000000001E-4</v>
      </c>
    </row>
    <row r="505" spans="1:20" x14ac:dyDescent="0.25">
      <c r="A505" t="s">
        <v>640</v>
      </c>
      <c r="B505" cm="1">
        <f t="array" ref="B505">INDEX(Table1[riBAQ 17], MATCH(1, (Table3[[#This Row],[Gene names]:[Gene names]] = Table1[[Gene names]:[Gene names]])*1, 0))</f>
        <v>3.1000000000000001E-5</v>
      </c>
      <c r="C505" cm="1">
        <f t="array" ref="C505">INDEX(Table1[riBAQ 18], MATCH(1, (Table3[[#This Row],[Gene names]:[Gene names]] = Table1[[Gene names]:[Gene names]])*1, 0))</f>
        <v>1.9899999999999999E-5</v>
      </c>
      <c r="D505" cm="1">
        <f t="array" ref="D505">INDEX(Table1[riBAQ 35], MATCH(1, (Table3[[#This Row],[Gene names]:[Gene names]] = Table1[[Gene names]:[Gene names]])*1, 0))</f>
        <v>1.63E-5</v>
      </c>
      <c r="E505" cm="1">
        <f t="array" ref="E505">INDEX(Table1[riBAQ 36], MATCH(1, (Table3[[#This Row],[Gene names]:[Gene names]] = Table1[[Gene names]:[Gene names]])*1, 0))</f>
        <v>1.63E-5</v>
      </c>
      <c r="F505" cm="1">
        <f t="array" ref="F505">INDEX(Table1[riBAQ 19], MATCH(1, (Table3[[#This Row],[Gene names]:[Gene names]] = Table1[[Gene names]:[Gene names]])*1, 0))</f>
        <v>3.9900000000000001E-5</v>
      </c>
      <c r="G505" cm="1">
        <f t="array" ref="G505">INDEX(Table1[riBAQ 20], MATCH(1, (Table3[[#This Row],[Gene names]:[Gene names]] = Table1[[Gene names]:[Gene names]])*1, 0))</f>
        <v>3.93E-5</v>
      </c>
      <c r="H505" cm="1">
        <f t="array" ref="H505">INDEX(Table1[riBAQ 21], MATCH(1, (Table3[[#This Row],[Gene names]:[Gene names]] = Table1[[Gene names]:[Gene names]])*1, 0))</f>
        <v>4.21E-5</v>
      </c>
      <c r="I505" cm="1">
        <f t="array" ref="I505">INDEX(Table1[riBAQ 22], MATCH(1, (Table3[[#This Row],[Gene names]:[Gene names]] = Table1[[Gene names]:[Gene names]])*1, 0))</f>
        <v>3.6399999999999997E-5</v>
      </c>
      <c r="J505" cm="1">
        <f t="array" ref="J505">INDEX(Table1[riBAQ 23], MATCH(1, (Table3[[#This Row],[Gene names]:[Gene names]] = Table1[[Gene names]:[Gene names]])*1, 0))</f>
        <v>4.4400000000000002E-5</v>
      </c>
      <c r="K505" cm="1">
        <f t="array" ref="K505">INDEX(Table1[riBAQ 37], MATCH(1, (Table3[[#This Row],[Gene names]:[Gene names]] = Table1[[Gene names]:[Gene names]])*1, 0))</f>
        <v>4.9700000000000002E-5</v>
      </c>
      <c r="L505" cm="1">
        <f t="array" ref="L505">INDEX(Table1[riBAQ 38], MATCH(1, (Table3[[#This Row],[Gene names]:[Gene names]] = Table1[[Gene names]:[Gene names]])*1, 0))</f>
        <v>2.1500000000000001E-5</v>
      </c>
      <c r="M505" cm="1">
        <f t="array" ref="M505">INDEX(Table1[riBAQ 39], MATCH(1, (Table3[[#This Row],[Gene names]:[Gene names]] = Table1[[Gene names]:[Gene names]])*1, 0))</f>
        <v>4.4700000000000002E-5</v>
      </c>
      <c r="N505" cm="1">
        <f t="array" ref="N505">INDEX(Table1[riBAQ 40], MATCH(1, (Table3[[#This Row],[Gene names]:[Gene names]] = Table1[[Gene names]:[Gene names]])*1, 0))</f>
        <v>4.21E-5</v>
      </c>
      <c r="O505" cm="1">
        <f t="array" ref="O505">INDEX(Table1[riBAQ 41], MATCH(1, (Table3[[#This Row],[Gene names]:[Gene names]] = Table1[[Gene names]:[Gene names]])*1, 0))</f>
        <v>3.1399999999999998E-5</v>
      </c>
      <c r="P505" cm="1">
        <f t="array" ref="P505">INDEX(Table1[riBAQ 24], MATCH(1, (Table3[[#This Row],[Gene names]:[Gene names]] = Table1[[Gene names]:[Gene names]])*1, 0))</f>
        <v>1.0448199999999999E-4</v>
      </c>
      <c r="Q505" cm="1">
        <f t="array" ref="Q505">INDEX(Table1[riBAQ 25], MATCH(1, (Table3[[#This Row],[Gene names]:[Gene names]] = Table1[[Gene names]:[Gene names]])*1, 0))</f>
        <v>1.3981200000000001E-4</v>
      </c>
      <c r="R505" cm="1">
        <f t="array" ref="R505">INDEX(Table1[riBAQ 26], MATCH(1, (Table3[[#This Row],[Gene names]:[Gene names]] = Table1[[Gene names]:[Gene names]])*1, 0))</f>
        <v>1.38195E-4</v>
      </c>
      <c r="S505" cm="1">
        <f t="array" ref="S505">INDEX(Table1[riBAQ 42], MATCH(1, (Table3[[#This Row],[Gene names]:[Gene names]] = Table1[[Gene names]:[Gene names]])*1, 0))</f>
        <v>1.5274099999999999E-4</v>
      </c>
      <c r="T505" cm="1">
        <f t="array" ref="T505">INDEX(Table1[riBAQ 43], MATCH(1, (Table3[[#This Row],[Gene names]:[Gene names]] = Table1[[Gene names]:[Gene names]])*1, 0))</f>
        <v>1.5976E-4</v>
      </c>
    </row>
    <row r="506" spans="1:20" x14ac:dyDescent="0.25">
      <c r="A506" t="s">
        <v>644</v>
      </c>
      <c r="B506" cm="1">
        <f t="array" ref="B506">INDEX(Table1[riBAQ 17], MATCH(1, (Table3[[#This Row],[Gene names]:[Gene names]] = Table1[[Gene names]:[Gene names]])*1, 0))</f>
        <v>4.69643E-4</v>
      </c>
      <c r="C506" cm="1">
        <f t="array" ref="C506">INDEX(Table1[riBAQ 18], MATCH(1, (Table3[[#This Row],[Gene names]:[Gene names]] = Table1[[Gene names]:[Gene names]])*1, 0))</f>
        <v>4.47429E-4</v>
      </c>
      <c r="D506" cm="1">
        <f t="array" ref="D506">INDEX(Table1[riBAQ 35], MATCH(1, (Table3[[#This Row],[Gene names]:[Gene names]] = Table1[[Gene names]:[Gene names]])*1, 0))</f>
        <v>3.7348500000000001E-4</v>
      </c>
      <c r="E506" cm="1">
        <f t="array" ref="E506">INDEX(Table1[riBAQ 36], MATCH(1, (Table3[[#This Row],[Gene names]:[Gene names]] = Table1[[Gene names]:[Gene names]])*1, 0))</f>
        <v>4.7090400000000002E-4</v>
      </c>
      <c r="F506" cm="1">
        <f t="array" ref="F506">INDEX(Table1[riBAQ 19], MATCH(1, (Table3[[#This Row],[Gene names]:[Gene names]] = Table1[[Gene names]:[Gene names]])*1, 0))</f>
        <v>4.8565499999999998E-4</v>
      </c>
      <c r="G506" cm="1">
        <f t="array" ref="G506">INDEX(Table1[riBAQ 20], MATCH(1, (Table3[[#This Row],[Gene names]:[Gene names]] = Table1[[Gene names]:[Gene names]])*1, 0))</f>
        <v>5.0487600000000002E-4</v>
      </c>
      <c r="H506" cm="1">
        <f t="array" ref="H506">INDEX(Table1[riBAQ 21], MATCH(1, (Table3[[#This Row],[Gene names]:[Gene names]] = Table1[[Gene names]:[Gene names]])*1, 0))</f>
        <v>5.5305100000000004E-4</v>
      </c>
      <c r="I506" cm="1">
        <f t="array" ref="I506">INDEX(Table1[riBAQ 22], MATCH(1, (Table3[[#This Row],[Gene names]:[Gene names]] = Table1[[Gene names]:[Gene names]])*1, 0))</f>
        <v>5.0399699999999995E-4</v>
      </c>
      <c r="J506" cm="1">
        <f t="array" ref="J506">INDEX(Table1[riBAQ 23], MATCH(1, (Table3[[#This Row],[Gene names]:[Gene names]] = Table1[[Gene names]:[Gene names]])*1, 0))</f>
        <v>4.0457900000000002E-4</v>
      </c>
      <c r="K506" cm="1">
        <f t="array" ref="K506">INDEX(Table1[riBAQ 37], MATCH(1, (Table3[[#This Row],[Gene names]:[Gene names]] = Table1[[Gene names]:[Gene names]])*1, 0))</f>
        <v>4.9450600000000003E-4</v>
      </c>
      <c r="L506" cm="1">
        <f t="array" ref="L506">INDEX(Table1[riBAQ 38], MATCH(1, (Table3[[#This Row],[Gene names]:[Gene names]] = Table1[[Gene names]:[Gene names]])*1, 0))</f>
        <v>3.50871E-4</v>
      </c>
      <c r="M506" cm="1">
        <f t="array" ref="M506">INDEX(Table1[riBAQ 39], MATCH(1, (Table3[[#This Row],[Gene names]:[Gene names]] = Table1[[Gene names]:[Gene names]])*1, 0))</f>
        <v>3.6277999999999999E-4</v>
      </c>
      <c r="N506" cm="1">
        <f t="array" ref="N506">INDEX(Table1[riBAQ 40], MATCH(1, (Table3[[#This Row],[Gene names]:[Gene names]] = Table1[[Gene names]:[Gene names]])*1, 0))</f>
        <v>3.7668199999999998E-4</v>
      </c>
      <c r="O506" cm="1">
        <f t="array" ref="O506">INDEX(Table1[riBAQ 41], MATCH(1, (Table3[[#This Row],[Gene names]:[Gene names]] = Table1[[Gene names]:[Gene names]])*1, 0))</f>
        <v>3.6586300000000002E-4</v>
      </c>
      <c r="P506" cm="1">
        <f t="array" ref="P506">INDEX(Table1[riBAQ 24], MATCH(1, (Table3[[#This Row],[Gene names]:[Gene names]] = Table1[[Gene names]:[Gene names]])*1, 0))</f>
        <v>3.1585199999999998E-4</v>
      </c>
      <c r="Q506" cm="1">
        <f t="array" ref="Q506">INDEX(Table1[riBAQ 25], MATCH(1, (Table3[[#This Row],[Gene names]:[Gene names]] = Table1[[Gene names]:[Gene names]])*1, 0))</f>
        <v>2.2195E-4</v>
      </c>
      <c r="R506" cm="1">
        <f t="array" ref="R506">INDEX(Table1[riBAQ 26], MATCH(1, (Table3[[#This Row],[Gene names]:[Gene names]] = Table1[[Gene names]:[Gene names]])*1, 0))</f>
        <v>2.4373299999999999E-4</v>
      </c>
      <c r="S506" cm="1">
        <f t="array" ref="S506">INDEX(Table1[riBAQ 42], MATCH(1, (Table3[[#This Row],[Gene names]:[Gene names]] = Table1[[Gene names]:[Gene names]])*1, 0))</f>
        <v>2.09569E-4</v>
      </c>
      <c r="T506" cm="1">
        <f t="array" ref="T506">INDEX(Table1[riBAQ 43], MATCH(1, (Table3[[#This Row],[Gene names]:[Gene names]] = Table1[[Gene names]:[Gene names]])*1, 0))</f>
        <v>2.7400699999999999E-4</v>
      </c>
    </row>
    <row r="507" spans="1:20" x14ac:dyDescent="0.25">
      <c r="A507" t="s">
        <v>642</v>
      </c>
      <c r="B507" cm="1">
        <f t="array" ref="B507">INDEX(Table1[riBAQ 17], MATCH(1, (Table3[[#This Row],[Gene names]:[Gene names]] = Table1[[Gene names]:[Gene names]])*1, 0))</f>
        <v>0</v>
      </c>
      <c r="C507" cm="1">
        <f t="array" ref="C507">INDEX(Table1[riBAQ 18], MATCH(1, (Table3[[#This Row],[Gene names]:[Gene names]] = Table1[[Gene names]:[Gene names]])*1, 0))</f>
        <v>0</v>
      </c>
      <c r="D507" cm="1">
        <f t="array" ref="D507">INDEX(Table1[riBAQ 35], MATCH(1, (Table3[[#This Row],[Gene names]:[Gene names]] = Table1[[Gene names]:[Gene names]])*1, 0))</f>
        <v>0</v>
      </c>
      <c r="E507" cm="1">
        <f t="array" ref="E507">INDEX(Table1[riBAQ 36], MATCH(1, (Table3[[#This Row],[Gene names]:[Gene names]] = Table1[[Gene names]:[Gene names]])*1, 0))</f>
        <v>0</v>
      </c>
      <c r="F507" cm="1">
        <f t="array" ref="F507">INDEX(Table1[riBAQ 19], MATCH(1, (Table3[[#This Row],[Gene names]:[Gene names]] = Table1[[Gene names]:[Gene names]])*1, 0))</f>
        <v>0</v>
      </c>
      <c r="G507" cm="1">
        <f t="array" ref="G507">INDEX(Table1[riBAQ 20], MATCH(1, (Table3[[#This Row],[Gene names]:[Gene names]] = Table1[[Gene names]:[Gene names]])*1, 0))</f>
        <v>0</v>
      </c>
      <c r="H507" cm="1">
        <f t="array" ref="H507">INDEX(Table1[riBAQ 21], MATCH(1, (Table3[[#This Row],[Gene names]:[Gene names]] = Table1[[Gene names]:[Gene names]])*1, 0))</f>
        <v>0</v>
      </c>
      <c r="I507" cm="1">
        <f t="array" ref="I507">INDEX(Table1[riBAQ 22], MATCH(1, (Table3[[#This Row],[Gene names]:[Gene names]] = Table1[[Gene names]:[Gene names]])*1, 0))</f>
        <v>0</v>
      </c>
      <c r="J507" cm="1">
        <f t="array" ref="J507">INDEX(Table1[riBAQ 23], MATCH(1, (Table3[[#This Row],[Gene names]:[Gene names]] = Table1[[Gene names]:[Gene names]])*1, 0))</f>
        <v>0</v>
      </c>
      <c r="K507" cm="1">
        <f t="array" ref="K507">INDEX(Table1[riBAQ 37], MATCH(1, (Table3[[#This Row],[Gene names]:[Gene names]] = Table1[[Gene names]:[Gene names]])*1, 0))</f>
        <v>0</v>
      </c>
      <c r="L507" cm="1">
        <f t="array" ref="L507">INDEX(Table1[riBAQ 38], MATCH(1, (Table3[[#This Row],[Gene names]:[Gene names]] = Table1[[Gene names]:[Gene names]])*1, 0))</f>
        <v>5.1000000000000003E-6</v>
      </c>
      <c r="M507" cm="1">
        <f t="array" ref="M507">INDEX(Table1[riBAQ 39], MATCH(1, (Table3[[#This Row],[Gene names]:[Gene names]] = Table1[[Gene names]:[Gene names]])*1, 0))</f>
        <v>0</v>
      </c>
      <c r="N507" cm="1">
        <f t="array" ref="N507">INDEX(Table1[riBAQ 40], MATCH(1, (Table3[[#This Row],[Gene names]:[Gene names]] = Table1[[Gene names]:[Gene names]])*1, 0))</f>
        <v>4.6600000000000003E-6</v>
      </c>
      <c r="O507" cm="1">
        <f t="array" ref="O507">INDEX(Table1[riBAQ 41], MATCH(1, (Table3[[#This Row],[Gene names]:[Gene names]] = Table1[[Gene names]:[Gene names]])*1, 0))</f>
        <v>0</v>
      </c>
      <c r="P507" cm="1">
        <f t="array" ref="P507">INDEX(Table1[riBAQ 24], MATCH(1, (Table3[[#This Row],[Gene names]:[Gene names]] = Table1[[Gene names]:[Gene names]])*1, 0))</f>
        <v>1.4100000000000001E-5</v>
      </c>
      <c r="Q507" cm="1">
        <f t="array" ref="Q507">INDEX(Table1[riBAQ 25], MATCH(1, (Table3[[#This Row],[Gene names]:[Gene names]] = Table1[[Gene names]:[Gene names]])*1, 0))</f>
        <v>1.43E-5</v>
      </c>
      <c r="R507" cm="1">
        <f t="array" ref="R507">INDEX(Table1[riBAQ 26], MATCH(1, (Table3[[#This Row],[Gene names]:[Gene names]] = Table1[[Gene names]:[Gene names]])*1, 0))</f>
        <v>3.54E-5</v>
      </c>
      <c r="S507" cm="1">
        <f t="array" ref="S507">INDEX(Table1[riBAQ 42], MATCH(1, (Table3[[#This Row],[Gene names]:[Gene names]] = Table1[[Gene names]:[Gene names]])*1, 0))</f>
        <v>1.7099999999999999E-5</v>
      </c>
      <c r="T507" cm="1">
        <f t="array" ref="T507">INDEX(Table1[riBAQ 43], MATCH(1, (Table3[[#This Row],[Gene names]:[Gene names]] = Table1[[Gene names]:[Gene names]])*1, 0))</f>
        <v>1.63E-5</v>
      </c>
    </row>
    <row r="508" spans="1:20" x14ac:dyDescent="0.25">
      <c r="A508" t="s">
        <v>1143</v>
      </c>
      <c r="B508" cm="1">
        <f t="array" ref="B508">INDEX(Table1[riBAQ 17], MATCH(1, (Table3[[#This Row],[Gene names]:[Gene names]] = Table1[[Gene names]:[Gene names]])*1, 0))</f>
        <v>1.15E-5</v>
      </c>
      <c r="C508" cm="1">
        <f t="array" ref="C508">INDEX(Table1[riBAQ 18], MATCH(1, (Table3[[#This Row],[Gene names]:[Gene names]] = Table1[[Gene names]:[Gene names]])*1, 0))</f>
        <v>9.9399999999999997E-6</v>
      </c>
      <c r="D508" cm="1">
        <f t="array" ref="D508">INDEX(Table1[riBAQ 35], MATCH(1, (Table3[[#This Row],[Gene names]:[Gene names]] = Table1[[Gene names]:[Gene names]])*1, 0))</f>
        <v>9.3000000000000007E-6</v>
      </c>
      <c r="E508" cm="1">
        <f t="array" ref="E508">INDEX(Table1[riBAQ 36], MATCH(1, (Table3[[#This Row],[Gene names]:[Gene names]] = Table1[[Gene names]:[Gene names]])*1, 0))</f>
        <v>1.04E-5</v>
      </c>
      <c r="F508" cm="1">
        <f t="array" ref="F508">INDEX(Table1[riBAQ 19], MATCH(1, (Table3[[#This Row],[Gene names]:[Gene names]] = Table1[[Gene names]:[Gene names]])*1, 0))</f>
        <v>1.7399999999999999E-5</v>
      </c>
      <c r="G508" cm="1">
        <f t="array" ref="G508">INDEX(Table1[riBAQ 20], MATCH(1, (Table3[[#This Row],[Gene names]:[Gene names]] = Table1[[Gene names]:[Gene names]])*1, 0))</f>
        <v>2.16E-5</v>
      </c>
      <c r="H508" cm="1">
        <f t="array" ref="H508">INDEX(Table1[riBAQ 21], MATCH(1, (Table3[[#This Row],[Gene names]:[Gene names]] = Table1[[Gene names]:[Gene names]])*1, 0))</f>
        <v>2.8099999999999999E-5</v>
      </c>
      <c r="I508" cm="1">
        <f t="array" ref="I508">INDEX(Table1[riBAQ 22], MATCH(1, (Table3[[#This Row],[Gene names]:[Gene names]] = Table1[[Gene names]:[Gene names]])*1, 0))</f>
        <v>1.7499999999999998E-5</v>
      </c>
      <c r="J508" cm="1">
        <f t="array" ref="J508">INDEX(Table1[riBAQ 23], MATCH(1, (Table3[[#This Row],[Gene names]:[Gene names]] = Table1[[Gene names]:[Gene names]])*1, 0))</f>
        <v>1.19E-5</v>
      </c>
      <c r="K508" cm="1">
        <f t="array" ref="K508">INDEX(Table1[riBAQ 37], MATCH(1, (Table3[[#This Row],[Gene names]:[Gene names]] = Table1[[Gene names]:[Gene names]])*1, 0))</f>
        <v>1.8499999999999999E-5</v>
      </c>
      <c r="L508" cm="1">
        <f t="array" ref="L508">INDEX(Table1[riBAQ 38], MATCH(1, (Table3[[#This Row],[Gene names]:[Gene names]] = Table1[[Gene names]:[Gene names]])*1, 0))</f>
        <v>1.8199999999999999E-5</v>
      </c>
      <c r="M508" cm="1">
        <f t="array" ref="M508">INDEX(Table1[riBAQ 39], MATCH(1, (Table3[[#This Row],[Gene names]:[Gene names]] = Table1[[Gene names]:[Gene names]])*1, 0))</f>
        <v>8.1899999999999995E-6</v>
      </c>
      <c r="N508" cm="1">
        <f t="array" ref="N508">INDEX(Table1[riBAQ 40], MATCH(1, (Table3[[#This Row],[Gene names]:[Gene names]] = Table1[[Gene names]:[Gene names]])*1, 0))</f>
        <v>9.3700000000000001E-6</v>
      </c>
      <c r="O508" cm="1">
        <f t="array" ref="O508">INDEX(Table1[riBAQ 41], MATCH(1, (Table3[[#This Row],[Gene names]:[Gene names]] = Table1[[Gene names]:[Gene names]])*1, 0))</f>
        <v>1.08E-5</v>
      </c>
      <c r="P508" cm="1">
        <f t="array" ref="P508">INDEX(Table1[riBAQ 24], MATCH(1, (Table3[[#This Row],[Gene names]:[Gene names]] = Table1[[Gene names]:[Gene names]])*1, 0))</f>
        <v>3.9400000000000002E-5</v>
      </c>
      <c r="Q508" cm="1">
        <f t="array" ref="Q508">INDEX(Table1[riBAQ 25], MATCH(1, (Table3[[#This Row],[Gene names]:[Gene names]] = Table1[[Gene names]:[Gene names]])*1, 0))</f>
        <v>6.1600000000000007E-5</v>
      </c>
      <c r="R508" cm="1">
        <f t="array" ref="R508">INDEX(Table1[riBAQ 26], MATCH(1, (Table3[[#This Row],[Gene names]:[Gene names]] = Table1[[Gene names]:[Gene names]])*1, 0))</f>
        <v>6.2899999999999997E-5</v>
      </c>
      <c r="S508" cm="1">
        <f t="array" ref="S508">INDEX(Table1[riBAQ 42], MATCH(1, (Table3[[#This Row],[Gene names]:[Gene names]] = Table1[[Gene names]:[Gene names]])*1, 0))</f>
        <v>7.1299999999999998E-5</v>
      </c>
      <c r="T508" cm="1">
        <f t="array" ref="T508">INDEX(Table1[riBAQ 43], MATCH(1, (Table3[[#This Row],[Gene names]:[Gene names]] = Table1[[Gene names]:[Gene names]])*1, 0))</f>
        <v>1.22416E-4</v>
      </c>
    </row>
    <row r="509" spans="1:20" x14ac:dyDescent="0.25">
      <c r="A509" t="s">
        <v>272</v>
      </c>
      <c r="B509" cm="1">
        <f t="array" ref="B509">INDEX(Table1[riBAQ 17], MATCH(1, (Table3[[#This Row],[Gene names]:[Gene names]] = Table1[[Gene names]:[Gene names]])*1, 0))</f>
        <v>1.1415824E-2</v>
      </c>
      <c r="C509" cm="1">
        <f t="array" ref="C509">INDEX(Table1[riBAQ 18], MATCH(1, (Table3[[#This Row],[Gene names]:[Gene names]] = Table1[[Gene names]:[Gene names]])*1, 0))</f>
        <v>1.6705569E-2</v>
      </c>
      <c r="D509" cm="1">
        <f t="array" ref="D509">INDEX(Table1[riBAQ 35], MATCH(1, (Table3[[#This Row],[Gene names]:[Gene names]] = Table1[[Gene names]:[Gene names]])*1, 0))</f>
        <v>1.4764441999999999E-2</v>
      </c>
      <c r="E509" cm="1">
        <f t="array" ref="E509">INDEX(Table1[riBAQ 36], MATCH(1, (Table3[[#This Row],[Gene names]:[Gene names]] = Table1[[Gene names]:[Gene names]])*1, 0))</f>
        <v>1.260443E-2</v>
      </c>
      <c r="F509" cm="1">
        <f t="array" ref="F509">INDEX(Table1[riBAQ 19], MATCH(1, (Table3[[#This Row],[Gene names]:[Gene names]] = Table1[[Gene names]:[Gene names]])*1, 0))</f>
        <v>1.2767743E-2</v>
      </c>
      <c r="G509" cm="1">
        <f t="array" ref="G509">INDEX(Table1[riBAQ 20], MATCH(1, (Table3[[#This Row],[Gene names]:[Gene names]] = Table1[[Gene names]:[Gene names]])*1, 0))</f>
        <v>1.1478729999999999E-2</v>
      </c>
      <c r="H509" cm="1">
        <f t="array" ref="H509">INDEX(Table1[riBAQ 21], MATCH(1, (Table3[[#This Row],[Gene names]:[Gene names]] = Table1[[Gene names]:[Gene names]])*1, 0))</f>
        <v>8.6443900000000001E-3</v>
      </c>
      <c r="I509" cm="1">
        <f t="array" ref="I509">INDEX(Table1[riBAQ 22], MATCH(1, (Table3[[#This Row],[Gene names]:[Gene names]] = Table1[[Gene names]:[Gene names]])*1, 0))</f>
        <v>1.0423066999999999E-2</v>
      </c>
      <c r="J509" cm="1">
        <f t="array" ref="J509">INDEX(Table1[riBAQ 23], MATCH(1, (Table3[[#This Row],[Gene names]:[Gene names]] = Table1[[Gene names]:[Gene names]])*1, 0))</f>
        <v>1.1980292E-2</v>
      </c>
      <c r="K509" cm="1">
        <f t="array" ref="K509">INDEX(Table1[riBAQ 37], MATCH(1, (Table3[[#This Row],[Gene names]:[Gene names]] = Table1[[Gene names]:[Gene names]])*1, 0))</f>
        <v>1.1134063E-2</v>
      </c>
      <c r="L509" cm="1">
        <f t="array" ref="L509">INDEX(Table1[riBAQ 38], MATCH(1, (Table3[[#This Row],[Gene names]:[Gene names]] = Table1[[Gene names]:[Gene names]])*1, 0))</f>
        <v>1.5010600000000001E-2</v>
      </c>
      <c r="M509" cm="1">
        <f t="array" ref="M509">INDEX(Table1[riBAQ 39], MATCH(1, (Table3[[#This Row],[Gene names]:[Gene names]] = Table1[[Gene names]:[Gene names]])*1, 0))</f>
        <v>1.1710290999999999E-2</v>
      </c>
      <c r="N509" cm="1">
        <f t="array" ref="N509">INDEX(Table1[riBAQ 40], MATCH(1, (Table3[[#This Row],[Gene names]:[Gene names]] = Table1[[Gene names]:[Gene names]])*1, 0))</f>
        <v>1.6265485999999999E-2</v>
      </c>
      <c r="O509" cm="1">
        <f t="array" ref="O509">INDEX(Table1[riBAQ 41], MATCH(1, (Table3[[#This Row],[Gene names]:[Gene names]] = Table1[[Gene names]:[Gene names]])*1, 0))</f>
        <v>1.192177E-2</v>
      </c>
      <c r="P509" cm="1">
        <f t="array" ref="P509">INDEX(Table1[riBAQ 24], MATCH(1, (Table3[[#This Row],[Gene names]:[Gene names]] = Table1[[Gene names]:[Gene names]])*1, 0))</f>
        <v>7.2383530000000003E-3</v>
      </c>
      <c r="Q509" cm="1">
        <f t="array" ref="Q509">INDEX(Table1[riBAQ 25], MATCH(1, (Table3[[#This Row],[Gene names]:[Gene names]] = Table1[[Gene names]:[Gene names]])*1, 0))</f>
        <v>6.3716759999999997E-3</v>
      </c>
      <c r="R509" cm="1">
        <f t="array" ref="R509">INDEX(Table1[riBAQ 26], MATCH(1, (Table3[[#This Row],[Gene names]:[Gene names]] = Table1[[Gene names]:[Gene names]])*1, 0))</f>
        <v>7.9608700000000001E-3</v>
      </c>
      <c r="S509" cm="1">
        <f t="array" ref="S509">INDEX(Table1[riBAQ 42], MATCH(1, (Table3[[#This Row],[Gene names]:[Gene names]] = Table1[[Gene names]:[Gene names]])*1, 0))</f>
        <v>8.307643E-3</v>
      </c>
      <c r="T509" cm="1">
        <f t="array" ref="T509">INDEX(Table1[riBAQ 43], MATCH(1, (Table3[[#This Row],[Gene names]:[Gene names]] = Table1[[Gene names]:[Gene names]])*1, 0))</f>
        <v>7.2948639999999999E-3</v>
      </c>
    </row>
    <row r="510" spans="1:20" x14ac:dyDescent="0.25">
      <c r="A510" t="s">
        <v>1838</v>
      </c>
      <c r="B510" t="e" cm="1">
        <f t="array" ref="B510">INDEX(Table1[riBAQ 17], MATCH(1, (Table3[[#This Row],[Gene names]:[Gene names]] = Table1[[Gene names]:[Gene names]])*1, 0))</f>
        <v>#N/A</v>
      </c>
      <c r="C510" t="e" cm="1">
        <f t="array" ref="C510">INDEX(Table1[riBAQ 18], MATCH(1, (Table3[[#This Row],[Gene names]:[Gene names]] = Table1[[Gene names]:[Gene names]])*1, 0))</f>
        <v>#N/A</v>
      </c>
      <c r="D510" t="e" cm="1">
        <f t="array" ref="D510">INDEX(Table1[riBAQ 35], MATCH(1, (Table3[[#This Row],[Gene names]:[Gene names]] = Table1[[Gene names]:[Gene names]])*1, 0))</f>
        <v>#N/A</v>
      </c>
      <c r="E510" t="e" cm="1">
        <f t="array" ref="E510">INDEX(Table1[riBAQ 36], MATCH(1, (Table3[[#This Row],[Gene names]:[Gene names]] = Table1[[Gene names]:[Gene names]])*1, 0))</f>
        <v>#N/A</v>
      </c>
      <c r="F510" t="e" cm="1">
        <f t="array" ref="F510">INDEX(Table1[riBAQ 19], MATCH(1, (Table3[[#This Row],[Gene names]:[Gene names]] = Table1[[Gene names]:[Gene names]])*1, 0))</f>
        <v>#N/A</v>
      </c>
      <c r="G510" t="e" cm="1">
        <f t="array" ref="G510">INDEX(Table1[riBAQ 20], MATCH(1, (Table3[[#This Row],[Gene names]:[Gene names]] = Table1[[Gene names]:[Gene names]])*1, 0))</f>
        <v>#N/A</v>
      </c>
      <c r="H510" t="e" cm="1">
        <f t="array" ref="H510">INDEX(Table1[riBAQ 21], MATCH(1, (Table3[[#This Row],[Gene names]:[Gene names]] = Table1[[Gene names]:[Gene names]])*1, 0))</f>
        <v>#N/A</v>
      </c>
      <c r="I510" t="e" cm="1">
        <f t="array" ref="I510">INDEX(Table1[riBAQ 22], MATCH(1, (Table3[[#This Row],[Gene names]:[Gene names]] = Table1[[Gene names]:[Gene names]])*1, 0))</f>
        <v>#N/A</v>
      </c>
      <c r="J510" t="e" cm="1">
        <f t="array" ref="J510">INDEX(Table1[riBAQ 23], MATCH(1, (Table3[[#This Row],[Gene names]:[Gene names]] = Table1[[Gene names]:[Gene names]])*1, 0))</f>
        <v>#N/A</v>
      </c>
      <c r="K510" t="e" cm="1">
        <f t="array" ref="K510">INDEX(Table1[riBAQ 37], MATCH(1, (Table3[[#This Row],[Gene names]:[Gene names]] = Table1[[Gene names]:[Gene names]])*1, 0))</f>
        <v>#N/A</v>
      </c>
      <c r="L510" t="e" cm="1">
        <f t="array" ref="L510">INDEX(Table1[riBAQ 38], MATCH(1, (Table3[[#This Row],[Gene names]:[Gene names]] = Table1[[Gene names]:[Gene names]])*1, 0))</f>
        <v>#N/A</v>
      </c>
      <c r="M510" t="e" cm="1">
        <f t="array" ref="M510">INDEX(Table1[riBAQ 39], MATCH(1, (Table3[[#This Row],[Gene names]:[Gene names]] = Table1[[Gene names]:[Gene names]])*1, 0))</f>
        <v>#N/A</v>
      </c>
      <c r="N510" t="e" cm="1">
        <f t="array" ref="N510">INDEX(Table1[riBAQ 40], MATCH(1, (Table3[[#This Row],[Gene names]:[Gene names]] = Table1[[Gene names]:[Gene names]])*1, 0))</f>
        <v>#N/A</v>
      </c>
      <c r="O510" t="e" cm="1">
        <f t="array" ref="O510">INDEX(Table1[riBAQ 41], MATCH(1, (Table3[[#This Row],[Gene names]:[Gene names]] = Table1[[Gene names]:[Gene names]])*1, 0))</f>
        <v>#N/A</v>
      </c>
      <c r="P510" t="e" cm="1">
        <f t="array" ref="P510">INDEX(Table1[riBAQ 24], MATCH(1, (Table3[[#This Row],[Gene names]:[Gene names]] = Table1[[Gene names]:[Gene names]])*1, 0))</f>
        <v>#N/A</v>
      </c>
      <c r="Q510" t="e" cm="1">
        <f t="array" ref="Q510">INDEX(Table1[riBAQ 25], MATCH(1, (Table3[[#This Row],[Gene names]:[Gene names]] = Table1[[Gene names]:[Gene names]])*1, 0))</f>
        <v>#N/A</v>
      </c>
      <c r="R510" t="e" cm="1">
        <f t="array" ref="R510">INDEX(Table1[riBAQ 26], MATCH(1, (Table3[[#This Row],[Gene names]:[Gene names]] = Table1[[Gene names]:[Gene names]])*1, 0))</f>
        <v>#N/A</v>
      </c>
      <c r="S510" t="e" cm="1">
        <f t="array" ref="S510">INDEX(Table1[riBAQ 42], MATCH(1, (Table3[[#This Row],[Gene names]:[Gene names]] = Table1[[Gene names]:[Gene names]])*1, 0))</f>
        <v>#N/A</v>
      </c>
      <c r="T510" t="e" cm="1">
        <f t="array" ref="T510">INDEX(Table1[riBAQ 43], MATCH(1, (Table3[[#This Row],[Gene names]:[Gene names]] = Table1[[Gene names]:[Gene names]])*1, 0))</f>
        <v>#N/A</v>
      </c>
    </row>
    <row r="511" spans="1:20" x14ac:dyDescent="0.25">
      <c r="A511" t="s">
        <v>571</v>
      </c>
      <c r="B511" cm="1">
        <f t="array" ref="B511">INDEX(Table1[riBAQ 17], MATCH(1, (Table3[[#This Row],[Gene names]:[Gene names]] = Table1[[Gene names]:[Gene names]])*1, 0))</f>
        <v>0</v>
      </c>
      <c r="C511" cm="1">
        <f t="array" ref="C511">INDEX(Table1[riBAQ 18], MATCH(1, (Table3[[#This Row],[Gene names]:[Gene names]] = Table1[[Gene names]:[Gene names]])*1, 0))</f>
        <v>0</v>
      </c>
      <c r="D511" cm="1">
        <f t="array" ref="D511">INDEX(Table1[riBAQ 35], MATCH(1, (Table3[[#This Row],[Gene names]:[Gene names]] = Table1[[Gene names]:[Gene names]])*1, 0))</f>
        <v>2.1399999999999998E-5</v>
      </c>
      <c r="E511" cm="1">
        <f t="array" ref="E511">INDEX(Table1[riBAQ 36], MATCH(1, (Table3[[#This Row],[Gene names]:[Gene names]] = Table1[[Gene names]:[Gene names]])*1, 0))</f>
        <v>1.2099999999999999E-5</v>
      </c>
      <c r="F511" cm="1">
        <f t="array" ref="F511">INDEX(Table1[riBAQ 19], MATCH(1, (Table3[[#This Row],[Gene names]:[Gene names]] = Table1[[Gene names]:[Gene names]])*1, 0))</f>
        <v>2.4600000000000002E-5</v>
      </c>
      <c r="G511" cm="1">
        <f t="array" ref="G511">INDEX(Table1[riBAQ 20], MATCH(1, (Table3[[#This Row],[Gene names]:[Gene names]] = Table1[[Gene names]:[Gene names]])*1, 0))</f>
        <v>4.1600000000000002E-5</v>
      </c>
      <c r="H511" cm="1">
        <f t="array" ref="H511">INDEX(Table1[riBAQ 21], MATCH(1, (Table3[[#This Row],[Gene names]:[Gene names]] = Table1[[Gene names]:[Gene names]])*1, 0))</f>
        <v>2.5899999999999999E-5</v>
      </c>
      <c r="I511" cm="1">
        <f t="array" ref="I511">INDEX(Table1[riBAQ 22], MATCH(1, (Table3[[#This Row],[Gene names]:[Gene names]] = Table1[[Gene names]:[Gene names]])*1, 0))</f>
        <v>1.9300000000000002E-5</v>
      </c>
      <c r="J511" cm="1">
        <f t="array" ref="J511">INDEX(Table1[riBAQ 23], MATCH(1, (Table3[[#This Row],[Gene names]:[Gene names]] = Table1[[Gene names]:[Gene names]])*1, 0))</f>
        <v>0</v>
      </c>
      <c r="K511" cm="1">
        <f t="array" ref="K511">INDEX(Table1[riBAQ 37], MATCH(1, (Table3[[#This Row],[Gene names]:[Gene names]] = Table1[[Gene names]:[Gene names]])*1, 0))</f>
        <v>2.3499999999999999E-5</v>
      </c>
      <c r="L511" cm="1">
        <f t="array" ref="L511">INDEX(Table1[riBAQ 38], MATCH(1, (Table3[[#This Row],[Gene names]:[Gene names]] = Table1[[Gene names]:[Gene names]])*1, 0))</f>
        <v>2.2399999999999999E-5</v>
      </c>
      <c r="M511" cm="1">
        <f t="array" ref="M511">INDEX(Table1[riBAQ 39], MATCH(1, (Table3[[#This Row],[Gene names]:[Gene names]] = Table1[[Gene names]:[Gene names]])*1, 0))</f>
        <v>1.8E-5</v>
      </c>
      <c r="N511" cm="1">
        <f t="array" ref="N511">INDEX(Table1[riBAQ 40], MATCH(1, (Table3[[#This Row],[Gene names]:[Gene names]] = Table1[[Gene names]:[Gene names]])*1, 0))</f>
        <v>1.6200000000000001E-5</v>
      </c>
      <c r="O511" cm="1">
        <f t="array" ref="O511">INDEX(Table1[riBAQ 41], MATCH(1, (Table3[[#This Row],[Gene names]:[Gene names]] = Table1[[Gene names]:[Gene names]])*1, 0))</f>
        <v>1.5E-5</v>
      </c>
      <c r="P511" cm="1">
        <f t="array" ref="P511">INDEX(Table1[riBAQ 24], MATCH(1, (Table3[[#This Row],[Gene names]:[Gene names]] = Table1[[Gene names]:[Gene names]])*1, 0))</f>
        <v>2.3499999999999999E-5</v>
      </c>
      <c r="Q511" cm="1">
        <f t="array" ref="Q511">INDEX(Table1[riBAQ 25], MATCH(1, (Table3[[#This Row],[Gene names]:[Gene names]] = Table1[[Gene names]:[Gene names]])*1, 0))</f>
        <v>2.8600000000000001E-5</v>
      </c>
      <c r="R511" cm="1">
        <f t="array" ref="R511">INDEX(Table1[riBAQ 26], MATCH(1, (Table3[[#This Row],[Gene names]:[Gene names]] = Table1[[Gene names]:[Gene names]])*1, 0))</f>
        <v>2.4199999999999999E-5</v>
      </c>
      <c r="S511" cm="1">
        <f t="array" ref="S511">INDEX(Table1[riBAQ 42], MATCH(1, (Table3[[#This Row],[Gene names]:[Gene names]] = Table1[[Gene names]:[Gene names]])*1, 0))</f>
        <v>2.3099999999999999E-5</v>
      </c>
      <c r="T511" cm="1">
        <f t="array" ref="T511">INDEX(Table1[riBAQ 43], MATCH(1, (Table3[[#This Row],[Gene names]:[Gene names]] = Table1[[Gene names]:[Gene names]])*1, 0))</f>
        <v>6.4999999999999994E-5</v>
      </c>
    </row>
    <row r="512" spans="1:20" x14ac:dyDescent="0.25">
      <c r="A512" t="s">
        <v>681</v>
      </c>
      <c r="B512" cm="1">
        <f t="array" ref="B512">INDEX(Table1[riBAQ 17], MATCH(1, (Table3[[#This Row],[Gene names]:[Gene names]] = Table1[[Gene names]:[Gene names]])*1, 0))</f>
        <v>9.6758399999999996E-4</v>
      </c>
      <c r="C512" cm="1">
        <f t="array" ref="C512">INDEX(Table1[riBAQ 18], MATCH(1, (Table3[[#This Row],[Gene names]:[Gene names]] = Table1[[Gene names]:[Gene names]])*1, 0))</f>
        <v>4.3699840000000004E-3</v>
      </c>
      <c r="D512" cm="1">
        <f t="array" ref="D512">INDEX(Table1[riBAQ 35], MATCH(1, (Table3[[#This Row],[Gene names]:[Gene names]] = Table1[[Gene names]:[Gene names]])*1, 0))</f>
        <v>6.8605599999999999E-4</v>
      </c>
      <c r="E512" cm="1">
        <f t="array" ref="E512">INDEX(Table1[riBAQ 36], MATCH(1, (Table3[[#This Row],[Gene names]:[Gene names]] = Table1[[Gene names]:[Gene names]])*1, 0))</f>
        <v>1.070561E-3</v>
      </c>
      <c r="F512" cm="1">
        <f t="array" ref="F512">INDEX(Table1[riBAQ 19], MATCH(1, (Table3[[#This Row],[Gene names]:[Gene names]] = Table1[[Gene names]:[Gene names]])*1, 0))</f>
        <v>1.034194E-3</v>
      </c>
      <c r="G512" cm="1">
        <f t="array" ref="G512">INDEX(Table1[riBAQ 20], MATCH(1, (Table3[[#This Row],[Gene names]:[Gene names]] = Table1[[Gene names]:[Gene names]])*1, 0))</f>
        <v>1.7480589999999999E-3</v>
      </c>
      <c r="H512" cm="1">
        <f t="array" ref="H512">INDEX(Table1[riBAQ 21], MATCH(1, (Table3[[#This Row],[Gene names]:[Gene names]] = Table1[[Gene names]:[Gene names]])*1, 0))</f>
        <v>2.1588029999999999E-3</v>
      </c>
      <c r="I512" cm="1">
        <f t="array" ref="I512">INDEX(Table1[riBAQ 22], MATCH(1, (Table3[[#This Row],[Gene names]:[Gene names]] = Table1[[Gene names]:[Gene names]])*1, 0))</f>
        <v>3.5817079999999999E-3</v>
      </c>
      <c r="J512" cm="1">
        <f t="array" ref="J512">INDEX(Table1[riBAQ 23], MATCH(1, (Table3[[#This Row],[Gene names]:[Gene names]] = Table1[[Gene names]:[Gene names]])*1, 0))</f>
        <v>1.8490589999999999E-3</v>
      </c>
      <c r="K512" cm="1">
        <f t="array" ref="K512">INDEX(Table1[riBAQ 37], MATCH(1, (Table3[[#This Row],[Gene names]:[Gene names]] = Table1[[Gene names]:[Gene names]])*1, 0))</f>
        <v>3.0230840000000001E-3</v>
      </c>
      <c r="L512" cm="1">
        <f t="array" ref="L512">INDEX(Table1[riBAQ 38], MATCH(1, (Table3[[#This Row],[Gene names]:[Gene names]] = Table1[[Gene names]:[Gene names]])*1, 0))</f>
        <v>6.7532540000000002E-3</v>
      </c>
      <c r="M512" cm="1">
        <f t="array" ref="M512">INDEX(Table1[riBAQ 39], MATCH(1, (Table3[[#This Row],[Gene names]:[Gene names]] = Table1[[Gene names]:[Gene names]])*1, 0))</f>
        <v>1.007474E-3</v>
      </c>
      <c r="N512" cm="1">
        <f t="array" ref="N512">INDEX(Table1[riBAQ 40], MATCH(1, (Table3[[#This Row],[Gene names]:[Gene names]] = Table1[[Gene names]:[Gene names]])*1, 0))</f>
        <v>3.7548120000000002E-3</v>
      </c>
      <c r="O512" cm="1">
        <f t="array" ref="O512">INDEX(Table1[riBAQ 41], MATCH(1, (Table3[[#This Row],[Gene names]:[Gene names]] = Table1[[Gene names]:[Gene names]])*1, 0))</f>
        <v>1.638151E-3</v>
      </c>
      <c r="P512" cm="1">
        <f t="array" ref="P512">INDEX(Table1[riBAQ 24], MATCH(1, (Table3[[#This Row],[Gene names]:[Gene names]] = Table1[[Gene names]:[Gene names]])*1, 0))</f>
        <v>4.0198250000000003E-3</v>
      </c>
      <c r="Q512" cm="1">
        <f t="array" ref="Q512">INDEX(Table1[riBAQ 25], MATCH(1, (Table3[[#This Row],[Gene names]:[Gene names]] = Table1[[Gene names]:[Gene names]])*1, 0))</f>
        <v>9.8829439999999994E-3</v>
      </c>
      <c r="R512" cm="1">
        <f t="array" ref="R512">INDEX(Table1[riBAQ 26], MATCH(1, (Table3[[#This Row],[Gene names]:[Gene names]] = Table1[[Gene names]:[Gene names]])*1, 0))</f>
        <v>1.0672233E-2</v>
      </c>
      <c r="S512" cm="1">
        <f t="array" ref="S512">INDEX(Table1[riBAQ 42], MATCH(1, (Table3[[#This Row],[Gene names]:[Gene names]] = Table1[[Gene names]:[Gene names]])*1, 0))</f>
        <v>1.8760485E-2</v>
      </c>
      <c r="T512" cm="1">
        <f t="array" ref="T512">INDEX(Table1[riBAQ 43], MATCH(1, (Table3[[#This Row],[Gene names]:[Gene names]] = Table1[[Gene names]:[Gene names]])*1, 0))</f>
        <v>1.2027390000000001E-2</v>
      </c>
    </row>
    <row r="513" spans="1:20" x14ac:dyDescent="0.25">
      <c r="A513" t="s">
        <v>400</v>
      </c>
      <c r="B513" cm="1">
        <f t="array" ref="B513">INDEX(Table1[riBAQ 17], MATCH(1, (Table3[[#This Row],[Gene names]:[Gene names]] = Table1[[Gene names]:[Gene names]])*1, 0))</f>
        <v>2.4190299999999999E-4</v>
      </c>
      <c r="C513" cm="1">
        <f t="array" ref="C513">INDEX(Table1[riBAQ 18], MATCH(1, (Table3[[#This Row],[Gene names]:[Gene names]] = Table1[[Gene names]:[Gene names]])*1, 0))</f>
        <v>1.9646799999999999E-4</v>
      </c>
      <c r="D513" cm="1">
        <f t="array" ref="D513">INDEX(Table1[riBAQ 35], MATCH(1, (Table3[[#This Row],[Gene names]:[Gene names]] = Table1[[Gene names]:[Gene names]])*1, 0))</f>
        <v>1.4816800000000001E-4</v>
      </c>
      <c r="E513" cm="1">
        <f t="array" ref="E513">INDEX(Table1[riBAQ 36], MATCH(1, (Table3[[#This Row],[Gene names]:[Gene names]] = Table1[[Gene names]:[Gene names]])*1, 0))</f>
        <v>1.6722899999999999E-4</v>
      </c>
      <c r="F513" cm="1">
        <f t="array" ref="F513">INDEX(Table1[riBAQ 19], MATCH(1, (Table3[[#This Row],[Gene names]:[Gene names]] = Table1[[Gene names]:[Gene names]])*1, 0))</f>
        <v>3.49725E-4</v>
      </c>
      <c r="G513" cm="1">
        <f t="array" ref="G513">INDEX(Table1[riBAQ 20], MATCH(1, (Table3[[#This Row],[Gene names]:[Gene names]] = Table1[[Gene names]:[Gene names]])*1, 0))</f>
        <v>5.8960100000000004E-4</v>
      </c>
      <c r="H513" cm="1">
        <f t="array" ref="H513">INDEX(Table1[riBAQ 21], MATCH(1, (Table3[[#This Row],[Gene names]:[Gene names]] = Table1[[Gene names]:[Gene names]])*1, 0))</f>
        <v>3.6045700000000001E-4</v>
      </c>
      <c r="I513" cm="1">
        <f t="array" ref="I513">INDEX(Table1[riBAQ 22], MATCH(1, (Table3[[#This Row],[Gene names]:[Gene names]] = Table1[[Gene names]:[Gene names]])*1, 0))</f>
        <v>4.1607999999999999E-4</v>
      </c>
      <c r="J513" cm="1">
        <f t="array" ref="J513">INDEX(Table1[riBAQ 23], MATCH(1, (Table3[[#This Row],[Gene names]:[Gene names]] = Table1[[Gene names]:[Gene names]])*1, 0))</f>
        <v>2.2920800000000001E-4</v>
      </c>
      <c r="K513" cm="1">
        <f t="array" ref="K513">INDEX(Table1[riBAQ 37], MATCH(1, (Table3[[#This Row],[Gene names]:[Gene names]] = Table1[[Gene names]:[Gene names]])*1, 0))</f>
        <v>4.2918699999999998E-4</v>
      </c>
      <c r="L513" cm="1">
        <f t="array" ref="L513">INDEX(Table1[riBAQ 38], MATCH(1, (Table3[[#This Row],[Gene names]:[Gene names]] = Table1[[Gene names]:[Gene names]])*1, 0))</f>
        <v>3.1759399999999998E-4</v>
      </c>
      <c r="M513" cm="1">
        <f t="array" ref="M513">INDEX(Table1[riBAQ 39], MATCH(1, (Table3[[#This Row],[Gene names]:[Gene names]] = Table1[[Gene names]:[Gene names]])*1, 0))</f>
        <v>3.7765599999999998E-4</v>
      </c>
      <c r="N513" cm="1">
        <f t="array" ref="N513">INDEX(Table1[riBAQ 40], MATCH(1, (Table3[[#This Row],[Gene names]:[Gene names]] = Table1[[Gene names]:[Gene names]])*1, 0))</f>
        <v>5.0611099999999995E-4</v>
      </c>
      <c r="O513" cm="1">
        <f t="array" ref="O513">INDEX(Table1[riBAQ 41], MATCH(1, (Table3[[#This Row],[Gene names]:[Gene names]] = Table1[[Gene names]:[Gene names]])*1, 0))</f>
        <v>1.19968E-4</v>
      </c>
      <c r="P513" cm="1">
        <f t="array" ref="P513">INDEX(Table1[riBAQ 24], MATCH(1, (Table3[[#This Row],[Gene names]:[Gene names]] = Table1[[Gene names]:[Gene names]])*1, 0))</f>
        <v>8.6514399999999998E-4</v>
      </c>
      <c r="Q513" cm="1">
        <f t="array" ref="Q513">INDEX(Table1[riBAQ 25], MATCH(1, (Table3[[#This Row],[Gene names]:[Gene names]] = Table1[[Gene names]:[Gene names]])*1, 0))</f>
        <v>2.0168730000000002E-3</v>
      </c>
      <c r="R513" cm="1">
        <f t="array" ref="R513">INDEX(Table1[riBAQ 26], MATCH(1, (Table3[[#This Row],[Gene names]:[Gene names]] = Table1[[Gene names]:[Gene names]])*1, 0))</f>
        <v>6.4184400000000003E-4</v>
      </c>
      <c r="S513" cm="1">
        <f t="array" ref="S513">INDEX(Table1[riBAQ 42], MATCH(1, (Table3[[#This Row],[Gene names]:[Gene names]] = Table1[[Gene names]:[Gene names]])*1, 0))</f>
        <v>1.1982799999999999E-3</v>
      </c>
      <c r="T513" cm="1">
        <f t="array" ref="T513">INDEX(Table1[riBAQ 43], MATCH(1, (Table3[[#This Row],[Gene names]:[Gene names]] = Table1[[Gene names]:[Gene names]])*1, 0))</f>
        <v>2.8561160000000001E-3</v>
      </c>
    </row>
    <row r="514" spans="1:20" x14ac:dyDescent="0.25">
      <c r="A514" t="s">
        <v>1789</v>
      </c>
      <c r="B514" cm="1">
        <f t="array" ref="B514">INDEX(Table1[riBAQ 17], MATCH(1, (Table3[[#This Row],[Gene names]:[Gene names]] = Table1[[Gene names]:[Gene names]])*1, 0))</f>
        <v>0</v>
      </c>
      <c r="C514" cm="1">
        <f t="array" ref="C514">INDEX(Table1[riBAQ 18], MATCH(1, (Table3[[#This Row],[Gene names]:[Gene names]] = Table1[[Gene names]:[Gene names]])*1, 0))</f>
        <v>0</v>
      </c>
      <c r="D514" cm="1">
        <f t="array" ref="D514">INDEX(Table1[riBAQ 35], MATCH(1, (Table3[[#This Row],[Gene names]:[Gene names]] = Table1[[Gene names]:[Gene names]])*1, 0))</f>
        <v>0</v>
      </c>
      <c r="E514" cm="1">
        <f t="array" ref="E514">INDEX(Table1[riBAQ 36], MATCH(1, (Table3[[#This Row],[Gene names]:[Gene names]] = Table1[[Gene names]:[Gene names]])*1, 0))</f>
        <v>0</v>
      </c>
      <c r="F514" cm="1">
        <f t="array" ref="F514">INDEX(Table1[riBAQ 19], MATCH(1, (Table3[[#This Row],[Gene names]:[Gene names]] = Table1[[Gene names]:[Gene names]])*1, 0))</f>
        <v>0</v>
      </c>
      <c r="G514" cm="1">
        <f t="array" ref="G514">INDEX(Table1[riBAQ 20], MATCH(1, (Table3[[#This Row],[Gene names]:[Gene names]] = Table1[[Gene names]:[Gene names]])*1, 0))</f>
        <v>0</v>
      </c>
      <c r="H514" cm="1">
        <f t="array" ref="H514">INDEX(Table1[riBAQ 21], MATCH(1, (Table3[[#This Row],[Gene names]:[Gene names]] = Table1[[Gene names]:[Gene names]])*1, 0))</f>
        <v>0</v>
      </c>
      <c r="I514" cm="1">
        <f t="array" ref="I514">INDEX(Table1[riBAQ 22], MATCH(1, (Table3[[#This Row],[Gene names]:[Gene names]] = Table1[[Gene names]:[Gene names]])*1, 0))</f>
        <v>0</v>
      </c>
      <c r="J514" cm="1">
        <f t="array" ref="J514">INDEX(Table1[riBAQ 23], MATCH(1, (Table3[[#This Row],[Gene names]:[Gene names]] = Table1[[Gene names]:[Gene names]])*1, 0))</f>
        <v>0</v>
      </c>
      <c r="K514" cm="1">
        <f t="array" ref="K514">INDEX(Table1[riBAQ 37], MATCH(1, (Table3[[#This Row],[Gene names]:[Gene names]] = Table1[[Gene names]:[Gene names]])*1, 0))</f>
        <v>0</v>
      </c>
      <c r="L514" cm="1">
        <f t="array" ref="L514">INDEX(Table1[riBAQ 38], MATCH(1, (Table3[[#This Row],[Gene names]:[Gene names]] = Table1[[Gene names]:[Gene names]])*1, 0))</f>
        <v>0</v>
      </c>
      <c r="M514" cm="1">
        <f t="array" ref="M514">INDEX(Table1[riBAQ 39], MATCH(1, (Table3[[#This Row],[Gene names]:[Gene names]] = Table1[[Gene names]:[Gene names]])*1, 0))</f>
        <v>0</v>
      </c>
      <c r="N514" cm="1">
        <f t="array" ref="N514">INDEX(Table1[riBAQ 40], MATCH(1, (Table3[[#This Row],[Gene names]:[Gene names]] = Table1[[Gene names]:[Gene names]])*1, 0))</f>
        <v>0</v>
      </c>
      <c r="O514" cm="1">
        <f t="array" ref="O514">INDEX(Table1[riBAQ 41], MATCH(1, (Table3[[#This Row],[Gene names]:[Gene names]] = Table1[[Gene names]:[Gene names]])*1, 0))</f>
        <v>0</v>
      </c>
      <c r="P514" cm="1">
        <f t="array" ref="P514">INDEX(Table1[riBAQ 24], MATCH(1, (Table3[[#This Row],[Gene names]:[Gene names]] = Table1[[Gene names]:[Gene names]])*1, 0))</f>
        <v>0</v>
      </c>
      <c r="Q514" cm="1">
        <f t="array" ref="Q514">INDEX(Table1[riBAQ 25], MATCH(1, (Table3[[#This Row],[Gene names]:[Gene names]] = Table1[[Gene names]:[Gene names]])*1, 0))</f>
        <v>1.13E-5</v>
      </c>
      <c r="R514" cm="1">
        <f t="array" ref="R514">INDEX(Table1[riBAQ 26], MATCH(1, (Table3[[#This Row],[Gene names]:[Gene names]] = Table1[[Gene names]:[Gene names]])*1, 0))</f>
        <v>2.0999999999999999E-5</v>
      </c>
      <c r="S514" cm="1">
        <f t="array" ref="S514">INDEX(Table1[riBAQ 42], MATCH(1, (Table3[[#This Row],[Gene names]:[Gene names]] = Table1[[Gene names]:[Gene names]])*1, 0))</f>
        <v>1.4800000000000001E-5</v>
      </c>
      <c r="T514" cm="1">
        <f t="array" ref="T514">INDEX(Table1[riBAQ 43], MATCH(1, (Table3[[#This Row],[Gene names]:[Gene names]] = Table1[[Gene names]:[Gene names]])*1, 0))</f>
        <v>1.43E-5</v>
      </c>
    </row>
    <row r="515" spans="1:20" x14ac:dyDescent="0.25">
      <c r="A515" t="s">
        <v>680</v>
      </c>
      <c r="B515" cm="1">
        <f t="array" ref="B515">INDEX(Table1[riBAQ 17], MATCH(1, (Table3[[#This Row],[Gene names]:[Gene names]] = Table1[[Gene names]:[Gene names]])*1, 0))</f>
        <v>1.839547E-3</v>
      </c>
      <c r="C515" cm="1">
        <f t="array" ref="C515">INDEX(Table1[riBAQ 18], MATCH(1, (Table3[[#This Row],[Gene names]:[Gene names]] = Table1[[Gene names]:[Gene names]])*1, 0))</f>
        <v>1.581439E-3</v>
      </c>
      <c r="D515" cm="1">
        <f t="array" ref="D515">INDEX(Table1[riBAQ 35], MATCH(1, (Table3[[#This Row],[Gene names]:[Gene names]] = Table1[[Gene names]:[Gene names]])*1, 0))</f>
        <v>1.5631849999999999E-3</v>
      </c>
      <c r="E515" cm="1">
        <f t="array" ref="E515">INDEX(Table1[riBAQ 36], MATCH(1, (Table3[[#This Row],[Gene names]:[Gene names]] = Table1[[Gene names]:[Gene names]])*1, 0))</f>
        <v>1.518574E-3</v>
      </c>
      <c r="F515" cm="1">
        <f t="array" ref="F515">INDEX(Table1[riBAQ 19], MATCH(1, (Table3[[#This Row],[Gene names]:[Gene names]] = Table1[[Gene names]:[Gene names]])*1, 0))</f>
        <v>1.869711E-3</v>
      </c>
      <c r="G515" cm="1">
        <f t="array" ref="G515">INDEX(Table1[riBAQ 20], MATCH(1, (Table3[[#This Row],[Gene names]:[Gene names]] = Table1[[Gene names]:[Gene names]])*1, 0))</f>
        <v>1.45853E-3</v>
      </c>
      <c r="H515" cm="1">
        <f t="array" ref="H515">INDEX(Table1[riBAQ 21], MATCH(1, (Table3[[#This Row],[Gene names]:[Gene names]] = Table1[[Gene names]:[Gene names]])*1, 0))</f>
        <v>1.2870729999999999E-3</v>
      </c>
      <c r="I515" cm="1">
        <f t="array" ref="I515">INDEX(Table1[riBAQ 22], MATCH(1, (Table3[[#This Row],[Gene names]:[Gene names]] = Table1[[Gene names]:[Gene names]])*1, 0))</f>
        <v>1.502895E-3</v>
      </c>
      <c r="J515" cm="1">
        <f t="array" ref="J515">INDEX(Table1[riBAQ 23], MATCH(1, (Table3[[#This Row],[Gene names]:[Gene names]] = Table1[[Gene names]:[Gene names]])*1, 0))</f>
        <v>1.833438E-3</v>
      </c>
      <c r="K515" cm="1">
        <f t="array" ref="K515">INDEX(Table1[riBAQ 37], MATCH(1, (Table3[[#This Row],[Gene names]:[Gene names]] = Table1[[Gene names]:[Gene names]])*1, 0))</f>
        <v>1.6827330000000001E-3</v>
      </c>
      <c r="L515" cm="1">
        <f t="array" ref="L515">INDEX(Table1[riBAQ 38], MATCH(1, (Table3[[#This Row],[Gene names]:[Gene names]] = Table1[[Gene names]:[Gene names]])*1, 0))</f>
        <v>1.5723779999999999E-3</v>
      </c>
      <c r="M515" cm="1">
        <f t="array" ref="M515">INDEX(Table1[riBAQ 39], MATCH(1, (Table3[[#This Row],[Gene names]:[Gene names]] = Table1[[Gene names]:[Gene names]])*1, 0))</f>
        <v>1.3797169999999999E-3</v>
      </c>
      <c r="N515" cm="1">
        <f t="array" ref="N515">INDEX(Table1[riBAQ 40], MATCH(1, (Table3[[#This Row],[Gene names]:[Gene names]] = Table1[[Gene names]:[Gene names]])*1, 0))</f>
        <v>1.6806049999999999E-3</v>
      </c>
      <c r="O515" cm="1">
        <f t="array" ref="O515">INDEX(Table1[riBAQ 41], MATCH(1, (Table3[[#This Row],[Gene names]:[Gene names]] = Table1[[Gene names]:[Gene names]])*1, 0))</f>
        <v>1.6922110000000001E-3</v>
      </c>
      <c r="P515" cm="1">
        <f t="array" ref="P515">INDEX(Table1[riBAQ 24], MATCH(1, (Table3[[#This Row],[Gene names]:[Gene names]] = Table1[[Gene names]:[Gene names]])*1, 0))</f>
        <v>1.404052E-3</v>
      </c>
      <c r="Q515" cm="1">
        <f t="array" ref="Q515">INDEX(Table1[riBAQ 25], MATCH(1, (Table3[[#This Row],[Gene names]:[Gene names]] = Table1[[Gene names]:[Gene names]])*1, 0))</f>
        <v>1.1985870000000001E-3</v>
      </c>
      <c r="R515" cm="1">
        <f t="array" ref="R515">INDEX(Table1[riBAQ 26], MATCH(1, (Table3[[#This Row],[Gene names]:[Gene names]] = Table1[[Gene names]:[Gene names]])*1, 0))</f>
        <v>1.254231E-3</v>
      </c>
      <c r="S515" cm="1">
        <f t="array" ref="S515">INDEX(Table1[riBAQ 42], MATCH(1, (Table3[[#This Row],[Gene names]:[Gene names]] = Table1[[Gene names]:[Gene names]])*1, 0))</f>
        <v>1.2371789999999999E-3</v>
      </c>
      <c r="T515" cm="1">
        <f t="array" ref="T515">INDEX(Table1[riBAQ 43], MATCH(1, (Table3[[#This Row],[Gene names]:[Gene names]] = Table1[[Gene names]:[Gene names]])*1, 0))</f>
        <v>1.44487E-3</v>
      </c>
    </row>
    <row r="516" spans="1:20" x14ac:dyDescent="0.25">
      <c r="A516" t="s">
        <v>679</v>
      </c>
      <c r="B516" cm="1">
        <f t="array" ref="B516">INDEX(Table1[riBAQ 17], MATCH(1, (Table3[[#This Row],[Gene names]:[Gene names]] = Table1[[Gene names]:[Gene names]])*1, 0))</f>
        <v>1.936941E-3</v>
      </c>
      <c r="C516" cm="1">
        <f t="array" ref="C516">INDEX(Table1[riBAQ 18], MATCH(1, (Table3[[#This Row],[Gene names]:[Gene names]] = Table1[[Gene names]:[Gene names]])*1, 0))</f>
        <v>1.648411E-3</v>
      </c>
      <c r="D516" cm="1">
        <f t="array" ref="D516">INDEX(Table1[riBAQ 35], MATCH(1, (Table3[[#This Row],[Gene names]:[Gene names]] = Table1[[Gene names]:[Gene names]])*1, 0))</f>
        <v>2.0387109999999999E-3</v>
      </c>
      <c r="E516" cm="1">
        <f t="array" ref="E516">INDEX(Table1[riBAQ 36], MATCH(1, (Table3[[#This Row],[Gene names]:[Gene names]] = Table1[[Gene names]:[Gene names]])*1, 0))</f>
        <v>1.9855630000000001E-3</v>
      </c>
      <c r="F516" cm="1">
        <f t="array" ref="F516">INDEX(Table1[riBAQ 19], MATCH(1, (Table3[[#This Row],[Gene names]:[Gene names]] = Table1[[Gene names]:[Gene names]])*1, 0))</f>
        <v>2.0820869999999998E-3</v>
      </c>
      <c r="G516" cm="1">
        <f t="array" ref="G516">INDEX(Table1[riBAQ 20], MATCH(1, (Table3[[#This Row],[Gene names]:[Gene names]] = Table1[[Gene names]:[Gene names]])*1, 0))</f>
        <v>1.64178E-3</v>
      </c>
      <c r="H516" cm="1">
        <f t="array" ref="H516">INDEX(Table1[riBAQ 21], MATCH(1, (Table3[[#This Row],[Gene names]:[Gene names]] = Table1[[Gene names]:[Gene names]])*1, 0))</f>
        <v>1.309167E-3</v>
      </c>
      <c r="I516" cm="1">
        <f t="array" ref="I516">INDEX(Table1[riBAQ 22], MATCH(1, (Table3[[#This Row],[Gene names]:[Gene names]] = Table1[[Gene names]:[Gene names]])*1, 0))</f>
        <v>1.5440759999999999E-3</v>
      </c>
      <c r="J516" cm="1">
        <f t="array" ref="J516">INDEX(Table1[riBAQ 23], MATCH(1, (Table3[[#This Row],[Gene names]:[Gene names]] = Table1[[Gene names]:[Gene names]])*1, 0))</f>
        <v>1.8902809999999999E-3</v>
      </c>
      <c r="K516" cm="1">
        <f t="array" ref="K516">INDEX(Table1[riBAQ 37], MATCH(1, (Table3[[#This Row],[Gene names]:[Gene names]] = Table1[[Gene names]:[Gene names]])*1, 0))</f>
        <v>1.8094859999999999E-3</v>
      </c>
      <c r="L516" cm="1">
        <f t="array" ref="L516">INDEX(Table1[riBAQ 38], MATCH(1, (Table3[[#This Row],[Gene names]:[Gene names]] = Table1[[Gene names]:[Gene names]])*1, 0))</f>
        <v>1.866997E-3</v>
      </c>
      <c r="M516" cm="1">
        <f t="array" ref="M516">INDEX(Table1[riBAQ 39], MATCH(1, (Table3[[#This Row],[Gene names]:[Gene names]] = Table1[[Gene names]:[Gene names]])*1, 0))</f>
        <v>1.727604E-3</v>
      </c>
      <c r="N516" cm="1">
        <f t="array" ref="N516">INDEX(Table1[riBAQ 40], MATCH(1, (Table3[[#This Row],[Gene names]:[Gene names]] = Table1[[Gene names]:[Gene names]])*1, 0))</f>
        <v>1.9971989999999998E-3</v>
      </c>
      <c r="O516" cm="1">
        <f t="array" ref="O516">INDEX(Table1[riBAQ 41], MATCH(1, (Table3[[#This Row],[Gene names]:[Gene names]] = Table1[[Gene names]:[Gene names]])*1, 0))</f>
        <v>2.0477920000000001E-3</v>
      </c>
      <c r="P516" cm="1">
        <f t="array" ref="P516">INDEX(Table1[riBAQ 24], MATCH(1, (Table3[[#This Row],[Gene names]:[Gene names]] = Table1[[Gene names]:[Gene names]])*1, 0))</f>
        <v>1.319357E-3</v>
      </c>
      <c r="Q516" cm="1">
        <f t="array" ref="Q516">INDEX(Table1[riBAQ 25], MATCH(1, (Table3[[#This Row],[Gene names]:[Gene names]] = Table1[[Gene names]:[Gene names]])*1, 0))</f>
        <v>1.042432E-3</v>
      </c>
      <c r="R516" cm="1">
        <f t="array" ref="R516">INDEX(Table1[riBAQ 26], MATCH(1, (Table3[[#This Row],[Gene names]:[Gene names]] = Table1[[Gene names]:[Gene names]])*1, 0))</f>
        <v>1.171154E-3</v>
      </c>
      <c r="S516" cm="1">
        <f t="array" ref="S516">INDEX(Table1[riBAQ 42], MATCH(1, (Table3[[#This Row],[Gene names]:[Gene names]] = Table1[[Gene names]:[Gene names]])*1, 0))</f>
        <v>1.0966260000000001E-3</v>
      </c>
      <c r="T516" cm="1">
        <f t="array" ref="T516">INDEX(Table1[riBAQ 43], MATCH(1, (Table3[[#This Row],[Gene names]:[Gene names]] = Table1[[Gene names]:[Gene names]])*1, 0))</f>
        <v>1.1795099999999999E-3</v>
      </c>
    </row>
    <row r="517" spans="1:20" x14ac:dyDescent="0.25">
      <c r="A517" t="s">
        <v>1089</v>
      </c>
      <c r="B517" cm="1">
        <f t="array" ref="B517">INDEX(Table1[riBAQ 17], MATCH(1, (Table3[[#This Row],[Gene names]:[Gene names]] = Table1[[Gene names]:[Gene names]])*1, 0))</f>
        <v>0</v>
      </c>
      <c r="C517" cm="1">
        <f t="array" ref="C517">INDEX(Table1[riBAQ 18], MATCH(1, (Table3[[#This Row],[Gene names]:[Gene names]] = Table1[[Gene names]:[Gene names]])*1, 0))</f>
        <v>0</v>
      </c>
      <c r="D517" cm="1">
        <f t="array" ref="D517">INDEX(Table1[riBAQ 35], MATCH(1, (Table3[[#This Row],[Gene names]:[Gene names]] = Table1[[Gene names]:[Gene names]])*1, 0))</f>
        <v>0</v>
      </c>
      <c r="E517" cm="1">
        <f t="array" ref="E517">INDEX(Table1[riBAQ 36], MATCH(1, (Table3[[#This Row],[Gene names]:[Gene names]] = Table1[[Gene names]:[Gene names]])*1, 0))</f>
        <v>0</v>
      </c>
      <c r="F517" cm="1">
        <f t="array" ref="F517">INDEX(Table1[riBAQ 19], MATCH(1, (Table3[[#This Row],[Gene names]:[Gene names]] = Table1[[Gene names]:[Gene names]])*1, 0))</f>
        <v>0</v>
      </c>
      <c r="G517" cm="1">
        <f t="array" ref="G517">INDEX(Table1[riBAQ 20], MATCH(1, (Table3[[#This Row],[Gene names]:[Gene names]] = Table1[[Gene names]:[Gene names]])*1, 0))</f>
        <v>5.3600000000000002E-5</v>
      </c>
      <c r="H517" cm="1">
        <f t="array" ref="H517">INDEX(Table1[riBAQ 21], MATCH(1, (Table3[[#This Row],[Gene names]:[Gene names]] = Table1[[Gene names]:[Gene names]])*1, 0))</f>
        <v>0</v>
      </c>
      <c r="I517" cm="1">
        <f t="array" ref="I517">INDEX(Table1[riBAQ 22], MATCH(1, (Table3[[#This Row],[Gene names]:[Gene names]] = Table1[[Gene names]:[Gene names]])*1, 0))</f>
        <v>0</v>
      </c>
      <c r="J517" cm="1">
        <f t="array" ref="J517">INDEX(Table1[riBAQ 23], MATCH(1, (Table3[[#This Row],[Gene names]:[Gene names]] = Table1[[Gene names]:[Gene names]])*1, 0))</f>
        <v>0</v>
      </c>
      <c r="K517" cm="1">
        <f t="array" ref="K517">INDEX(Table1[riBAQ 37], MATCH(1, (Table3[[#This Row],[Gene names]:[Gene names]] = Table1[[Gene names]:[Gene names]])*1, 0))</f>
        <v>3.6900000000000002E-5</v>
      </c>
      <c r="L517" cm="1">
        <f t="array" ref="L517">INDEX(Table1[riBAQ 38], MATCH(1, (Table3[[#This Row],[Gene names]:[Gene names]] = Table1[[Gene names]:[Gene names]])*1, 0))</f>
        <v>0</v>
      </c>
      <c r="M517" cm="1">
        <f t="array" ref="M517">INDEX(Table1[riBAQ 39], MATCH(1, (Table3[[#This Row],[Gene names]:[Gene names]] = Table1[[Gene names]:[Gene names]])*1, 0))</f>
        <v>0</v>
      </c>
      <c r="N517" cm="1">
        <f t="array" ref="N517">INDEX(Table1[riBAQ 40], MATCH(1, (Table3[[#This Row],[Gene names]:[Gene names]] = Table1[[Gene names]:[Gene names]])*1, 0))</f>
        <v>2.6100000000000001E-5</v>
      </c>
      <c r="O517" cm="1">
        <f t="array" ref="O517">INDEX(Table1[riBAQ 41], MATCH(1, (Table3[[#This Row],[Gene names]:[Gene names]] = Table1[[Gene names]:[Gene names]])*1, 0))</f>
        <v>0</v>
      </c>
      <c r="P517" cm="1">
        <f t="array" ref="P517">INDEX(Table1[riBAQ 24], MATCH(1, (Table3[[#This Row],[Gene names]:[Gene names]] = Table1[[Gene names]:[Gene names]])*1, 0))</f>
        <v>8.1500000000000002E-5</v>
      </c>
      <c r="Q517" cm="1">
        <f t="array" ref="Q517">INDEX(Table1[riBAQ 25], MATCH(1, (Table3[[#This Row],[Gene names]:[Gene names]] = Table1[[Gene names]:[Gene names]])*1, 0))</f>
        <v>1.93413E-4</v>
      </c>
      <c r="R517" cm="1">
        <f t="array" ref="R517">INDEX(Table1[riBAQ 26], MATCH(1, (Table3[[#This Row],[Gene names]:[Gene names]] = Table1[[Gene names]:[Gene names]])*1, 0))</f>
        <v>1.3255100000000001E-4</v>
      </c>
      <c r="S517" cm="1">
        <f t="array" ref="S517">INDEX(Table1[riBAQ 42], MATCH(1, (Table3[[#This Row],[Gene names]:[Gene names]] = Table1[[Gene names]:[Gene names]])*1, 0))</f>
        <v>1.04897E-4</v>
      </c>
      <c r="T517" cm="1">
        <f t="array" ref="T517">INDEX(Table1[riBAQ 43], MATCH(1, (Table3[[#This Row],[Gene names]:[Gene names]] = Table1[[Gene names]:[Gene names]])*1, 0))</f>
        <v>3.6185200000000002E-4</v>
      </c>
    </row>
    <row r="518" spans="1:20" x14ac:dyDescent="0.25">
      <c r="A518" t="s">
        <v>1538</v>
      </c>
      <c r="B518" cm="1">
        <f t="array" ref="B518">INDEX(Table1[riBAQ 17], MATCH(1, (Table3[[#This Row],[Gene names]:[Gene names]] = Table1[[Gene names]:[Gene names]])*1, 0))</f>
        <v>0</v>
      </c>
      <c r="C518" cm="1">
        <f t="array" ref="C518">INDEX(Table1[riBAQ 18], MATCH(1, (Table3[[#This Row],[Gene names]:[Gene names]] = Table1[[Gene names]:[Gene names]])*1, 0))</f>
        <v>0</v>
      </c>
      <c r="D518" cm="1">
        <f t="array" ref="D518">INDEX(Table1[riBAQ 35], MATCH(1, (Table3[[#This Row],[Gene names]:[Gene names]] = Table1[[Gene names]:[Gene names]])*1, 0))</f>
        <v>0</v>
      </c>
      <c r="E518" cm="1">
        <f t="array" ref="E518">INDEX(Table1[riBAQ 36], MATCH(1, (Table3[[#This Row],[Gene names]:[Gene names]] = Table1[[Gene names]:[Gene names]])*1, 0))</f>
        <v>0</v>
      </c>
      <c r="F518" cm="1">
        <f t="array" ref="F518">INDEX(Table1[riBAQ 19], MATCH(1, (Table3[[#This Row],[Gene names]:[Gene names]] = Table1[[Gene names]:[Gene names]])*1, 0))</f>
        <v>0</v>
      </c>
      <c r="G518" cm="1">
        <f t="array" ref="G518">INDEX(Table1[riBAQ 20], MATCH(1, (Table3[[#This Row],[Gene names]:[Gene names]] = Table1[[Gene names]:[Gene names]])*1, 0))</f>
        <v>0</v>
      </c>
      <c r="H518" cm="1">
        <f t="array" ref="H518">INDEX(Table1[riBAQ 21], MATCH(1, (Table3[[#This Row],[Gene names]:[Gene names]] = Table1[[Gene names]:[Gene names]])*1, 0))</f>
        <v>0</v>
      </c>
      <c r="I518" cm="1">
        <f t="array" ref="I518">INDEX(Table1[riBAQ 22], MATCH(1, (Table3[[#This Row],[Gene names]:[Gene names]] = Table1[[Gene names]:[Gene names]])*1, 0))</f>
        <v>0</v>
      </c>
      <c r="J518" cm="1">
        <f t="array" ref="J518">INDEX(Table1[riBAQ 23], MATCH(1, (Table3[[#This Row],[Gene names]:[Gene names]] = Table1[[Gene names]:[Gene names]])*1, 0))</f>
        <v>0</v>
      </c>
      <c r="K518" cm="1">
        <f t="array" ref="K518">INDEX(Table1[riBAQ 37], MATCH(1, (Table3[[#This Row],[Gene names]:[Gene names]] = Table1[[Gene names]:[Gene names]])*1, 0))</f>
        <v>0</v>
      </c>
      <c r="L518" cm="1">
        <f t="array" ref="L518">INDEX(Table1[riBAQ 38], MATCH(1, (Table3[[#This Row],[Gene names]:[Gene names]] = Table1[[Gene names]:[Gene names]])*1, 0))</f>
        <v>0</v>
      </c>
      <c r="M518" cm="1">
        <f t="array" ref="M518">INDEX(Table1[riBAQ 39], MATCH(1, (Table3[[#This Row],[Gene names]:[Gene names]] = Table1[[Gene names]:[Gene names]])*1, 0))</f>
        <v>0</v>
      </c>
      <c r="N518" cm="1">
        <f t="array" ref="N518">INDEX(Table1[riBAQ 40], MATCH(1, (Table3[[#This Row],[Gene names]:[Gene names]] = Table1[[Gene names]:[Gene names]])*1, 0))</f>
        <v>0</v>
      </c>
      <c r="O518" cm="1">
        <f t="array" ref="O518">INDEX(Table1[riBAQ 41], MATCH(1, (Table3[[#This Row],[Gene names]:[Gene names]] = Table1[[Gene names]:[Gene names]])*1, 0))</f>
        <v>0</v>
      </c>
      <c r="P518" cm="1">
        <f t="array" ref="P518">INDEX(Table1[riBAQ 24], MATCH(1, (Table3[[#This Row],[Gene names]:[Gene names]] = Table1[[Gene names]:[Gene names]])*1, 0))</f>
        <v>3.3800000000000002E-5</v>
      </c>
      <c r="Q518" cm="1">
        <f t="array" ref="Q518">INDEX(Table1[riBAQ 25], MATCH(1, (Table3[[#This Row],[Gene names]:[Gene names]] = Table1[[Gene names]:[Gene names]])*1, 0))</f>
        <v>6.5400000000000004E-5</v>
      </c>
      <c r="R518" cm="1">
        <f t="array" ref="R518">INDEX(Table1[riBAQ 26], MATCH(1, (Table3[[#This Row],[Gene names]:[Gene names]] = Table1[[Gene names]:[Gene names]])*1, 0))</f>
        <v>7.7200000000000006E-5</v>
      </c>
      <c r="S518" cm="1">
        <f t="array" ref="S518">INDEX(Table1[riBAQ 42], MATCH(1, (Table3[[#This Row],[Gene names]:[Gene names]] = Table1[[Gene names]:[Gene names]])*1, 0))</f>
        <v>4.1999999999999998E-5</v>
      </c>
      <c r="T518" cm="1">
        <f t="array" ref="T518">INDEX(Table1[riBAQ 43], MATCH(1, (Table3[[#This Row],[Gene names]:[Gene names]] = Table1[[Gene names]:[Gene names]])*1, 0))</f>
        <v>1.4806699999999999E-4</v>
      </c>
    </row>
    <row r="519" spans="1:20" x14ac:dyDescent="0.25">
      <c r="A519" t="s">
        <v>899</v>
      </c>
      <c r="B519" cm="1">
        <f t="array" ref="B519">INDEX(Table1[riBAQ 17], MATCH(1, (Table3[[#This Row],[Gene names]:[Gene names]] = Table1[[Gene names]:[Gene names]])*1, 0))</f>
        <v>0</v>
      </c>
      <c r="C519" cm="1">
        <f t="array" ref="C519">INDEX(Table1[riBAQ 18], MATCH(1, (Table3[[#This Row],[Gene names]:[Gene names]] = Table1[[Gene names]:[Gene names]])*1, 0))</f>
        <v>0</v>
      </c>
      <c r="D519" cm="1">
        <f t="array" ref="D519">INDEX(Table1[riBAQ 35], MATCH(1, (Table3[[#This Row],[Gene names]:[Gene names]] = Table1[[Gene names]:[Gene names]])*1, 0))</f>
        <v>0</v>
      </c>
      <c r="E519" cm="1">
        <f t="array" ref="E519">INDEX(Table1[riBAQ 36], MATCH(1, (Table3[[#This Row],[Gene names]:[Gene names]] = Table1[[Gene names]:[Gene names]])*1, 0))</f>
        <v>0</v>
      </c>
      <c r="F519" cm="1">
        <f t="array" ref="F519">INDEX(Table1[riBAQ 19], MATCH(1, (Table3[[#This Row],[Gene names]:[Gene names]] = Table1[[Gene names]:[Gene names]])*1, 0))</f>
        <v>0</v>
      </c>
      <c r="G519" cm="1">
        <f t="array" ref="G519">INDEX(Table1[riBAQ 20], MATCH(1, (Table3[[#This Row],[Gene names]:[Gene names]] = Table1[[Gene names]:[Gene names]])*1, 0))</f>
        <v>0</v>
      </c>
      <c r="H519" cm="1">
        <f t="array" ref="H519">INDEX(Table1[riBAQ 21], MATCH(1, (Table3[[#This Row],[Gene names]:[Gene names]] = Table1[[Gene names]:[Gene names]])*1, 0))</f>
        <v>0</v>
      </c>
      <c r="I519" cm="1">
        <f t="array" ref="I519">INDEX(Table1[riBAQ 22], MATCH(1, (Table3[[#This Row],[Gene names]:[Gene names]] = Table1[[Gene names]:[Gene names]])*1, 0))</f>
        <v>0</v>
      </c>
      <c r="J519" cm="1">
        <f t="array" ref="J519">INDEX(Table1[riBAQ 23], MATCH(1, (Table3[[#This Row],[Gene names]:[Gene names]] = Table1[[Gene names]:[Gene names]])*1, 0))</f>
        <v>0</v>
      </c>
      <c r="K519" cm="1">
        <f t="array" ref="K519">INDEX(Table1[riBAQ 37], MATCH(1, (Table3[[#This Row],[Gene names]:[Gene names]] = Table1[[Gene names]:[Gene names]])*1, 0))</f>
        <v>0</v>
      </c>
      <c r="L519" cm="1">
        <f t="array" ref="L519">INDEX(Table1[riBAQ 38], MATCH(1, (Table3[[#This Row],[Gene names]:[Gene names]] = Table1[[Gene names]:[Gene names]])*1, 0))</f>
        <v>0</v>
      </c>
      <c r="M519" cm="1">
        <f t="array" ref="M519">INDEX(Table1[riBAQ 39], MATCH(1, (Table3[[#This Row],[Gene names]:[Gene names]] = Table1[[Gene names]:[Gene names]])*1, 0))</f>
        <v>0</v>
      </c>
      <c r="N519" cm="1">
        <f t="array" ref="N519">INDEX(Table1[riBAQ 40], MATCH(1, (Table3[[#This Row],[Gene names]:[Gene names]] = Table1[[Gene names]:[Gene names]])*1, 0))</f>
        <v>0</v>
      </c>
      <c r="O519" cm="1">
        <f t="array" ref="O519">INDEX(Table1[riBAQ 41], MATCH(1, (Table3[[#This Row],[Gene names]:[Gene names]] = Table1[[Gene names]:[Gene names]])*1, 0))</f>
        <v>0</v>
      </c>
      <c r="P519" cm="1">
        <f t="array" ref="P519">INDEX(Table1[riBAQ 24], MATCH(1, (Table3[[#This Row],[Gene names]:[Gene names]] = Table1[[Gene names]:[Gene names]])*1, 0))</f>
        <v>3.6699999999999998E-5</v>
      </c>
      <c r="Q519" cm="1">
        <f t="array" ref="Q519">INDEX(Table1[riBAQ 25], MATCH(1, (Table3[[#This Row],[Gene names]:[Gene names]] = Table1[[Gene names]:[Gene names]])*1, 0))</f>
        <v>4.2700000000000001E-5</v>
      </c>
      <c r="R519" cm="1">
        <f t="array" ref="R519">INDEX(Table1[riBAQ 26], MATCH(1, (Table3[[#This Row],[Gene names]:[Gene names]] = Table1[[Gene names]:[Gene names]])*1, 0))</f>
        <v>0</v>
      </c>
      <c r="S519" cm="1">
        <f t="array" ref="S519">INDEX(Table1[riBAQ 42], MATCH(1, (Table3[[#This Row],[Gene names]:[Gene names]] = Table1[[Gene names]:[Gene names]])*1, 0))</f>
        <v>2.3099999999999999E-5</v>
      </c>
      <c r="T519" cm="1">
        <f t="array" ref="T519">INDEX(Table1[riBAQ 43], MATCH(1, (Table3[[#This Row],[Gene names]:[Gene names]] = Table1[[Gene names]:[Gene names]])*1, 0))</f>
        <v>2.9899999999999998E-5</v>
      </c>
    </row>
    <row r="520" spans="1:20" x14ac:dyDescent="0.25">
      <c r="A520" t="s">
        <v>422</v>
      </c>
      <c r="B520" cm="1">
        <f t="array" ref="B520">INDEX(Table1[riBAQ 17], MATCH(1, (Table3[[#This Row],[Gene names]:[Gene names]] = Table1[[Gene names]:[Gene names]])*1, 0))</f>
        <v>1.5567700000000001E-4</v>
      </c>
      <c r="C520" cm="1">
        <f t="array" ref="C520">INDEX(Table1[riBAQ 18], MATCH(1, (Table3[[#This Row],[Gene names]:[Gene names]] = Table1[[Gene names]:[Gene names]])*1, 0))</f>
        <v>9.9400000000000004E-5</v>
      </c>
      <c r="D520" cm="1">
        <f t="array" ref="D520">INDEX(Table1[riBAQ 35], MATCH(1, (Table3[[#This Row],[Gene names]:[Gene names]] = Table1[[Gene names]:[Gene names]])*1, 0))</f>
        <v>9.09E-5</v>
      </c>
      <c r="E520" cm="1">
        <f t="array" ref="E520">INDEX(Table1[riBAQ 36], MATCH(1, (Table3[[#This Row],[Gene names]:[Gene names]] = Table1[[Gene names]:[Gene names]])*1, 0))</f>
        <v>1.2587699999999999E-4</v>
      </c>
      <c r="F520" cm="1">
        <f t="array" ref="F520">INDEX(Table1[riBAQ 19], MATCH(1, (Table3[[#This Row],[Gene names]:[Gene names]] = Table1[[Gene names]:[Gene names]])*1, 0))</f>
        <v>1.80893E-4</v>
      </c>
      <c r="G520" cm="1">
        <f t="array" ref="G520">INDEX(Table1[riBAQ 20], MATCH(1, (Table3[[#This Row],[Gene names]:[Gene names]] = Table1[[Gene names]:[Gene names]])*1, 0))</f>
        <v>1.4864199999999999E-4</v>
      </c>
      <c r="H520" cm="1">
        <f t="array" ref="H520">INDEX(Table1[riBAQ 21], MATCH(1, (Table3[[#This Row],[Gene names]:[Gene names]] = Table1[[Gene names]:[Gene names]])*1, 0))</f>
        <v>1.79264E-4</v>
      </c>
      <c r="I520" cm="1">
        <f t="array" ref="I520">INDEX(Table1[riBAQ 22], MATCH(1, (Table3[[#This Row],[Gene names]:[Gene names]] = Table1[[Gene names]:[Gene names]])*1, 0))</f>
        <v>1.94227E-4</v>
      </c>
      <c r="J520" cm="1">
        <f t="array" ref="J520">INDEX(Table1[riBAQ 23], MATCH(1, (Table3[[#This Row],[Gene names]:[Gene names]] = Table1[[Gene names]:[Gene names]])*1, 0))</f>
        <v>2.25699E-4</v>
      </c>
      <c r="K520" cm="1">
        <f t="array" ref="K520">INDEX(Table1[riBAQ 37], MATCH(1, (Table3[[#This Row],[Gene names]:[Gene names]] = Table1[[Gene names]:[Gene names]])*1, 0))</f>
        <v>1.6312999999999999E-4</v>
      </c>
      <c r="L520" cm="1">
        <f t="array" ref="L520">INDEX(Table1[riBAQ 38], MATCH(1, (Table3[[#This Row],[Gene names]:[Gene names]] = Table1[[Gene names]:[Gene names]])*1, 0))</f>
        <v>1.5343799999999999E-4</v>
      </c>
      <c r="M520" cm="1">
        <f t="array" ref="M520">INDEX(Table1[riBAQ 39], MATCH(1, (Table3[[#This Row],[Gene names]:[Gene names]] = Table1[[Gene names]:[Gene names]])*1, 0))</f>
        <v>2.01032E-4</v>
      </c>
      <c r="N520" cm="1">
        <f t="array" ref="N520">INDEX(Table1[riBAQ 40], MATCH(1, (Table3[[#This Row],[Gene names]:[Gene names]] = Table1[[Gene names]:[Gene names]])*1, 0))</f>
        <v>2.13253E-4</v>
      </c>
      <c r="O520" cm="1">
        <f t="array" ref="O520">INDEX(Table1[riBAQ 41], MATCH(1, (Table3[[#This Row],[Gene names]:[Gene names]] = Table1[[Gene names]:[Gene names]])*1, 0))</f>
        <v>1.86152E-4</v>
      </c>
      <c r="P520" cm="1">
        <f t="array" ref="P520">INDEX(Table1[riBAQ 24], MATCH(1, (Table3[[#This Row],[Gene names]:[Gene names]] = Table1[[Gene names]:[Gene names]])*1, 0))</f>
        <v>2.5393799999999999E-4</v>
      </c>
      <c r="Q520" cm="1">
        <f t="array" ref="Q520">INDEX(Table1[riBAQ 25], MATCH(1, (Table3[[#This Row],[Gene names]:[Gene names]] = Table1[[Gene names]:[Gene names]])*1, 0))</f>
        <v>2.8891000000000002E-4</v>
      </c>
      <c r="R520" cm="1">
        <f t="array" ref="R520">INDEX(Table1[riBAQ 26], MATCH(1, (Table3[[#This Row],[Gene names]:[Gene names]] = Table1[[Gene names]:[Gene names]])*1, 0))</f>
        <v>4.4360200000000003E-4</v>
      </c>
      <c r="S520" cm="1">
        <f t="array" ref="S520">INDEX(Table1[riBAQ 42], MATCH(1, (Table3[[#This Row],[Gene names]:[Gene names]] = Table1[[Gene names]:[Gene names]])*1, 0))</f>
        <v>3.70176E-4</v>
      </c>
      <c r="T520" cm="1">
        <f t="array" ref="T520">INDEX(Table1[riBAQ 43], MATCH(1, (Table3[[#This Row],[Gene names]:[Gene names]] = Table1[[Gene names]:[Gene names]])*1, 0))</f>
        <v>2.97812E-4</v>
      </c>
    </row>
    <row r="521" spans="1:20" x14ac:dyDescent="0.25">
      <c r="A521" t="s">
        <v>1408</v>
      </c>
      <c r="B521" cm="1">
        <f t="array" ref="B521">INDEX(Table1[riBAQ 17], MATCH(1, (Table3[[#This Row],[Gene names]:[Gene names]] = Table1[[Gene names]:[Gene names]])*1, 0))</f>
        <v>1.7200000000000001E-5</v>
      </c>
      <c r="C521" cm="1">
        <f t="array" ref="C521">INDEX(Table1[riBAQ 18], MATCH(1, (Table3[[#This Row],[Gene names]:[Gene names]] = Table1[[Gene names]:[Gene names]])*1, 0))</f>
        <v>1.7499999999999998E-5</v>
      </c>
      <c r="D521" cm="1">
        <f t="array" ref="D521">INDEX(Table1[riBAQ 35], MATCH(1, (Table3[[#This Row],[Gene names]:[Gene names]] = Table1[[Gene names]:[Gene names]])*1, 0))</f>
        <v>1.7E-5</v>
      </c>
      <c r="E521" cm="1">
        <f t="array" ref="E521">INDEX(Table1[riBAQ 36], MATCH(1, (Table3[[#This Row],[Gene names]:[Gene names]] = Table1[[Gene names]:[Gene names]])*1, 0))</f>
        <v>1.8199999999999999E-5</v>
      </c>
      <c r="F521" cm="1">
        <f t="array" ref="F521">INDEX(Table1[riBAQ 19], MATCH(1, (Table3[[#This Row],[Gene names]:[Gene names]] = Table1[[Gene names]:[Gene names]])*1, 0))</f>
        <v>1.49E-5</v>
      </c>
      <c r="G521" cm="1">
        <f t="array" ref="G521">INDEX(Table1[riBAQ 20], MATCH(1, (Table3[[#This Row],[Gene names]:[Gene names]] = Table1[[Gene names]:[Gene names]])*1, 0))</f>
        <v>0</v>
      </c>
      <c r="H521" cm="1">
        <f t="array" ref="H521">INDEX(Table1[riBAQ 21], MATCH(1, (Table3[[#This Row],[Gene names]:[Gene names]] = Table1[[Gene names]:[Gene names]])*1, 0))</f>
        <v>0</v>
      </c>
      <c r="I521" cm="1">
        <f t="array" ref="I521">INDEX(Table1[riBAQ 22], MATCH(1, (Table3[[#This Row],[Gene names]:[Gene names]] = Table1[[Gene names]:[Gene names]])*1, 0))</f>
        <v>1.42E-5</v>
      </c>
      <c r="J521" cm="1">
        <f t="array" ref="J521">INDEX(Table1[riBAQ 23], MATCH(1, (Table3[[#This Row],[Gene names]:[Gene names]] = Table1[[Gene names]:[Gene names]])*1, 0))</f>
        <v>0</v>
      </c>
      <c r="K521" cm="1">
        <f t="array" ref="K521">INDEX(Table1[riBAQ 37], MATCH(1, (Table3[[#This Row],[Gene names]:[Gene names]] = Table1[[Gene names]:[Gene names]])*1, 0))</f>
        <v>1.6500000000000001E-5</v>
      </c>
      <c r="L521" cm="1">
        <f t="array" ref="L521">INDEX(Table1[riBAQ 38], MATCH(1, (Table3[[#This Row],[Gene names]:[Gene names]] = Table1[[Gene names]:[Gene names]])*1, 0))</f>
        <v>1.7E-5</v>
      </c>
      <c r="M521" cm="1">
        <f t="array" ref="M521">INDEX(Table1[riBAQ 39], MATCH(1, (Table3[[#This Row],[Gene names]:[Gene names]] = Table1[[Gene names]:[Gene names]])*1, 0))</f>
        <v>2.4899999999999999E-5</v>
      </c>
      <c r="N521" cm="1">
        <f t="array" ref="N521">INDEX(Table1[riBAQ 40], MATCH(1, (Table3[[#This Row],[Gene names]:[Gene names]] = Table1[[Gene names]:[Gene names]])*1, 0))</f>
        <v>2.2900000000000001E-5</v>
      </c>
      <c r="O521" cm="1">
        <f t="array" ref="O521">INDEX(Table1[riBAQ 41], MATCH(1, (Table3[[#This Row],[Gene names]:[Gene names]] = Table1[[Gene names]:[Gene names]])*1, 0))</f>
        <v>2.19E-5</v>
      </c>
      <c r="P521" cm="1">
        <f t="array" ref="P521">INDEX(Table1[riBAQ 24], MATCH(1, (Table3[[#This Row],[Gene names]:[Gene names]] = Table1[[Gene names]:[Gene names]])*1, 0))</f>
        <v>0</v>
      </c>
      <c r="Q521" cm="1">
        <f t="array" ref="Q521">INDEX(Table1[riBAQ 25], MATCH(1, (Table3[[#This Row],[Gene names]:[Gene names]] = Table1[[Gene names]:[Gene names]])*1, 0))</f>
        <v>0</v>
      </c>
      <c r="R521" cm="1">
        <f t="array" ref="R521">INDEX(Table1[riBAQ 26], MATCH(1, (Table3[[#This Row],[Gene names]:[Gene names]] = Table1[[Gene names]:[Gene names]])*1, 0))</f>
        <v>0</v>
      </c>
      <c r="S521" cm="1">
        <f t="array" ref="S521">INDEX(Table1[riBAQ 42], MATCH(1, (Table3[[#This Row],[Gene names]:[Gene names]] = Table1[[Gene names]:[Gene names]])*1, 0))</f>
        <v>0</v>
      </c>
      <c r="T521" cm="1">
        <f t="array" ref="T521">INDEX(Table1[riBAQ 43], MATCH(1, (Table3[[#This Row],[Gene names]:[Gene names]] = Table1[[Gene names]:[Gene names]])*1, 0))</f>
        <v>0</v>
      </c>
    </row>
    <row r="522" spans="1:20" x14ac:dyDescent="0.25">
      <c r="A522" t="s">
        <v>1086</v>
      </c>
      <c r="B522" cm="1">
        <f t="array" ref="B522">INDEX(Table1[riBAQ 17], MATCH(1, (Table3[[#This Row],[Gene names]:[Gene names]] = Table1[[Gene names]:[Gene names]])*1, 0))</f>
        <v>0</v>
      </c>
      <c r="C522" cm="1">
        <f t="array" ref="C522">INDEX(Table1[riBAQ 18], MATCH(1, (Table3[[#This Row],[Gene names]:[Gene names]] = Table1[[Gene names]:[Gene names]])*1, 0))</f>
        <v>0</v>
      </c>
      <c r="D522" cm="1">
        <f t="array" ref="D522">INDEX(Table1[riBAQ 35], MATCH(1, (Table3[[#This Row],[Gene names]:[Gene names]] = Table1[[Gene names]:[Gene names]])*1, 0))</f>
        <v>0</v>
      </c>
      <c r="E522" cm="1">
        <f t="array" ref="E522">INDEX(Table1[riBAQ 36], MATCH(1, (Table3[[#This Row],[Gene names]:[Gene names]] = Table1[[Gene names]:[Gene names]])*1, 0))</f>
        <v>0</v>
      </c>
      <c r="F522" cm="1">
        <f t="array" ref="F522">INDEX(Table1[riBAQ 19], MATCH(1, (Table3[[#This Row],[Gene names]:[Gene names]] = Table1[[Gene names]:[Gene names]])*1, 0))</f>
        <v>0</v>
      </c>
      <c r="G522" cm="1">
        <f t="array" ref="G522">INDEX(Table1[riBAQ 20], MATCH(1, (Table3[[#This Row],[Gene names]:[Gene names]] = Table1[[Gene names]:[Gene names]])*1, 0))</f>
        <v>0</v>
      </c>
      <c r="H522" cm="1">
        <f t="array" ref="H522">INDEX(Table1[riBAQ 21], MATCH(1, (Table3[[#This Row],[Gene names]:[Gene names]] = Table1[[Gene names]:[Gene names]])*1, 0))</f>
        <v>0</v>
      </c>
      <c r="I522" cm="1">
        <f t="array" ref="I522">INDEX(Table1[riBAQ 22], MATCH(1, (Table3[[#This Row],[Gene names]:[Gene names]] = Table1[[Gene names]:[Gene names]])*1, 0))</f>
        <v>0</v>
      </c>
      <c r="J522" cm="1">
        <f t="array" ref="J522">INDEX(Table1[riBAQ 23], MATCH(1, (Table3[[#This Row],[Gene names]:[Gene names]] = Table1[[Gene names]:[Gene names]])*1, 0))</f>
        <v>0</v>
      </c>
      <c r="K522" cm="1">
        <f t="array" ref="K522">INDEX(Table1[riBAQ 37], MATCH(1, (Table3[[#This Row],[Gene names]:[Gene names]] = Table1[[Gene names]:[Gene names]])*1, 0))</f>
        <v>0</v>
      </c>
      <c r="L522" cm="1">
        <f t="array" ref="L522">INDEX(Table1[riBAQ 38], MATCH(1, (Table3[[#This Row],[Gene names]:[Gene names]] = Table1[[Gene names]:[Gene names]])*1, 0))</f>
        <v>0</v>
      </c>
      <c r="M522" cm="1">
        <f t="array" ref="M522">INDEX(Table1[riBAQ 39], MATCH(1, (Table3[[#This Row],[Gene names]:[Gene names]] = Table1[[Gene names]:[Gene names]])*1, 0))</f>
        <v>0</v>
      </c>
      <c r="N522" cm="1">
        <f t="array" ref="N522">INDEX(Table1[riBAQ 40], MATCH(1, (Table3[[#This Row],[Gene names]:[Gene names]] = Table1[[Gene names]:[Gene names]])*1, 0))</f>
        <v>0</v>
      </c>
      <c r="O522" cm="1">
        <f t="array" ref="O522">INDEX(Table1[riBAQ 41], MATCH(1, (Table3[[#This Row],[Gene names]:[Gene names]] = Table1[[Gene names]:[Gene names]])*1, 0))</f>
        <v>0</v>
      </c>
      <c r="P522" cm="1">
        <f t="array" ref="P522">INDEX(Table1[riBAQ 24], MATCH(1, (Table3[[#This Row],[Gene names]:[Gene names]] = Table1[[Gene names]:[Gene names]])*1, 0))</f>
        <v>0</v>
      </c>
      <c r="Q522" cm="1">
        <f t="array" ref="Q522">INDEX(Table1[riBAQ 25], MATCH(1, (Table3[[#This Row],[Gene names]:[Gene names]] = Table1[[Gene names]:[Gene names]])*1, 0))</f>
        <v>4.0207200000000001E-4</v>
      </c>
      <c r="R522" cm="1">
        <f t="array" ref="R522">INDEX(Table1[riBAQ 26], MATCH(1, (Table3[[#This Row],[Gene names]:[Gene names]] = Table1[[Gene names]:[Gene names]])*1, 0))</f>
        <v>2.8165299999999998E-4</v>
      </c>
      <c r="S522" cm="1">
        <f t="array" ref="S522">INDEX(Table1[riBAQ 42], MATCH(1, (Table3[[#This Row],[Gene names]:[Gene names]] = Table1[[Gene names]:[Gene names]])*1, 0))</f>
        <v>2.2113300000000001E-4</v>
      </c>
      <c r="T522" cm="1">
        <f t="array" ref="T522">INDEX(Table1[riBAQ 43], MATCH(1, (Table3[[#This Row],[Gene names]:[Gene names]] = Table1[[Gene names]:[Gene names]])*1, 0))</f>
        <v>7.09696E-4</v>
      </c>
    </row>
    <row r="523" spans="1:20" x14ac:dyDescent="0.25">
      <c r="A523" t="s">
        <v>1139</v>
      </c>
      <c r="B523" cm="1">
        <f t="array" ref="B523">INDEX(Table1[riBAQ 17], MATCH(1, (Table3[[#This Row],[Gene names]:[Gene names]] = Table1[[Gene names]:[Gene names]])*1, 0))</f>
        <v>0</v>
      </c>
      <c r="C523" cm="1">
        <f t="array" ref="C523">INDEX(Table1[riBAQ 18], MATCH(1, (Table3[[#This Row],[Gene names]:[Gene names]] = Table1[[Gene names]:[Gene names]])*1, 0))</f>
        <v>0</v>
      </c>
      <c r="D523" cm="1">
        <f t="array" ref="D523">INDEX(Table1[riBAQ 35], MATCH(1, (Table3[[#This Row],[Gene names]:[Gene names]] = Table1[[Gene names]:[Gene names]])*1, 0))</f>
        <v>0</v>
      </c>
      <c r="E523" cm="1">
        <f t="array" ref="E523">INDEX(Table1[riBAQ 36], MATCH(1, (Table3[[#This Row],[Gene names]:[Gene names]] = Table1[[Gene names]:[Gene names]])*1, 0))</f>
        <v>0</v>
      </c>
      <c r="F523" cm="1">
        <f t="array" ref="F523">INDEX(Table1[riBAQ 19], MATCH(1, (Table3[[#This Row],[Gene names]:[Gene names]] = Table1[[Gene names]:[Gene names]])*1, 0))</f>
        <v>1.47E-5</v>
      </c>
      <c r="G523" cm="1">
        <f t="array" ref="G523">INDEX(Table1[riBAQ 20], MATCH(1, (Table3[[#This Row],[Gene names]:[Gene names]] = Table1[[Gene names]:[Gene names]])*1, 0))</f>
        <v>1.5999999999999999E-5</v>
      </c>
      <c r="H523" cm="1">
        <f t="array" ref="H523">INDEX(Table1[riBAQ 21], MATCH(1, (Table3[[#This Row],[Gene names]:[Gene names]] = Table1[[Gene names]:[Gene names]])*1, 0))</f>
        <v>1.7600000000000001E-5</v>
      </c>
      <c r="I523" cm="1">
        <f t="array" ref="I523">INDEX(Table1[riBAQ 22], MATCH(1, (Table3[[#This Row],[Gene names]:[Gene names]] = Table1[[Gene names]:[Gene names]])*1, 0))</f>
        <v>0</v>
      </c>
      <c r="J523" cm="1">
        <f t="array" ref="J523">INDEX(Table1[riBAQ 23], MATCH(1, (Table3[[#This Row],[Gene names]:[Gene names]] = Table1[[Gene names]:[Gene names]])*1, 0))</f>
        <v>1.01E-5</v>
      </c>
      <c r="K523" cm="1">
        <f t="array" ref="K523">INDEX(Table1[riBAQ 37], MATCH(1, (Table3[[#This Row],[Gene names]:[Gene names]] = Table1[[Gene names]:[Gene names]])*1, 0))</f>
        <v>1.0699999999999999E-5</v>
      </c>
      <c r="L523" cm="1">
        <f t="array" ref="L523">INDEX(Table1[riBAQ 38], MATCH(1, (Table3[[#This Row],[Gene names]:[Gene names]] = Table1[[Gene names]:[Gene names]])*1, 0))</f>
        <v>0</v>
      </c>
      <c r="M523" cm="1">
        <f t="array" ref="M523">INDEX(Table1[riBAQ 39], MATCH(1, (Table3[[#This Row],[Gene names]:[Gene names]] = Table1[[Gene names]:[Gene names]])*1, 0))</f>
        <v>0</v>
      </c>
      <c r="N523" cm="1">
        <f t="array" ref="N523">INDEX(Table1[riBAQ 40], MATCH(1, (Table3[[#This Row],[Gene names]:[Gene names]] = Table1[[Gene names]:[Gene names]])*1, 0))</f>
        <v>0</v>
      </c>
      <c r="O523" cm="1">
        <f t="array" ref="O523">INDEX(Table1[riBAQ 41], MATCH(1, (Table3[[#This Row],[Gene names]:[Gene names]] = Table1[[Gene names]:[Gene names]])*1, 0))</f>
        <v>8.2600000000000005E-6</v>
      </c>
      <c r="P523" cm="1">
        <f t="array" ref="P523">INDEX(Table1[riBAQ 24], MATCH(1, (Table3[[#This Row],[Gene names]:[Gene names]] = Table1[[Gene names]:[Gene names]])*1, 0))</f>
        <v>2.6100000000000001E-5</v>
      </c>
      <c r="Q523" cm="1">
        <f t="array" ref="Q523">INDEX(Table1[riBAQ 25], MATCH(1, (Table3[[#This Row],[Gene names]:[Gene names]] = Table1[[Gene names]:[Gene names]])*1, 0))</f>
        <v>4.8000000000000001E-5</v>
      </c>
      <c r="R523" cm="1">
        <f t="array" ref="R523">INDEX(Table1[riBAQ 26], MATCH(1, (Table3[[#This Row],[Gene names]:[Gene names]] = Table1[[Gene names]:[Gene names]])*1, 0))</f>
        <v>2.7699999999999999E-5</v>
      </c>
      <c r="S523" cm="1">
        <f t="array" ref="S523">INDEX(Table1[riBAQ 42], MATCH(1, (Table3[[#This Row],[Gene names]:[Gene names]] = Table1[[Gene names]:[Gene names]])*1, 0))</f>
        <v>3.3599999999999997E-5</v>
      </c>
      <c r="T523" cm="1">
        <f t="array" ref="T523">INDEX(Table1[riBAQ 43], MATCH(1, (Table3[[#This Row],[Gene names]:[Gene names]] = Table1[[Gene names]:[Gene names]])*1, 0))</f>
        <v>1.16593E-4</v>
      </c>
    </row>
    <row r="524" spans="1:20" x14ac:dyDescent="0.25">
      <c r="A524" t="s">
        <v>1087</v>
      </c>
      <c r="B524" cm="1">
        <f t="array" ref="B524">INDEX(Table1[riBAQ 17], MATCH(1, (Table3[[#This Row],[Gene names]:[Gene names]] = Table1[[Gene names]:[Gene names]])*1, 0))</f>
        <v>0</v>
      </c>
      <c r="C524" cm="1">
        <f t="array" ref="C524">INDEX(Table1[riBAQ 18], MATCH(1, (Table3[[#This Row],[Gene names]:[Gene names]] = Table1[[Gene names]:[Gene names]])*1, 0))</f>
        <v>0</v>
      </c>
      <c r="D524" cm="1">
        <f t="array" ref="D524">INDEX(Table1[riBAQ 35], MATCH(1, (Table3[[#This Row],[Gene names]:[Gene names]] = Table1[[Gene names]:[Gene names]])*1, 0))</f>
        <v>0</v>
      </c>
      <c r="E524" cm="1">
        <f t="array" ref="E524">INDEX(Table1[riBAQ 36], MATCH(1, (Table3[[#This Row],[Gene names]:[Gene names]] = Table1[[Gene names]:[Gene names]])*1, 0))</f>
        <v>0</v>
      </c>
      <c r="F524" cm="1">
        <f t="array" ref="F524">INDEX(Table1[riBAQ 19], MATCH(1, (Table3[[#This Row],[Gene names]:[Gene names]] = Table1[[Gene names]:[Gene names]])*1, 0))</f>
        <v>0</v>
      </c>
      <c r="G524" cm="1">
        <f t="array" ref="G524">INDEX(Table1[riBAQ 20], MATCH(1, (Table3[[#This Row],[Gene names]:[Gene names]] = Table1[[Gene names]:[Gene names]])*1, 0))</f>
        <v>0</v>
      </c>
      <c r="H524" cm="1">
        <f t="array" ref="H524">INDEX(Table1[riBAQ 21], MATCH(1, (Table3[[#This Row],[Gene names]:[Gene names]] = Table1[[Gene names]:[Gene names]])*1, 0))</f>
        <v>0</v>
      </c>
      <c r="I524" cm="1">
        <f t="array" ref="I524">INDEX(Table1[riBAQ 22], MATCH(1, (Table3[[#This Row],[Gene names]:[Gene names]] = Table1[[Gene names]:[Gene names]])*1, 0))</f>
        <v>0</v>
      </c>
      <c r="J524" cm="1">
        <f t="array" ref="J524">INDEX(Table1[riBAQ 23], MATCH(1, (Table3[[#This Row],[Gene names]:[Gene names]] = Table1[[Gene names]:[Gene names]])*1, 0))</f>
        <v>0</v>
      </c>
      <c r="K524" cm="1">
        <f t="array" ref="K524">INDEX(Table1[riBAQ 37], MATCH(1, (Table3[[#This Row],[Gene names]:[Gene names]] = Table1[[Gene names]:[Gene names]])*1, 0))</f>
        <v>0</v>
      </c>
      <c r="L524" cm="1">
        <f t="array" ref="L524">INDEX(Table1[riBAQ 38], MATCH(1, (Table3[[#This Row],[Gene names]:[Gene names]] = Table1[[Gene names]:[Gene names]])*1, 0))</f>
        <v>0</v>
      </c>
      <c r="M524" cm="1">
        <f t="array" ref="M524">INDEX(Table1[riBAQ 39], MATCH(1, (Table3[[#This Row],[Gene names]:[Gene names]] = Table1[[Gene names]:[Gene names]])*1, 0))</f>
        <v>0</v>
      </c>
      <c r="N524" cm="1">
        <f t="array" ref="N524">INDEX(Table1[riBAQ 40], MATCH(1, (Table3[[#This Row],[Gene names]:[Gene names]] = Table1[[Gene names]:[Gene names]])*1, 0))</f>
        <v>0</v>
      </c>
      <c r="O524" cm="1">
        <f t="array" ref="O524">INDEX(Table1[riBAQ 41], MATCH(1, (Table3[[#This Row],[Gene names]:[Gene names]] = Table1[[Gene names]:[Gene names]])*1, 0))</f>
        <v>0</v>
      </c>
      <c r="P524" cm="1">
        <f t="array" ref="P524">INDEX(Table1[riBAQ 24], MATCH(1, (Table3[[#This Row],[Gene names]:[Gene names]] = Table1[[Gene names]:[Gene names]])*1, 0))</f>
        <v>1.3337099999999999E-4</v>
      </c>
      <c r="Q524" cm="1">
        <f t="array" ref="Q524">INDEX(Table1[riBAQ 25], MATCH(1, (Table3[[#This Row],[Gene names]:[Gene names]] = Table1[[Gene names]:[Gene names]])*1, 0))</f>
        <v>2.6513300000000002E-4</v>
      </c>
      <c r="R524" cm="1">
        <f t="array" ref="R524">INDEX(Table1[riBAQ 26], MATCH(1, (Table3[[#This Row],[Gene names]:[Gene names]] = Table1[[Gene names]:[Gene names]])*1, 0))</f>
        <v>2.80346E-4</v>
      </c>
      <c r="S524" cm="1">
        <f t="array" ref="S524">INDEX(Table1[riBAQ 42], MATCH(1, (Table3[[#This Row],[Gene names]:[Gene names]] = Table1[[Gene names]:[Gene names]])*1, 0))</f>
        <v>2.1762300000000001E-4</v>
      </c>
      <c r="T524" cm="1">
        <f t="array" ref="T524">INDEX(Table1[riBAQ 43], MATCH(1, (Table3[[#This Row],[Gene names]:[Gene names]] = Table1[[Gene names]:[Gene names]])*1, 0))</f>
        <v>4.8439700000000002E-4</v>
      </c>
    </row>
    <row r="525" spans="1:20" x14ac:dyDescent="0.25">
      <c r="A525" t="s">
        <v>1088</v>
      </c>
      <c r="B525" cm="1">
        <f t="array" ref="B525">INDEX(Table1[riBAQ 17], MATCH(1, (Table3[[#This Row],[Gene names]:[Gene names]] = Table1[[Gene names]:[Gene names]])*1, 0))</f>
        <v>0</v>
      </c>
      <c r="C525" cm="1">
        <f t="array" ref="C525">INDEX(Table1[riBAQ 18], MATCH(1, (Table3[[#This Row],[Gene names]:[Gene names]] = Table1[[Gene names]:[Gene names]])*1, 0))</f>
        <v>0</v>
      </c>
      <c r="D525" cm="1">
        <f t="array" ref="D525">INDEX(Table1[riBAQ 35], MATCH(1, (Table3[[#This Row],[Gene names]:[Gene names]] = Table1[[Gene names]:[Gene names]])*1, 0))</f>
        <v>0</v>
      </c>
      <c r="E525" cm="1">
        <f t="array" ref="E525">INDEX(Table1[riBAQ 36], MATCH(1, (Table3[[#This Row],[Gene names]:[Gene names]] = Table1[[Gene names]:[Gene names]])*1, 0))</f>
        <v>0</v>
      </c>
      <c r="F525" cm="1">
        <f t="array" ref="F525">INDEX(Table1[riBAQ 19], MATCH(1, (Table3[[#This Row],[Gene names]:[Gene names]] = Table1[[Gene names]:[Gene names]])*1, 0))</f>
        <v>4.9700000000000002E-5</v>
      </c>
      <c r="G525" cm="1">
        <f t="array" ref="G525">INDEX(Table1[riBAQ 20], MATCH(1, (Table3[[#This Row],[Gene names]:[Gene names]] = Table1[[Gene names]:[Gene names]])*1, 0))</f>
        <v>6.2899999999999997E-5</v>
      </c>
      <c r="H525" cm="1">
        <f t="array" ref="H525">INDEX(Table1[riBAQ 21], MATCH(1, (Table3[[#This Row],[Gene names]:[Gene names]] = Table1[[Gene names]:[Gene names]])*1, 0))</f>
        <v>2.94E-5</v>
      </c>
      <c r="I525" cm="1">
        <f t="array" ref="I525">INDEX(Table1[riBAQ 22], MATCH(1, (Table3[[#This Row],[Gene names]:[Gene names]] = Table1[[Gene names]:[Gene names]])*1, 0))</f>
        <v>3.7499999999999997E-5</v>
      </c>
      <c r="J525" cm="1">
        <f t="array" ref="J525">INDEX(Table1[riBAQ 23], MATCH(1, (Table3[[#This Row],[Gene names]:[Gene names]] = Table1[[Gene names]:[Gene names]])*1, 0))</f>
        <v>2.3600000000000001E-5</v>
      </c>
      <c r="K525" cm="1">
        <f t="array" ref="K525">INDEX(Table1[riBAQ 37], MATCH(1, (Table3[[#This Row],[Gene names]:[Gene names]] = Table1[[Gene names]:[Gene names]])*1, 0))</f>
        <v>2.65E-5</v>
      </c>
      <c r="L525" cm="1">
        <f t="array" ref="L525">INDEX(Table1[riBAQ 38], MATCH(1, (Table3[[#This Row],[Gene names]:[Gene names]] = Table1[[Gene names]:[Gene names]])*1, 0))</f>
        <v>1.04E-5</v>
      </c>
      <c r="M525" cm="1">
        <f t="array" ref="M525">INDEX(Table1[riBAQ 39], MATCH(1, (Table3[[#This Row],[Gene names]:[Gene names]] = Table1[[Gene names]:[Gene names]])*1, 0))</f>
        <v>0</v>
      </c>
      <c r="N525" cm="1">
        <f t="array" ref="N525">INDEX(Table1[riBAQ 40], MATCH(1, (Table3[[#This Row],[Gene names]:[Gene names]] = Table1[[Gene names]:[Gene names]])*1, 0))</f>
        <v>0</v>
      </c>
      <c r="O525" cm="1">
        <f t="array" ref="O525">INDEX(Table1[riBAQ 41], MATCH(1, (Table3[[#This Row],[Gene names]:[Gene names]] = Table1[[Gene names]:[Gene names]])*1, 0))</f>
        <v>0</v>
      </c>
      <c r="P525" cm="1">
        <f t="array" ref="P525">INDEX(Table1[riBAQ 24], MATCH(1, (Table3[[#This Row],[Gene names]:[Gene names]] = Table1[[Gene names]:[Gene names]])*1, 0))</f>
        <v>7.8999999999999996E-5</v>
      </c>
      <c r="Q525" cm="1">
        <f t="array" ref="Q525">INDEX(Table1[riBAQ 25], MATCH(1, (Table3[[#This Row],[Gene names]:[Gene names]] = Table1[[Gene names]:[Gene names]])*1, 0))</f>
        <v>2.2615800000000001E-4</v>
      </c>
      <c r="R525" cm="1">
        <f t="array" ref="R525">INDEX(Table1[riBAQ 26], MATCH(1, (Table3[[#This Row],[Gene names]:[Gene names]] = Table1[[Gene names]:[Gene names]])*1, 0))</f>
        <v>2.19626E-4</v>
      </c>
      <c r="S525" cm="1">
        <f t="array" ref="S525">INDEX(Table1[riBAQ 42], MATCH(1, (Table3[[#This Row],[Gene names]:[Gene names]] = Table1[[Gene names]:[Gene names]])*1, 0))</f>
        <v>6.1500000000000004E-5</v>
      </c>
      <c r="T525" cm="1">
        <f t="array" ref="T525">INDEX(Table1[riBAQ 43], MATCH(1, (Table3[[#This Row],[Gene names]:[Gene names]] = Table1[[Gene names]:[Gene names]])*1, 0))</f>
        <v>3.31436E-4</v>
      </c>
    </row>
    <row r="526" spans="1:20" x14ac:dyDescent="0.25">
      <c r="A526" t="s">
        <v>1371</v>
      </c>
      <c r="B526" cm="1">
        <f t="array" ref="B526">INDEX(Table1[riBAQ 17], MATCH(1, (Table3[[#This Row],[Gene names]:[Gene names]] = Table1[[Gene names]:[Gene names]])*1, 0))</f>
        <v>1.54599E-4</v>
      </c>
      <c r="C526" cm="1">
        <f t="array" ref="C526">INDEX(Table1[riBAQ 18], MATCH(1, (Table3[[#This Row],[Gene names]:[Gene names]] = Table1[[Gene names]:[Gene names]])*1, 0))</f>
        <v>2.28528E-4</v>
      </c>
      <c r="D526" cm="1">
        <f t="array" ref="D526">INDEX(Table1[riBAQ 35], MATCH(1, (Table3[[#This Row],[Gene names]:[Gene names]] = Table1[[Gene names]:[Gene names]])*1, 0))</f>
        <v>1.21907E-4</v>
      </c>
      <c r="E526" cm="1">
        <f t="array" ref="E526">INDEX(Table1[riBAQ 36], MATCH(1, (Table3[[#This Row],[Gene names]:[Gene names]] = Table1[[Gene names]:[Gene names]])*1, 0))</f>
        <v>1.5084500000000001E-4</v>
      </c>
      <c r="F526" cm="1">
        <f t="array" ref="F526">INDEX(Table1[riBAQ 19], MATCH(1, (Table3[[#This Row],[Gene names]:[Gene names]] = Table1[[Gene names]:[Gene names]])*1, 0))</f>
        <v>1.9217E-4</v>
      </c>
      <c r="G526" cm="1">
        <f t="array" ref="G526">INDEX(Table1[riBAQ 20], MATCH(1, (Table3[[#This Row],[Gene names]:[Gene names]] = Table1[[Gene names]:[Gene names]])*1, 0))</f>
        <v>0</v>
      </c>
      <c r="H526" cm="1">
        <f t="array" ref="H526">INDEX(Table1[riBAQ 21], MATCH(1, (Table3[[#This Row],[Gene names]:[Gene names]] = Table1[[Gene names]:[Gene names]])*1, 0))</f>
        <v>1.5538699999999999E-4</v>
      </c>
      <c r="I526" cm="1">
        <f t="array" ref="I526">INDEX(Table1[riBAQ 22], MATCH(1, (Table3[[#This Row],[Gene names]:[Gene names]] = Table1[[Gene names]:[Gene names]])*1, 0))</f>
        <v>1.9257200000000001E-4</v>
      </c>
      <c r="J526" cm="1">
        <f t="array" ref="J526">INDEX(Table1[riBAQ 23], MATCH(1, (Table3[[#This Row],[Gene names]:[Gene names]] = Table1[[Gene names]:[Gene names]])*1, 0))</f>
        <v>1.6940999999999999E-4</v>
      </c>
      <c r="K526" cm="1">
        <f t="array" ref="K526">INDEX(Table1[riBAQ 37], MATCH(1, (Table3[[#This Row],[Gene names]:[Gene names]] = Table1[[Gene names]:[Gene names]])*1, 0))</f>
        <v>1.9901399999999999E-4</v>
      </c>
      <c r="L526" cm="1">
        <f t="array" ref="L526">INDEX(Table1[riBAQ 38], MATCH(1, (Table3[[#This Row],[Gene names]:[Gene names]] = Table1[[Gene names]:[Gene names]])*1, 0))</f>
        <v>1.71638E-4</v>
      </c>
      <c r="M526" cm="1">
        <f t="array" ref="M526">INDEX(Table1[riBAQ 39], MATCH(1, (Table3[[#This Row],[Gene names]:[Gene names]] = Table1[[Gene names]:[Gene names]])*1, 0))</f>
        <v>1.5620400000000001E-4</v>
      </c>
      <c r="N526" cm="1">
        <f t="array" ref="N526">INDEX(Table1[riBAQ 40], MATCH(1, (Table3[[#This Row],[Gene names]:[Gene names]] = Table1[[Gene names]:[Gene names]])*1, 0))</f>
        <v>1.7699799999999999E-4</v>
      </c>
      <c r="O526" cm="1">
        <f t="array" ref="O526">INDEX(Table1[riBAQ 41], MATCH(1, (Table3[[#This Row],[Gene names]:[Gene names]] = Table1[[Gene names]:[Gene names]])*1, 0))</f>
        <v>1.1103300000000001E-4</v>
      </c>
      <c r="P526" cm="1">
        <f t="array" ref="P526">INDEX(Table1[riBAQ 24], MATCH(1, (Table3[[#This Row],[Gene names]:[Gene names]] = Table1[[Gene names]:[Gene names]])*1, 0))</f>
        <v>1.88612E-4</v>
      </c>
      <c r="Q526" cm="1">
        <f t="array" ref="Q526">INDEX(Table1[riBAQ 25], MATCH(1, (Table3[[#This Row],[Gene names]:[Gene names]] = Table1[[Gene names]:[Gene names]])*1, 0))</f>
        <v>2.7062000000000001E-4</v>
      </c>
      <c r="R526" cm="1">
        <f t="array" ref="R526">INDEX(Table1[riBAQ 26], MATCH(1, (Table3[[#This Row],[Gene names]:[Gene names]] = Table1[[Gene names]:[Gene names]])*1, 0))</f>
        <v>1.9034799999999999E-4</v>
      </c>
      <c r="S526" cm="1">
        <f t="array" ref="S526">INDEX(Table1[riBAQ 42], MATCH(1, (Table3[[#This Row],[Gene names]:[Gene names]] = Table1[[Gene names]:[Gene names]])*1, 0))</f>
        <v>2.5442900000000003E-4</v>
      </c>
      <c r="T526" cm="1">
        <f t="array" ref="T526">INDEX(Table1[riBAQ 43], MATCH(1, (Table3[[#This Row],[Gene names]:[Gene names]] = Table1[[Gene names]:[Gene names]])*1, 0))</f>
        <v>4.92005E-4</v>
      </c>
    </row>
    <row r="527" spans="1:20" x14ac:dyDescent="0.25">
      <c r="A527" t="s">
        <v>1031</v>
      </c>
      <c r="B527" cm="1">
        <f t="array" ref="B527">INDEX(Table1[riBAQ 17], MATCH(1, (Table3[[#This Row],[Gene names]:[Gene names]] = Table1[[Gene names]:[Gene names]])*1, 0))</f>
        <v>0</v>
      </c>
      <c r="C527" cm="1">
        <f t="array" ref="C527">INDEX(Table1[riBAQ 18], MATCH(1, (Table3[[#This Row],[Gene names]:[Gene names]] = Table1[[Gene names]:[Gene names]])*1, 0))</f>
        <v>0</v>
      </c>
      <c r="D527" cm="1">
        <f t="array" ref="D527">INDEX(Table1[riBAQ 35], MATCH(1, (Table3[[#This Row],[Gene names]:[Gene names]] = Table1[[Gene names]:[Gene names]])*1, 0))</f>
        <v>0</v>
      </c>
      <c r="E527" cm="1">
        <f t="array" ref="E527">INDEX(Table1[riBAQ 36], MATCH(1, (Table3[[#This Row],[Gene names]:[Gene names]] = Table1[[Gene names]:[Gene names]])*1, 0))</f>
        <v>0</v>
      </c>
      <c r="F527" cm="1">
        <f t="array" ref="F527">INDEX(Table1[riBAQ 19], MATCH(1, (Table3[[#This Row],[Gene names]:[Gene names]] = Table1[[Gene names]:[Gene names]])*1, 0))</f>
        <v>0</v>
      </c>
      <c r="G527" cm="1">
        <f t="array" ref="G527">INDEX(Table1[riBAQ 20], MATCH(1, (Table3[[#This Row],[Gene names]:[Gene names]] = Table1[[Gene names]:[Gene names]])*1, 0))</f>
        <v>0</v>
      </c>
      <c r="H527" cm="1">
        <f t="array" ref="H527">INDEX(Table1[riBAQ 21], MATCH(1, (Table3[[#This Row],[Gene names]:[Gene names]] = Table1[[Gene names]:[Gene names]])*1, 0))</f>
        <v>0</v>
      </c>
      <c r="I527" cm="1">
        <f t="array" ref="I527">INDEX(Table1[riBAQ 22], MATCH(1, (Table3[[#This Row],[Gene names]:[Gene names]] = Table1[[Gene names]:[Gene names]])*1, 0))</f>
        <v>0</v>
      </c>
      <c r="J527" cm="1">
        <f t="array" ref="J527">INDEX(Table1[riBAQ 23], MATCH(1, (Table3[[#This Row],[Gene names]:[Gene names]] = Table1[[Gene names]:[Gene names]])*1, 0))</f>
        <v>0</v>
      </c>
      <c r="K527" cm="1">
        <f t="array" ref="K527">INDEX(Table1[riBAQ 37], MATCH(1, (Table3[[#This Row],[Gene names]:[Gene names]] = Table1[[Gene names]:[Gene names]])*1, 0))</f>
        <v>0</v>
      </c>
      <c r="L527" cm="1">
        <f t="array" ref="L527">INDEX(Table1[riBAQ 38], MATCH(1, (Table3[[#This Row],[Gene names]:[Gene names]] = Table1[[Gene names]:[Gene names]])*1, 0))</f>
        <v>0</v>
      </c>
      <c r="M527" cm="1">
        <f t="array" ref="M527">INDEX(Table1[riBAQ 39], MATCH(1, (Table3[[#This Row],[Gene names]:[Gene names]] = Table1[[Gene names]:[Gene names]])*1, 0))</f>
        <v>0</v>
      </c>
      <c r="N527" cm="1">
        <f t="array" ref="N527">INDEX(Table1[riBAQ 40], MATCH(1, (Table3[[#This Row],[Gene names]:[Gene names]] = Table1[[Gene names]:[Gene names]])*1, 0))</f>
        <v>0</v>
      </c>
      <c r="O527" cm="1">
        <f t="array" ref="O527">INDEX(Table1[riBAQ 41], MATCH(1, (Table3[[#This Row],[Gene names]:[Gene names]] = Table1[[Gene names]:[Gene names]])*1, 0))</f>
        <v>0</v>
      </c>
      <c r="P527" cm="1">
        <f t="array" ref="P527">INDEX(Table1[riBAQ 24], MATCH(1, (Table3[[#This Row],[Gene names]:[Gene names]] = Table1[[Gene names]:[Gene names]])*1, 0))</f>
        <v>0</v>
      </c>
      <c r="Q527" cm="1">
        <f t="array" ref="Q527">INDEX(Table1[riBAQ 25], MATCH(1, (Table3[[#This Row],[Gene names]:[Gene names]] = Table1[[Gene names]:[Gene names]])*1, 0))</f>
        <v>7.3499999999999998E-5</v>
      </c>
      <c r="R527" cm="1">
        <f t="array" ref="R527">INDEX(Table1[riBAQ 26], MATCH(1, (Table3[[#This Row],[Gene names]:[Gene names]] = Table1[[Gene names]:[Gene names]])*1, 0))</f>
        <v>6.8200000000000004E-5</v>
      </c>
      <c r="S527" cm="1">
        <f t="array" ref="S527">INDEX(Table1[riBAQ 42], MATCH(1, (Table3[[#This Row],[Gene names]:[Gene names]] = Table1[[Gene names]:[Gene names]])*1, 0))</f>
        <v>3.4400000000000003E-5</v>
      </c>
      <c r="T527" cm="1">
        <f t="array" ref="T527">INDEX(Table1[riBAQ 43], MATCH(1, (Table3[[#This Row],[Gene names]:[Gene names]] = Table1[[Gene names]:[Gene names]])*1, 0))</f>
        <v>1.2499700000000001E-4</v>
      </c>
    </row>
    <row r="528" spans="1:20" x14ac:dyDescent="0.25">
      <c r="A528" t="s">
        <v>1085</v>
      </c>
      <c r="B528" cm="1">
        <f t="array" ref="B528">INDEX(Table1[riBAQ 17], MATCH(1, (Table3[[#This Row],[Gene names]:[Gene names]] = Table1[[Gene names]:[Gene names]])*1, 0))</f>
        <v>0</v>
      </c>
      <c r="C528" cm="1">
        <f t="array" ref="C528">INDEX(Table1[riBAQ 18], MATCH(1, (Table3[[#This Row],[Gene names]:[Gene names]] = Table1[[Gene names]:[Gene names]])*1, 0))</f>
        <v>0</v>
      </c>
      <c r="D528" cm="1">
        <f t="array" ref="D528">INDEX(Table1[riBAQ 35], MATCH(1, (Table3[[#This Row],[Gene names]:[Gene names]] = Table1[[Gene names]:[Gene names]])*1, 0))</f>
        <v>0</v>
      </c>
      <c r="E528" cm="1">
        <f t="array" ref="E528">INDEX(Table1[riBAQ 36], MATCH(1, (Table3[[#This Row],[Gene names]:[Gene names]] = Table1[[Gene names]:[Gene names]])*1, 0))</f>
        <v>0</v>
      </c>
      <c r="F528" cm="1">
        <f t="array" ref="F528">INDEX(Table1[riBAQ 19], MATCH(1, (Table3[[#This Row],[Gene names]:[Gene names]] = Table1[[Gene names]:[Gene names]])*1, 0))</f>
        <v>1.77E-5</v>
      </c>
      <c r="G528" cm="1">
        <f t="array" ref="G528">INDEX(Table1[riBAQ 20], MATCH(1, (Table3[[#This Row],[Gene names]:[Gene names]] = Table1[[Gene names]:[Gene names]])*1, 0))</f>
        <v>4.6999999999999997E-5</v>
      </c>
      <c r="H528" cm="1">
        <f t="array" ref="H528">INDEX(Table1[riBAQ 21], MATCH(1, (Table3[[#This Row],[Gene names]:[Gene names]] = Table1[[Gene names]:[Gene names]])*1, 0))</f>
        <v>2.87E-5</v>
      </c>
      <c r="I528" cm="1">
        <f t="array" ref="I528">INDEX(Table1[riBAQ 22], MATCH(1, (Table3[[#This Row],[Gene names]:[Gene names]] = Table1[[Gene names]:[Gene names]])*1, 0))</f>
        <v>2.7900000000000001E-5</v>
      </c>
      <c r="J528" cm="1">
        <f t="array" ref="J528">INDEX(Table1[riBAQ 23], MATCH(1, (Table3[[#This Row],[Gene names]:[Gene names]] = Table1[[Gene names]:[Gene names]])*1, 0))</f>
        <v>0</v>
      </c>
      <c r="K528" cm="1">
        <f t="array" ref="K528">INDEX(Table1[riBAQ 37], MATCH(1, (Table3[[#This Row],[Gene names]:[Gene names]] = Table1[[Gene names]:[Gene names]])*1, 0))</f>
        <v>2.8900000000000001E-5</v>
      </c>
      <c r="L528" cm="1">
        <f t="array" ref="L528">INDEX(Table1[riBAQ 38], MATCH(1, (Table3[[#This Row],[Gene names]:[Gene names]] = Table1[[Gene names]:[Gene names]])*1, 0))</f>
        <v>1.49E-5</v>
      </c>
      <c r="M528" cm="1">
        <f t="array" ref="M528">INDEX(Table1[riBAQ 39], MATCH(1, (Table3[[#This Row],[Gene names]:[Gene names]] = Table1[[Gene names]:[Gene names]])*1, 0))</f>
        <v>1.2E-5</v>
      </c>
      <c r="N528" cm="1">
        <f t="array" ref="N528">INDEX(Table1[riBAQ 40], MATCH(1, (Table3[[#This Row],[Gene names]:[Gene names]] = Table1[[Gene names]:[Gene names]])*1, 0))</f>
        <v>2.0599999999999999E-5</v>
      </c>
      <c r="O528" cm="1">
        <f t="array" ref="O528">INDEX(Table1[riBAQ 41], MATCH(1, (Table3[[#This Row],[Gene names]:[Gene names]] = Table1[[Gene names]:[Gene names]])*1, 0))</f>
        <v>0</v>
      </c>
      <c r="P528" cm="1">
        <f t="array" ref="P528">INDEX(Table1[riBAQ 24], MATCH(1, (Table3[[#This Row],[Gene names]:[Gene names]] = Table1[[Gene names]:[Gene names]])*1, 0))</f>
        <v>6.8300000000000007E-5</v>
      </c>
      <c r="Q528" cm="1">
        <f t="array" ref="Q528">INDEX(Table1[riBAQ 25], MATCH(1, (Table3[[#This Row],[Gene names]:[Gene names]] = Table1[[Gene names]:[Gene names]])*1, 0))</f>
        <v>2.17028E-4</v>
      </c>
      <c r="R528" cm="1">
        <f t="array" ref="R528">INDEX(Table1[riBAQ 26], MATCH(1, (Table3[[#This Row],[Gene names]:[Gene names]] = Table1[[Gene names]:[Gene names]])*1, 0))</f>
        <v>1.3400900000000001E-4</v>
      </c>
      <c r="S528" cm="1">
        <f t="array" ref="S528">INDEX(Table1[riBAQ 42], MATCH(1, (Table3[[#This Row],[Gene names]:[Gene names]] = Table1[[Gene names]:[Gene names]])*1, 0))</f>
        <v>7.0400000000000004E-5</v>
      </c>
      <c r="T528" cm="1">
        <f t="array" ref="T528">INDEX(Table1[riBAQ 43], MATCH(1, (Table3[[#This Row],[Gene names]:[Gene names]] = Table1[[Gene names]:[Gene names]])*1, 0))</f>
        <v>4.04929E-4</v>
      </c>
    </row>
    <row r="529" spans="1:20" x14ac:dyDescent="0.25">
      <c r="A529" t="s">
        <v>1084</v>
      </c>
      <c r="B529" cm="1">
        <f t="array" ref="B529">INDEX(Table1[riBAQ 17], MATCH(1, (Table3[[#This Row],[Gene names]:[Gene names]] = Table1[[Gene names]:[Gene names]])*1, 0))</f>
        <v>0</v>
      </c>
      <c r="C529" cm="1">
        <f t="array" ref="C529">INDEX(Table1[riBAQ 18], MATCH(1, (Table3[[#This Row],[Gene names]:[Gene names]] = Table1[[Gene names]:[Gene names]])*1, 0))</f>
        <v>0</v>
      </c>
      <c r="D529" cm="1">
        <f t="array" ref="D529">INDEX(Table1[riBAQ 35], MATCH(1, (Table3[[#This Row],[Gene names]:[Gene names]] = Table1[[Gene names]:[Gene names]])*1, 0))</f>
        <v>0</v>
      </c>
      <c r="E529" cm="1">
        <f t="array" ref="E529">INDEX(Table1[riBAQ 36], MATCH(1, (Table3[[#This Row],[Gene names]:[Gene names]] = Table1[[Gene names]:[Gene names]])*1, 0))</f>
        <v>0</v>
      </c>
      <c r="F529" cm="1">
        <f t="array" ref="F529">INDEX(Table1[riBAQ 19], MATCH(1, (Table3[[#This Row],[Gene names]:[Gene names]] = Table1[[Gene names]:[Gene names]])*1, 0))</f>
        <v>3.93E-5</v>
      </c>
      <c r="G529" cm="1">
        <f t="array" ref="G529">INDEX(Table1[riBAQ 20], MATCH(1, (Table3[[#This Row],[Gene names]:[Gene names]] = Table1[[Gene names]:[Gene names]])*1, 0))</f>
        <v>3.8300000000000003E-5</v>
      </c>
      <c r="H529" cm="1">
        <f t="array" ref="H529">INDEX(Table1[riBAQ 21], MATCH(1, (Table3[[#This Row],[Gene names]:[Gene names]] = Table1[[Gene names]:[Gene names]])*1, 0))</f>
        <v>2.02E-5</v>
      </c>
      <c r="I529" cm="1">
        <f t="array" ref="I529">INDEX(Table1[riBAQ 22], MATCH(1, (Table3[[#This Row],[Gene names]:[Gene names]] = Table1[[Gene names]:[Gene names]])*1, 0))</f>
        <v>2.83E-5</v>
      </c>
      <c r="J529" cm="1">
        <f t="array" ref="J529">INDEX(Table1[riBAQ 23], MATCH(1, (Table3[[#This Row],[Gene names]:[Gene names]] = Table1[[Gene names]:[Gene names]])*1, 0))</f>
        <v>1.95E-5</v>
      </c>
      <c r="K529" cm="1">
        <f t="array" ref="K529">INDEX(Table1[riBAQ 37], MATCH(1, (Table3[[#This Row],[Gene names]:[Gene names]] = Table1[[Gene names]:[Gene names]])*1, 0))</f>
        <v>2.0000000000000002E-5</v>
      </c>
      <c r="L529" cm="1">
        <f t="array" ref="L529">INDEX(Table1[riBAQ 38], MATCH(1, (Table3[[#This Row],[Gene names]:[Gene names]] = Table1[[Gene names]:[Gene names]])*1, 0))</f>
        <v>0</v>
      </c>
      <c r="M529" cm="1">
        <f t="array" ref="M529">INDEX(Table1[riBAQ 39], MATCH(1, (Table3[[#This Row],[Gene names]:[Gene names]] = Table1[[Gene names]:[Gene names]])*1, 0))</f>
        <v>0</v>
      </c>
      <c r="N529" cm="1">
        <f t="array" ref="N529">INDEX(Table1[riBAQ 40], MATCH(1, (Table3[[#This Row],[Gene names]:[Gene names]] = Table1[[Gene names]:[Gene names]])*1, 0))</f>
        <v>0</v>
      </c>
      <c r="O529" cm="1">
        <f t="array" ref="O529">INDEX(Table1[riBAQ 41], MATCH(1, (Table3[[#This Row],[Gene names]:[Gene names]] = Table1[[Gene names]:[Gene names]])*1, 0))</f>
        <v>0</v>
      </c>
      <c r="P529" cm="1">
        <f t="array" ref="P529">INDEX(Table1[riBAQ 24], MATCH(1, (Table3[[#This Row],[Gene names]:[Gene names]] = Table1[[Gene names]:[Gene names]])*1, 0))</f>
        <v>5.2800000000000003E-5</v>
      </c>
      <c r="Q529" cm="1">
        <f t="array" ref="Q529">INDEX(Table1[riBAQ 25], MATCH(1, (Table3[[#This Row],[Gene names]:[Gene names]] = Table1[[Gene names]:[Gene names]])*1, 0))</f>
        <v>1.87987E-4</v>
      </c>
      <c r="R529" cm="1">
        <f t="array" ref="R529">INDEX(Table1[riBAQ 26], MATCH(1, (Table3[[#This Row],[Gene names]:[Gene names]] = Table1[[Gene names]:[Gene names]])*1, 0))</f>
        <v>1.3833699999999999E-4</v>
      </c>
      <c r="S529" cm="1">
        <f t="array" ref="S529">INDEX(Table1[riBAQ 42], MATCH(1, (Table3[[#This Row],[Gene names]:[Gene names]] = Table1[[Gene names]:[Gene names]])*1, 0))</f>
        <v>5.0099999999999998E-5</v>
      </c>
      <c r="T529" cm="1">
        <f t="array" ref="T529">INDEX(Table1[riBAQ 43], MATCH(1, (Table3[[#This Row],[Gene names]:[Gene names]] = Table1[[Gene names]:[Gene names]])*1, 0))</f>
        <v>3.1043599999999998E-4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PSP_PICK_proteins </vt:lpstr>
      <vt:lpstr>Norm</vt:lpstr>
      <vt:lpstr>Mito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Aatmika Barve</dc:creator>
  <cp:lastModifiedBy>Aatmika Barve</cp:lastModifiedBy>
  <dcterms:created xsi:type="dcterms:W3CDTF">2023-08-16T15:11:11Z</dcterms:created>
  <dcterms:modified xsi:type="dcterms:W3CDTF">2024-11-21T12:19:46Z</dcterms:modified>
</cp:coreProperties>
</file>